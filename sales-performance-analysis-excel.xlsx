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c950437d57ba48/Desktop/"/>
    </mc:Choice>
  </mc:AlternateContent>
  <xr:revisionPtr revIDLastSave="0" documentId="8_{2C808F13-7241-480E-BDE4-875C1C01004C}" xr6:coauthVersionLast="47" xr6:coauthVersionMax="47" xr10:uidLastSave="{00000000-0000-0000-0000-000000000000}"/>
  <bookViews>
    <workbookView xWindow="-113" yWindow="-113" windowWidth="24267" windowHeight="13023" firstSheet="12" activeTab="15" xr2:uid="{396E96FF-F270-49EF-8A5F-7721B2CEB897}"/>
  </bookViews>
  <sheets>
    <sheet name="cleaned_sales_data" sheetId="1" r:id="rId1"/>
    <sheet name="business_questions" sheetId="2" r:id="rId2"/>
    <sheet name="pivot_overall_perfromance" sheetId="3" r:id="rId3"/>
    <sheet name="PIVOT_YEAR_WISE" sheetId="4" r:id="rId4"/>
    <sheet name="PIVOT_MONTH_WISE" sheetId="5" r:id="rId5"/>
    <sheet name="PIVOT_QUARTER WISE" sheetId="6" r:id="rId6"/>
    <sheet name="PIVOT_LOCATION" sheetId="7" r:id="rId7"/>
    <sheet name="PIVOT_CITY_WISE" sheetId="8" r:id="rId8"/>
    <sheet name="pivot_product_wise" sheetId="9" r:id="rId9"/>
    <sheet name="pivot_order" sheetId="10" r:id="rId10"/>
    <sheet name="pivot_shipment_status" sheetId="11" r:id="rId11"/>
    <sheet name="pivot_complted_country" sheetId="15" r:id="rId12"/>
    <sheet name="pivot_best_prodcuctline" sheetId="16" r:id="rId13"/>
    <sheet name="pivot_visible_relation" sheetId="17" r:id="rId14"/>
    <sheet name="pivot_percentage_completed" sheetId="19" r:id="rId15"/>
    <sheet name="Dashboard" sheetId="18" r:id="rId16"/>
  </sheets>
  <definedNames>
    <definedName name="_xlnm._FilterDatabase" localSheetId="0" hidden="1">cleaned_sales_data!$A$1:$AE$2824</definedName>
  </definedNames>
  <calcPr calcId="191029"/>
  <pivotCaches>
    <pivotCache cacheId="0" r:id="rId17"/>
    <pivotCache cacheId="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" i="1"/>
  <c r="D2" i="19" a="1"/>
  <c r="D2" i="1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<sst xmlns="http://schemas.openxmlformats.org/spreadsheetml/2006/main" count="38065" uniqueCount="3566">
  <si>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</si>
  <si>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</si>
  <si>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</si>
  <si>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</si>
  <si>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</si>
  <si>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</si>
  <si>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</si>
  <si>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</si>
  <si>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</si>
  <si>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</si>
  <si>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</si>
  <si>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</si>
  <si>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</si>
  <si>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</si>
  <si>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</si>
  <si>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</si>
  <si>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</si>
  <si>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</si>
  <si>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</si>
  <si>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</si>
  <si>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</si>
  <si>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</si>
  <si>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</si>
  <si>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</si>
  <si>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</si>
  <si>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</si>
  <si>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</si>
  <si>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</si>
  <si>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</si>
  <si>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</si>
  <si>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</si>
  <si>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</si>
  <si>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</si>
  <si>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</si>
  <si>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</si>
  <si>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</si>
  <si>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</si>
  <si>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</si>
  <si>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</si>
  <si>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</si>
  <si>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</si>
  <si>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</si>
  <si>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</si>
  <si>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</si>
  <si>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</si>
  <si>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</si>
  <si>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</si>
  <si>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</si>
  <si>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</si>
  <si>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</si>
  <si>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</si>
  <si>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</si>
  <si>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</si>
  <si>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</si>
  <si>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</si>
  <si>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</si>
  <si>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</si>
  <si>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</si>
  <si>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</si>
  <si>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</si>
  <si>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</si>
  <si>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</si>
  <si>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</si>
  <si>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</si>
  <si>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</si>
  <si>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</si>
  <si>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</si>
  <si>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</si>
  <si>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</si>
  <si>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</si>
  <si>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</si>
  <si>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</si>
  <si>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</si>
  <si>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</si>
  <si>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</si>
  <si>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</si>
  <si>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</si>
  <si>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</si>
  <si>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</si>
  <si>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</si>
  <si>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</si>
  <si>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</si>
  <si>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</si>
  <si>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</si>
  <si>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</si>
  <si>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</si>
  <si>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</si>
  <si>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</si>
  <si>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</si>
  <si>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</si>
  <si>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</si>
  <si>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</si>
  <si>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</si>
  <si>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</si>
  <si>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</si>
  <si>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</si>
  <si>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</si>
  <si>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</si>
  <si>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</si>
  <si>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</si>
  <si>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</si>
  <si>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</si>
  <si>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</si>
  <si>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</si>
  <si>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</si>
  <si>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</si>
  <si>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</si>
  <si>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</si>
  <si>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</si>
  <si>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</si>
  <si>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</si>
  <si>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</si>
  <si>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</si>
  <si>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</si>
  <si>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</si>
  <si>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</si>
  <si>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</si>
  <si>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</si>
  <si>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</si>
  <si>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</si>
  <si>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</si>
  <si>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</si>
  <si>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</si>
  <si>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</si>
  <si>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</si>
  <si>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</si>
  <si>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</si>
  <si>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</si>
  <si>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</si>
  <si>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</si>
  <si>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</si>
  <si>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</si>
  <si>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</si>
  <si>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</si>
  <si>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</si>
  <si>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</si>
  <si>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</si>
  <si>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</si>
  <si>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</si>
  <si>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</si>
  <si>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</si>
  <si>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</si>
  <si>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</si>
  <si>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</si>
  <si>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</si>
  <si>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</si>
  <si>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</si>
  <si>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</si>
  <si>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</si>
  <si>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</si>
  <si>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</si>
  <si>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</si>
  <si>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</si>
  <si>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</si>
  <si>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</si>
  <si>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</si>
  <si>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</si>
  <si>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</si>
  <si>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</si>
  <si>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</si>
  <si>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</si>
  <si>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</si>
  <si>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</si>
  <si>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</si>
  <si>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</si>
  <si>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</si>
  <si>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</si>
  <si>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</si>
  <si>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</si>
  <si>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</si>
  <si>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</si>
  <si>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</si>
  <si>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</si>
  <si>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</si>
  <si>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</si>
  <si>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</si>
  <si>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</si>
  <si>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</si>
  <si>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</si>
  <si>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</si>
  <si>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</si>
  <si>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</si>
  <si>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</si>
  <si>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</si>
  <si>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</si>
  <si>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</si>
  <si>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</si>
  <si>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</si>
  <si>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</si>
  <si>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</si>
  <si>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</si>
  <si>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</si>
  <si>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</si>
  <si>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</si>
  <si>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</si>
  <si>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</si>
  <si>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</si>
  <si>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</si>
  <si>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</si>
  <si>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</si>
  <si>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</si>
  <si>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</si>
  <si>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</si>
  <si>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</si>
  <si>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</si>
  <si>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</si>
  <si>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</si>
  <si>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</si>
  <si>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</si>
  <si>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</si>
  <si>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</si>
  <si>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</si>
  <si>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</si>
  <si>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</si>
  <si>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</si>
  <si>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</si>
  <si>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</si>
  <si>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</si>
  <si>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</si>
  <si>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</si>
  <si>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</si>
  <si>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</si>
  <si>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</si>
  <si>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</si>
  <si>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</si>
  <si>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</si>
  <si>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</si>
  <si>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</si>
  <si>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</si>
  <si>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</si>
  <si>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</si>
  <si>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</si>
  <si>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</si>
  <si>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</si>
  <si>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</si>
  <si>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</si>
  <si>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</si>
  <si>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</si>
  <si>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</si>
  <si>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</si>
  <si>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</si>
  <si>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</si>
  <si>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</si>
  <si>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</si>
  <si>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</si>
  <si>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</si>
  <si>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</si>
  <si>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</si>
  <si>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</si>
  <si>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</si>
  <si>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</si>
  <si>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</si>
  <si>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</si>
  <si>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</si>
  <si>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</si>
  <si>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</si>
  <si>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</si>
  <si>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</si>
  <si>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</si>
  <si>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</si>
  <si>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</si>
  <si>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</si>
  <si>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</si>
  <si>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</si>
  <si>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</si>
  <si>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</si>
  <si>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</si>
  <si>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</si>
  <si>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</si>
  <si>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</si>
  <si>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</si>
  <si>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</si>
  <si>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</si>
  <si>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</si>
  <si>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</si>
  <si>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</si>
  <si>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</si>
  <si>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</si>
  <si>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</si>
  <si>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</si>
  <si>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</si>
  <si>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</si>
  <si>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</si>
  <si>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</si>
  <si>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</si>
  <si>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</si>
  <si>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</si>
  <si>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</si>
  <si>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</si>
  <si>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</si>
  <si>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</si>
  <si>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</si>
  <si>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</si>
  <si>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</si>
  <si>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</si>
  <si>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</si>
  <si>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</si>
  <si>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</si>
  <si>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</si>
  <si>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</si>
  <si>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</si>
  <si>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</si>
  <si>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</si>
  <si>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</si>
  <si>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</si>
  <si>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</si>
  <si>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</si>
  <si>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</si>
  <si>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</si>
  <si>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</si>
  <si>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</si>
  <si>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</si>
  <si>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</si>
  <si>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</si>
  <si>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</si>
  <si>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</si>
  <si>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</si>
  <si>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</si>
  <si>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</si>
  <si>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</si>
  <si>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</si>
  <si>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</si>
  <si>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</si>
  <si>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</si>
  <si>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</si>
  <si>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</si>
  <si>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</si>
  <si>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</si>
  <si>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</si>
  <si>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</si>
  <si>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</si>
  <si>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</si>
  <si>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</si>
  <si>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</si>
  <si>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</si>
  <si>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</si>
  <si>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</si>
  <si>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</si>
  <si>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</si>
  <si>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</si>
  <si>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</si>
  <si>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</si>
  <si>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</si>
  <si>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</si>
  <si>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</si>
  <si>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</si>
  <si>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</si>
  <si>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</si>
  <si>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</si>
  <si>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</si>
  <si>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</si>
  <si>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</si>
  <si>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</si>
  <si>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</si>
  <si>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</si>
  <si>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</si>
  <si>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</si>
  <si>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</si>
  <si>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</si>
  <si>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</si>
  <si>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</si>
  <si>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</si>
  <si>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</si>
  <si>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</si>
  <si>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</si>
  <si>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</si>
  <si>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</si>
  <si>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</si>
  <si>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</si>
  <si>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</si>
  <si>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</si>
  <si>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</si>
  <si>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</si>
  <si>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</si>
  <si>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</si>
  <si>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</si>
  <si>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</si>
  <si>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</si>
  <si>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</si>
  <si>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</si>
  <si>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</si>
  <si>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</si>
  <si>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</si>
  <si>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</si>
  <si>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</si>
  <si>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</si>
  <si>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</si>
  <si>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</si>
  <si>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</si>
  <si>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</si>
  <si>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</si>
  <si>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</si>
  <si>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</si>
  <si>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</si>
  <si>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</si>
  <si>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</si>
  <si>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</si>
  <si>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</si>
  <si>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</si>
  <si>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</si>
  <si>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</si>
  <si>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</si>
  <si>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</si>
  <si>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</si>
  <si>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</si>
  <si>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</si>
  <si>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</si>
  <si>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</si>
  <si>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</si>
  <si>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</si>
  <si>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</si>
  <si>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</si>
  <si>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</si>
  <si>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</si>
  <si>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</si>
  <si>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</si>
  <si>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</si>
  <si>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</si>
  <si>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</si>
  <si>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</si>
  <si>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</si>
  <si>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</si>
  <si>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</si>
  <si>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</si>
  <si>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</si>
  <si>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</si>
  <si>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</si>
  <si>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</si>
  <si>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</si>
  <si>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</si>
  <si>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</si>
  <si>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</si>
  <si>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</si>
  <si>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</si>
  <si>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</si>
  <si>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</si>
  <si>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</si>
  <si>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</si>
  <si>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</si>
  <si>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</si>
  <si>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</si>
  <si>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</si>
  <si>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</si>
  <si>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</si>
  <si>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</si>
  <si>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</si>
  <si>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</si>
  <si>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</si>
  <si>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</si>
  <si>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</si>
  <si>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</si>
  <si>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</si>
  <si>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</si>
  <si>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</si>
  <si>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</si>
  <si>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</si>
  <si>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</si>
  <si>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</si>
  <si>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</si>
  <si>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</si>
  <si>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</si>
  <si>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</si>
  <si>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</si>
  <si>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</si>
  <si>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</si>
  <si>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</si>
  <si>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</si>
  <si>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</si>
  <si>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</si>
  <si>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</si>
  <si>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</si>
  <si>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</si>
  <si>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</si>
  <si>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</si>
  <si>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</si>
  <si>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</si>
  <si>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</si>
  <si>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</si>
  <si>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</si>
  <si>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</si>
  <si>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</si>
  <si>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</si>
  <si>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</si>
  <si>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</si>
  <si>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</si>
  <si>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</si>
  <si>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</si>
  <si>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</si>
  <si>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</si>
  <si>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</si>
  <si>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</si>
  <si>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</si>
  <si>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</si>
  <si>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</si>
  <si>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</si>
  <si>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</si>
  <si>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</si>
  <si>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</si>
  <si>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</si>
  <si>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</si>
  <si>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</si>
  <si>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</si>
  <si>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</si>
  <si>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</si>
  <si>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</si>
  <si>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</si>
  <si>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</si>
  <si>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</si>
  <si>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</si>
  <si>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</si>
  <si>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</si>
  <si>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</si>
  <si>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</si>
  <si>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</si>
  <si>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</si>
  <si>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</si>
  <si>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</si>
  <si>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</si>
  <si>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</si>
  <si>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</si>
  <si>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</si>
  <si>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</si>
  <si>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</si>
  <si>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</si>
  <si>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</si>
  <si>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</si>
  <si>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</si>
  <si>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</si>
  <si>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</si>
  <si>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</si>
  <si>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</si>
  <si>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</si>
  <si>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</si>
  <si>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</si>
  <si>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</si>
  <si>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</si>
  <si>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</si>
  <si>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</si>
  <si>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</si>
  <si>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</si>
  <si>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</si>
  <si>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</si>
  <si>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</si>
  <si>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</si>
  <si>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</si>
  <si>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</si>
  <si>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</si>
  <si>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</si>
  <si>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</si>
  <si>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</si>
  <si>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</si>
  <si>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</si>
  <si>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</si>
  <si>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</si>
  <si>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</si>
  <si>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</si>
  <si>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</si>
  <si>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</si>
  <si>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</si>
  <si>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</si>
  <si>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</si>
  <si>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</si>
  <si>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</si>
  <si>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</si>
  <si>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</si>
  <si>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</si>
  <si>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</si>
  <si>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</si>
  <si>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</si>
  <si>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</si>
  <si>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</si>
  <si>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</si>
  <si>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</si>
  <si>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</si>
  <si>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</si>
  <si>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</si>
  <si>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</si>
  <si>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</si>
  <si>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</si>
  <si>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</si>
  <si>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</si>
  <si>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</si>
  <si>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</si>
  <si>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</si>
  <si>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</si>
  <si>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</si>
  <si>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</si>
  <si>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</si>
  <si>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</si>
  <si>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</si>
  <si>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</si>
  <si>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</si>
  <si>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</si>
  <si>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</si>
  <si>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</si>
  <si>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</si>
  <si>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</si>
  <si>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</si>
  <si>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</si>
  <si>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</si>
  <si>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</si>
  <si>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</si>
  <si>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</si>
  <si>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</si>
  <si>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</si>
  <si>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</si>
  <si>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</si>
  <si>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</si>
  <si>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</si>
  <si>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</si>
  <si>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</si>
  <si>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</si>
  <si>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</si>
  <si>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</si>
  <si>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</si>
  <si>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</si>
  <si>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</si>
  <si>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</si>
  <si>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</si>
  <si>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</si>
  <si>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</si>
  <si>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</si>
  <si>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</si>
  <si>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</si>
  <si>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</si>
  <si>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</si>
  <si>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</si>
  <si>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</si>
  <si>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</si>
  <si>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</si>
  <si>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</si>
  <si>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</si>
  <si>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</si>
  <si>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</si>
  <si>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</si>
  <si>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</si>
  <si>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</si>
  <si>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</si>
  <si>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</si>
  <si>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</si>
  <si>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</si>
  <si>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</si>
  <si>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</si>
  <si>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</si>
  <si>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</si>
  <si>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</si>
  <si>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</si>
  <si>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</si>
  <si>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</si>
  <si>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</si>
  <si>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</si>
  <si>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</si>
  <si>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</si>
  <si>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</si>
  <si>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</si>
  <si>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</si>
  <si>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</si>
  <si>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</si>
  <si>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</si>
  <si>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</si>
  <si>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</si>
  <si>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</si>
  <si>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</si>
  <si>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</si>
  <si>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</si>
  <si>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</si>
  <si>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</si>
  <si>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</si>
  <si>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</si>
  <si>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</si>
  <si>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</si>
  <si>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</si>
  <si>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</si>
  <si>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</si>
  <si>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</si>
  <si>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2/24/2003 0:01</t>
  </si>
  <si>
    <t>2/24/2003 0:02</t>
  </si>
  <si>
    <t>2/24/2003 0:03</t>
  </si>
  <si>
    <t>2/24/2003 0:04</t>
  </si>
  <si>
    <t>2/24/2003 0:05</t>
  </si>
  <si>
    <t>2/24/2003 0:06</t>
  </si>
  <si>
    <t>2/24/2003 0:07</t>
  </si>
  <si>
    <t>2/24/2003 0:08</t>
  </si>
  <si>
    <t>2/24/2003 0:09</t>
  </si>
  <si>
    <t>2/24/2003 0:10</t>
  </si>
  <si>
    <t>2/24/2003 0:11</t>
  </si>
  <si>
    <t>2/24/2003 0:12</t>
  </si>
  <si>
    <t>2/24/2003 0:13</t>
  </si>
  <si>
    <t>2/24/2003 0:14</t>
  </si>
  <si>
    <t>2/24/2003 0:15</t>
  </si>
  <si>
    <t>2/24/2003 0:16</t>
  </si>
  <si>
    <t>2/24/2003 0:17</t>
  </si>
  <si>
    <t>2/24/2003 0:18</t>
  </si>
  <si>
    <t>2/24/2003 0:19</t>
  </si>
  <si>
    <t>2/24/2003 0:20</t>
  </si>
  <si>
    <t>2/24/2003 0:21</t>
  </si>
  <si>
    <t>2/24/2003 0:22</t>
  </si>
  <si>
    <t>2/24/2003 0:23</t>
  </si>
  <si>
    <t>2/24/2003 0:24</t>
  </si>
  <si>
    <t>2/24/2003 0:25</t>
  </si>
  <si>
    <t>2/24/2003 0:26</t>
  </si>
  <si>
    <t>2/24/2003 0:27</t>
  </si>
  <si>
    <t>2/24/2003 0:28</t>
  </si>
  <si>
    <t>2/24/2003 0:29</t>
  </si>
  <si>
    <t>2/24/2003 0:30</t>
  </si>
  <si>
    <t>2/24/2003 0:31</t>
  </si>
  <si>
    <t>2/24/2003 0:32</t>
  </si>
  <si>
    <t>2/24/2003 0:33</t>
  </si>
  <si>
    <t>2/24/2003 0:34</t>
  </si>
  <si>
    <t>2/24/2003 0:35</t>
  </si>
  <si>
    <t>2/24/2003 0:36</t>
  </si>
  <si>
    <t>2/24/2003 0:37</t>
  </si>
  <si>
    <t>2/24/2003 0:38</t>
  </si>
  <si>
    <t>2/24/2003 0:39</t>
  </si>
  <si>
    <t>2/24/2003 0:40</t>
  </si>
  <si>
    <t>2/24/2003 0:41</t>
  </si>
  <si>
    <t>2/24/2003 0:42</t>
  </si>
  <si>
    <t>2/24/2003 0:43</t>
  </si>
  <si>
    <t>2/24/2003 0:44</t>
  </si>
  <si>
    <t>2/24/2003 0:45</t>
  </si>
  <si>
    <t>2/24/2003 0:46</t>
  </si>
  <si>
    <t>2/24/2003 0:47</t>
  </si>
  <si>
    <t>2/24/2003 0:48</t>
  </si>
  <si>
    <t>2/24/2003 0:49</t>
  </si>
  <si>
    <t>2/24/2003 0:50</t>
  </si>
  <si>
    <t>2/24/2003 0:51</t>
  </si>
  <si>
    <t>2/24/2003 0:52</t>
  </si>
  <si>
    <t>2/24/2003 0:53</t>
  </si>
  <si>
    <t>2/24/2003 0:54</t>
  </si>
  <si>
    <t>2/24/2003 0:55</t>
  </si>
  <si>
    <t>2/24/2003 0:56</t>
  </si>
  <si>
    <t>2/24/2003 0:57</t>
  </si>
  <si>
    <t>2/24/2003 0:58</t>
  </si>
  <si>
    <t>2/24/2003 0:59</t>
  </si>
  <si>
    <t>2/24/2003 0:60</t>
  </si>
  <si>
    <t>2/24/2003 0:61</t>
  </si>
  <si>
    <t>2/24/2003 0:62</t>
  </si>
  <si>
    <t>2/24/2003 0:63</t>
  </si>
  <si>
    <t>2/24/2003 0:64</t>
  </si>
  <si>
    <t>2/24/2003 0:65</t>
  </si>
  <si>
    <t>2/24/2003 0:66</t>
  </si>
  <si>
    <t>2/24/2003 0:67</t>
  </si>
  <si>
    <t>2/24/2003 0:68</t>
  </si>
  <si>
    <t>2/24/2003 0:69</t>
  </si>
  <si>
    <t>2/24/2003 0:70</t>
  </si>
  <si>
    <t>2/24/2003 0:71</t>
  </si>
  <si>
    <t>2/24/2003 0:72</t>
  </si>
  <si>
    <t>2/24/2003 0:73</t>
  </si>
  <si>
    <t>2/24/2003 0:74</t>
  </si>
  <si>
    <t>2/24/2003 0:75</t>
  </si>
  <si>
    <t>2/24/2003 0:76</t>
  </si>
  <si>
    <t>2/24/2003 0:77</t>
  </si>
  <si>
    <t>2/24/2003 0:78</t>
  </si>
  <si>
    <t>2/24/2003 0:79</t>
  </si>
  <si>
    <t>2/24/2003 0:80</t>
  </si>
  <si>
    <t>2/24/2003 0:81</t>
  </si>
  <si>
    <t>2/24/2003 0:82</t>
  </si>
  <si>
    <t>2/24/2003 0:83</t>
  </si>
  <si>
    <t>2/24/2003 0:84</t>
  </si>
  <si>
    <t>2/24/2003 0:85</t>
  </si>
  <si>
    <t>2/24/2003 0:86</t>
  </si>
  <si>
    <t>2/24/2003 0:87</t>
  </si>
  <si>
    <t>2/24/2003 0:88</t>
  </si>
  <si>
    <t>2/24/2003 0:89</t>
  </si>
  <si>
    <t>2/24/2003 0:90</t>
  </si>
  <si>
    <t>2/24/2003 0:91</t>
  </si>
  <si>
    <t>2/24/2003 0:92</t>
  </si>
  <si>
    <t>2/24/2003 0:93</t>
  </si>
  <si>
    <t>2/24/2003 0:94</t>
  </si>
  <si>
    <t>2/24/2003 0:95</t>
  </si>
  <si>
    <t>2/24/2003 0:96</t>
  </si>
  <si>
    <t>2/24/2003 0:97</t>
  </si>
  <si>
    <t>2/24/2003 0:98</t>
  </si>
  <si>
    <t>2/24/2003 0:99</t>
  </si>
  <si>
    <t>2/24/2003 0:100</t>
  </si>
  <si>
    <t>2/24/2003 0:101</t>
  </si>
  <si>
    <t>2/24/2003 0:102</t>
  </si>
  <si>
    <t>2/24/2003 0:103</t>
  </si>
  <si>
    <t>2/24/2003 0:104</t>
  </si>
  <si>
    <t>2/24/2003 0:105</t>
  </si>
  <si>
    <t>2/24/2003 0:106</t>
  </si>
  <si>
    <t>2/24/2003 0:107</t>
  </si>
  <si>
    <t>2/24/2003 0:108</t>
  </si>
  <si>
    <t>2/24/2003 0:109</t>
  </si>
  <si>
    <t>2/24/2003 0:110</t>
  </si>
  <si>
    <t>2/24/2003 0:111</t>
  </si>
  <si>
    <t>2/24/2003 0:112</t>
  </si>
  <si>
    <t>2/24/2003 0:113</t>
  </si>
  <si>
    <t>2/24/2003 0:114</t>
  </si>
  <si>
    <t>2/24/2003 0:115</t>
  </si>
  <si>
    <t>2/24/2003 0:116</t>
  </si>
  <si>
    <t>2/24/2003 0:117</t>
  </si>
  <si>
    <t>2/24/2003 0:118</t>
  </si>
  <si>
    <t>2/24/2003 0:119</t>
  </si>
  <si>
    <t>2/24/2003 0:120</t>
  </si>
  <si>
    <t>2/24/2003 0:121</t>
  </si>
  <si>
    <t>2/24/2003 0:122</t>
  </si>
  <si>
    <t>2/24/2003 0:123</t>
  </si>
  <si>
    <t>2/24/2003 0:124</t>
  </si>
  <si>
    <t>2/24/2003 0:125</t>
  </si>
  <si>
    <t>2/24/2003 0:126</t>
  </si>
  <si>
    <t>2/24/2003 0:127</t>
  </si>
  <si>
    <t>2/24/2003 0:128</t>
  </si>
  <si>
    <t>2/24/2003 0:129</t>
  </si>
  <si>
    <t>2/24/2003 0:130</t>
  </si>
  <si>
    <t>2/24/2003 0:131</t>
  </si>
  <si>
    <t>2/24/2003 0:132</t>
  </si>
  <si>
    <t>2/24/2003 0:133</t>
  </si>
  <si>
    <t>2/24/2003 0:134</t>
  </si>
  <si>
    <t>2/24/2003 0:135</t>
  </si>
  <si>
    <t>2/24/2003 0:136</t>
  </si>
  <si>
    <t>2/24/2003 0:137</t>
  </si>
  <si>
    <t>2/24/2003 0:138</t>
  </si>
  <si>
    <t>2/24/2003 0:139</t>
  </si>
  <si>
    <t>2/24/2003 0:140</t>
  </si>
  <si>
    <t>2/24/2003 0:141</t>
  </si>
  <si>
    <t>2/24/2003 0:142</t>
  </si>
  <si>
    <t>2/24/2003 0:143</t>
  </si>
  <si>
    <t>2/24/2003 0:144</t>
  </si>
  <si>
    <t>2/24/2003 0:145</t>
  </si>
  <si>
    <t>2/24/2003 0:146</t>
  </si>
  <si>
    <t>2/24/2003 0:147</t>
  </si>
  <si>
    <t>2/24/2003 0:148</t>
  </si>
  <si>
    <t>2/24/2003 0:149</t>
  </si>
  <si>
    <t>2/24/2003 0:150</t>
  </si>
  <si>
    <t>2/24/2003 0:151</t>
  </si>
  <si>
    <t>2/24/2003 0:152</t>
  </si>
  <si>
    <t>2/24/2003 0:153</t>
  </si>
  <si>
    <t>2/24/2003 0:154</t>
  </si>
  <si>
    <t>2/24/2003 0:155</t>
  </si>
  <si>
    <t>2/24/2003 0:156</t>
  </si>
  <si>
    <t>2/24/2003 0:157</t>
  </si>
  <si>
    <t>2/24/2003 0:158</t>
  </si>
  <si>
    <t>2/24/2003 0:159</t>
  </si>
  <si>
    <t>2/24/2003 0:160</t>
  </si>
  <si>
    <t>2/24/2003 0:161</t>
  </si>
  <si>
    <t>2/24/2003 0:162</t>
  </si>
  <si>
    <t>2/24/2003 0:163</t>
  </si>
  <si>
    <t>2/24/2003 0:164</t>
  </si>
  <si>
    <t>2/24/2003 0:165</t>
  </si>
  <si>
    <t>2/24/2003 0:166</t>
  </si>
  <si>
    <t>2/24/2003 0:167</t>
  </si>
  <si>
    <t>2/24/2003 0:168</t>
  </si>
  <si>
    <t>2/24/2003 0:169</t>
  </si>
  <si>
    <t>2/24/2003 0:170</t>
  </si>
  <si>
    <t>2/24/2003 0:171</t>
  </si>
  <si>
    <t>2/24/2003 0:172</t>
  </si>
  <si>
    <t>2/24/2003 0:173</t>
  </si>
  <si>
    <t>2/24/2003 0:174</t>
  </si>
  <si>
    <t>2/24/2003 0:175</t>
  </si>
  <si>
    <t>2/24/2003 0:176</t>
  </si>
  <si>
    <t>2/24/2003 0:177</t>
  </si>
  <si>
    <t>2/24/2003 0:178</t>
  </si>
  <si>
    <t>2/24/2003 0:179</t>
  </si>
  <si>
    <t>2/24/2003 0:180</t>
  </si>
  <si>
    <t>2/24/2003 0:181</t>
  </si>
  <si>
    <t>2/24/2003 0:182</t>
  </si>
  <si>
    <t>2/24/2003 0:183</t>
  </si>
  <si>
    <t>2/24/2003 0:184</t>
  </si>
  <si>
    <t>2/24/2003 0:185</t>
  </si>
  <si>
    <t>2/24/2003 0:186</t>
  </si>
  <si>
    <t>2/24/2003 0:187</t>
  </si>
  <si>
    <t>2/24/2003 0:188</t>
  </si>
  <si>
    <t>2/24/2003 0:189</t>
  </si>
  <si>
    <t>2/24/2003 0:190</t>
  </si>
  <si>
    <t>2/24/2003 0:191</t>
  </si>
  <si>
    <t>2/24/2003 0:192</t>
  </si>
  <si>
    <t>2/24/2003 0:193</t>
  </si>
  <si>
    <t>2/24/2003 0:194</t>
  </si>
  <si>
    <t>2/24/2003 0:195</t>
  </si>
  <si>
    <t>2/24/2003 0:196</t>
  </si>
  <si>
    <t>2/24/2003 0:197</t>
  </si>
  <si>
    <t>2/24/2003 0:198</t>
  </si>
  <si>
    <t>2/24/2003 0:199</t>
  </si>
  <si>
    <t>2/24/2003 0:200</t>
  </si>
  <si>
    <t>2/24/2003 0:201</t>
  </si>
  <si>
    <t>2/24/2003 0:202</t>
  </si>
  <si>
    <t>2/24/2003 0:203</t>
  </si>
  <si>
    <t>2/24/2003 0:204</t>
  </si>
  <si>
    <t>2/24/2003 0:205</t>
  </si>
  <si>
    <t>2/24/2003 0:206</t>
  </si>
  <si>
    <t>2/24/2003 0:207</t>
  </si>
  <si>
    <t>2/24/2003 0:208</t>
  </si>
  <si>
    <t>2/24/2003 0:209</t>
  </si>
  <si>
    <t>2/24/2003 0:210</t>
  </si>
  <si>
    <t>2/24/2003 0:211</t>
  </si>
  <si>
    <t>2/24/2003 0:212</t>
  </si>
  <si>
    <t>2/24/2003 0:213</t>
  </si>
  <si>
    <t>2/24/2003 0:214</t>
  </si>
  <si>
    <t>2/24/2003 0:215</t>
  </si>
  <si>
    <t>2/24/2003 0:216</t>
  </si>
  <si>
    <t>2/24/2003 0:217</t>
  </si>
  <si>
    <t>2/24/2003 0:218</t>
  </si>
  <si>
    <t>2/24/2003 0:219</t>
  </si>
  <si>
    <t>2/24/2003 0:220</t>
  </si>
  <si>
    <t>2/24/2003 0:221</t>
  </si>
  <si>
    <t>2/24/2003 0:222</t>
  </si>
  <si>
    <t>2/24/2003 0:223</t>
  </si>
  <si>
    <t>2/24/2003 0:224</t>
  </si>
  <si>
    <t>2/24/2003 0:225</t>
  </si>
  <si>
    <t>2/24/2003 0:226</t>
  </si>
  <si>
    <t>2/24/2003 0:227</t>
  </si>
  <si>
    <t>2/24/2003 0:228</t>
  </si>
  <si>
    <t>2/24/2003 0:229</t>
  </si>
  <si>
    <t>2/24/2003 0:230</t>
  </si>
  <si>
    <t>2/24/2003 0:231</t>
  </si>
  <si>
    <t>2/24/2003 0:232</t>
  </si>
  <si>
    <t>2/24/2003 0:233</t>
  </si>
  <si>
    <t>2/24/2003 0:234</t>
  </si>
  <si>
    <t>2/24/2003 0:235</t>
  </si>
  <si>
    <t>2/24/2003 0:236</t>
  </si>
  <si>
    <t>2/24/2003 0:237</t>
  </si>
  <si>
    <t>2/24/2003 0:238</t>
  </si>
  <si>
    <t>2/24/2003 0:239</t>
  </si>
  <si>
    <t>2/24/2003 0:240</t>
  </si>
  <si>
    <t>2/24/2003 0:241</t>
  </si>
  <si>
    <t>2/24/2003 0:242</t>
  </si>
  <si>
    <t>2/24/2003 0:243</t>
  </si>
  <si>
    <t>2/24/2003 0:244</t>
  </si>
  <si>
    <t>2/24/2003 0:245</t>
  </si>
  <si>
    <t>2/24/2003 0:246</t>
  </si>
  <si>
    <t>2/24/2003 0:247</t>
  </si>
  <si>
    <t>2/24/2003 0:248</t>
  </si>
  <si>
    <t>2/24/2003 0:249</t>
  </si>
  <si>
    <t>2/24/2003 0:250</t>
  </si>
  <si>
    <t>2/24/2003 0:251</t>
  </si>
  <si>
    <t>2/24/2003 0:252</t>
  </si>
  <si>
    <t>2/24/2003 0:253</t>
  </si>
  <si>
    <t>2/24/2003 0:254</t>
  </si>
  <si>
    <t>2/24/2003 0:255</t>
  </si>
  <si>
    <t>2/24/2003 0:256</t>
  </si>
  <si>
    <t>2/24/2003 0:257</t>
  </si>
  <si>
    <t>2/24/2003 0:258</t>
  </si>
  <si>
    <t>2/24/2003 0:259</t>
  </si>
  <si>
    <t>2/24/2003 0:260</t>
  </si>
  <si>
    <t>2/24/2003 0:261</t>
  </si>
  <si>
    <t>2/24/2003 0:262</t>
  </si>
  <si>
    <t>2/24/2003 0:263</t>
  </si>
  <si>
    <t>2/24/2003 0:264</t>
  </si>
  <si>
    <t>2/24/2003 0:265</t>
  </si>
  <si>
    <t>2/24/2003 0:266</t>
  </si>
  <si>
    <t>2/24/2003 0:267</t>
  </si>
  <si>
    <t>2/24/2003 0:268</t>
  </si>
  <si>
    <t>2/24/2003 0:269</t>
  </si>
  <si>
    <t>2/24/2003 0:270</t>
  </si>
  <si>
    <t>2/24/2003 0:271</t>
  </si>
  <si>
    <t>2/24/2003 0:272</t>
  </si>
  <si>
    <t>2/24/2003 0:273</t>
  </si>
  <si>
    <t>2/24/2003 0:274</t>
  </si>
  <si>
    <t>2/24/2003 0:275</t>
  </si>
  <si>
    <t>2/24/2003 0:276</t>
  </si>
  <si>
    <t>2/24/2003 0:277</t>
  </si>
  <si>
    <t>2/24/2003 0:278</t>
  </si>
  <si>
    <t>2/24/2003 0:279</t>
  </si>
  <si>
    <t>2/24/2003 0:280</t>
  </si>
  <si>
    <t>2/24/2003 0:281</t>
  </si>
  <si>
    <t>2/24/2003 0:282</t>
  </si>
  <si>
    <t>2/24/2003 0:283</t>
  </si>
  <si>
    <t>2/24/2003 0:284</t>
  </si>
  <si>
    <t>2/24/2003 0:285</t>
  </si>
  <si>
    <t>2/24/2003 0:286</t>
  </si>
  <si>
    <t>2/24/2003 0:287</t>
  </si>
  <si>
    <t>2/24/2003 0:288</t>
  </si>
  <si>
    <t>2/24/2003 0:289</t>
  </si>
  <si>
    <t>2/24/2003 0:290</t>
  </si>
  <si>
    <t>2/24/2003 0:291</t>
  </si>
  <si>
    <t>2/24/2003 0:292</t>
  </si>
  <si>
    <t>2/24/2003 0:293</t>
  </si>
  <si>
    <t>2/24/2003 0:294</t>
  </si>
  <si>
    <t>2/24/2003 0:295</t>
  </si>
  <si>
    <t>2/24/2003 0:296</t>
  </si>
  <si>
    <t>2/24/2003 0:297</t>
  </si>
  <si>
    <t>2/24/2003 0:298</t>
  </si>
  <si>
    <t>2/24/2003 0:299</t>
  </si>
  <si>
    <t>2/24/2003 0:300</t>
  </si>
  <si>
    <t>2/24/2003 0:301</t>
  </si>
  <si>
    <t>2/24/2003 0:302</t>
  </si>
  <si>
    <t>2/24/2003 0:303</t>
  </si>
  <si>
    <t>2/24/2003 0:304</t>
  </si>
  <si>
    <t>2/24/2003 0:305</t>
  </si>
  <si>
    <t>2/24/2003 0:306</t>
  </si>
  <si>
    <t>2/24/2003 0:307</t>
  </si>
  <si>
    <t>2/24/2003 0:308</t>
  </si>
  <si>
    <t>2/24/2003 0:309</t>
  </si>
  <si>
    <t>2/24/2003 0:310</t>
  </si>
  <si>
    <t>2/24/2003 0:311</t>
  </si>
  <si>
    <t>2/24/2003 0:312</t>
  </si>
  <si>
    <t>2/24/2003 0:313</t>
  </si>
  <si>
    <t>2/24/2003 0:314</t>
  </si>
  <si>
    <t>2/24/2003 0:315</t>
  </si>
  <si>
    <t>2/24/2003 0:316</t>
  </si>
  <si>
    <t>2/24/2003 0:317</t>
  </si>
  <si>
    <t>2/24/2003 0:318</t>
  </si>
  <si>
    <t>2/24/2003 0:319</t>
  </si>
  <si>
    <t>2/24/2003 0:320</t>
  </si>
  <si>
    <t>2/24/2003 0:321</t>
  </si>
  <si>
    <t>2/24/2003 0:322</t>
  </si>
  <si>
    <t>2/24/2003 0:323</t>
  </si>
  <si>
    <t>2/24/2003 0:324</t>
  </si>
  <si>
    <t>2/24/2003 0:325</t>
  </si>
  <si>
    <t>2/24/2003 0:326</t>
  </si>
  <si>
    <t>2/24/2003 0:327</t>
  </si>
  <si>
    <t>2/24/2003 0:328</t>
  </si>
  <si>
    <t>2/24/2003 0:329</t>
  </si>
  <si>
    <t>2/24/2003 0:330</t>
  </si>
  <si>
    <t>2/24/2003 0:331</t>
  </si>
  <si>
    <t>2/24/2003 0:332</t>
  </si>
  <si>
    <t>2/24/2003 0:333</t>
  </si>
  <si>
    <t>2/24/2003 0:334</t>
  </si>
  <si>
    <t>2/24/2003 0:335</t>
  </si>
  <si>
    <t>2/24/2003 0:336</t>
  </si>
  <si>
    <t>2/24/2003 0:337</t>
  </si>
  <si>
    <t>2/24/2003 0:338</t>
  </si>
  <si>
    <t>2/24/2003 0:339</t>
  </si>
  <si>
    <t>2/24/2003 0:340</t>
  </si>
  <si>
    <t>2/24/2003 0:341</t>
  </si>
  <si>
    <t>2/24/2003 0:342</t>
  </si>
  <si>
    <t>2/24/2003 0:343</t>
  </si>
  <si>
    <t>2/24/2003 0:344</t>
  </si>
  <si>
    <t>2/24/2003 0:345</t>
  </si>
  <si>
    <t>2/24/2003 0:346</t>
  </si>
  <si>
    <t>2/24/2003 0:347</t>
  </si>
  <si>
    <t>2/24/2003 0:348</t>
  </si>
  <si>
    <t>2/24/2003 0:349</t>
  </si>
  <si>
    <t>2/24/2003 0:350</t>
  </si>
  <si>
    <t>2/24/2003 0:351</t>
  </si>
  <si>
    <t>2/24/2003 0:352</t>
  </si>
  <si>
    <t>2/24/2003 0:353</t>
  </si>
  <si>
    <t>2/24/2003 0:354</t>
  </si>
  <si>
    <t>2/24/2003 0:355</t>
  </si>
  <si>
    <t>2/24/2003 0:356</t>
  </si>
  <si>
    <t>2/24/2003 0:357</t>
  </si>
  <si>
    <t>2/24/2003 0:358</t>
  </si>
  <si>
    <t>2/24/2003 0:359</t>
  </si>
  <si>
    <t>2/24/2003 0:360</t>
  </si>
  <si>
    <t>2/24/2003 0:361</t>
  </si>
  <si>
    <t>2/24/2003 0:362</t>
  </si>
  <si>
    <t>2/24/2003 0:363</t>
  </si>
  <si>
    <t>2/24/2003 0:364</t>
  </si>
  <si>
    <t>2/24/2003 0:365</t>
  </si>
  <si>
    <t>2/24/2003 0:366</t>
  </si>
  <si>
    <t>2/24/2003 0:367</t>
  </si>
  <si>
    <t>2/24/2003 0:368</t>
  </si>
  <si>
    <t>2/24/2003 0:369</t>
  </si>
  <si>
    <t>2/24/2003 0:370</t>
  </si>
  <si>
    <t>2/24/2003 0:371</t>
  </si>
  <si>
    <t>2/24/2003 0:372</t>
  </si>
  <si>
    <t>2/24/2003 0:373</t>
  </si>
  <si>
    <t>2/24/2003 0:374</t>
  </si>
  <si>
    <t>2/24/2003 0:375</t>
  </si>
  <si>
    <t>2/24/2003 0:376</t>
  </si>
  <si>
    <t>2/24/2003 0:377</t>
  </si>
  <si>
    <t>2/24/2003 0:378</t>
  </si>
  <si>
    <t>2/24/2003 0:379</t>
  </si>
  <si>
    <t>2/24/2003 0:380</t>
  </si>
  <si>
    <t>2/24/2003 0:381</t>
  </si>
  <si>
    <t>2/24/2003 0:382</t>
  </si>
  <si>
    <t>2/24/2003 0:383</t>
  </si>
  <si>
    <t>2/24/2003 0:384</t>
  </si>
  <si>
    <t>2/24/2003 0:385</t>
  </si>
  <si>
    <t>2/24/2003 0:386</t>
  </si>
  <si>
    <t>2/24/2003 0:387</t>
  </si>
  <si>
    <t>2/24/2003 0:388</t>
  </si>
  <si>
    <t>2/24/2003 0:389</t>
  </si>
  <si>
    <t>2/24/2003 0:390</t>
  </si>
  <si>
    <t>2/24/2003 0:391</t>
  </si>
  <si>
    <t>2/24/2003 0:392</t>
  </si>
  <si>
    <t>2/24/2003 0:393</t>
  </si>
  <si>
    <t>2/24/2003 0:394</t>
  </si>
  <si>
    <t>2/24/2003 0:395</t>
  </si>
  <si>
    <t>2/24/2003 0:396</t>
  </si>
  <si>
    <t>2/24/2003 0:397</t>
  </si>
  <si>
    <t>2/24/2003 0:398</t>
  </si>
  <si>
    <t>2/24/2003 0:399</t>
  </si>
  <si>
    <t>2/24/2003 0:400</t>
  </si>
  <si>
    <t>2/24/2003 0:401</t>
  </si>
  <si>
    <t>2/24/2003 0:402</t>
  </si>
  <si>
    <t>2/24/2003 0:403</t>
  </si>
  <si>
    <t>2/24/2003 0:404</t>
  </si>
  <si>
    <t>2/24/2003 0:405</t>
  </si>
  <si>
    <t>2/24/2003 0:406</t>
  </si>
  <si>
    <t>2/24/2003 0:407</t>
  </si>
  <si>
    <t>2/24/2003 0:408</t>
  </si>
  <si>
    <t>2/24/2003 0:409</t>
  </si>
  <si>
    <t>2/24/2003 0:410</t>
  </si>
  <si>
    <t>2/24/2003 0:411</t>
  </si>
  <si>
    <t>2/24/2003 0:412</t>
  </si>
  <si>
    <t>2/24/2003 0:413</t>
  </si>
  <si>
    <t>2/24/2003 0:414</t>
  </si>
  <si>
    <t>2/24/2003 0:415</t>
  </si>
  <si>
    <t>2/24/2003 0:416</t>
  </si>
  <si>
    <t>2/24/2003 0:417</t>
  </si>
  <si>
    <t>2/24/2003 0:418</t>
  </si>
  <si>
    <t>2/24/2003 0:419</t>
  </si>
  <si>
    <t>2/24/2003 0:420</t>
  </si>
  <si>
    <t>2/24/2003 0:421</t>
  </si>
  <si>
    <t>2/24/2003 0:422</t>
  </si>
  <si>
    <t>2/24/2003 0:423</t>
  </si>
  <si>
    <t>2/24/2003 0:424</t>
  </si>
  <si>
    <t>2/24/2003 0:425</t>
  </si>
  <si>
    <t>2/24/2003 0:426</t>
  </si>
  <si>
    <t>2/24/2003 0:427</t>
  </si>
  <si>
    <t>2/24/2003 0:428</t>
  </si>
  <si>
    <t>2/24/2003 0:429</t>
  </si>
  <si>
    <t>2/24/2003 0:430</t>
  </si>
  <si>
    <t>2/24/2003 0:431</t>
  </si>
  <si>
    <t>2/24/2003 0:432</t>
  </si>
  <si>
    <t>2/24/2003 0:433</t>
  </si>
  <si>
    <t>2/24/2003 0:434</t>
  </si>
  <si>
    <t>2/24/2003 0:435</t>
  </si>
  <si>
    <t>2/24/2003 0:436</t>
  </si>
  <si>
    <t>2/24/2003 0:437</t>
  </si>
  <si>
    <t>2/24/2003 0:438</t>
  </si>
  <si>
    <t>2/24/2003 0:439</t>
  </si>
  <si>
    <t>2/24/2003 0:440</t>
  </si>
  <si>
    <t>2/24/2003 0:441</t>
  </si>
  <si>
    <t>2/24/2003 0:442</t>
  </si>
  <si>
    <t>2/24/2003 0:443</t>
  </si>
  <si>
    <t>2/24/2003 0:444</t>
  </si>
  <si>
    <t>2/24/2003 0:445</t>
  </si>
  <si>
    <t>2/24/2003 0:446</t>
  </si>
  <si>
    <t>2/24/2003 0:447</t>
  </si>
  <si>
    <t>2/24/2003 0:448</t>
  </si>
  <si>
    <t>2/24/2003 0:449</t>
  </si>
  <si>
    <t>2/24/2003 0:450</t>
  </si>
  <si>
    <t>2/24/2003 0:451</t>
  </si>
  <si>
    <t>2/24/2003 0:452</t>
  </si>
  <si>
    <t>2/24/2003 0:453</t>
  </si>
  <si>
    <t>2/24/2003 0:454</t>
  </si>
  <si>
    <t>2/24/2003 0:455</t>
  </si>
  <si>
    <t>2/24/2003 0:456</t>
  </si>
  <si>
    <t>2/24/2003 0:457</t>
  </si>
  <si>
    <t>2/24/2003 0:458</t>
  </si>
  <si>
    <t>2/24/2003 0:459</t>
  </si>
  <si>
    <t>2/24/2003 0:460</t>
  </si>
  <si>
    <t>2/24/2003 0:461</t>
  </si>
  <si>
    <t>2/24/2003 0:462</t>
  </si>
  <si>
    <t>2/24/2003 0:463</t>
  </si>
  <si>
    <t>2/24/2003 0:464</t>
  </si>
  <si>
    <t>2/24/2003 0:465</t>
  </si>
  <si>
    <t>2/24/2003 0:466</t>
  </si>
  <si>
    <t>2/24/2003 0:467</t>
  </si>
  <si>
    <t>2/24/2003 0:468</t>
  </si>
  <si>
    <t>2/24/2003 0:469</t>
  </si>
  <si>
    <t>2/24/2003 0:470</t>
  </si>
  <si>
    <t>2/24/2003 0:471</t>
  </si>
  <si>
    <t>2/24/2003 0:472</t>
  </si>
  <si>
    <t>2/24/2003 0:473</t>
  </si>
  <si>
    <t>2/24/2003 0:474</t>
  </si>
  <si>
    <t>2/24/2003 0:475</t>
  </si>
  <si>
    <t>2/24/2003 0:476</t>
  </si>
  <si>
    <t>2/24/2003 0:477</t>
  </si>
  <si>
    <t>2/24/2003 0:478</t>
  </si>
  <si>
    <t>2/24/2003 0:479</t>
  </si>
  <si>
    <t>2/24/2003 0:480</t>
  </si>
  <si>
    <t>2/24/2003 0:481</t>
  </si>
  <si>
    <t>2/24/2003 0:482</t>
  </si>
  <si>
    <t>2/24/2003 0:483</t>
  </si>
  <si>
    <t>2/24/2003 0:484</t>
  </si>
  <si>
    <t>2/24/2003 0:485</t>
  </si>
  <si>
    <t>2/24/2003 0:486</t>
  </si>
  <si>
    <t>2/24/2003 0:487</t>
  </si>
  <si>
    <t>2/24/2003 0:488</t>
  </si>
  <si>
    <t>2/24/2003 0:489</t>
  </si>
  <si>
    <t>2/24/2003 0:490</t>
  </si>
  <si>
    <t>2/24/2003 0:491</t>
  </si>
  <si>
    <t>2/24/2003 0:492</t>
  </si>
  <si>
    <t>2/24/2003 0:493</t>
  </si>
  <si>
    <t>2/24/2003 0:494</t>
  </si>
  <si>
    <t>2/24/2003 0:495</t>
  </si>
  <si>
    <t>2/24/2003 0:496</t>
  </si>
  <si>
    <t>2/24/2003 0:497</t>
  </si>
  <si>
    <t>2/24/2003 0:498</t>
  </si>
  <si>
    <t>2/24/2003 0:499</t>
  </si>
  <si>
    <t>2/24/2003 0:500</t>
  </si>
  <si>
    <t>2/24/2003 0:501</t>
  </si>
  <si>
    <t>2/24/2003 0:502</t>
  </si>
  <si>
    <t>2/24/2003 0:503</t>
  </si>
  <si>
    <t>2/24/2003 0:504</t>
  </si>
  <si>
    <t>2/24/2003 0:505</t>
  </si>
  <si>
    <t>2/24/2003 0:506</t>
  </si>
  <si>
    <t>2/24/2003 0:507</t>
  </si>
  <si>
    <t>2/24/2003 0:508</t>
  </si>
  <si>
    <t>2/24/2003 0:509</t>
  </si>
  <si>
    <t>2/24/2003 0:510</t>
  </si>
  <si>
    <t>2/24/2003 0:511</t>
  </si>
  <si>
    <t>2/24/2003 0:512</t>
  </si>
  <si>
    <t>2/24/2003 0:513</t>
  </si>
  <si>
    <t>2/24/2003 0:514</t>
  </si>
  <si>
    <t>2/24/2003 0:515</t>
  </si>
  <si>
    <t>2/24/2003 0:516</t>
  </si>
  <si>
    <t>2/24/2003 0:517</t>
  </si>
  <si>
    <t>2/24/2003 0:518</t>
  </si>
  <si>
    <t>2/24/2003 0:519</t>
  </si>
  <si>
    <t>2/24/2003 0:520</t>
  </si>
  <si>
    <t>2/24/2003 0:521</t>
  </si>
  <si>
    <t>2/24/2003 0:522</t>
  </si>
  <si>
    <t>2/24/2003 0:523</t>
  </si>
  <si>
    <t>2/24/2003 0:524</t>
  </si>
  <si>
    <t>2/24/2003 0:525</t>
  </si>
  <si>
    <t>2/24/2003 0:526</t>
  </si>
  <si>
    <t>2/24/2003 0:527</t>
  </si>
  <si>
    <t>2/24/2003 0:528</t>
  </si>
  <si>
    <t>2/24/2003 0:529</t>
  </si>
  <si>
    <t>2/24/2003 0:530</t>
  </si>
  <si>
    <t>2/24/2003 0:531</t>
  </si>
  <si>
    <t>2/24/2003 0:532</t>
  </si>
  <si>
    <t>2/24/2003 0:533</t>
  </si>
  <si>
    <t>2/24/2003 0:534</t>
  </si>
  <si>
    <t>2/24/2003 0:535</t>
  </si>
  <si>
    <t>2/24/2003 0:536</t>
  </si>
  <si>
    <t>2/24/2003 0:537</t>
  </si>
  <si>
    <t>2/24/2003 0:538</t>
  </si>
  <si>
    <t>2/24/2003 0:539</t>
  </si>
  <si>
    <t>2/24/2003 0:540</t>
  </si>
  <si>
    <t>2/24/2003 0:541</t>
  </si>
  <si>
    <t>2/24/2003 0:542</t>
  </si>
  <si>
    <t>2/24/2003 0:543</t>
  </si>
  <si>
    <t>2/24/2003 0:544</t>
  </si>
  <si>
    <t>2/24/2003 0:545</t>
  </si>
  <si>
    <t>2/24/2003 0:546</t>
  </si>
  <si>
    <t>2/24/2003 0:547</t>
  </si>
  <si>
    <t>2/24/2003 0:548</t>
  </si>
  <si>
    <t>2/24/2003 0:549</t>
  </si>
  <si>
    <t>2/24/2003 0:550</t>
  </si>
  <si>
    <t>2/24/2003 0:551</t>
  </si>
  <si>
    <t>2/24/2003 0:552</t>
  </si>
  <si>
    <t>2/24/2003 0:553</t>
  </si>
  <si>
    <t>2/24/2003 0:554</t>
  </si>
  <si>
    <t>2/24/2003 0:555</t>
  </si>
  <si>
    <t>2/24/2003 0:556</t>
  </si>
  <si>
    <t>2/24/2003 0:557</t>
  </si>
  <si>
    <t>2/24/2003 0:558</t>
  </si>
  <si>
    <t>2/24/2003 0:559</t>
  </si>
  <si>
    <t>2/24/2003 0:560</t>
  </si>
  <si>
    <t>2/24/2003 0:561</t>
  </si>
  <si>
    <t>2/24/2003 0:562</t>
  </si>
  <si>
    <t>2/24/2003 0:563</t>
  </si>
  <si>
    <t>2/24/2003 0:564</t>
  </si>
  <si>
    <t>2/24/2003 0:565</t>
  </si>
  <si>
    <t>2/24/2003 0:566</t>
  </si>
  <si>
    <t>2/24/2003 0:567</t>
  </si>
  <si>
    <t>2/24/2003 0:568</t>
  </si>
  <si>
    <t>2/24/2003 0:569</t>
  </si>
  <si>
    <t>2/24/2003 0:570</t>
  </si>
  <si>
    <t>2/24/2003 0:571</t>
  </si>
  <si>
    <t>2/24/2003 0:572</t>
  </si>
  <si>
    <t>2/24/2003 0:573</t>
  </si>
  <si>
    <t>2/24/2003 0:574</t>
  </si>
  <si>
    <t>2/24/2003 0:575</t>
  </si>
  <si>
    <t>2/24/2003 0:576</t>
  </si>
  <si>
    <t>2/24/2003 0:577</t>
  </si>
  <si>
    <t>2/24/2003 0:578</t>
  </si>
  <si>
    <t>2/24/2003 0:579</t>
  </si>
  <si>
    <t>2/24/2003 0:580</t>
  </si>
  <si>
    <t>2/24/2003 0:581</t>
  </si>
  <si>
    <t>2/24/2003 0:582</t>
  </si>
  <si>
    <t>2/24/2003 0:583</t>
  </si>
  <si>
    <t>2/24/2003 0:584</t>
  </si>
  <si>
    <t>2/24/2003 0:585</t>
  </si>
  <si>
    <t>2/24/2003 0:586</t>
  </si>
  <si>
    <t>2/24/2003 0:587</t>
  </si>
  <si>
    <t>2/24/2003 0:588</t>
  </si>
  <si>
    <t>2/24/2003 0:589</t>
  </si>
  <si>
    <t>2/24/2003 0:590</t>
  </si>
  <si>
    <t>2/24/2003 0:591</t>
  </si>
  <si>
    <t>2/24/2003 0:592</t>
  </si>
  <si>
    <t>2/24/2003 0:593</t>
  </si>
  <si>
    <t>2/24/2003 0:594</t>
  </si>
  <si>
    <t>2/24/2003 0:595</t>
  </si>
  <si>
    <t>2/24/2003 0:596</t>
  </si>
  <si>
    <t>2/24/2003 0:597</t>
  </si>
  <si>
    <t>2/24/2003 0:598</t>
  </si>
  <si>
    <t>2/24/2003 0:599</t>
  </si>
  <si>
    <t>2/24/2003 0:600</t>
  </si>
  <si>
    <t>2/24/2003 0:601</t>
  </si>
  <si>
    <t>2/24/2003 0:602</t>
  </si>
  <si>
    <t>2/24/2003 0:603</t>
  </si>
  <si>
    <t>2/24/2003 0:604</t>
  </si>
  <si>
    <t>2/24/2003 0:605</t>
  </si>
  <si>
    <t>2/24/2003 0:606</t>
  </si>
  <si>
    <t>2/24/2003 0:607</t>
  </si>
  <si>
    <t>2/24/2003 0:608</t>
  </si>
  <si>
    <t>2/24/2003 0:609</t>
  </si>
  <si>
    <t>2/24/2003 0:610</t>
  </si>
  <si>
    <t>2/24/2003 0:611</t>
  </si>
  <si>
    <t>2/24/2003 0:612</t>
  </si>
  <si>
    <t>2/24/2003 0:613</t>
  </si>
  <si>
    <t>2/24/2003 0:614</t>
  </si>
  <si>
    <t>2/24/2003 0:615</t>
  </si>
  <si>
    <t>2/24/2003 0:616</t>
  </si>
  <si>
    <t>2/24/2003 0:617</t>
  </si>
  <si>
    <t>2/24/2003 0:618</t>
  </si>
  <si>
    <t>2/24/2003 0:619</t>
  </si>
  <si>
    <t>2/24/2003 0:620</t>
  </si>
  <si>
    <t>2/24/2003 0:621</t>
  </si>
  <si>
    <t>2/24/2003 0:622</t>
  </si>
  <si>
    <t>2/24/2003 0:623</t>
  </si>
  <si>
    <t>2/24/2003 0:624</t>
  </si>
  <si>
    <t>2/24/2003 0:625</t>
  </si>
  <si>
    <t>2/24/2003 0:626</t>
  </si>
  <si>
    <t>2/24/2003 0:627</t>
  </si>
  <si>
    <t>2/24/2003 0:628</t>
  </si>
  <si>
    <t>2/24/2003 0:629</t>
  </si>
  <si>
    <t>2/24/2003 0:630</t>
  </si>
  <si>
    <t>2/24/2003 0:631</t>
  </si>
  <si>
    <t>2/24/2003 0:632</t>
  </si>
  <si>
    <t>2/24/2003 0:633</t>
  </si>
  <si>
    <t>2/24/2003 0:634</t>
  </si>
  <si>
    <t>2/24/2003 0:635</t>
  </si>
  <si>
    <t>2/24/2003 0:636</t>
  </si>
  <si>
    <t>2/24/2003 0:637</t>
  </si>
  <si>
    <t>2/24/2003 0:638</t>
  </si>
  <si>
    <t>2/24/2003 0:639</t>
  </si>
  <si>
    <t>2/24/2003 0:640</t>
  </si>
  <si>
    <t>2/24/2003 0:641</t>
  </si>
  <si>
    <t>2/24/2003 0:642</t>
  </si>
  <si>
    <t>2/24/2003 0:643</t>
  </si>
  <si>
    <t>2/24/2003 0:644</t>
  </si>
  <si>
    <t>2/24/2003 0:645</t>
  </si>
  <si>
    <t>2/24/2003 0:646</t>
  </si>
  <si>
    <t>2/24/2003 0:647</t>
  </si>
  <si>
    <t>2/24/2003 0:648</t>
  </si>
  <si>
    <t>2/24/2003 0:649</t>
  </si>
  <si>
    <t>2/24/2003 0:650</t>
  </si>
  <si>
    <t>2/24/2003 0:651</t>
  </si>
  <si>
    <t>2/24/2003 0:652</t>
  </si>
  <si>
    <t>2/24/2003 0:653</t>
  </si>
  <si>
    <t>2/24/2003 0:654</t>
  </si>
  <si>
    <t>2/24/2003 0:655</t>
  </si>
  <si>
    <t>2/24/2003 0:656</t>
  </si>
  <si>
    <t>2/24/2003 0:657</t>
  </si>
  <si>
    <t>2/24/2003 0:658</t>
  </si>
  <si>
    <t>2/24/2003 0:659</t>
  </si>
  <si>
    <t>2/24/2003 0:660</t>
  </si>
  <si>
    <t>2/24/2003 0:661</t>
  </si>
  <si>
    <t>2/24/2003 0:662</t>
  </si>
  <si>
    <t>2/24/2003 0:663</t>
  </si>
  <si>
    <t>2/24/2003 0:664</t>
  </si>
  <si>
    <t>2/24/2003 0:665</t>
  </si>
  <si>
    <t>2/24/2003 0:666</t>
  </si>
  <si>
    <t>2/24/2003 0:667</t>
  </si>
  <si>
    <t>2/24/2003 0:668</t>
  </si>
  <si>
    <t>2/24/2003 0:669</t>
  </si>
  <si>
    <t>2/24/2003 0:670</t>
  </si>
  <si>
    <t>2/24/2003 0:671</t>
  </si>
  <si>
    <t>2/24/2003 0:672</t>
  </si>
  <si>
    <t>2/24/2003 0:673</t>
  </si>
  <si>
    <t>2/24/2003 0:674</t>
  </si>
  <si>
    <t>2/24/2003 0:675</t>
  </si>
  <si>
    <t>2/24/2003 0:676</t>
  </si>
  <si>
    <t>2/24/2003 0:677</t>
  </si>
  <si>
    <t>2/24/2003 0:678</t>
  </si>
  <si>
    <t>2/24/2003 0:679</t>
  </si>
  <si>
    <t>2/24/2003 0:680</t>
  </si>
  <si>
    <t>2/24/2003 0:681</t>
  </si>
  <si>
    <t>2/24/2003 0:682</t>
  </si>
  <si>
    <t>2/24/2003 0:683</t>
  </si>
  <si>
    <t>2/24/2003 0:684</t>
  </si>
  <si>
    <t>2/24/2003 0:685</t>
  </si>
  <si>
    <t>2/24/2003 0:686</t>
  </si>
  <si>
    <t>2/24/2003 0:687</t>
  </si>
  <si>
    <t>2/24/2003 0:688</t>
  </si>
  <si>
    <t>2/24/2003 0:689</t>
  </si>
  <si>
    <t>2/24/2003 0:690</t>
  </si>
  <si>
    <t>2/24/2003 0:691</t>
  </si>
  <si>
    <t>2/24/2003 0:692</t>
  </si>
  <si>
    <t>2/24/2003 0:693</t>
  </si>
  <si>
    <t>2/24/2003 0:694</t>
  </si>
  <si>
    <t>2/24/2003 0:695</t>
  </si>
  <si>
    <t>2/24/2003 0:696</t>
  </si>
  <si>
    <t>2/24/2003 0:697</t>
  </si>
  <si>
    <t>2/24/2003 0:698</t>
  </si>
  <si>
    <t>2/24/2003 0:699</t>
  </si>
  <si>
    <t>2/24/2003 0:700</t>
  </si>
  <si>
    <t>2/24/2003 0:701</t>
  </si>
  <si>
    <t>2/24/2003 0:702</t>
  </si>
  <si>
    <t>2/24/2003 0:703</t>
  </si>
  <si>
    <t>2/24/2003 0:704</t>
  </si>
  <si>
    <t>2/24/2003 0:705</t>
  </si>
  <si>
    <t>2/24/2003 0:706</t>
  </si>
  <si>
    <t>2/24/2003 0:707</t>
  </si>
  <si>
    <t>2/24/2003 0:708</t>
  </si>
  <si>
    <t>2/24/2003 0:709</t>
  </si>
  <si>
    <t>2/24/2003 0:710</t>
  </si>
  <si>
    <t>2/24/2003 0:711</t>
  </si>
  <si>
    <t>2/24/2003 0:712</t>
  </si>
  <si>
    <t>2/24/2003 0:713</t>
  </si>
  <si>
    <t>2/24/2003 0:714</t>
  </si>
  <si>
    <t>2/24/2003 0:715</t>
  </si>
  <si>
    <t>2/24/2003 0:716</t>
  </si>
  <si>
    <t>2/24/2003 0:717</t>
  </si>
  <si>
    <t>2/24/2003 0:718</t>
  </si>
  <si>
    <t>2/24/2003 0:719</t>
  </si>
  <si>
    <t>2/24/2003 0:720</t>
  </si>
  <si>
    <t>2/24/2003 0:721</t>
  </si>
  <si>
    <t>2/24/2003 0:722</t>
  </si>
  <si>
    <t>2/24/2003 0:723</t>
  </si>
  <si>
    <t>2/24/2003 0:724</t>
  </si>
  <si>
    <t>2/24/2003 0:725</t>
  </si>
  <si>
    <t>2/24/2003 0:726</t>
  </si>
  <si>
    <t>2/24/2003 0:727</t>
  </si>
  <si>
    <t>2/24/2003 0:728</t>
  </si>
  <si>
    <t>2/24/2003 0:729</t>
  </si>
  <si>
    <t>2/24/2003 0:730</t>
  </si>
  <si>
    <t>2/24/2003 0:731</t>
  </si>
  <si>
    <t>2/24/2003 0:732</t>
  </si>
  <si>
    <t>2/24/2003 0:733</t>
  </si>
  <si>
    <t>2/24/2003 0:734</t>
  </si>
  <si>
    <t>2/24/2003 0:735</t>
  </si>
  <si>
    <t>2/24/2003 0:736</t>
  </si>
  <si>
    <t>2/24/2003 0:737</t>
  </si>
  <si>
    <t>2/24/2003 0:738</t>
  </si>
  <si>
    <t>2/24/2003 0:739</t>
  </si>
  <si>
    <t>2/24/2003 0:740</t>
  </si>
  <si>
    <t>2/24/2003 0:741</t>
  </si>
  <si>
    <t>2/24/2003 0:742</t>
  </si>
  <si>
    <t>2/24/2003 0:743</t>
  </si>
  <si>
    <t>2/24/2003 0:744</t>
  </si>
  <si>
    <t>2/24/2003 0:745</t>
  </si>
  <si>
    <t>2/24/2003 0:746</t>
  </si>
  <si>
    <t>2/24/2003 0:747</t>
  </si>
  <si>
    <t>2/24/2003 0:748</t>
  </si>
  <si>
    <t>2/24/2003 0:749</t>
  </si>
  <si>
    <t>2/24/2003 0:750</t>
  </si>
  <si>
    <t>2/24/2003 0:751</t>
  </si>
  <si>
    <t>2/24/2003 0:752</t>
  </si>
  <si>
    <t>2/24/2003 0:753</t>
  </si>
  <si>
    <t>2/24/2003 0:754</t>
  </si>
  <si>
    <t>2/24/2003 0:755</t>
  </si>
  <si>
    <t>2/24/2003 0:756</t>
  </si>
  <si>
    <t>2/24/2003 0:757</t>
  </si>
  <si>
    <t>2/24/2003 0:758</t>
  </si>
  <si>
    <t>2/24/2003 0:759</t>
  </si>
  <si>
    <t>2/24/2003 0:760</t>
  </si>
  <si>
    <t>2/24/2003 0:761</t>
  </si>
  <si>
    <t>2/24/2003 0:762</t>
  </si>
  <si>
    <t>2/24/2003 0:763</t>
  </si>
  <si>
    <t>2/24/2003 0:764</t>
  </si>
  <si>
    <t>2/24/2003 0:765</t>
  </si>
  <si>
    <t>2/24/2003 0:766</t>
  </si>
  <si>
    <t>2/24/2003 0:767</t>
  </si>
  <si>
    <t>2/24/2003 0:768</t>
  </si>
  <si>
    <t>2/24/2003 0:769</t>
  </si>
  <si>
    <t>2/24/2003 0:770</t>
  </si>
  <si>
    <t>2/24/2003 0:771</t>
  </si>
  <si>
    <t>2/24/2003 0:772</t>
  </si>
  <si>
    <t>2/24/2003 0:773</t>
  </si>
  <si>
    <t>2/24/2003 0:774</t>
  </si>
  <si>
    <t>2/24/2003 0:775</t>
  </si>
  <si>
    <t>2/24/2003 0:776</t>
  </si>
  <si>
    <t>2/24/2003 0:777</t>
  </si>
  <si>
    <t>2/24/2003 0:778</t>
  </si>
  <si>
    <t>2/24/2003 0:779</t>
  </si>
  <si>
    <t>2/24/2003 0:780</t>
  </si>
  <si>
    <t>2/24/2003 0:781</t>
  </si>
  <si>
    <t>2/24/2003 0:782</t>
  </si>
  <si>
    <t>2/24/2003 0:783</t>
  </si>
  <si>
    <t>2/24/2003 0:784</t>
  </si>
  <si>
    <t>2/24/2003 0:785</t>
  </si>
  <si>
    <t>2/24/2003 0:786</t>
  </si>
  <si>
    <t>2/24/2003 0:787</t>
  </si>
  <si>
    <t>2/24/2003 0:788</t>
  </si>
  <si>
    <t>2/24/2003 0:789</t>
  </si>
  <si>
    <t>2/24/2003 0:790</t>
  </si>
  <si>
    <t>2/24/2003 0:791</t>
  </si>
  <si>
    <t>2/24/2003 0:792</t>
  </si>
  <si>
    <t>2/24/2003 0:793</t>
  </si>
  <si>
    <t>2/24/2003 0:794</t>
  </si>
  <si>
    <t>2/24/2003 0:795</t>
  </si>
  <si>
    <t>2/24/2003 0:796</t>
  </si>
  <si>
    <t>2/24/2003 0:797</t>
  </si>
  <si>
    <t>2/24/2003 0:798</t>
  </si>
  <si>
    <t>2/24/2003 0:799</t>
  </si>
  <si>
    <t>2/24/2003 0:800</t>
  </si>
  <si>
    <t>2/24/2003 0:801</t>
  </si>
  <si>
    <t>2/24/2003 0:802</t>
  </si>
  <si>
    <t>2/24/2003 0:803</t>
  </si>
  <si>
    <t>2/24/2003 0:804</t>
  </si>
  <si>
    <t>2/24/2003 0:805</t>
  </si>
  <si>
    <t>2/24/2003 0:806</t>
  </si>
  <si>
    <t>2/24/2003 0:807</t>
  </si>
  <si>
    <t>2/24/2003 0:808</t>
  </si>
  <si>
    <t>2/24/2003 0:809</t>
  </si>
  <si>
    <t>2/24/2003 0:810</t>
  </si>
  <si>
    <t>2/24/2003 0:811</t>
  </si>
  <si>
    <t>2/24/2003 0:812</t>
  </si>
  <si>
    <t>2/24/2003 0:813</t>
  </si>
  <si>
    <t>2/24/2003 0:814</t>
  </si>
  <si>
    <t>2/24/2003 0:815</t>
  </si>
  <si>
    <t>2/24/2003 0:816</t>
  </si>
  <si>
    <t>2/24/2003 0:817</t>
  </si>
  <si>
    <t>2/24/2003 0:818</t>
  </si>
  <si>
    <t>2/24/2003 0:819</t>
  </si>
  <si>
    <t>2/24/2003 0:820</t>
  </si>
  <si>
    <t>2/24/2003 0:821</t>
  </si>
  <si>
    <t>2/24/2003 0:822</t>
  </si>
  <si>
    <t>2/24/2003 0:823</t>
  </si>
  <si>
    <t>2/24/2003 0:824</t>
  </si>
  <si>
    <t>2/24/2003 0:825</t>
  </si>
  <si>
    <t>2/24/2003 0:826</t>
  </si>
  <si>
    <t>2/24/2003 0:827</t>
  </si>
  <si>
    <t>2/24/2003 0:828</t>
  </si>
  <si>
    <t>2/24/2003 0:829</t>
  </si>
  <si>
    <t>2/24/2003 0:830</t>
  </si>
  <si>
    <t>2/24/2003 0:831</t>
  </si>
  <si>
    <t>2/24/2003 0:832</t>
  </si>
  <si>
    <t>2/24/2003 0:833</t>
  </si>
  <si>
    <t>2/24/2003 0:834</t>
  </si>
  <si>
    <t>2/24/2003 0:835</t>
  </si>
  <si>
    <t>2/24/2003 0:836</t>
  </si>
  <si>
    <t>2/24/2003 0:837</t>
  </si>
  <si>
    <t>2/24/2003 0:838</t>
  </si>
  <si>
    <t>2/24/2003 0:839</t>
  </si>
  <si>
    <t>2/24/2003 0:840</t>
  </si>
  <si>
    <t>2/24/2003 0:841</t>
  </si>
  <si>
    <t>2/24/2003 0:842</t>
  </si>
  <si>
    <t>2/24/2003 0:843</t>
  </si>
  <si>
    <t>2/24/2003 0:844</t>
  </si>
  <si>
    <t>2/24/2003 0:845</t>
  </si>
  <si>
    <t>2/24/2003 0:846</t>
  </si>
  <si>
    <t>2/24/2003 0:847</t>
  </si>
  <si>
    <t>2/24/2003 0:848</t>
  </si>
  <si>
    <t>2/24/2003 0:849</t>
  </si>
  <si>
    <t>2/24/2003 0:850</t>
  </si>
  <si>
    <t>2/24/2003 0:851</t>
  </si>
  <si>
    <t>2/24/2003 0:852</t>
  </si>
  <si>
    <t>2/24/2003 0:853</t>
  </si>
  <si>
    <t>2/24/2003 0:854</t>
  </si>
  <si>
    <t>2/24/2003 0:855</t>
  </si>
  <si>
    <t>2/24/2003 0:856</t>
  </si>
  <si>
    <t>2/24/2003 0:857</t>
  </si>
  <si>
    <t>2/24/2003 0:858</t>
  </si>
  <si>
    <t>2/24/2003 0:859</t>
  </si>
  <si>
    <t>2/24/2003 0:860</t>
  </si>
  <si>
    <t>2/24/2003 0:861</t>
  </si>
  <si>
    <t>2/24/2003 0:862</t>
  </si>
  <si>
    <t>2/24/2003 0:863</t>
  </si>
  <si>
    <t>2/24/2003 0:864</t>
  </si>
  <si>
    <t>2/24/2003 0:865</t>
  </si>
  <si>
    <t>2/24/2003 0:866</t>
  </si>
  <si>
    <t>2/24/2003 0:867</t>
  </si>
  <si>
    <t>2/24/2003 0:868</t>
  </si>
  <si>
    <t>2/24/2003 0:869</t>
  </si>
  <si>
    <t>2/24/2003 0:870</t>
  </si>
  <si>
    <t>2/24/2003 0:871</t>
  </si>
  <si>
    <t>2/24/2003 0:872</t>
  </si>
  <si>
    <t>2/24/2003 0:873</t>
  </si>
  <si>
    <t>2/24/2003 0:874</t>
  </si>
  <si>
    <t>2/24/2003 0:875</t>
  </si>
  <si>
    <t>2/24/2003 0:876</t>
  </si>
  <si>
    <t>2/24/2003 0:877</t>
  </si>
  <si>
    <t>2/24/2003 0:878</t>
  </si>
  <si>
    <t>2/24/2003 0:879</t>
  </si>
  <si>
    <t>2/24/2003 0:880</t>
  </si>
  <si>
    <t>2/24/2003 0:881</t>
  </si>
  <si>
    <t>2/24/2003 0:882</t>
  </si>
  <si>
    <t>2/24/2003 0:883</t>
  </si>
  <si>
    <t>2/24/2003 0:884</t>
  </si>
  <si>
    <t>2/24/2003 0:885</t>
  </si>
  <si>
    <t>2/24/2003 0:886</t>
  </si>
  <si>
    <t>2/24/2003 0:887</t>
  </si>
  <si>
    <t>2/24/2003 0:888</t>
  </si>
  <si>
    <t>2/24/2003 0:889</t>
  </si>
  <si>
    <t>2/24/2003 0:890</t>
  </si>
  <si>
    <t>2/24/2003 0:891</t>
  </si>
  <si>
    <t>2/24/2003 0:892</t>
  </si>
  <si>
    <t>2/24/2003 0:893</t>
  </si>
  <si>
    <t>2/24/2003 0:894</t>
  </si>
  <si>
    <t>2/24/2003 0:895</t>
  </si>
  <si>
    <t>2/24/2003 0:896</t>
  </si>
  <si>
    <t>2/24/2003 0:897</t>
  </si>
  <si>
    <t>2/24/2003 0:898</t>
  </si>
  <si>
    <t>2/24/2003 0:899</t>
  </si>
  <si>
    <t>2/24/2003 0:900</t>
  </si>
  <si>
    <t>2/24/2003 0:901</t>
  </si>
  <si>
    <t>2/24/2003 0:902</t>
  </si>
  <si>
    <t>2/24/2003 0:903</t>
  </si>
  <si>
    <t>2/24/2003 0:904</t>
  </si>
  <si>
    <t>2/24/2003 0:905</t>
  </si>
  <si>
    <t>2/24/2003 0:906</t>
  </si>
  <si>
    <t>2/24/2003 0:907</t>
  </si>
  <si>
    <t>2/24/2003 0:908</t>
  </si>
  <si>
    <t>2/24/2003 0:909</t>
  </si>
  <si>
    <t>2/24/2003 0:910</t>
  </si>
  <si>
    <t>2/24/2003 0:911</t>
  </si>
  <si>
    <t>2/24/2003 0:912</t>
  </si>
  <si>
    <t>2/24/2003 0:913</t>
  </si>
  <si>
    <t>2/24/2003 0:914</t>
  </si>
  <si>
    <t>2/24/2003 0:915</t>
  </si>
  <si>
    <t>2/24/2003 0:916</t>
  </si>
  <si>
    <t>2/24/2003 0:917</t>
  </si>
  <si>
    <t>2/24/2003 0:918</t>
  </si>
  <si>
    <t>2/24/2003 0:919</t>
  </si>
  <si>
    <t>2/24/2003 0:920</t>
  </si>
  <si>
    <t>2/24/2003 0:921</t>
  </si>
  <si>
    <t>2/24/2003 0:922</t>
  </si>
  <si>
    <t>2/24/2003 0:923</t>
  </si>
  <si>
    <t>2/24/2003 0:924</t>
  </si>
  <si>
    <t>2/24/2003 0:925</t>
  </si>
  <si>
    <t>2/24/2003 0:926</t>
  </si>
  <si>
    <t>2/24/2003 0:927</t>
  </si>
  <si>
    <t>2/24/2003 0:928</t>
  </si>
  <si>
    <t>2/24/2003 0:929</t>
  </si>
  <si>
    <t>2/24/2003 0:930</t>
  </si>
  <si>
    <t>2/24/2003 0:931</t>
  </si>
  <si>
    <t>2/24/2003 0:932</t>
  </si>
  <si>
    <t>2/24/2003 0:933</t>
  </si>
  <si>
    <t>2/24/2003 0:934</t>
  </si>
  <si>
    <t>2/24/2003 0:935</t>
  </si>
  <si>
    <t>2/24/2003 0:936</t>
  </si>
  <si>
    <t>2/24/2003 0:937</t>
  </si>
  <si>
    <t>2/24/2003 0:938</t>
  </si>
  <si>
    <t>2/24/2003 0:939</t>
  </si>
  <si>
    <t>2/24/2003 0:940</t>
  </si>
  <si>
    <t>2/24/2003 0:941</t>
  </si>
  <si>
    <t>2/24/2003 0:942</t>
  </si>
  <si>
    <t>2/24/2003 0:943</t>
  </si>
  <si>
    <t>2/24/2003 0:944</t>
  </si>
  <si>
    <t>2/24/2003 0:945</t>
  </si>
  <si>
    <t>2/24/2003 0:946</t>
  </si>
  <si>
    <t>2/24/2003 0:947</t>
  </si>
  <si>
    <t>2/24/2003 0:948</t>
  </si>
  <si>
    <t>2/24/2003 0:949</t>
  </si>
  <si>
    <t>2/24/2003 0:950</t>
  </si>
  <si>
    <t>2/24/2003 0:951</t>
  </si>
  <si>
    <t>2/24/2003 0:952</t>
  </si>
  <si>
    <t>2/24/2003 0:953</t>
  </si>
  <si>
    <t>2/24/2003 0:954</t>
  </si>
  <si>
    <t>2/24/2003 0:955</t>
  </si>
  <si>
    <t>2/24/2003 0:956</t>
  </si>
  <si>
    <t>2/24/2003 0:957</t>
  </si>
  <si>
    <t>2/24/2003 0:958</t>
  </si>
  <si>
    <t>2/24/2003 0:959</t>
  </si>
  <si>
    <t>2/24/2003 0:960</t>
  </si>
  <si>
    <t>2/24/2003 0:961</t>
  </si>
  <si>
    <t>2/24/2003 0:962</t>
  </si>
  <si>
    <t>2/24/2003 0:963</t>
  </si>
  <si>
    <t>2/24/2003 0:964</t>
  </si>
  <si>
    <t>2/24/2003 0:965</t>
  </si>
  <si>
    <t>2/24/2003 0:966</t>
  </si>
  <si>
    <t>2/24/2003 0:967</t>
  </si>
  <si>
    <t>2/24/2003 0:968</t>
  </si>
  <si>
    <t>2/24/2003 0:969</t>
  </si>
  <si>
    <t>2/24/2003 0:970</t>
  </si>
  <si>
    <t>2/24/2003 0:971</t>
  </si>
  <si>
    <t>2/24/2003 0:972</t>
  </si>
  <si>
    <t>2/24/2003 0:973</t>
  </si>
  <si>
    <t>2/24/2003 0:974</t>
  </si>
  <si>
    <t>2/24/2003 0:975</t>
  </si>
  <si>
    <t>2/24/2003 0:976</t>
  </si>
  <si>
    <t>2/24/2003 0:977</t>
  </si>
  <si>
    <t>2/24/2003 0:978</t>
  </si>
  <si>
    <t>2/24/2003 0:979</t>
  </si>
  <si>
    <t>2/24/2003 0:980</t>
  </si>
  <si>
    <t>2/24/2003 0:981</t>
  </si>
  <si>
    <t>2/24/2003 0:982</t>
  </si>
  <si>
    <t>2/24/2003 0:983</t>
  </si>
  <si>
    <t>2/24/2003 0:984</t>
  </si>
  <si>
    <t>2/24/2003 0:985</t>
  </si>
  <si>
    <t>2/24/2003 0:986</t>
  </si>
  <si>
    <t>2/24/2003 0:987</t>
  </si>
  <si>
    <t>2/24/2003 0:988</t>
  </si>
  <si>
    <t>2/24/2003 0:989</t>
  </si>
  <si>
    <t>2/24/2003 0:990</t>
  </si>
  <si>
    <t>2/24/2003 0:991</t>
  </si>
  <si>
    <t>2/24/2003 0:992</t>
  </si>
  <si>
    <t>2/24/2003 0:993</t>
  </si>
  <si>
    <t>2/24/2003 0:994</t>
  </si>
  <si>
    <t>2/24/2003 0:995</t>
  </si>
  <si>
    <t>2/24/2003 0:996</t>
  </si>
  <si>
    <t>2/24/2003 0:997</t>
  </si>
  <si>
    <t>2/24/2003 0:998</t>
  </si>
  <si>
    <t>2/24/2003 0:999</t>
  </si>
  <si>
    <t>2/24/2003 0:1000</t>
  </si>
  <si>
    <t>2/24/2003 0:1001</t>
  </si>
  <si>
    <t>2/24/2003 0:1002</t>
  </si>
  <si>
    <t>2/24/2003 0:1003</t>
  </si>
  <si>
    <t>2/24/2003 0:1004</t>
  </si>
  <si>
    <t>2/24/2003 0:1005</t>
  </si>
  <si>
    <t>2/24/2003 0:1006</t>
  </si>
  <si>
    <t>2/24/2003 0:1007</t>
  </si>
  <si>
    <t>2/24/2003 0:1008</t>
  </si>
  <si>
    <t>2/24/2003 0:1009</t>
  </si>
  <si>
    <t>2/24/2003 0:1010</t>
  </si>
  <si>
    <t>2/24/2003 0:1011</t>
  </si>
  <si>
    <t>2/24/2003 0:1012</t>
  </si>
  <si>
    <t>2/24/2003 0:1013</t>
  </si>
  <si>
    <t>2/24/2003 0:1014</t>
  </si>
  <si>
    <t>2/24/2003 0:1015</t>
  </si>
  <si>
    <t>2/24/2003 0:1016</t>
  </si>
  <si>
    <t>2/24/2003 0:1017</t>
  </si>
  <si>
    <t>2/24/2003 0:1018</t>
  </si>
  <si>
    <t>2/24/2003 0:1019</t>
  </si>
  <si>
    <t>2/24/2003 0:1020</t>
  </si>
  <si>
    <t>2/24/2003 0:1021</t>
  </si>
  <si>
    <t>2/24/2003 0:1022</t>
  </si>
  <si>
    <t>2/24/2003 0:1023</t>
  </si>
  <si>
    <t>2/24/2003 0:1024</t>
  </si>
  <si>
    <t>2/24/2003 0:1025</t>
  </si>
  <si>
    <t>2/24/2003 0:1026</t>
  </si>
  <si>
    <t>2/24/2003 0:1027</t>
  </si>
  <si>
    <t>2/24/2003 0:1028</t>
  </si>
  <si>
    <t>2/24/2003 0:1029</t>
  </si>
  <si>
    <t>2/24/2003 0:1030</t>
  </si>
  <si>
    <t>2/24/2003 0:1031</t>
  </si>
  <si>
    <t>2/24/2003 0:1032</t>
  </si>
  <si>
    <t>2/24/2003 0:1033</t>
  </si>
  <si>
    <t>2/24/2003 0:1034</t>
  </si>
  <si>
    <t>2/24/2003 0:1035</t>
  </si>
  <si>
    <t>2/24/2003 0:1036</t>
  </si>
  <si>
    <t>2/24/2003 0:1037</t>
  </si>
  <si>
    <t>2/24/2003 0:1038</t>
  </si>
  <si>
    <t>2/24/2003 0:1039</t>
  </si>
  <si>
    <t>2/24/2003 0:1040</t>
  </si>
  <si>
    <t>2/24/2003 0:1041</t>
  </si>
  <si>
    <t>2/24/2003 0:1042</t>
  </si>
  <si>
    <t>2/24/2003 0:1043</t>
  </si>
  <si>
    <t>2/24/2003 0:1044</t>
  </si>
  <si>
    <t>2/24/2003 0:1045</t>
  </si>
  <si>
    <t>2/24/2003 0:1046</t>
  </si>
  <si>
    <t>2/24/2003 0:1047</t>
  </si>
  <si>
    <t>2/24/2003 0:1048</t>
  </si>
  <si>
    <t>2/24/2003 0:1049</t>
  </si>
  <si>
    <t>2/24/2003 0:1050</t>
  </si>
  <si>
    <t>2/24/2003 0:1051</t>
  </si>
  <si>
    <t>2/24/2003 0:1052</t>
  </si>
  <si>
    <t>2/24/2003 0:1053</t>
  </si>
  <si>
    <t>2/24/2003 0:1054</t>
  </si>
  <si>
    <t>2/24/2003 0:1055</t>
  </si>
  <si>
    <t>2/24/2003 0:1056</t>
  </si>
  <si>
    <t>2/24/2003 0:1057</t>
  </si>
  <si>
    <t>2/24/2003 0:1058</t>
  </si>
  <si>
    <t>2/24/2003 0:1059</t>
  </si>
  <si>
    <t>2/24/2003 0:1060</t>
  </si>
  <si>
    <t>2/24/2003 0:1061</t>
  </si>
  <si>
    <t>2/24/2003 0:1062</t>
  </si>
  <si>
    <t>2/24/2003 0:1063</t>
  </si>
  <si>
    <t>2/24/2003 0:1064</t>
  </si>
  <si>
    <t>2/24/2003 0:1065</t>
  </si>
  <si>
    <t>2/24/2003 0:1066</t>
  </si>
  <si>
    <t>2/24/2003 0:1067</t>
  </si>
  <si>
    <t>2/24/2003 0:1068</t>
  </si>
  <si>
    <t>2/24/2003 0:1069</t>
  </si>
  <si>
    <t>2/24/2003 0:1070</t>
  </si>
  <si>
    <t>2/24/2003 0:1071</t>
  </si>
  <si>
    <t>2/24/2003 0:1072</t>
  </si>
  <si>
    <t>2/24/2003 0:1073</t>
  </si>
  <si>
    <t>2/24/2003 0:1074</t>
  </si>
  <si>
    <t>2/24/2003 0:1075</t>
  </si>
  <si>
    <t>2/24/2003 0:1076</t>
  </si>
  <si>
    <t>2/24/2003 0:1077</t>
  </si>
  <si>
    <t>2/24/2003 0:1078</t>
  </si>
  <si>
    <t>2/24/2003 0:1079</t>
  </si>
  <si>
    <t>2/24/2003 0:1080</t>
  </si>
  <si>
    <t>2/24/2003 0:1081</t>
  </si>
  <si>
    <t>2/24/2003 0:1082</t>
  </si>
  <si>
    <t>2/24/2003 0:1083</t>
  </si>
  <si>
    <t>2/24/2003 0:1084</t>
  </si>
  <si>
    <t>2/24/2003 0:1085</t>
  </si>
  <si>
    <t>2/24/2003 0:1086</t>
  </si>
  <si>
    <t>2/24/2003 0:1087</t>
  </si>
  <si>
    <t>2/24/2003 0:1088</t>
  </si>
  <si>
    <t>2/24/2003 0:1089</t>
  </si>
  <si>
    <t>2/24/2003 0:1090</t>
  </si>
  <si>
    <t>2/24/2003 0:1091</t>
  </si>
  <si>
    <t>2/24/2003 0:1092</t>
  </si>
  <si>
    <t>2/24/2003 0:1093</t>
  </si>
  <si>
    <t>2/24/2003 0:1094</t>
  </si>
  <si>
    <t>2/24/2003 0:1095</t>
  </si>
  <si>
    <t>2/24/2003 0:1096</t>
  </si>
  <si>
    <t>2/24/2003 0:1097</t>
  </si>
  <si>
    <t>2/24/2003 0:1098</t>
  </si>
  <si>
    <t>2/24/2003 0:1099</t>
  </si>
  <si>
    <t>2/24/2003 0:1100</t>
  </si>
  <si>
    <t>2/24/2003 0:1101</t>
  </si>
  <si>
    <t>2/24/2003 0:1102</t>
  </si>
  <si>
    <t>2/24/2003 0:1103</t>
  </si>
  <si>
    <t>2/24/2003 0:1104</t>
  </si>
  <si>
    <t>2/24/2003 0:1105</t>
  </si>
  <si>
    <t>2/24/2003 0:1106</t>
  </si>
  <si>
    <t>2/24/2003 0:1107</t>
  </si>
  <si>
    <t>2/24/2003 0:1108</t>
  </si>
  <si>
    <t>2/24/2003 0:1109</t>
  </si>
  <si>
    <t>2/24/2003 0:1110</t>
  </si>
  <si>
    <t>2/24/2003 0:1111</t>
  </si>
  <si>
    <t>2/24/2003 0:1112</t>
  </si>
  <si>
    <t>2/24/2003 0:1113</t>
  </si>
  <si>
    <t>2/24/2003 0:1114</t>
  </si>
  <si>
    <t>2/24/2003 0:1115</t>
  </si>
  <si>
    <t>2/24/2003 0:1116</t>
  </si>
  <si>
    <t>2/24/2003 0:1117</t>
  </si>
  <si>
    <t>2/24/2003 0:1118</t>
  </si>
  <si>
    <t>2/24/2003 0:1119</t>
  </si>
  <si>
    <t>2/24/2003 0:1120</t>
  </si>
  <si>
    <t>2/24/2003 0:1121</t>
  </si>
  <si>
    <t>2/24/2003 0:1122</t>
  </si>
  <si>
    <t>2/24/2003 0:1123</t>
  </si>
  <si>
    <t>2/24/2003 0:1124</t>
  </si>
  <si>
    <t>2/24/2003 0:1125</t>
  </si>
  <si>
    <t>2/24/2003 0:1126</t>
  </si>
  <si>
    <t>2/24/2003 0:1127</t>
  </si>
  <si>
    <t>2/24/2003 0:1128</t>
  </si>
  <si>
    <t>2/24/2003 0:1129</t>
  </si>
  <si>
    <t>2/24/2003 0:1130</t>
  </si>
  <si>
    <t>2/24/2003 0:1131</t>
  </si>
  <si>
    <t>2/24/2003 0:1132</t>
  </si>
  <si>
    <t>2/24/2003 0:1133</t>
  </si>
  <si>
    <t>2/24/2003 0:1134</t>
  </si>
  <si>
    <t>2/24/2003 0:1135</t>
  </si>
  <si>
    <t>2/24/2003 0:1136</t>
  </si>
  <si>
    <t>2/24/2003 0:1137</t>
  </si>
  <si>
    <t>2/24/2003 0:1138</t>
  </si>
  <si>
    <t>2/24/2003 0:1139</t>
  </si>
  <si>
    <t>2/24/2003 0:1140</t>
  </si>
  <si>
    <t>2/24/2003 0:1141</t>
  </si>
  <si>
    <t>2/24/2003 0:1142</t>
  </si>
  <si>
    <t>2/24/2003 0:1143</t>
  </si>
  <si>
    <t>2/24/2003 0:1144</t>
  </si>
  <si>
    <t>2/24/2003 0:1145</t>
  </si>
  <si>
    <t>2/24/2003 0:1146</t>
  </si>
  <si>
    <t>2/24/2003 0:1147</t>
  </si>
  <si>
    <t>2/24/2003 0:1148</t>
  </si>
  <si>
    <t>2/24/2003 0:1149</t>
  </si>
  <si>
    <t>2/24/2003 0:1150</t>
  </si>
  <si>
    <t>2/24/2003 0:1151</t>
  </si>
  <si>
    <t>2/24/2003 0:1152</t>
  </si>
  <si>
    <t>2/24/2003 0:1153</t>
  </si>
  <si>
    <t>2/24/2003 0:1154</t>
  </si>
  <si>
    <t>2/24/2003 0:1155</t>
  </si>
  <si>
    <t>2/24/2003 0:1156</t>
  </si>
  <si>
    <t>2/24/2003 0:1157</t>
  </si>
  <si>
    <t>2/24/2003 0:1158</t>
  </si>
  <si>
    <t>2/24/2003 0:1159</t>
  </si>
  <si>
    <t>2/24/2003 0:1160</t>
  </si>
  <si>
    <t>2/24/2003 0:1161</t>
  </si>
  <si>
    <t>2/24/2003 0:1162</t>
  </si>
  <si>
    <t>2/24/2003 0:1163</t>
  </si>
  <si>
    <t>2/24/2003 0:1164</t>
  </si>
  <si>
    <t>2/24/2003 0:1165</t>
  </si>
  <si>
    <t>2/24/2003 0:1166</t>
  </si>
  <si>
    <t>2/24/2003 0:1167</t>
  </si>
  <si>
    <t>2/24/2003 0:1168</t>
  </si>
  <si>
    <t>2/24/2003 0:1169</t>
  </si>
  <si>
    <t>2/24/2003 0:1170</t>
  </si>
  <si>
    <t>2/24/2003 0:1171</t>
  </si>
  <si>
    <t>2/24/2003 0:1172</t>
  </si>
  <si>
    <t>2/24/2003 0:1173</t>
  </si>
  <si>
    <t>2/24/2003 0:1174</t>
  </si>
  <si>
    <t>2/24/2003 0:1175</t>
  </si>
  <si>
    <t>2/24/2003 0:1176</t>
  </si>
  <si>
    <t>2/24/2003 0:1177</t>
  </si>
  <si>
    <t>2/24/2003 0:1178</t>
  </si>
  <si>
    <t>2/24/2003 0:1179</t>
  </si>
  <si>
    <t>2/24/2003 0:1180</t>
  </si>
  <si>
    <t>2/24/2003 0:1181</t>
  </si>
  <si>
    <t>2/24/2003 0:1182</t>
  </si>
  <si>
    <t>2/24/2003 0:1183</t>
  </si>
  <si>
    <t>2/24/2003 0:1184</t>
  </si>
  <si>
    <t>2/24/2003 0:1185</t>
  </si>
  <si>
    <t>2/24/2003 0:1186</t>
  </si>
  <si>
    <t>2/24/2003 0:1187</t>
  </si>
  <si>
    <t>2/24/2003 0:1188</t>
  </si>
  <si>
    <t>2/24/2003 0:1189</t>
  </si>
  <si>
    <t>2/24/2003 0:1190</t>
  </si>
  <si>
    <t>2/24/2003 0:1191</t>
  </si>
  <si>
    <t>2/24/2003 0:1192</t>
  </si>
  <si>
    <t>2/24/2003 0:1193</t>
  </si>
  <si>
    <t>2/24/2003 0:1194</t>
  </si>
  <si>
    <t>2/24/2003 0:1195</t>
  </si>
  <si>
    <t>2/24/2003 0:1196</t>
  </si>
  <si>
    <t>2/24/2003 0:1197</t>
  </si>
  <si>
    <t>2/24/2003 0:1198</t>
  </si>
  <si>
    <t>2/24/2003 0:1199</t>
  </si>
  <si>
    <t>2/24/2003 0:1200</t>
  </si>
  <si>
    <t>2/24/2003 0:1201</t>
  </si>
  <si>
    <t>2/24/2003 0:1202</t>
  </si>
  <si>
    <t>2/24/2003 0:1203</t>
  </si>
  <si>
    <t>2/24/2003 0:1204</t>
  </si>
  <si>
    <t>2/24/2003 0:1205</t>
  </si>
  <si>
    <t>2/24/2003 0:1206</t>
  </si>
  <si>
    <t>2/24/2003 0:1207</t>
  </si>
  <si>
    <t>2/24/2003 0:1208</t>
  </si>
  <si>
    <t>2/24/2003 0:1209</t>
  </si>
  <si>
    <t>2/24/2003 0:1210</t>
  </si>
  <si>
    <t>2/24/2003 0:1211</t>
  </si>
  <si>
    <t>2/24/2003 0:1212</t>
  </si>
  <si>
    <t>2/24/2003 0:1213</t>
  </si>
  <si>
    <t>2/24/2003 0:1214</t>
  </si>
  <si>
    <t>2/24/2003 0:1215</t>
  </si>
  <si>
    <t>2/24/2003 0:1216</t>
  </si>
  <si>
    <t>2/24/2003 0:1217</t>
  </si>
  <si>
    <t>2/24/2003 0:1218</t>
  </si>
  <si>
    <t>2/24/2003 0:1219</t>
  </si>
  <si>
    <t>2/24/2003 0:1220</t>
  </si>
  <si>
    <t>2/24/2003 0:1221</t>
  </si>
  <si>
    <t>2/24/2003 0:1222</t>
  </si>
  <si>
    <t>2/24/2003 0:1223</t>
  </si>
  <si>
    <t>2/24/2003 0:1224</t>
  </si>
  <si>
    <t>2/24/2003 0:1225</t>
  </si>
  <si>
    <t>2/24/2003 0:1226</t>
  </si>
  <si>
    <t>2/24/2003 0:1227</t>
  </si>
  <si>
    <t>2/24/2003 0:1228</t>
  </si>
  <si>
    <t>2/24/2003 0:1229</t>
  </si>
  <si>
    <t>2/24/2003 0:1230</t>
  </si>
  <si>
    <t>2/24/2003 0:1231</t>
  </si>
  <si>
    <t>2/24/2003 0:1232</t>
  </si>
  <si>
    <t>2/24/2003 0:1233</t>
  </si>
  <si>
    <t>2/24/2003 0:1234</t>
  </si>
  <si>
    <t>2/24/2003 0:1235</t>
  </si>
  <si>
    <t>2/24/2003 0:1236</t>
  </si>
  <si>
    <t>2/24/2003 0:1237</t>
  </si>
  <si>
    <t>2/24/2003 0:1238</t>
  </si>
  <si>
    <t>2/24/2003 0:1239</t>
  </si>
  <si>
    <t>2/24/2003 0:1240</t>
  </si>
  <si>
    <t>2/24/2003 0:1241</t>
  </si>
  <si>
    <t>2/24/2003 0:1242</t>
  </si>
  <si>
    <t>2/24/2003 0:1243</t>
  </si>
  <si>
    <t>2/24/2003 0:1244</t>
  </si>
  <si>
    <t>2/24/2003 0:1245</t>
  </si>
  <si>
    <t>2/24/2003 0:1246</t>
  </si>
  <si>
    <t>2/24/2003 0:1247</t>
  </si>
  <si>
    <t>2/24/2003 0:1248</t>
  </si>
  <si>
    <t>2/24/2003 0:1249</t>
  </si>
  <si>
    <t>2/24/2003 0:1250</t>
  </si>
  <si>
    <t>2/24/2003 0:1251</t>
  </si>
  <si>
    <t>2/24/2003 0:1252</t>
  </si>
  <si>
    <t>2/24/2003 0:1253</t>
  </si>
  <si>
    <t>2/24/2003 0:1254</t>
  </si>
  <si>
    <t>2/24/2003 0:1255</t>
  </si>
  <si>
    <t>2/24/2003 0:1256</t>
  </si>
  <si>
    <t>2/24/2003 0:1257</t>
  </si>
  <si>
    <t>2/24/2003 0:1258</t>
  </si>
  <si>
    <t>2/24/2003 0:1259</t>
  </si>
  <si>
    <t>2/24/2003 0:1260</t>
  </si>
  <si>
    <t>2/24/2003 0:1261</t>
  </si>
  <si>
    <t>2/24/2003 0:1262</t>
  </si>
  <si>
    <t>2/24/2003 0:1263</t>
  </si>
  <si>
    <t>2/24/2003 0:1264</t>
  </si>
  <si>
    <t>2/24/2003 0:1265</t>
  </si>
  <si>
    <t>2/24/2003 0:1266</t>
  </si>
  <si>
    <t>2/24/2003 0:1267</t>
  </si>
  <si>
    <t>2/24/2003 0:1268</t>
  </si>
  <si>
    <t>2/24/2003 0:1269</t>
  </si>
  <si>
    <t>2/24/2003 0:1270</t>
  </si>
  <si>
    <t>2/24/2003 0:1271</t>
  </si>
  <si>
    <t>2/24/2003 0:1272</t>
  </si>
  <si>
    <t>2/24/2003 0:1273</t>
  </si>
  <si>
    <t>2/24/2003 0:1274</t>
  </si>
  <si>
    <t>2/24/2003 0:1275</t>
  </si>
  <si>
    <t>2/24/2003 0:1276</t>
  </si>
  <si>
    <t>2/24/2003 0:1277</t>
  </si>
  <si>
    <t>2/24/2003 0:1278</t>
  </si>
  <si>
    <t>2/24/2003 0:1279</t>
  </si>
  <si>
    <t>2/24/2003 0:1280</t>
  </si>
  <si>
    <t>2/24/2003 0:1281</t>
  </si>
  <si>
    <t>2/24/2003 0:1282</t>
  </si>
  <si>
    <t>2/24/2003 0:1283</t>
  </si>
  <si>
    <t>2/24/2003 0:1284</t>
  </si>
  <si>
    <t>2/24/2003 0:1285</t>
  </si>
  <si>
    <t>2/24/2003 0:1286</t>
  </si>
  <si>
    <t>2/24/2003 0:1287</t>
  </si>
  <si>
    <t>2/24/2003 0:1288</t>
  </si>
  <si>
    <t>2/24/2003 0:1289</t>
  </si>
  <si>
    <t>2/24/2003 0:1290</t>
  </si>
  <si>
    <t>2/24/2003 0:1291</t>
  </si>
  <si>
    <t>2/24/2003 0:1292</t>
  </si>
  <si>
    <t>2/24/2003 0:1293</t>
  </si>
  <si>
    <t>2/24/2003 0:1294</t>
  </si>
  <si>
    <t>2/24/2003 0:1295</t>
  </si>
  <si>
    <t>2/24/2003 0:1296</t>
  </si>
  <si>
    <t>2/24/2003 0:1297</t>
  </si>
  <si>
    <t>2/24/2003 0:1298</t>
  </si>
  <si>
    <t>2/24/2003 0:1299</t>
  </si>
  <si>
    <t>2/24/2003 0:1300</t>
  </si>
  <si>
    <t>2/24/2003 0:1301</t>
  </si>
  <si>
    <t>2/24/2003 0:1302</t>
  </si>
  <si>
    <t>2/24/2003 0:1303</t>
  </si>
  <si>
    <t>2/24/2003 0:1304</t>
  </si>
  <si>
    <t>2/24/2003 0:1305</t>
  </si>
  <si>
    <t>2/24/2003 0:1306</t>
  </si>
  <si>
    <t>2/24/2003 0:1307</t>
  </si>
  <si>
    <t>2/24/2003 0:1308</t>
  </si>
  <si>
    <t>2/24/2003 0:1309</t>
  </si>
  <si>
    <t>2/24/2003 0:1310</t>
  </si>
  <si>
    <t>2/24/2003 0:1311</t>
  </si>
  <si>
    <t>2/24/2003 0:1312</t>
  </si>
  <si>
    <t>2/24/2003 0:1313</t>
  </si>
  <si>
    <t>2/24/2003 0:1314</t>
  </si>
  <si>
    <t>2/24/2003 0:1315</t>
  </si>
  <si>
    <t>2/24/2003 0:1316</t>
  </si>
  <si>
    <t>2/24/2003 0:1317</t>
  </si>
  <si>
    <t>2/24/2003 0:1318</t>
  </si>
  <si>
    <t>2/24/2003 0:1319</t>
  </si>
  <si>
    <t>2/24/2003 0:1320</t>
  </si>
  <si>
    <t>2/24/2003 0:1321</t>
  </si>
  <si>
    <t>2/24/2003 0:1322</t>
  </si>
  <si>
    <t>2/24/2003 0:1323</t>
  </si>
  <si>
    <t>2/24/2003 0:1324</t>
  </si>
  <si>
    <t>2/24/2003 0:1325</t>
  </si>
  <si>
    <t>2/24/2003 0:1326</t>
  </si>
  <si>
    <t>2/24/2003 0:1327</t>
  </si>
  <si>
    <t>2/24/2003 0:1328</t>
  </si>
  <si>
    <t>2/24/2003 0:1329</t>
  </si>
  <si>
    <t>2/24/2003 0:1330</t>
  </si>
  <si>
    <t>2/24/2003 0:1331</t>
  </si>
  <si>
    <t>2/24/2003 0:1332</t>
  </si>
  <si>
    <t>2/24/2003 0:1333</t>
  </si>
  <si>
    <t>2/24/2003 0:1334</t>
  </si>
  <si>
    <t>2/24/2003 0:1335</t>
  </si>
  <si>
    <t>2/24/2003 0:1336</t>
  </si>
  <si>
    <t>2/24/2003 0:1337</t>
  </si>
  <si>
    <t>2/24/2003 0:1338</t>
  </si>
  <si>
    <t>2/24/2003 0:1339</t>
  </si>
  <si>
    <t>2/24/2003 0:1340</t>
  </si>
  <si>
    <t>2/24/2003 0:1341</t>
  </si>
  <si>
    <t>2/24/2003 0:1342</t>
  </si>
  <si>
    <t>2/24/2003 0:1343</t>
  </si>
  <si>
    <t>2/24/2003 0:1344</t>
  </si>
  <si>
    <t>2/24/2003 0:1345</t>
  </si>
  <si>
    <t>2/24/2003 0:1346</t>
  </si>
  <si>
    <t>2/24/2003 0:1347</t>
  </si>
  <si>
    <t>2/24/2003 0:1348</t>
  </si>
  <si>
    <t>2/24/2003 0:1349</t>
  </si>
  <si>
    <t>2/24/2003 0:1350</t>
  </si>
  <si>
    <t>2/24/2003 0:1351</t>
  </si>
  <si>
    <t>2/24/2003 0:1352</t>
  </si>
  <si>
    <t>2/24/2003 0:1353</t>
  </si>
  <si>
    <t>2/24/2003 0:1354</t>
  </si>
  <si>
    <t>2/24/2003 0:1355</t>
  </si>
  <si>
    <t>2/24/2003 0:1356</t>
  </si>
  <si>
    <t>2/24/2003 0:1357</t>
  </si>
  <si>
    <t>2/24/2003 0:1358</t>
  </si>
  <si>
    <t>2/24/2003 0:1359</t>
  </si>
  <si>
    <t>2/24/2003 0:1360</t>
  </si>
  <si>
    <t>2/24/2003 0:1361</t>
  </si>
  <si>
    <t>2/24/2003 0:1362</t>
  </si>
  <si>
    <t>2/24/2003 0:1363</t>
  </si>
  <si>
    <t>2/24/2003 0:1364</t>
  </si>
  <si>
    <t>2/24/2003 0:1365</t>
  </si>
  <si>
    <t>2/24/2003 0:1366</t>
  </si>
  <si>
    <t>2/24/2003 0:1367</t>
  </si>
  <si>
    <t>2/24/2003 0:1368</t>
  </si>
  <si>
    <t>2/24/2003 0:1369</t>
  </si>
  <si>
    <t>2/24/2003 0:1370</t>
  </si>
  <si>
    <t>2/24/2003 0:1371</t>
  </si>
  <si>
    <t>2/24/2003 0:1372</t>
  </si>
  <si>
    <t>2/24/2003 0:1373</t>
  </si>
  <si>
    <t>2/24/2003 0:1374</t>
  </si>
  <si>
    <t>2/24/2003 0:1375</t>
  </si>
  <si>
    <t>2/24/2003 0:1376</t>
  </si>
  <si>
    <t>2/24/2003 0:1377</t>
  </si>
  <si>
    <t>2/24/2003 0:1378</t>
  </si>
  <si>
    <t>2/24/2003 0:1379</t>
  </si>
  <si>
    <t>2/24/2003 0:1380</t>
  </si>
  <si>
    <t>2/24/2003 0:1381</t>
  </si>
  <si>
    <t>2/24/2003 0:1382</t>
  </si>
  <si>
    <t>2/24/2003 0:1383</t>
  </si>
  <si>
    <t>2/24/2003 0:1384</t>
  </si>
  <si>
    <t>2/24/2003 0:1385</t>
  </si>
  <si>
    <t>2/24/2003 0:1386</t>
  </si>
  <si>
    <t>2/24/2003 0:1387</t>
  </si>
  <si>
    <t>2/24/2003 0:1388</t>
  </si>
  <si>
    <t>2/24/2003 0:1389</t>
  </si>
  <si>
    <t>2/24/2003 0:1390</t>
  </si>
  <si>
    <t>2/24/2003 0:1391</t>
  </si>
  <si>
    <t>2/24/2003 0:1392</t>
  </si>
  <si>
    <t>2/24/2003 0:1393</t>
  </si>
  <si>
    <t>2/24/2003 0:1394</t>
  </si>
  <si>
    <t>2/24/2003 0:1395</t>
  </si>
  <si>
    <t>2/24/2003 0:1396</t>
  </si>
  <si>
    <t>2/24/2003 0:1397</t>
  </si>
  <si>
    <t>2/24/2003 0:1398</t>
  </si>
  <si>
    <t>2/24/2003 0:1399</t>
  </si>
  <si>
    <t>2/24/2003 0:1400</t>
  </si>
  <si>
    <t>2/24/2003 0:1401</t>
  </si>
  <si>
    <t>2/24/2003 0:1402</t>
  </si>
  <si>
    <t>2/24/2003 0:1403</t>
  </si>
  <si>
    <t>2/24/2003 0:1404</t>
  </si>
  <si>
    <t>2/24/2003 0:1405</t>
  </si>
  <si>
    <t>2/24/2003 0:1406</t>
  </si>
  <si>
    <t>2/24/2003 0:1407</t>
  </si>
  <si>
    <t>2/24/2003 0:1408</t>
  </si>
  <si>
    <t>2/24/2003 0:1409</t>
  </si>
  <si>
    <t>2/24/2003 0:1410</t>
  </si>
  <si>
    <t>2/24/2003 0:1411</t>
  </si>
  <si>
    <t>2/24/2003 0:1412</t>
  </si>
  <si>
    <t>2/24/2003 0:1413</t>
  </si>
  <si>
    <t>2/24/2003 0:1414</t>
  </si>
  <si>
    <t>2/24/2003 0:1415</t>
  </si>
  <si>
    <t>2/24/2003 0:1416</t>
  </si>
  <si>
    <t>2/24/2003 0:1417</t>
  </si>
  <si>
    <t>2/24/2003 0:1418</t>
  </si>
  <si>
    <t>2/24/2003 0:1419</t>
  </si>
  <si>
    <t>2/24/2003 0:1420</t>
  </si>
  <si>
    <t>2/24/2003 0:1421</t>
  </si>
  <si>
    <t>2/24/2003 0:1422</t>
  </si>
  <si>
    <t>2/24/2003 0:1423</t>
  </si>
  <si>
    <t>2/24/2003 0:1424</t>
  </si>
  <si>
    <t>2/24/2003 0:1425</t>
  </si>
  <si>
    <t>2/24/2003 0:1426</t>
  </si>
  <si>
    <t>2/24/2003 0:1427</t>
  </si>
  <si>
    <t>2/24/2003 0:1428</t>
  </si>
  <si>
    <t>2/24/2003 0:1429</t>
  </si>
  <si>
    <t>2/24/2003 0:1430</t>
  </si>
  <si>
    <t>2/24/2003 0:1431</t>
  </si>
  <si>
    <t>2/24/2003 0:1432</t>
  </si>
  <si>
    <t>2/24/2003 0:1433</t>
  </si>
  <si>
    <t>2/24/2003 0:1434</t>
  </si>
  <si>
    <t>2/24/2003 0:1435</t>
  </si>
  <si>
    <t>2/24/2003 0:1436</t>
  </si>
  <si>
    <t>2/24/2003 0:1437</t>
  </si>
  <si>
    <t>2/24/2003 0:1438</t>
  </si>
  <si>
    <t>2/24/2003 0:1439</t>
  </si>
  <si>
    <t>2/24/2003 0:1440</t>
  </si>
  <si>
    <t>2/24/2003 0:1441</t>
  </si>
  <si>
    <t>2/24/2003 0:1442</t>
  </si>
  <si>
    <t>2/24/2003 0:1443</t>
  </si>
  <si>
    <t>2/24/2003 0:1444</t>
  </si>
  <si>
    <t>2/24/2003 0:1445</t>
  </si>
  <si>
    <t>2/24/2003 0:1446</t>
  </si>
  <si>
    <t>2/24/2003 0:1447</t>
  </si>
  <si>
    <t>2/24/2003 0:1448</t>
  </si>
  <si>
    <t>2/24/2003 0:1449</t>
  </si>
  <si>
    <t>2/24/2003 0:1450</t>
  </si>
  <si>
    <t>2/24/2003 0:1451</t>
  </si>
  <si>
    <t>2/24/2003 0:1452</t>
  </si>
  <si>
    <t>2/24/2003 0:1453</t>
  </si>
  <si>
    <t>2/24/2003 0:1454</t>
  </si>
  <si>
    <t>2/24/2003 0:1455</t>
  </si>
  <si>
    <t>2/24/2003 0:1456</t>
  </si>
  <si>
    <t>2/24/2003 0:1457</t>
  </si>
  <si>
    <t>2/24/2003 0:1458</t>
  </si>
  <si>
    <t>2/24/2003 0:1459</t>
  </si>
  <si>
    <t>2/24/2003 0:1460</t>
  </si>
  <si>
    <t>2/24/2003 0:1461</t>
  </si>
  <si>
    <t>2/24/2003 0:1462</t>
  </si>
  <si>
    <t>2/24/2003 0:1463</t>
  </si>
  <si>
    <t>2/24/2003 0:1464</t>
  </si>
  <si>
    <t>2/24/2003 0:1465</t>
  </si>
  <si>
    <t>2/24/2003 0:1466</t>
  </si>
  <si>
    <t>2/24/2003 0:1467</t>
  </si>
  <si>
    <t>2/24/2003 0:1468</t>
  </si>
  <si>
    <t>2/24/2003 0:1469</t>
  </si>
  <si>
    <t>2/24/2003 0:1470</t>
  </si>
  <si>
    <t>2/24/2003 0:1471</t>
  </si>
  <si>
    <t>2/24/2003 0:1472</t>
  </si>
  <si>
    <t>2/24/2003 0:1473</t>
  </si>
  <si>
    <t>2/24/2003 0:1474</t>
  </si>
  <si>
    <t>2/24/2003 0:1475</t>
  </si>
  <si>
    <t>2/24/2003 0:1476</t>
  </si>
  <si>
    <t>2/24/2003 0:1477</t>
  </si>
  <si>
    <t>2/24/2003 0:1478</t>
  </si>
  <si>
    <t>2/24/2003 0:1479</t>
  </si>
  <si>
    <t>2/24/2003 0:1480</t>
  </si>
  <si>
    <t>2/24/2003 0:1481</t>
  </si>
  <si>
    <t>2/24/2003 0:1482</t>
  </si>
  <si>
    <t>2/24/2003 0:1483</t>
  </si>
  <si>
    <t>2/24/2003 0:1484</t>
  </si>
  <si>
    <t>2/24/2003 0:1485</t>
  </si>
  <si>
    <t>2/24/2003 0:1486</t>
  </si>
  <si>
    <t>2/24/2003 0:1487</t>
  </si>
  <si>
    <t>2/24/2003 0:1488</t>
  </si>
  <si>
    <t>2/24/2003 0:1489</t>
  </si>
  <si>
    <t>2/24/2003 0:1490</t>
  </si>
  <si>
    <t>2/24/2003 0:1491</t>
  </si>
  <si>
    <t>2/24/2003 0:1492</t>
  </si>
  <si>
    <t>2/24/2003 0:1493</t>
  </si>
  <si>
    <t>2/24/2003 0:1494</t>
  </si>
  <si>
    <t>2/24/2003 0:1495</t>
  </si>
  <si>
    <t>2/24/2003 0:1496</t>
  </si>
  <si>
    <t>2/24/2003 0:1497</t>
  </si>
  <si>
    <t>2/24/2003 0:1498</t>
  </si>
  <si>
    <t>2/24/2003 0:1499</t>
  </si>
  <si>
    <t>2/24/2003 0:1500</t>
  </si>
  <si>
    <t>2/24/2003 0:1501</t>
  </si>
  <si>
    <t>2/24/2003 0:1502</t>
  </si>
  <si>
    <t>2/24/2003 0:1503</t>
  </si>
  <si>
    <t>2/24/2003 0:1504</t>
  </si>
  <si>
    <t>2/24/2003 0:1505</t>
  </si>
  <si>
    <t>2/24/2003 0:1506</t>
  </si>
  <si>
    <t>2/24/2003 0:1507</t>
  </si>
  <si>
    <t>2/24/2003 0:1508</t>
  </si>
  <si>
    <t>2/24/2003 0:1509</t>
  </si>
  <si>
    <t>2/24/2003 0:1510</t>
  </si>
  <si>
    <t>2/24/2003 0:1511</t>
  </si>
  <si>
    <t>2/24/2003 0:1512</t>
  </si>
  <si>
    <t>2/24/2003 0:1513</t>
  </si>
  <si>
    <t>2/24/2003 0:1514</t>
  </si>
  <si>
    <t>2/24/2003 0:1515</t>
  </si>
  <si>
    <t>2/24/2003 0:1516</t>
  </si>
  <si>
    <t>2/24/2003 0:1517</t>
  </si>
  <si>
    <t>2/24/2003 0:1518</t>
  </si>
  <si>
    <t>2/24/2003 0:1519</t>
  </si>
  <si>
    <t>2/24/2003 0:1520</t>
  </si>
  <si>
    <t>2/24/2003 0:1521</t>
  </si>
  <si>
    <t>2/24/2003 0:1522</t>
  </si>
  <si>
    <t>2/24/2003 0:1523</t>
  </si>
  <si>
    <t>2/24/2003 0:1524</t>
  </si>
  <si>
    <t>2/24/2003 0:1525</t>
  </si>
  <si>
    <t>2/24/2003 0:1526</t>
  </si>
  <si>
    <t>2/24/2003 0:1527</t>
  </si>
  <si>
    <t>2/24/2003 0:1528</t>
  </si>
  <si>
    <t>2/24/2003 0:1529</t>
  </si>
  <si>
    <t>2/24/2003 0:1530</t>
  </si>
  <si>
    <t>2/24/2003 0:1531</t>
  </si>
  <si>
    <t>2/24/2003 0:1532</t>
  </si>
  <si>
    <t>2/24/2003 0:1533</t>
  </si>
  <si>
    <t>2/24/2003 0:1534</t>
  </si>
  <si>
    <t>2/24/2003 0:1535</t>
  </si>
  <si>
    <t>2/24/2003 0:1536</t>
  </si>
  <si>
    <t>2/24/2003 0:1537</t>
  </si>
  <si>
    <t>2/24/2003 0:1538</t>
  </si>
  <si>
    <t>2/24/2003 0:1539</t>
  </si>
  <si>
    <t>2/24/2003 0:1540</t>
  </si>
  <si>
    <t>2/24/2003 0:1541</t>
  </si>
  <si>
    <t>2/24/2003 0:1542</t>
  </si>
  <si>
    <t>2/24/2003 0:1543</t>
  </si>
  <si>
    <t>2/24/2003 0:1544</t>
  </si>
  <si>
    <t>2/24/2003 0:1545</t>
  </si>
  <si>
    <t>2/24/2003 0:1546</t>
  </si>
  <si>
    <t>2/24/2003 0:1547</t>
  </si>
  <si>
    <t>2/24/2003 0:1548</t>
  </si>
  <si>
    <t>2/24/2003 0:1549</t>
  </si>
  <si>
    <t>2/24/2003 0:1550</t>
  </si>
  <si>
    <t>2/24/2003 0:1551</t>
  </si>
  <si>
    <t>2/24/2003 0:1552</t>
  </si>
  <si>
    <t>2/24/2003 0:1553</t>
  </si>
  <si>
    <t>2/24/2003 0:1554</t>
  </si>
  <si>
    <t>2/24/2003 0:1555</t>
  </si>
  <si>
    <t>2/24/2003 0:1556</t>
  </si>
  <si>
    <t>2/24/2003 0:1557</t>
  </si>
  <si>
    <t>2/24/2003 0:1558</t>
  </si>
  <si>
    <t>2/24/2003 0:1559</t>
  </si>
  <si>
    <t>2/24/2003 0:1560</t>
  </si>
  <si>
    <t>2/24/2003 0:1561</t>
  </si>
  <si>
    <t>2/24/2003 0:1562</t>
  </si>
  <si>
    <t>2/24/2003 0:1563</t>
  </si>
  <si>
    <t>2/24/2003 0:1564</t>
  </si>
  <si>
    <t>2/24/2003 0:1565</t>
  </si>
  <si>
    <t>2/24/2003 0:1566</t>
  </si>
  <si>
    <t>2/24/2003 0:1567</t>
  </si>
  <si>
    <t>2/24/2003 0:1568</t>
  </si>
  <si>
    <t>2/24/2003 0:1569</t>
  </si>
  <si>
    <t>2/24/2003 0:1570</t>
  </si>
  <si>
    <t>2/24/2003 0:1571</t>
  </si>
  <si>
    <t>2/24/2003 0:1572</t>
  </si>
  <si>
    <t>2/24/2003 0:1573</t>
  </si>
  <si>
    <t>2/24/2003 0:1574</t>
  </si>
  <si>
    <t>2/24/2003 0:1575</t>
  </si>
  <si>
    <t>2/24/2003 0:1576</t>
  </si>
  <si>
    <t>2/24/2003 0:1577</t>
  </si>
  <si>
    <t>2/24/2003 0:1578</t>
  </si>
  <si>
    <t>2/24/2003 0:1579</t>
  </si>
  <si>
    <t>2/24/2003 0:1580</t>
  </si>
  <si>
    <t>2/24/2003 0:1581</t>
  </si>
  <si>
    <t>2/24/2003 0:1582</t>
  </si>
  <si>
    <t>2/24/2003 0:1583</t>
  </si>
  <si>
    <t>2/24/2003 0:1584</t>
  </si>
  <si>
    <t>2/24/2003 0:1585</t>
  </si>
  <si>
    <t>2/24/2003 0:1586</t>
  </si>
  <si>
    <t>2/24/2003 0:1587</t>
  </si>
  <si>
    <t>2/24/2003 0:1588</t>
  </si>
  <si>
    <t>2/24/2003 0:1589</t>
  </si>
  <si>
    <t>2/24/2003 0:1590</t>
  </si>
  <si>
    <t>2/24/2003 0:1591</t>
  </si>
  <si>
    <t>2/24/2003 0:1592</t>
  </si>
  <si>
    <t>2/24/2003 0:1593</t>
  </si>
  <si>
    <t>2/24/2003 0:1594</t>
  </si>
  <si>
    <t>2/24/2003 0:1595</t>
  </si>
  <si>
    <t>2/24/2003 0:1596</t>
  </si>
  <si>
    <t>2/24/2003 0:1597</t>
  </si>
  <si>
    <t>2/24/2003 0:1598</t>
  </si>
  <si>
    <t>2/24/2003 0:1599</t>
  </si>
  <si>
    <t>2/24/2003 0:1600</t>
  </si>
  <si>
    <t>2/24/2003 0:1601</t>
  </si>
  <si>
    <t>2/24/2003 0:1602</t>
  </si>
  <si>
    <t>2/24/2003 0:1603</t>
  </si>
  <si>
    <t>2/24/2003 0:1604</t>
  </si>
  <si>
    <t>2/24/2003 0:1605</t>
  </si>
  <si>
    <t>2/24/2003 0:1606</t>
  </si>
  <si>
    <t>2/24/2003 0:1607</t>
  </si>
  <si>
    <t>2/24/2003 0:1608</t>
  </si>
  <si>
    <t>2/24/2003 0:1609</t>
  </si>
  <si>
    <t>2/24/2003 0:1610</t>
  </si>
  <si>
    <t>2/24/2003 0:1611</t>
  </si>
  <si>
    <t>2/24/2003 0:1612</t>
  </si>
  <si>
    <t>2/24/2003 0:1613</t>
  </si>
  <si>
    <t>2/24/2003 0:1614</t>
  </si>
  <si>
    <t>2/24/2003 0:1615</t>
  </si>
  <si>
    <t>2/24/2003 0:1616</t>
  </si>
  <si>
    <t>2/24/2003 0:1617</t>
  </si>
  <si>
    <t>2/24/2003 0:1618</t>
  </si>
  <si>
    <t>2/24/2003 0:1619</t>
  </si>
  <si>
    <t>2/24/2003 0:1620</t>
  </si>
  <si>
    <t>2/24/2003 0:1621</t>
  </si>
  <si>
    <t>2/24/2003 0:1622</t>
  </si>
  <si>
    <t>2/24/2003 0:1623</t>
  </si>
  <si>
    <t>2/24/2003 0:1624</t>
  </si>
  <si>
    <t>2/24/2003 0:1625</t>
  </si>
  <si>
    <t>2/24/2003 0:1626</t>
  </si>
  <si>
    <t>2/24/2003 0:1627</t>
  </si>
  <si>
    <t>2/24/2003 0:1628</t>
  </si>
  <si>
    <t>2/24/2003 0:1629</t>
  </si>
  <si>
    <t>2/24/2003 0:1630</t>
  </si>
  <si>
    <t>2/24/2003 0:1631</t>
  </si>
  <si>
    <t>2/24/2003 0:1632</t>
  </si>
  <si>
    <t>2/24/2003 0:1633</t>
  </si>
  <si>
    <t>2/24/2003 0:1634</t>
  </si>
  <si>
    <t>2/24/2003 0:1635</t>
  </si>
  <si>
    <t>2/24/2003 0:1636</t>
  </si>
  <si>
    <t>2/24/2003 0:1637</t>
  </si>
  <si>
    <t>2/24/2003 0:1638</t>
  </si>
  <si>
    <t>2/24/2003 0:1639</t>
  </si>
  <si>
    <t>2/24/2003 0:1640</t>
  </si>
  <si>
    <t>2/24/2003 0:1641</t>
  </si>
  <si>
    <t>2/24/2003 0:1642</t>
  </si>
  <si>
    <t>2/24/2003 0:1643</t>
  </si>
  <si>
    <t>2/24/2003 0:1644</t>
  </si>
  <si>
    <t>2/24/2003 0:1645</t>
  </si>
  <si>
    <t>2/24/2003 0:1646</t>
  </si>
  <si>
    <t>2/24/2003 0:1647</t>
  </si>
  <si>
    <t>2/24/2003 0:1648</t>
  </si>
  <si>
    <t>2/24/2003 0:1649</t>
  </si>
  <si>
    <t>2/24/2003 0:1650</t>
  </si>
  <si>
    <t>2/24/2003 0:1651</t>
  </si>
  <si>
    <t>2/24/2003 0:1652</t>
  </si>
  <si>
    <t>2/24/2003 0:1653</t>
  </si>
  <si>
    <t>2/24/2003 0:1654</t>
  </si>
  <si>
    <t>2/24/2003 0:1655</t>
  </si>
  <si>
    <t>2/24/2003 0:1656</t>
  </si>
  <si>
    <t>2/24/2003 0:1657</t>
  </si>
  <si>
    <t>2/24/2003 0:1658</t>
  </si>
  <si>
    <t>2/24/2003 0:1659</t>
  </si>
  <si>
    <t>2/24/2003 0:1660</t>
  </si>
  <si>
    <t>2/24/2003 0:1661</t>
  </si>
  <si>
    <t>2/24/2003 0:1662</t>
  </si>
  <si>
    <t>2/24/2003 0:1663</t>
  </si>
  <si>
    <t>2/24/2003 0:1664</t>
  </si>
  <si>
    <t>2/24/2003 0:1665</t>
  </si>
  <si>
    <t>2/24/2003 0:1666</t>
  </si>
  <si>
    <t>2/24/2003 0:1667</t>
  </si>
  <si>
    <t>2/24/2003 0:1668</t>
  </si>
  <si>
    <t>2/24/2003 0:1669</t>
  </si>
  <si>
    <t>2/24/2003 0:1670</t>
  </si>
  <si>
    <t>2/24/2003 0:1671</t>
  </si>
  <si>
    <t>2/24/2003 0:1672</t>
  </si>
  <si>
    <t>2/24/2003 0:1673</t>
  </si>
  <si>
    <t>2/24/2003 0:1674</t>
  </si>
  <si>
    <t>2/24/2003 0:1675</t>
  </si>
  <si>
    <t>2/24/2003 0:1676</t>
  </si>
  <si>
    <t>2/24/2003 0:1677</t>
  </si>
  <si>
    <t>2/24/2003 0:1678</t>
  </si>
  <si>
    <t>2/24/2003 0:1679</t>
  </si>
  <si>
    <t>2/24/2003 0:1680</t>
  </si>
  <si>
    <t>2/24/2003 0:1681</t>
  </si>
  <si>
    <t>2/24/2003 0:1682</t>
  </si>
  <si>
    <t>2/24/2003 0:1683</t>
  </si>
  <si>
    <t>2/24/2003 0:1684</t>
  </si>
  <si>
    <t>2/24/2003 0:1685</t>
  </si>
  <si>
    <t>2/24/2003 0:1686</t>
  </si>
  <si>
    <t>2/24/2003 0:1687</t>
  </si>
  <si>
    <t>2/24/2003 0:1688</t>
  </si>
  <si>
    <t>2/24/2003 0:1689</t>
  </si>
  <si>
    <t>2/24/2003 0:1690</t>
  </si>
  <si>
    <t>2/24/2003 0:1691</t>
  </si>
  <si>
    <t>2/24/2003 0:1692</t>
  </si>
  <si>
    <t>2/24/2003 0:1693</t>
  </si>
  <si>
    <t>2/24/2003 0:1694</t>
  </si>
  <si>
    <t>2/24/2003 0:1695</t>
  </si>
  <si>
    <t>2/24/2003 0:1696</t>
  </si>
  <si>
    <t>2/24/2003 0:1697</t>
  </si>
  <si>
    <t>2/24/2003 0:1698</t>
  </si>
  <si>
    <t>2/24/2003 0:1699</t>
  </si>
  <si>
    <t>2/24/2003 0:1700</t>
  </si>
  <si>
    <t>2/24/2003 0:1701</t>
  </si>
  <si>
    <t>2/24/2003 0:1702</t>
  </si>
  <si>
    <t>2/24/2003 0:1703</t>
  </si>
  <si>
    <t>2/24/2003 0:1704</t>
  </si>
  <si>
    <t>2/24/2003 0:1705</t>
  </si>
  <si>
    <t>2/24/2003 0:1706</t>
  </si>
  <si>
    <t>2/24/2003 0:1707</t>
  </si>
  <si>
    <t>2/24/2003 0:1708</t>
  </si>
  <si>
    <t>2/24/2003 0:1709</t>
  </si>
  <si>
    <t>2/24/2003 0:1710</t>
  </si>
  <si>
    <t>2/24/2003 0:1711</t>
  </si>
  <si>
    <t>2/24/2003 0:1712</t>
  </si>
  <si>
    <t>2/24/2003 0:1713</t>
  </si>
  <si>
    <t>2/24/2003 0:1714</t>
  </si>
  <si>
    <t>2/24/2003 0:1715</t>
  </si>
  <si>
    <t>2/24/2003 0:1716</t>
  </si>
  <si>
    <t>2/24/2003 0:1717</t>
  </si>
  <si>
    <t>2/24/2003 0:1718</t>
  </si>
  <si>
    <t>2/24/2003 0:1719</t>
  </si>
  <si>
    <t>2/24/2003 0:1720</t>
  </si>
  <si>
    <t>2/24/2003 0:1721</t>
  </si>
  <si>
    <t>2/24/2003 0:1722</t>
  </si>
  <si>
    <t>2/24/2003 0:1723</t>
  </si>
  <si>
    <t>2/24/2003 0:1724</t>
  </si>
  <si>
    <t>2/24/2003 0:1725</t>
  </si>
  <si>
    <t>2/24/2003 0:1726</t>
  </si>
  <si>
    <t>2/24/2003 0:1727</t>
  </si>
  <si>
    <t>2/24/2003 0:1728</t>
  </si>
  <si>
    <t>2/24/2003 0:1729</t>
  </si>
  <si>
    <t>2/24/2003 0:1730</t>
  </si>
  <si>
    <t>2/24/2003 0:1731</t>
  </si>
  <si>
    <t>2/24/2003 0:1732</t>
  </si>
  <si>
    <t>2/24/2003 0:1733</t>
  </si>
  <si>
    <t>2/24/2003 0:1734</t>
  </si>
  <si>
    <t>2/24/2003 0:1735</t>
  </si>
  <si>
    <t>2/24/2003 0:1736</t>
  </si>
  <si>
    <t>2/24/2003 0:1737</t>
  </si>
  <si>
    <t>2/24/2003 0:1738</t>
  </si>
  <si>
    <t>2/24/2003 0:1739</t>
  </si>
  <si>
    <t>2/24/2003 0:1740</t>
  </si>
  <si>
    <t>2/24/2003 0:1741</t>
  </si>
  <si>
    <t>2/24/2003 0:1742</t>
  </si>
  <si>
    <t>2/24/2003 0:1743</t>
  </si>
  <si>
    <t>2/24/2003 0:1744</t>
  </si>
  <si>
    <t>2/24/2003 0:1745</t>
  </si>
  <si>
    <t>2/24/2003 0:1746</t>
  </si>
  <si>
    <t>2/24/2003 0:1747</t>
  </si>
  <si>
    <t>2/24/2003 0:1748</t>
  </si>
  <si>
    <t>2/24/2003 0:1749</t>
  </si>
  <si>
    <t>2/24/2003 0:1750</t>
  </si>
  <si>
    <t>2/24/2003 0:1751</t>
  </si>
  <si>
    <t>2/24/2003 0:1752</t>
  </si>
  <si>
    <t>2/24/2003 0:1753</t>
  </si>
  <si>
    <t>2/24/2003 0:1754</t>
  </si>
  <si>
    <t>2/24/2003 0:1755</t>
  </si>
  <si>
    <t>2/24/2003 0:1756</t>
  </si>
  <si>
    <t>2/24/2003 0:1757</t>
  </si>
  <si>
    <t>2/24/2003 0:1758</t>
  </si>
  <si>
    <t>2/24/2003 0:1759</t>
  </si>
  <si>
    <t>2/24/2003 0:1760</t>
  </si>
  <si>
    <t>2/24/2003 0:1761</t>
  </si>
  <si>
    <t>2/24/2003 0:1762</t>
  </si>
  <si>
    <t>2/24/2003 0:1763</t>
  </si>
  <si>
    <t>2/24/2003 0:1764</t>
  </si>
  <si>
    <t>2/24/2003 0:1765</t>
  </si>
  <si>
    <t>2/24/2003 0:1766</t>
  </si>
  <si>
    <t>2/24/2003 0:1767</t>
  </si>
  <si>
    <t>2/24/2003 0:1768</t>
  </si>
  <si>
    <t>2/24/2003 0:1769</t>
  </si>
  <si>
    <t>2/24/2003 0:1770</t>
  </si>
  <si>
    <t>2/24/2003 0:1771</t>
  </si>
  <si>
    <t>2/24/2003 0:1772</t>
  </si>
  <si>
    <t>2/24/2003 0:1773</t>
  </si>
  <si>
    <t>2/24/2003 0:1774</t>
  </si>
  <si>
    <t>2/24/2003 0:1775</t>
  </si>
  <si>
    <t>2/24/2003 0:1776</t>
  </si>
  <si>
    <t>2/24/2003 0:1777</t>
  </si>
  <si>
    <t>2/24/2003 0:1778</t>
  </si>
  <si>
    <t>2/24/2003 0:1779</t>
  </si>
  <si>
    <t>2/24/2003 0:1780</t>
  </si>
  <si>
    <t>2/24/2003 0:1781</t>
  </si>
  <si>
    <t>2/24/2003 0:1782</t>
  </si>
  <si>
    <t>2/24/2003 0:1783</t>
  </si>
  <si>
    <t>2/24/2003 0:1784</t>
  </si>
  <si>
    <t>2/24/2003 0:1785</t>
  </si>
  <si>
    <t>2/24/2003 0:1786</t>
  </si>
  <si>
    <t>2/24/2003 0:1787</t>
  </si>
  <si>
    <t>2/24/2003 0:1788</t>
  </si>
  <si>
    <t>2/24/2003 0:1789</t>
  </si>
  <si>
    <t>2/24/2003 0:1790</t>
  </si>
  <si>
    <t>2/24/2003 0:1791</t>
  </si>
  <si>
    <t>2/24/2003 0:1792</t>
  </si>
  <si>
    <t>2/24/2003 0:1793</t>
  </si>
  <si>
    <t>2/24/2003 0:1794</t>
  </si>
  <si>
    <t>2/24/2003 0:1795</t>
  </si>
  <si>
    <t>2/24/2003 0:1796</t>
  </si>
  <si>
    <t>2/24/2003 0:1797</t>
  </si>
  <si>
    <t>2/24/2003 0:1798</t>
  </si>
  <si>
    <t>2/24/2003 0:1799</t>
  </si>
  <si>
    <t>2/24/2003 0:1800</t>
  </si>
  <si>
    <t>2/24/2003 0:1801</t>
  </si>
  <si>
    <t>2/24/2003 0:1802</t>
  </si>
  <si>
    <t>2/24/2003 0:1803</t>
  </si>
  <si>
    <t>2/24/2003 0:1804</t>
  </si>
  <si>
    <t>2/24/2003 0:1805</t>
  </si>
  <si>
    <t>2/24/2003 0:1806</t>
  </si>
  <si>
    <t>2/24/2003 0:1807</t>
  </si>
  <si>
    <t>2/24/2003 0:1808</t>
  </si>
  <si>
    <t>2/24/2003 0:1809</t>
  </si>
  <si>
    <t>2/24/2003 0:1810</t>
  </si>
  <si>
    <t>2/24/2003 0:1811</t>
  </si>
  <si>
    <t>2/24/2003 0:1812</t>
  </si>
  <si>
    <t>2/24/2003 0:1813</t>
  </si>
  <si>
    <t>2/24/2003 0:1814</t>
  </si>
  <si>
    <t>2/24/2003 0:1815</t>
  </si>
  <si>
    <t>2/24/2003 0:1816</t>
  </si>
  <si>
    <t>2/24/2003 0:1817</t>
  </si>
  <si>
    <t>2/24/2003 0:1818</t>
  </si>
  <si>
    <t>2/24/2003 0:1819</t>
  </si>
  <si>
    <t>2/24/2003 0:1820</t>
  </si>
  <si>
    <t>2/24/2003 0:1821</t>
  </si>
  <si>
    <t>2/24/2003 0:1822</t>
  </si>
  <si>
    <t>2/24/2003 0:1823</t>
  </si>
  <si>
    <t>2/24/2003 0:1824</t>
  </si>
  <si>
    <t>2/24/2003 0:1825</t>
  </si>
  <si>
    <t>2/24/2003 0:1826</t>
  </si>
  <si>
    <t>2/24/2003 0:1827</t>
  </si>
  <si>
    <t>2/24/2003 0:1828</t>
  </si>
  <si>
    <t>2/24/2003 0:1829</t>
  </si>
  <si>
    <t>2/24/2003 0:1830</t>
  </si>
  <si>
    <t>2/24/2003 0:1831</t>
  </si>
  <si>
    <t>2/24/2003 0:1832</t>
  </si>
  <si>
    <t>2/24/2003 0:1833</t>
  </si>
  <si>
    <t>2/24/2003 0:1834</t>
  </si>
  <si>
    <t>2/24/2003 0:1835</t>
  </si>
  <si>
    <t>2/24/2003 0:1836</t>
  </si>
  <si>
    <t>2/24/2003 0:1837</t>
  </si>
  <si>
    <t>2/24/2003 0:1838</t>
  </si>
  <si>
    <t>2/24/2003 0:1839</t>
  </si>
  <si>
    <t>2/24/2003 0:1840</t>
  </si>
  <si>
    <t>2/24/2003 0:1841</t>
  </si>
  <si>
    <t>2/24/2003 0:1842</t>
  </si>
  <si>
    <t>2/24/2003 0:1843</t>
  </si>
  <si>
    <t>2/24/2003 0:1844</t>
  </si>
  <si>
    <t>2/24/2003 0:1845</t>
  </si>
  <si>
    <t>2/24/2003 0:1846</t>
  </si>
  <si>
    <t>2/24/2003 0:1847</t>
  </si>
  <si>
    <t>2/24/2003 0:1848</t>
  </si>
  <si>
    <t>2/24/2003 0:1849</t>
  </si>
  <si>
    <t>2/24/2003 0:1850</t>
  </si>
  <si>
    <t>2/24/2003 0:1851</t>
  </si>
  <si>
    <t>2/24/2003 0:1852</t>
  </si>
  <si>
    <t>2/24/2003 0:1853</t>
  </si>
  <si>
    <t>2/24/2003 0:1854</t>
  </si>
  <si>
    <t>2/24/2003 0:1855</t>
  </si>
  <si>
    <t>2/24/2003 0:1856</t>
  </si>
  <si>
    <t>2/24/2003 0:1857</t>
  </si>
  <si>
    <t>2/24/2003 0:1858</t>
  </si>
  <si>
    <t>2/24/2003 0:1859</t>
  </si>
  <si>
    <t>2/24/2003 0:1860</t>
  </si>
  <si>
    <t>2/24/2003 0:1861</t>
  </si>
  <si>
    <t>2/24/2003 0:1862</t>
  </si>
  <si>
    <t>2/24/2003 0:1863</t>
  </si>
  <si>
    <t>2/24/2003 0:1864</t>
  </si>
  <si>
    <t>2/24/2003 0:1865</t>
  </si>
  <si>
    <t>2/24/2003 0:1866</t>
  </si>
  <si>
    <t>2/24/2003 0:1867</t>
  </si>
  <si>
    <t>2/24/2003 0:1868</t>
  </si>
  <si>
    <t>2/24/2003 0:1869</t>
  </si>
  <si>
    <t>2/24/2003 0:1870</t>
  </si>
  <si>
    <t>2/24/2003 0:1871</t>
  </si>
  <si>
    <t>2/24/2003 0:1872</t>
  </si>
  <si>
    <t>2/24/2003 0:1873</t>
  </si>
  <si>
    <t>2/24/2003 0:1874</t>
  </si>
  <si>
    <t>2/24/2003 0:1875</t>
  </si>
  <si>
    <t>2/24/2003 0:1876</t>
  </si>
  <si>
    <t>2/24/2003 0:1877</t>
  </si>
  <si>
    <t>2/24/2003 0:1878</t>
  </si>
  <si>
    <t>2/24/2003 0:1879</t>
  </si>
  <si>
    <t>2/24/2003 0:1880</t>
  </si>
  <si>
    <t>2/24/2003 0:1881</t>
  </si>
  <si>
    <t>2/24/2003 0:1882</t>
  </si>
  <si>
    <t>2/24/2003 0:1883</t>
  </si>
  <si>
    <t>2/24/2003 0:1884</t>
  </si>
  <si>
    <t>2/24/2003 0:1885</t>
  </si>
  <si>
    <t>2/24/2003 0:1886</t>
  </si>
  <si>
    <t>2/24/2003 0:1887</t>
  </si>
  <si>
    <t>2/24/2003 0:1888</t>
  </si>
  <si>
    <t>2/24/2003 0:1889</t>
  </si>
  <si>
    <t>2/24/2003 0:1890</t>
  </si>
  <si>
    <t>2/24/2003 0:1891</t>
  </si>
  <si>
    <t>2/24/2003 0:1892</t>
  </si>
  <si>
    <t>2/24/2003 0:1893</t>
  </si>
  <si>
    <t>2/24/2003 0:1894</t>
  </si>
  <si>
    <t>2/24/2003 0:1895</t>
  </si>
  <si>
    <t>2/24/2003 0:1896</t>
  </si>
  <si>
    <t>2/24/2003 0:1897</t>
  </si>
  <si>
    <t>2/24/2003 0:1898</t>
  </si>
  <si>
    <t>2/24/2003 0:1899</t>
  </si>
  <si>
    <t>2/24/2003 0:1900</t>
  </si>
  <si>
    <t>2/24/2003 0:1901</t>
  </si>
  <si>
    <t>2/24/2003 0:1902</t>
  </si>
  <si>
    <t>2/24/2003 0:1903</t>
  </si>
  <si>
    <t>2/24/2003 0:1904</t>
  </si>
  <si>
    <t>2/24/2003 0:1905</t>
  </si>
  <si>
    <t>2/24/2003 0:1906</t>
  </si>
  <si>
    <t>2/24/2003 0:1907</t>
  </si>
  <si>
    <t>2/24/2003 0:1908</t>
  </si>
  <si>
    <t>2/24/2003 0:1909</t>
  </si>
  <si>
    <t>2/24/2003 0:1910</t>
  </si>
  <si>
    <t>2/24/2003 0:1911</t>
  </si>
  <si>
    <t>2/24/2003 0:1912</t>
  </si>
  <si>
    <t>2/24/2003 0:1913</t>
  </si>
  <si>
    <t>2/24/2003 0:1914</t>
  </si>
  <si>
    <t>2/24/2003 0:1915</t>
  </si>
  <si>
    <t>2/24/2003 0:1916</t>
  </si>
  <si>
    <t>2/24/2003 0:1917</t>
  </si>
  <si>
    <t>2/24/2003 0:1918</t>
  </si>
  <si>
    <t>2/24/2003 0:1919</t>
  </si>
  <si>
    <t>2/24/2003 0:1920</t>
  </si>
  <si>
    <t>2/24/2003 0:1921</t>
  </si>
  <si>
    <t>2/24/2003 0:1922</t>
  </si>
  <si>
    <t>2/24/2003 0:1923</t>
  </si>
  <si>
    <t>2/24/2003 0:1924</t>
  </si>
  <si>
    <t>2/24/2003 0:1925</t>
  </si>
  <si>
    <t>2/24/2003 0:1926</t>
  </si>
  <si>
    <t>2/24/2003 0:1927</t>
  </si>
  <si>
    <t>2/24/2003 0:1928</t>
  </si>
  <si>
    <t>2/24/2003 0:1929</t>
  </si>
  <si>
    <t>2/24/2003 0:1930</t>
  </si>
  <si>
    <t>2/24/2003 0:1931</t>
  </si>
  <si>
    <t>2/24/2003 0:1932</t>
  </si>
  <si>
    <t>2/24/2003 0:1933</t>
  </si>
  <si>
    <t>2/24/2003 0:1934</t>
  </si>
  <si>
    <t>2/24/2003 0:1935</t>
  </si>
  <si>
    <t>2/24/2003 0:1936</t>
  </si>
  <si>
    <t>2/24/2003 0:1937</t>
  </si>
  <si>
    <t>2/24/2003 0:1938</t>
  </si>
  <si>
    <t>2/24/2003 0:1939</t>
  </si>
  <si>
    <t>2/24/2003 0:1940</t>
  </si>
  <si>
    <t>2/24/2003 0:1941</t>
  </si>
  <si>
    <t>2/24/2003 0:1942</t>
  </si>
  <si>
    <t>2/24/2003 0:1943</t>
  </si>
  <si>
    <t>2/24/2003 0:1944</t>
  </si>
  <si>
    <t>2/24/2003 0:1945</t>
  </si>
  <si>
    <t>2/24/2003 0:1946</t>
  </si>
  <si>
    <t>2/24/2003 0:1947</t>
  </si>
  <si>
    <t>2/24/2003 0:1948</t>
  </si>
  <si>
    <t>2/24/2003 0:1949</t>
  </si>
  <si>
    <t>2/24/2003 0:1950</t>
  </si>
  <si>
    <t>2/24/2003 0:1951</t>
  </si>
  <si>
    <t>2/24/2003 0:1952</t>
  </si>
  <si>
    <t>2/24/2003 0:1953</t>
  </si>
  <si>
    <t>2/24/2003 0:1954</t>
  </si>
  <si>
    <t>2/24/2003 0:1955</t>
  </si>
  <si>
    <t>2/24/2003 0:1956</t>
  </si>
  <si>
    <t>2/24/2003 0:1957</t>
  </si>
  <si>
    <t>2/24/2003 0:1958</t>
  </si>
  <si>
    <t>2/24/2003 0:1959</t>
  </si>
  <si>
    <t>2/24/2003 0:1960</t>
  </si>
  <si>
    <t>2/24/2003 0:1961</t>
  </si>
  <si>
    <t>2/24/2003 0:1962</t>
  </si>
  <si>
    <t>2/24/2003 0:1963</t>
  </si>
  <si>
    <t>2/24/2003 0:1964</t>
  </si>
  <si>
    <t>2/24/2003 0:1965</t>
  </si>
  <si>
    <t>2/24/2003 0:1966</t>
  </si>
  <si>
    <t>2/24/2003 0:1967</t>
  </si>
  <si>
    <t>2/24/2003 0:1968</t>
  </si>
  <si>
    <t>2/24/2003 0:1969</t>
  </si>
  <si>
    <t>2/24/2003 0:1970</t>
  </si>
  <si>
    <t>2/24/2003 0:1971</t>
  </si>
  <si>
    <t>2/24/2003 0:1972</t>
  </si>
  <si>
    <t>2/24/2003 0:1973</t>
  </si>
  <si>
    <t>2/24/2003 0:1974</t>
  </si>
  <si>
    <t>2/24/2003 0:1975</t>
  </si>
  <si>
    <t>2/24/2003 0:1976</t>
  </si>
  <si>
    <t>2/24/2003 0:1977</t>
  </si>
  <si>
    <t>2/24/2003 0:1978</t>
  </si>
  <si>
    <t>2/24/2003 0:1979</t>
  </si>
  <si>
    <t>2/24/2003 0:1980</t>
  </si>
  <si>
    <t>2/24/2003 0:1981</t>
  </si>
  <si>
    <t>2/24/2003 0:1982</t>
  </si>
  <si>
    <t>2/24/2003 0:1983</t>
  </si>
  <si>
    <t>2/24/2003 0:1984</t>
  </si>
  <si>
    <t>2/24/2003 0:1985</t>
  </si>
  <si>
    <t>2/24/2003 0:1986</t>
  </si>
  <si>
    <t>2/24/2003 0:1987</t>
  </si>
  <si>
    <t>2/24/2003 0:1988</t>
  </si>
  <si>
    <t>2/24/2003 0:1989</t>
  </si>
  <si>
    <t>2/24/2003 0:1990</t>
  </si>
  <si>
    <t>2/24/2003 0:1991</t>
  </si>
  <si>
    <t>2/24/2003 0:1992</t>
  </si>
  <si>
    <t>2/24/2003 0:1993</t>
  </si>
  <si>
    <t>2/24/2003 0:1994</t>
  </si>
  <si>
    <t>2/24/2003 0:1995</t>
  </si>
  <si>
    <t>2/24/2003 0:1996</t>
  </si>
  <si>
    <t>2/24/2003 0:1997</t>
  </si>
  <si>
    <t>2/24/2003 0:1998</t>
  </si>
  <si>
    <t>2/24/2003 0:1999</t>
  </si>
  <si>
    <t>2/24/2003 0:2000</t>
  </si>
  <si>
    <t>2/24/2003 0:2001</t>
  </si>
  <si>
    <t>2/24/2003 0:2002</t>
  </si>
  <si>
    <t>2/24/2003 0:2003</t>
  </si>
  <si>
    <t>2/24/2003 0:2004</t>
  </si>
  <si>
    <t>2/24/2003 0:2005</t>
  </si>
  <si>
    <t>2/24/2003 0:2006</t>
  </si>
  <si>
    <t>2/24/2003 0:2007</t>
  </si>
  <si>
    <t>2/24/2003 0:2008</t>
  </si>
  <si>
    <t>2/24/2003 0:2009</t>
  </si>
  <si>
    <t>2/24/2003 0:2010</t>
  </si>
  <si>
    <t>2/24/2003 0:2011</t>
  </si>
  <si>
    <t>2/24/2003 0:2012</t>
  </si>
  <si>
    <t>2/24/2003 0:2013</t>
  </si>
  <si>
    <t>2/24/2003 0:2014</t>
  </si>
  <si>
    <t>2/24/2003 0:2015</t>
  </si>
  <si>
    <t>2/24/2003 0:2016</t>
  </si>
  <si>
    <t>2/24/2003 0:2017</t>
  </si>
  <si>
    <t>2/24/2003 0:2018</t>
  </si>
  <si>
    <t>2/24/2003 0:2019</t>
  </si>
  <si>
    <t>2/24/2003 0:2020</t>
  </si>
  <si>
    <t>2/24/2003 0:2021</t>
  </si>
  <si>
    <t>2/24/2003 0:2022</t>
  </si>
  <si>
    <t>2/24/2003 0:2023</t>
  </si>
  <si>
    <t>2/24/2003 0:2024</t>
  </si>
  <si>
    <t>2/24/2003 0:2025</t>
  </si>
  <si>
    <t>2/24/2003 0:2026</t>
  </si>
  <si>
    <t>2/24/2003 0:2027</t>
  </si>
  <si>
    <t>2/24/2003 0:2028</t>
  </si>
  <si>
    <t>2/24/2003 0:2029</t>
  </si>
  <si>
    <t>2/24/2003 0:2030</t>
  </si>
  <si>
    <t>2/24/2003 0:2031</t>
  </si>
  <si>
    <t>2/24/2003 0:2032</t>
  </si>
  <si>
    <t>2/24/2003 0:2033</t>
  </si>
  <si>
    <t>2/24/2003 0:2034</t>
  </si>
  <si>
    <t>2/24/2003 0:2035</t>
  </si>
  <si>
    <t>2/24/2003 0:2036</t>
  </si>
  <si>
    <t>2/24/2003 0:2037</t>
  </si>
  <si>
    <t>2/24/2003 0:2038</t>
  </si>
  <si>
    <t>2/24/2003 0:2039</t>
  </si>
  <si>
    <t>2/24/2003 0:2040</t>
  </si>
  <si>
    <t>2/24/2003 0:2041</t>
  </si>
  <si>
    <t>2/24/2003 0:2042</t>
  </si>
  <si>
    <t>2/24/2003 0:2043</t>
  </si>
  <si>
    <t>2/24/2003 0:2044</t>
  </si>
  <si>
    <t>2/24/2003 0:2045</t>
  </si>
  <si>
    <t>2/24/2003 0:2046</t>
  </si>
  <si>
    <t>2/24/2003 0:2047</t>
  </si>
  <si>
    <t>2/24/2003 0:2048</t>
  </si>
  <si>
    <t>2/24/2003 0:2049</t>
  </si>
  <si>
    <t>2/24/2003 0:2050</t>
  </si>
  <si>
    <t>2/24/2003 0:2051</t>
  </si>
  <si>
    <t>2/24/2003 0:2052</t>
  </si>
  <si>
    <t>2/24/2003 0:2053</t>
  </si>
  <si>
    <t>2/24/2003 0:2054</t>
  </si>
  <si>
    <t>2/24/2003 0:2055</t>
  </si>
  <si>
    <t>2/24/2003 0:2056</t>
  </si>
  <si>
    <t>2/24/2003 0:2057</t>
  </si>
  <si>
    <t>2/24/2003 0:2058</t>
  </si>
  <si>
    <t>2/24/2003 0:2059</t>
  </si>
  <si>
    <t>2/24/2003 0:2060</t>
  </si>
  <si>
    <t>2/24/2003 0:2061</t>
  </si>
  <si>
    <t>2/24/2003 0:2062</t>
  </si>
  <si>
    <t>2/24/2003 0:2063</t>
  </si>
  <si>
    <t>2/24/2003 0:2064</t>
  </si>
  <si>
    <t>2/24/2003 0:2065</t>
  </si>
  <si>
    <t>2/24/2003 0:2066</t>
  </si>
  <si>
    <t>2/24/2003 0:2067</t>
  </si>
  <si>
    <t>2/24/2003 0:2068</t>
  </si>
  <si>
    <t>2/24/2003 0:2069</t>
  </si>
  <si>
    <t>2/24/2003 0:2070</t>
  </si>
  <si>
    <t>2/24/2003 0:2071</t>
  </si>
  <si>
    <t>2/24/2003 0:2072</t>
  </si>
  <si>
    <t>2/24/2003 0:2073</t>
  </si>
  <si>
    <t>2/24/2003 0:2074</t>
  </si>
  <si>
    <t>2/24/2003 0:2075</t>
  </si>
  <si>
    <t>2/24/2003 0:2076</t>
  </si>
  <si>
    <t>2/24/2003 0:2077</t>
  </si>
  <si>
    <t>2/24/2003 0:2078</t>
  </si>
  <si>
    <t>2/24/2003 0:2079</t>
  </si>
  <si>
    <t>2/24/2003 0:2080</t>
  </si>
  <si>
    <t>2/24/2003 0:2081</t>
  </si>
  <si>
    <t>2/24/2003 0:2082</t>
  </si>
  <si>
    <t>2/24/2003 0:2083</t>
  </si>
  <si>
    <t>2/24/2003 0:2084</t>
  </si>
  <si>
    <t>2/24/2003 0:2085</t>
  </si>
  <si>
    <t>2/24/2003 0:2086</t>
  </si>
  <si>
    <t>2/24/2003 0:2087</t>
  </si>
  <si>
    <t>2/24/2003 0:2088</t>
  </si>
  <si>
    <t>2/24/2003 0:2089</t>
  </si>
  <si>
    <t>2/24/2003 0:2090</t>
  </si>
  <si>
    <t>2/24/2003 0:2091</t>
  </si>
  <si>
    <t>2/24/2003 0:2092</t>
  </si>
  <si>
    <t>2/24/2003 0:2093</t>
  </si>
  <si>
    <t>2/24/2003 0:2094</t>
  </si>
  <si>
    <t>2/24/2003 0:2095</t>
  </si>
  <si>
    <t>2/24/2003 0:2096</t>
  </si>
  <si>
    <t>2/24/2003 0:2097</t>
  </si>
  <si>
    <t>2/24/2003 0:2098</t>
  </si>
  <si>
    <t>2/24/2003 0:2099</t>
  </si>
  <si>
    <t>2/24/2003 0:2100</t>
  </si>
  <si>
    <t>2/24/2003 0:2101</t>
  </si>
  <si>
    <t>2/24/2003 0:2102</t>
  </si>
  <si>
    <t>2/24/2003 0:2103</t>
  </si>
  <si>
    <t>2/24/2003 0:2104</t>
  </si>
  <si>
    <t>2/24/2003 0:2105</t>
  </si>
  <si>
    <t>2/24/2003 0:2106</t>
  </si>
  <si>
    <t>2/24/2003 0:2107</t>
  </si>
  <si>
    <t>2/24/2003 0:2108</t>
  </si>
  <si>
    <t>2/24/2003 0:2109</t>
  </si>
  <si>
    <t>2/24/2003 0:2110</t>
  </si>
  <si>
    <t>2/24/2003 0:2111</t>
  </si>
  <si>
    <t>2/24/2003 0:2112</t>
  </si>
  <si>
    <t>2/24/2003 0:2113</t>
  </si>
  <si>
    <t>2/24/2003 0:2114</t>
  </si>
  <si>
    <t>2/24/2003 0:2115</t>
  </si>
  <si>
    <t>2/24/2003 0:2116</t>
  </si>
  <si>
    <t>2/24/2003 0:2117</t>
  </si>
  <si>
    <t>2/24/2003 0:2118</t>
  </si>
  <si>
    <t>2/24/2003 0:2119</t>
  </si>
  <si>
    <t>2/24/2003 0:2120</t>
  </si>
  <si>
    <t>2/24/2003 0:2121</t>
  </si>
  <si>
    <t>2/24/2003 0:2122</t>
  </si>
  <si>
    <t>2/24/2003 0:2123</t>
  </si>
  <si>
    <t>2/24/2003 0:2124</t>
  </si>
  <si>
    <t>2/24/2003 0:2125</t>
  </si>
  <si>
    <t>2/24/2003 0:2126</t>
  </si>
  <si>
    <t>2/24/2003 0:2127</t>
  </si>
  <si>
    <t>2/24/2003 0:2128</t>
  </si>
  <si>
    <t>2/24/2003 0:2129</t>
  </si>
  <si>
    <t>2/24/2003 0:2130</t>
  </si>
  <si>
    <t>2/24/2003 0:2131</t>
  </si>
  <si>
    <t>2/24/2003 0:2132</t>
  </si>
  <si>
    <t>2/24/2003 0:2133</t>
  </si>
  <si>
    <t>2/24/2003 0:2134</t>
  </si>
  <si>
    <t>2/24/2003 0:2135</t>
  </si>
  <si>
    <t>2/24/2003 0:2136</t>
  </si>
  <si>
    <t>2/24/2003 0:2137</t>
  </si>
  <si>
    <t>2/24/2003 0:2138</t>
  </si>
  <si>
    <t>2/24/2003 0:2139</t>
  </si>
  <si>
    <t>2/24/2003 0:2140</t>
  </si>
  <si>
    <t>2/24/2003 0:2141</t>
  </si>
  <si>
    <t>2/24/2003 0:2142</t>
  </si>
  <si>
    <t>2/24/2003 0:2143</t>
  </si>
  <si>
    <t>2/24/2003 0:2144</t>
  </si>
  <si>
    <t>2/24/2003 0:2145</t>
  </si>
  <si>
    <t>2/24/2003 0:2146</t>
  </si>
  <si>
    <t>2/24/2003 0:2147</t>
  </si>
  <si>
    <t>2/24/2003 0:2148</t>
  </si>
  <si>
    <t>2/24/2003 0:2149</t>
  </si>
  <si>
    <t>2/24/2003 0:2150</t>
  </si>
  <si>
    <t>2/24/2003 0:2151</t>
  </si>
  <si>
    <t>2/24/2003 0:2152</t>
  </si>
  <si>
    <t>2/24/2003 0:2153</t>
  </si>
  <si>
    <t>2/24/2003 0:2154</t>
  </si>
  <si>
    <t>2/24/2003 0:2155</t>
  </si>
  <si>
    <t>2/24/2003 0:2156</t>
  </si>
  <si>
    <t>2/24/2003 0:2157</t>
  </si>
  <si>
    <t>2/24/2003 0:2158</t>
  </si>
  <si>
    <t>2/24/2003 0:2159</t>
  </si>
  <si>
    <t>2/24/2003 0:2160</t>
  </si>
  <si>
    <t>2/24/2003 0:2161</t>
  </si>
  <si>
    <t>2/24/2003 0:2162</t>
  </si>
  <si>
    <t>2/24/2003 0:2163</t>
  </si>
  <si>
    <t>2/24/2003 0:2164</t>
  </si>
  <si>
    <t>2/24/2003 0:2165</t>
  </si>
  <si>
    <t>2/24/2003 0:2166</t>
  </si>
  <si>
    <t>2/24/2003 0:2167</t>
  </si>
  <si>
    <t>2/24/2003 0:2168</t>
  </si>
  <si>
    <t>2/24/2003 0:2169</t>
  </si>
  <si>
    <t>2/24/2003 0:2170</t>
  </si>
  <si>
    <t>2/24/2003 0:2171</t>
  </si>
  <si>
    <t>2/24/2003 0:2172</t>
  </si>
  <si>
    <t>2/24/2003 0:2173</t>
  </si>
  <si>
    <t>2/24/2003 0:2174</t>
  </si>
  <si>
    <t>2/24/2003 0:2175</t>
  </si>
  <si>
    <t>2/24/2003 0:2176</t>
  </si>
  <si>
    <t>2/24/2003 0:2177</t>
  </si>
  <si>
    <t>2/24/2003 0:2178</t>
  </si>
  <si>
    <t>2/24/2003 0:2179</t>
  </si>
  <si>
    <t>2/24/2003 0:2180</t>
  </si>
  <si>
    <t>2/24/2003 0:2181</t>
  </si>
  <si>
    <t>2/24/2003 0:2182</t>
  </si>
  <si>
    <t>2/24/2003 0:2183</t>
  </si>
  <si>
    <t>2/24/2003 0:2184</t>
  </si>
  <si>
    <t>2/24/2003 0:2185</t>
  </si>
  <si>
    <t>2/24/2003 0:2186</t>
  </si>
  <si>
    <t>2/24/2003 0:2187</t>
  </si>
  <si>
    <t>2/24/2003 0:2188</t>
  </si>
  <si>
    <t>2/24/2003 0:2189</t>
  </si>
  <si>
    <t>2/24/2003 0:2190</t>
  </si>
  <si>
    <t>2/24/2003 0:2191</t>
  </si>
  <si>
    <t>2/24/2003 0:2192</t>
  </si>
  <si>
    <t>2/24/2003 0:2193</t>
  </si>
  <si>
    <t>2/24/2003 0:2194</t>
  </si>
  <si>
    <t>2/24/2003 0:2195</t>
  </si>
  <si>
    <t>2/24/2003 0:2196</t>
  </si>
  <si>
    <t>2/24/2003 0:2197</t>
  </si>
  <si>
    <t>2/24/2003 0:2198</t>
  </si>
  <si>
    <t>2/24/2003 0:2199</t>
  </si>
  <si>
    <t>2/24/2003 0:2200</t>
  </si>
  <si>
    <t>2/24/2003 0:2201</t>
  </si>
  <si>
    <t>2/24/2003 0:2202</t>
  </si>
  <si>
    <t>2/24/2003 0:2203</t>
  </si>
  <si>
    <t>2/24/2003 0:2204</t>
  </si>
  <si>
    <t>2/24/2003 0:2205</t>
  </si>
  <si>
    <t>2/24/2003 0:2206</t>
  </si>
  <si>
    <t>2/24/2003 0:2207</t>
  </si>
  <si>
    <t>2/24/2003 0:2208</t>
  </si>
  <si>
    <t>2/24/2003 0:2209</t>
  </si>
  <si>
    <t>2/24/2003 0:2210</t>
  </si>
  <si>
    <t>2/24/2003 0:2211</t>
  </si>
  <si>
    <t>2/24/2003 0:2212</t>
  </si>
  <si>
    <t>2/24/2003 0:2213</t>
  </si>
  <si>
    <t>2/24/2003 0:2214</t>
  </si>
  <si>
    <t>2/24/2003 0:2215</t>
  </si>
  <si>
    <t>2/24/2003 0:2216</t>
  </si>
  <si>
    <t>2/24/2003 0:2217</t>
  </si>
  <si>
    <t>2/24/2003 0:2218</t>
  </si>
  <si>
    <t>2/24/2003 0:2219</t>
  </si>
  <si>
    <t>2/24/2003 0:2220</t>
  </si>
  <si>
    <t>2/24/2003 0:2221</t>
  </si>
  <si>
    <t>2/24/2003 0:2222</t>
  </si>
  <si>
    <t>2/24/2003 0:2223</t>
  </si>
  <si>
    <t>2/24/2003 0:2224</t>
  </si>
  <si>
    <t>2/24/2003 0:2225</t>
  </si>
  <si>
    <t>2/24/2003 0:2226</t>
  </si>
  <si>
    <t>2/24/2003 0:2227</t>
  </si>
  <si>
    <t>2/24/2003 0:2228</t>
  </si>
  <si>
    <t>2/24/2003 0:2229</t>
  </si>
  <si>
    <t>2/24/2003 0:2230</t>
  </si>
  <si>
    <t>2/24/2003 0:2231</t>
  </si>
  <si>
    <t>2/24/2003 0:2232</t>
  </si>
  <si>
    <t>2/24/2003 0:2233</t>
  </si>
  <si>
    <t>2/24/2003 0:2234</t>
  </si>
  <si>
    <t>2/24/2003 0:2235</t>
  </si>
  <si>
    <t>2/24/2003 0:2236</t>
  </si>
  <si>
    <t>2/24/2003 0:2237</t>
  </si>
  <si>
    <t>2/24/2003 0:2238</t>
  </si>
  <si>
    <t>2/24/2003 0:2239</t>
  </si>
  <si>
    <t>2/24/2003 0:2240</t>
  </si>
  <si>
    <t>2/24/2003 0:2241</t>
  </si>
  <si>
    <t>2/24/2003 0:2242</t>
  </si>
  <si>
    <t>2/24/2003 0:2243</t>
  </si>
  <si>
    <t>2/24/2003 0:2244</t>
  </si>
  <si>
    <t>2/24/2003 0:2245</t>
  </si>
  <si>
    <t>2/24/2003 0:2246</t>
  </si>
  <si>
    <t>2/24/2003 0:2247</t>
  </si>
  <si>
    <t>2/24/2003 0:2248</t>
  </si>
  <si>
    <t>2/24/2003 0:2249</t>
  </si>
  <si>
    <t>2/24/2003 0:2250</t>
  </si>
  <si>
    <t>2/24/2003 0:2251</t>
  </si>
  <si>
    <t>2/24/2003 0:2252</t>
  </si>
  <si>
    <t>2/24/2003 0:2253</t>
  </si>
  <si>
    <t>2/24/2003 0:2254</t>
  </si>
  <si>
    <t>2/24/2003 0:2255</t>
  </si>
  <si>
    <t>2/24/2003 0:2256</t>
  </si>
  <si>
    <t>2/24/2003 0:2257</t>
  </si>
  <si>
    <t>2/24/2003 0:2258</t>
  </si>
  <si>
    <t>2/24/2003 0:2259</t>
  </si>
  <si>
    <t>2/24/2003 0:2260</t>
  </si>
  <si>
    <t>2/24/2003 0:2261</t>
  </si>
  <si>
    <t>2/24/2003 0:2262</t>
  </si>
  <si>
    <t>2/24/2003 0:2263</t>
  </si>
  <si>
    <t>2/24/2003 0:2264</t>
  </si>
  <si>
    <t>2/24/2003 0:2265</t>
  </si>
  <si>
    <t>2/24/2003 0:2266</t>
  </si>
  <si>
    <t>2/24/2003 0:2267</t>
  </si>
  <si>
    <t>2/24/2003 0:2268</t>
  </si>
  <si>
    <t>2/24/2003 0:2269</t>
  </si>
  <si>
    <t>2/24/2003 0:2270</t>
  </si>
  <si>
    <t>2/24/2003 0:2271</t>
  </si>
  <si>
    <t>2/24/2003 0:2272</t>
  </si>
  <si>
    <t>2/24/2003 0:2273</t>
  </si>
  <si>
    <t>2/24/2003 0:2274</t>
  </si>
  <si>
    <t>2/24/2003 0:2275</t>
  </si>
  <si>
    <t>2/24/2003 0:2276</t>
  </si>
  <si>
    <t>2/24/2003 0:2277</t>
  </si>
  <si>
    <t>2/24/2003 0:2278</t>
  </si>
  <si>
    <t>2/24/2003 0:2279</t>
  </si>
  <si>
    <t>2/24/2003 0:2280</t>
  </si>
  <si>
    <t>2/24/2003 0:2281</t>
  </si>
  <si>
    <t>2/24/2003 0:2282</t>
  </si>
  <si>
    <t>2/24/2003 0:2283</t>
  </si>
  <si>
    <t>2/24/2003 0:2284</t>
  </si>
  <si>
    <t>2/24/2003 0:2285</t>
  </si>
  <si>
    <t>2/24/2003 0:2286</t>
  </si>
  <si>
    <t>2/24/2003 0:2287</t>
  </si>
  <si>
    <t>2/24/2003 0:2288</t>
  </si>
  <si>
    <t>2/24/2003 0:2289</t>
  </si>
  <si>
    <t>2/24/2003 0:2290</t>
  </si>
  <si>
    <t>2/24/2003 0:2291</t>
  </si>
  <si>
    <t>2/24/2003 0:2292</t>
  </si>
  <si>
    <t>2/24/2003 0:2293</t>
  </si>
  <si>
    <t>2/24/2003 0:2294</t>
  </si>
  <si>
    <t>2/24/2003 0:2295</t>
  </si>
  <si>
    <t>2/24/2003 0:2296</t>
  </si>
  <si>
    <t>2/24/2003 0:2297</t>
  </si>
  <si>
    <t>2/24/2003 0:2298</t>
  </si>
  <si>
    <t>2/24/2003 0:2299</t>
  </si>
  <si>
    <t>2/24/2003 0:2300</t>
  </si>
  <si>
    <t>2/24/2003 0:2301</t>
  </si>
  <si>
    <t>2/24/2003 0:2302</t>
  </si>
  <si>
    <t>2/24/2003 0:2303</t>
  </si>
  <si>
    <t>2/24/2003 0:2304</t>
  </si>
  <si>
    <t>2/24/2003 0:2305</t>
  </si>
  <si>
    <t>2/24/2003 0:2306</t>
  </si>
  <si>
    <t>2/24/2003 0:2307</t>
  </si>
  <si>
    <t>2/24/2003 0:2308</t>
  </si>
  <si>
    <t>2/24/2003 0:2309</t>
  </si>
  <si>
    <t>2/24/2003 0:2310</t>
  </si>
  <si>
    <t>2/24/2003 0:2311</t>
  </si>
  <si>
    <t>2/24/2003 0:2312</t>
  </si>
  <si>
    <t>2/24/2003 0:2313</t>
  </si>
  <si>
    <t>2/24/2003 0:2314</t>
  </si>
  <si>
    <t>2/24/2003 0:2315</t>
  </si>
  <si>
    <t>2/24/2003 0:2316</t>
  </si>
  <si>
    <t>2/24/2003 0:2317</t>
  </si>
  <si>
    <t>2/24/2003 0:2318</t>
  </si>
  <si>
    <t>2/24/2003 0:2319</t>
  </si>
  <si>
    <t>2/24/2003 0:2320</t>
  </si>
  <si>
    <t>2/24/2003 0:2321</t>
  </si>
  <si>
    <t>2/24/2003 0:2322</t>
  </si>
  <si>
    <t>2/24/2003 0:2323</t>
  </si>
  <si>
    <t>2/24/2003 0:2324</t>
  </si>
  <si>
    <t>2/24/2003 0:2325</t>
  </si>
  <si>
    <t>2/24/2003 0:2326</t>
  </si>
  <si>
    <t>2/24/2003 0:2327</t>
  </si>
  <si>
    <t>2/24/2003 0:2328</t>
  </si>
  <si>
    <t>2/24/2003 0:2329</t>
  </si>
  <si>
    <t>2/24/2003 0:2330</t>
  </si>
  <si>
    <t>2/24/2003 0:2331</t>
  </si>
  <si>
    <t>2/24/2003 0:2332</t>
  </si>
  <si>
    <t>2/24/2003 0:2333</t>
  </si>
  <si>
    <t>2/24/2003 0:2334</t>
  </si>
  <si>
    <t>2/24/2003 0:2335</t>
  </si>
  <si>
    <t>2/24/2003 0:2336</t>
  </si>
  <si>
    <t>2/24/2003 0:2337</t>
  </si>
  <si>
    <t>2/24/2003 0:2338</t>
  </si>
  <si>
    <t>2/24/2003 0:2339</t>
  </si>
  <si>
    <t>2/24/2003 0:2340</t>
  </si>
  <si>
    <t>2/24/2003 0:2341</t>
  </si>
  <si>
    <t>2/24/2003 0:2342</t>
  </si>
  <si>
    <t>2/24/2003 0:2343</t>
  </si>
  <si>
    <t>2/24/2003 0:2344</t>
  </si>
  <si>
    <t>2/24/2003 0:2345</t>
  </si>
  <si>
    <t>2/24/2003 0:2346</t>
  </si>
  <si>
    <t>2/24/2003 0:2347</t>
  </si>
  <si>
    <t>2/24/2003 0:2348</t>
  </si>
  <si>
    <t>2/24/2003 0:2349</t>
  </si>
  <si>
    <t>2/24/2003 0:2350</t>
  </si>
  <si>
    <t>2/24/2003 0:2351</t>
  </si>
  <si>
    <t>2/24/2003 0:2352</t>
  </si>
  <si>
    <t>2/24/2003 0:2353</t>
  </si>
  <si>
    <t>2/24/2003 0:2354</t>
  </si>
  <si>
    <t>2/24/2003 0:2355</t>
  </si>
  <si>
    <t>2/24/2003 0:2356</t>
  </si>
  <si>
    <t>2/24/2003 0:2357</t>
  </si>
  <si>
    <t>2/24/2003 0:2358</t>
  </si>
  <si>
    <t>2/24/2003 0:2359</t>
  </si>
  <si>
    <t>2/24/2003 0:2360</t>
  </si>
  <si>
    <t>2/24/2003 0:2361</t>
  </si>
  <si>
    <t>2/24/2003 0:2362</t>
  </si>
  <si>
    <t>2/24/2003 0:2363</t>
  </si>
  <si>
    <t>2/24/2003 0:2364</t>
  </si>
  <si>
    <t>2/24/2003 0:2365</t>
  </si>
  <si>
    <t>2/24/2003 0:2366</t>
  </si>
  <si>
    <t>2/24/2003 0:2367</t>
  </si>
  <si>
    <t>2/24/2003 0:2368</t>
  </si>
  <si>
    <t>2/24/2003 0:2369</t>
  </si>
  <si>
    <t>2/24/2003 0:2370</t>
  </si>
  <si>
    <t>2/24/2003 0:2371</t>
  </si>
  <si>
    <t>2/24/2003 0:2372</t>
  </si>
  <si>
    <t>2/24/2003 0:2373</t>
  </si>
  <si>
    <t>2/24/2003 0:2374</t>
  </si>
  <si>
    <t>2/24/2003 0:2375</t>
  </si>
  <si>
    <t>2/24/2003 0:2376</t>
  </si>
  <si>
    <t>2/24/2003 0:2377</t>
  </si>
  <si>
    <t>2/24/2003 0:2378</t>
  </si>
  <si>
    <t>2/24/2003 0:2379</t>
  </si>
  <si>
    <t>2/24/2003 0:2380</t>
  </si>
  <si>
    <t>2/24/2003 0:2381</t>
  </si>
  <si>
    <t>2/24/2003 0:2382</t>
  </si>
  <si>
    <t>2/24/2003 0:2383</t>
  </si>
  <si>
    <t>2/24/2003 0:2384</t>
  </si>
  <si>
    <t>2/24/2003 0:2385</t>
  </si>
  <si>
    <t>2/24/2003 0:2386</t>
  </si>
  <si>
    <t>2/24/2003 0:2387</t>
  </si>
  <si>
    <t>2/24/2003 0:2388</t>
  </si>
  <si>
    <t>2/24/2003 0:2389</t>
  </si>
  <si>
    <t>2/24/2003 0:2390</t>
  </si>
  <si>
    <t>2/24/2003 0:2391</t>
  </si>
  <si>
    <t>2/24/2003 0:2392</t>
  </si>
  <si>
    <t>2/24/2003 0:2393</t>
  </si>
  <si>
    <t>2/24/2003 0:2394</t>
  </si>
  <si>
    <t>2/24/2003 0:2395</t>
  </si>
  <si>
    <t>2/24/2003 0:2396</t>
  </si>
  <si>
    <t>2/24/2003 0:2397</t>
  </si>
  <si>
    <t>2/24/2003 0:2398</t>
  </si>
  <si>
    <t>2/24/2003 0:2399</t>
  </si>
  <si>
    <t>2/24/2003 0:2400</t>
  </si>
  <si>
    <t>2/24/2003 0:2401</t>
  </si>
  <si>
    <t>2/24/2003 0:2402</t>
  </si>
  <si>
    <t>2/24/2003 0:2403</t>
  </si>
  <si>
    <t>2/24/2003 0:2404</t>
  </si>
  <si>
    <t>2/24/2003 0:2405</t>
  </si>
  <si>
    <t>2/24/2003 0:2406</t>
  </si>
  <si>
    <t>2/24/2003 0:2407</t>
  </si>
  <si>
    <t>2/24/2003 0:2408</t>
  </si>
  <si>
    <t>2/24/2003 0:2409</t>
  </si>
  <si>
    <t>2/24/2003 0:2410</t>
  </si>
  <si>
    <t>2/24/2003 0:2411</t>
  </si>
  <si>
    <t>2/24/2003 0:2412</t>
  </si>
  <si>
    <t>2/24/2003 0:2413</t>
  </si>
  <si>
    <t>2/24/2003 0:2414</t>
  </si>
  <si>
    <t>2/24/2003 0:2415</t>
  </si>
  <si>
    <t>2/24/2003 0:2416</t>
  </si>
  <si>
    <t>2/24/2003 0:2417</t>
  </si>
  <si>
    <t>2/24/2003 0:2418</t>
  </si>
  <si>
    <t>2/24/2003 0:2419</t>
  </si>
  <si>
    <t>2/24/2003 0:2420</t>
  </si>
  <si>
    <t>2/24/2003 0:2421</t>
  </si>
  <si>
    <t>2/24/2003 0:2422</t>
  </si>
  <si>
    <t>2/24/2003 0:2423</t>
  </si>
  <si>
    <t>2/24/2003 0:2424</t>
  </si>
  <si>
    <t>2/24/2003 0:2425</t>
  </si>
  <si>
    <t>2/24/2003 0:2426</t>
  </si>
  <si>
    <t>2/24/2003 0:2427</t>
  </si>
  <si>
    <t>2/24/2003 0:2428</t>
  </si>
  <si>
    <t>2/24/2003 0:2429</t>
  </si>
  <si>
    <t>2/24/2003 0:2430</t>
  </si>
  <si>
    <t>2/24/2003 0:2431</t>
  </si>
  <si>
    <t>2/24/2003 0:2432</t>
  </si>
  <si>
    <t>2/24/2003 0:2433</t>
  </si>
  <si>
    <t>2/24/2003 0:2434</t>
  </si>
  <si>
    <t>2/24/2003 0:2435</t>
  </si>
  <si>
    <t>2/24/2003 0:2436</t>
  </si>
  <si>
    <t>2/24/2003 0:2437</t>
  </si>
  <si>
    <t>2/24/2003 0:2438</t>
  </si>
  <si>
    <t>2/24/2003 0:2439</t>
  </si>
  <si>
    <t>2/24/2003 0:2440</t>
  </si>
  <si>
    <t>2/24/2003 0:2441</t>
  </si>
  <si>
    <t>2/24/2003 0:2442</t>
  </si>
  <si>
    <t>2/24/2003 0:2443</t>
  </si>
  <si>
    <t>2/24/2003 0:2444</t>
  </si>
  <si>
    <t>2/24/2003 0:2445</t>
  </si>
  <si>
    <t>2/24/2003 0:2446</t>
  </si>
  <si>
    <t>2/24/2003 0:2447</t>
  </si>
  <si>
    <t>2/24/2003 0:2448</t>
  </si>
  <si>
    <t>2/24/2003 0:2449</t>
  </si>
  <si>
    <t>2/24/2003 0:2450</t>
  </si>
  <si>
    <t>2/24/2003 0:2451</t>
  </si>
  <si>
    <t>2/24/2003 0:2452</t>
  </si>
  <si>
    <t>2/24/2003 0:2453</t>
  </si>
  <si>
    <t>2/24/2003 0:2454</t>
  </si>
  <si>
    <t>2/24/2003 0:2455</t>
  </si>
  <si>
    <t>2/24/2003 0:2456</t>
  </si>
  <si>
    <t>2/24/2003 0:2457</t>
  </si>
  <si>
    <t>2/24/2003 0:2458</t>
  </si>
  <si>
    <t>2/24/2003 0:2459</t>
  </si>
  <si>
    <t>2/24/2003 0:2460</t>
  </si>
  <si>
    <t>2/24/2003 0:2461</t>
  </si>
  <si>
    <t>2/24/2003 0:2462</t>
  </si>
  <si>
    <t>2/24/2003 0:2463</t>
  </si>
  <si>
    <t>2/24/2003 0:2464</t>
  </si>
  <si>
    <t>2/24/2003 0:2465</t>
  </si>
  <si>
    <t>2/24/2003 0:2466</t>
  </si>
  <si>
    <t>2/24/2003 0:2467</t>
  </si>
  <si>
    <t>2/24/2003 0:2468</t>
  </si>
  <si>
    <t>2/24/2003 0:2469</t>
  </si>
  <si>
    <t>2/24/2003 0:2470</t>
  </si>
  <si>
    <t>2/24/2003 0:2471</t>
  </si>
  <si>
    <t>2/24/2003 0:2472</t>
  </si>
  <si>
    <t>2/24/2003 0:2473</t>
  </si>
  <si>
    <t>2/24/2003 0:2474</t>
  </si>
  <si>
    <t>2/24/2003 0:2475</t>
  </si>
  <si>
    <t>2/24/2003 0:2476</t>
  </si>
  <si>
    <t>2/24/2003 0:2477</t>
  </si>
  <si>
    <t>2/24/2003 0:2478</t>
  </si>
  <si>
    <t>2/24/2003 0:2479</t>
  </si>
  <si>
    <t>2/24/2003 0:2480</t>
  </si>
  <si>
    <t>2/24/2003 0:2481</t>
  </si>
  <si>
    <t>2/24/2003 0:2482</t>
  </si>
  <si>
    <t>2/24/2003 0:2483</t>
  </si>
  <si>
    <t>2/24/2003 0:2484</t>
  </si>
  <si>
    <t>2/24/2003 0:2485</t>
  </si>
  <si>
    <t>2/24/2003 0:2486</t>
  </si>
  <si>
    <t>2/24/2003 0:2487</t>
  </si>
  <si>
    <t>2/24/2003 0:2488</t>
  </si>
  <si>
    <t>2/24/2003 0:2489</t>
  </si>
  <si>
    <t>2/24/2003 0:2490</t>
  </si>
  <si>
    <t>2/24/2003 0:2491</t>
  </si>
  <si>
    <t>2/24/2003 0:2492</t>
  </si>
  <si>
    <t>2/24/2003 0:2493</t>
  </si>
  <si>
    <t>2/24/2003 0:2494</t>
  </si>
  <si>
    <t>2/24/2003 0:2495</t>
  </si>
  <si>
    <t>2/24/2003 0:2496</t>
  </si>
  <si>
    <t>2/24/2003 0:2497</t>
  </si>
  <si>
    <t>2/24/2003 0:2498</t>
  </si>
  <si>
    <t>2/24/2003 0:2499</t>
  </si>
  <si>
    <t>2/24/2003 0:2500</t>
  </si>
  <si>
    <t>2/24/2003 0:2501</t>
  </si>
  <si>
    <t>2/24/2003 0:2502</t>
  </si>
  <si>
    <t>2/24/2003 0:2503</t>
  </si>
  <si>
    <t>2/24/2003 0:2504</t>
  </si>
  <si>
    <t>2/24/2003 0:2505</t>
  </si>
  <si>
    <t>2/24/2003 0:2506</t>
  </si>
  <si>
    <t>2/24/2003 0:2507</t>
  </si>
  <si>
    <t>2/24/2003 0:2508</t>
  </si>
  <si>
    <t>2/24/2003 0:2509</t>
  </si>
  <si>
    <t>2/24/2003 0:2510</t>
  </si>
  <si>
    <t>2/24/2003 0:2511</t>
  </si>
  <si>
    <t>2/24/2003 0:2512</t>
  </si>
  <si>
    <t>2/24/2003 0:2513</t>
  </si>
  <si>
    <t>2/24/2003 0:2514</t>
  </si>
  <si>
    <t>2/24/2003 0:2515</t>
  </si>
  <si>
    <t>2/24/2003 0:2516</t>
  </si>
  <si>
    <t>2/24/2003 0:2517</t>
  </si>
  <si>
    <t>2/24/2003 0:2518</t>
  </si>
  <si>
    <t>2/24/2003 0:2519</t>
  </si>
  <si>
    <t>2/24/2003 0:2520</t>
  </si>
  <si>
    <t>2/24/2003 0:2521</t>
  </si>
  <si>
    <t>2/24/2003 0:2522</t>
  </si>
  <si>
    <t>2/24/2003 0:2523</t>
  </si>
  <si>
    <t>2/24/2003 0:2524</t>
  </si>
  <si>
    <t>2/24/2003 0:2525</t>
  </si>
  <si>
    <t>2/24/2003 0:2526</t>
  </si>
  <si>
    <t>2/24/2003 0:2527</t>
  </si>
  <si>
    <t>2/24/2003 0:2528</t>
  </si>
  <si>
    <t>2/24/2003 0:2529</t>
  </si>
  <si>
    <t>2/24/2003 0:2530</t>
  </si>
  <si>
    <t>2/24/2003 0:2531</t>
  </si>
  <si>
    <t>2/24/2003 0:2532</t>
  </si>
  <si>
    <t>2/24/2003 0:2533</t>
  </si>
  <si>
    <t>2/24/2003 0:2534</t>
  </si>
  <si>
    <t>2/24/2003 0:2535</t>
  </si>
  <si>
    <t>2/24/2003 0:2536</t>
  </si>
  <si>
    <t>2/24/2003 0:2537</t>
  </si>
  <si>
    <t>2/24/2003 0:2538</t>
  </si>
  <si>
    <t>2/24/2003 0:2539</t>
  </si>
  <si>
    <t>2/24/2003 0:2540</t>
  </si>
  <si>
    <t>2/24/2003 0:2541</t>
  </si>
  <si>
    <t>2/24/2003 0:2542</t>
  </si>
  <si>
    <t>2/24/2003 0:2543</t>
  </si>
  <si>
    <t>2/24/2003 0:2544</t>
  </si>
  <si>
    <t>2/24/2003 0:2545</t>
  </si>
  <si>
    <t>2/24/2003 0:2546</t>
  </si>
  <si>
    <t>2/24/2003 0:2547</t>
  </si>
  <si>
    <t>2/24/2003 0:2548</t>
  </si>
  <si>
    <t>2/24/2003 0:2549</t>
  </si>
  <si>
    <t>2/24/2003 0:2550</t>
  </si>
  <si>
    <t>2/24/2003 0:2551</t>
  </si>
  <si>
    <t>2/24/2003 0:2552</t>
  </si>
  <si>
    <t>2/24/2003 0:2553</t>
  </si>
  <si>
    <t>2/24/2003 0:2554</t>
  </si>
  <si>
    <t>2/24/2003 0:2555</t>
  </si>
  <si>
    <t>2/24/2003 0:2556</t>
  </si>
  <si>
    <t>2/24/2003 0:2557</t>
  </si>
  <si>
    <t>2/24/2003 0:2558</t>
  </si>
  <si>
    <t>2/24/2003 0:2559</t>
  </si>
  <si>
    <t>2/24/2003 0:2560</t>
  </si>
  <si>
    <t>2/24/2003 0:2561</t>
  </si>
  <si>
    <t>2/24/2003 0:2562</t>
  </si>
  <si>
    <t>2/24/2003 0:2563</t>
  </si>
  <si>
    <t>2/24/2003 0:2564</t>
  </si>
  <si>
    <t>2/24/2003 0:2565</t>
  </si>
  <si>
    <t>2/24/2003 0:2566</t>
  </si>
  <si>
    <t>2/24/2003 0:2567</t>
  </si>
  <si>
    <t>2/24/2003 0:2568</t>
  </si>
  <si>
    <t>2/24/2003 0:2569</t>
  </si>
  <si>
    <t>2/24/2003 0:2570</t>
  </si>
  <si>
    <t>2/24/2003 0:2571</t>
  </si>
  <si>
    <t>2/24/2003 0:2572</t>
  </si>
  <si>
    <t>2/24/2003 0:2573</t>
  </si>
  <si>
    <t>2/24/2003 0:2574</t>
  </si>
  <si>
    <t>2/24/2003 0:2575</t>
  </si>
  <si>
    <t>2/24/2003 0:2576</t>
  </si>
  <si>
    <t>2/24/2003 0:2577</t>
  </si>
  <si>
    <t>2/24/2003 0:2578</t>
  </si>
  <si>
    <t>2/24/2003 0:2579</t>
  </si>
  <si>
    <t>2/24/2003 0:2580</t>
  </si>
  <si>
    <t>2/24/2003 0:2581</t>
  </si>
  <si>
    <t>2/24/2003 0:2582</t>
  </si>
  <si>
    <t>2/24/2003 0:2583</t>
  </si>
  <si>
    <t>2/24/2003 0:2584</t>
  </si>
  <si>
    <t>2/24/2003 0:2585</t>
  </si>
  <si>
    <t>2/24/2003 0:2586</t>
  </si>
  <si>
    <t>2/24/2003 0:2587</t>
  </si>
  <si>
    <t>2/24/2003 0:2588</t>
  </si>
  <si>
    <t>2/24/2003 0:2589</t>
  </si>
  <si>
    <t>2/24/2003 0:2590</t>
  </si>
  <si>
    <t>2/24/2003 0:2591</t>
  </si>
  <si>
    <t>2/24/2003 0:2592</t>
  </si>
  <si>
    <t>2/24/2003 0:2593</t>
  </si>
  <si>
    <t>2/24/2003 0:2594</t>
  </si>
  <si>
    <t>2/24/2003 0:2595</t>
  </si>
  <si>
    <t>2/24/2003 0:2596</t>
  </si>
  <si>
    <t>2/24/2003 0:2597</t>
  </si>
  <si>
    <t>2/24/2003 0:2598</t>
  </si>
  <si>
    <t>2/24/2003 0:2599</t>
  </si>
  <si>
    <t>2/24/2003 0:2600</t>
  </si>
  <si>
    <t>2/24/2003 0:2601</t>
  </si>
  <si>
    <t>2/24/2003 0:2602</t>
  </si>
  <si>
    <t>2/24/2003 0:2603</t>
  </si>
  <si>
    <t>2/24/2003 0:2604</t>
  </si>
  <si>
    <t>2/24/2003 0:2605</t>
  </si>
  <si>
    <t>2/24/2003 0:2606</t>
  </si>
  <si>
    <t>2/24/2003 0:2607</t>
  </si>
  <si>
    <t>2/24/2003 0:2608</t>
  </si>
  <si>
    <t>2/24/2003 0:2609</t>
  </si>
  <si>
    <t>2/24/2003 0:2610</t>
  </si>
  <si>
    <t>2/24/2003 0:2611</t>
  </si>
  <si>
    <t>2/24/2003 0:2612</t>
  </si>
  <si>
    <t>2/24/2003 0:2613</t>
  </si>
  <si>
    <t>2/24/2003 0:2614</t>
  </si>
  <si>
    <t>2/24/2003 0:2615</t>
  </si>
  <si>
    <t>2/24/2003 0:2616</t>
  </si>
  <si>
    <t>2/24/2003 0:2617</t>
  </si>
  <si>
    <t>2/24/2003 0:2618</t>
  </si>
  <si>
    <t>2/24/2003 0:2619</t>
  </si>
  <si>
    <t>2/24/2003 0:2620</t>
  </si>
  <si>
    <t>2/24/2003 0:2621</t>
  </si>
  <si>
    <t>2/24/2003 0:2622</t>
  </si>
  <si>
    <t>2/24/2003 0:2623</t>
  </si>
  <si>
    <t>2/24/2003 0:2624</t>
  </si>
  <si>
    <t>2/24/2003 0:2625</t>
  </si>
  <si>
    <t>2/24/2003 0:2626</t>
  </si>
  <si>
    <t>2/24/2003 0:2627</t>
  </si>
  <si>
    <t>2/24/2003 0:2628</t>
  </si>
  <si>
    <t>2/24/2003 0:2629</t>
  </si>
  <si>
    <t>2/24/2003 0:2630</t>
  </si>
  <si>
    <t>2/24/2003 0:2631</t>
  </si>
  <si>
    <t>2/24/2003 0:2632</t>
  </si>
  <si>
    <t>2/24/2003 0:2633</t>
  </si>
  <si>
    <t>2/24/2003 0:2634</t>
  </si>
  <si>
    <t>2/24/2003 0:2635</t>
  </si>
  <si>
    <t>2/24/2003 0:2636</t>
  </si>
  <si>
    <t>2/24/2003 0:2637</t>
  </si>
  <si>
    <t>2/24/2003 0:2638</t>
  </si>
  <si>
    <t>2/24/2003 0:2639</t>
  </si>
  <si>
    <t>2/24/2003 0:2640</t>
  </si>
  <si>
    <t>2/24/2003 0:2641</t>
  </si>
  <si>
    <t>2/24/2003 0:2642</t>
  </si>
  <si>
    <t>2/24/2003 0:2643</t>
  </si>
  <si>
    <t>2/24/2003 0:2644</t>
  </si>
  <si>
    <t>2/24/2003 0:2645</t>
  </si>
  <si>
    <t>2/24/2003 0:2646</t>
  </si>
  <si>
    <t>2/24/2003 0:2647</t>
  </si>
  <si>
    <t>2/24/2003 0:2648</t>
  </si>
  <si>
    <t>2/24/2003 0:2649</t>
  </si>
  <si>
    <t>2/24/2003 0:2650</t>
  </si>
  <si>
    <t>2/24/2003 0:2651</t>
  </si>
  <si>
    <t>2/24/2003 0:2652</t>
  </si>
  <si>
    <t>2/24/2003 0:2653</t>
  </si>
  <si>
    <t>2/24/2003 0:2654</t>
  </si>
  <si>
    <t>2/24/2003 0:2655</t>
  </si>
  <si>
    <t>2/24/2003 0:2656</t>
  </si>
  <si>
    <t>2/24/2003 0:2657</t>
  </si>
  <si>
    <t>2/24/2003 0:2658</t>
  </si>
  <si>
    <t>2/24/2003 0:2659</t>
  </si>
  <si>
    <t>2/24/2003 0:2660</t>
  </si>
  <si>
    <t>2/24/2003 0:2661</t>
  </si>
  <si>
    <t>2/24/2003 0:2662</t>
  </si>
  <si>
    <t>2/24/2003 0:2663</t>
  </si>
  <si>
    <t>2/24/2003 0:2664</t>
  </si>
  <si>
    <t>2/24/2003 0:2665</t>
  </si>
  <si>
    <t>2/24/2003 0:2666</t>
  </si>
  <si>
    <t>2/24/2003 0:2667</t>
  </si>
  <si>
    <t>2/24/2003 0:2668</t>
  </si>
  <si>
    <t>2/24/2003 0:2669</t>
  </si>
  <si>
    <t>2/24/2003 0:2670</t>
  </si>
  <si>
    <t>2/24/2003 0:2671</t>
  </si>
  <si>
    <t>2/24/2003 0:2672</t>
  </si>
  <si>
    <t>2/24/2003 0:2673</t>
  </si>
  <si>
    <t>2/24/2003 0:2674</t>
  </si>
  <si>
    <t>2/24/2003 0:2675</t>
  </si>
  <si>
    <t>2/24/2003 0:2676</t>
  </si>
  <si>
    <t>2/24/2003 0:2677</t>
  </si>
  <si>
    <t>2/24/2003 0:2678</t>
  </si>
  <si>
    <t>2/24/2003 0:2679</t>
  </si>
  <si>
    <t>2/24/2003 0:2680</t>
  </si>
  <si>
    <t>2/24/2003 0:2681</t>
  </si>
  <si>
    <t>2/24/2003 0:2682</t>
  </si>
  <si>
    <t>2/24/2003 0:2683</t>
  </si>
  <si>
    <t>2/24/2003 0:2684</t>
  </si>
  <si>
    <t>2/24/2003 0:2685</t>
  </si>
  <si>
    <t>2/24/2003 0:2686</t>
  </si>
  <si>
    <t>2/24/2003 0:2687</t>
  </si>
  <si>
    <t>2/24/2003 0:2688</t>
  </si>
  <si>
    <t>2/24/2003 0:2689</t>
  </si>
  <si>
    <t>2/24/2003 0:2690</t>
  </si>
  <si>
    <t>2/24/2003 0:2691</t>
  </si>
  <si>
    <t>2/24/2003 0:2692</t>
  </si>
  <si>
    <t>2/24/2003 0:2693</t>
  </si>
  <si>
    <t>2/24/2003 0:2694</t>
  </si>
  <si>
    <t>2/24/2003 0:2695</t>
  </si>
  <si>
    <t>2/24/2003 0:2696</t>
  </si>
  <si>
    <t>2/24/2003 0:2697</t>
  </si>
  <si>
    <t>2/24/2003 0:2698</t>
  </si>
  <si>
    <t>2/24/2003 0:2699</t>
  </si>
  <si>
    <t>2/24/2003 0:2700</t>
  </si>
  <si>
    <t>2/24/2003 0:2701</t>
  </si>
  <si>
    <t>2/24/2003 0:2702</t>
  </si>
  <si>
    <t>2/24/2003 0:2703</t>
  </si>
  <si>
    <t>2/24/2003 0:2704</t>
  </si>
  <si>
    <t>2/24/2003 0:2705</t>
  </si>
  <si>
    <t>2/24/2003 0:2706</t>
  </si>
  <si>
    <t>2/24/2003 0:2707</t>
  </si>
  <si>
    <t>2/24/2003 0:2708</t>
  </si>
  <si>
    <t>2/24/2003 0:2709</t>
  </si>
  <si>
    <t>2/24/2003 0:2710</t>
  </si>
  <si>
    <t>2/24/2003 0:2711</t>
  </si>
  <si>
    <t>2/24/2003 0:2712</t>
  </si>
  <si>
    <t>2/24/2003 0:2713</t>
  </si>
  <si>
    <t>2/24/2003 0:2714</t>
  </si>
  <si>
    <t>2/24/2003 0:2715</t>
  </si>
  <si>
    <t>2/24/2003 0:2716</t>
  </si>
  <si>
    <t>2/24/2003 0:2717</t>
  </si>
  <si>
    <t>2/24/2003 0:2718</t>
  </si>
  <si>
    <t>2/24/2003 0:2719</t>
  </si>
  <si>
    <t>2/24/2003 0:2720</t>
  </si>
  <si>
    <t>2/24/2003 0:2721</t>
  </si>
  <si>
    <t>2/24/2003 0:2722</t>
  </si>
  <si>
    <t>2/24/2003 0:2723</t>
  </si>
  <si>
    <t>2/24/2003 0:2724</t>
  </si>
  <si>
    <t>2/24/2003 0:2725</t>
  </si>
  <si>
    <t>2/24/2003 0:2726</t>
  </si>
  <si>
    <t>2/24/2003 0:2727</t>
  </si>
  <si>
    <t>2/24/2003 0:2728</t>
  </si>
  <si>
    <t>2/24/2003 0:2729</t>
  </si>
  <si>
    <t>2/24/2003 0:2730</t>
  </si>
  <si>
    <t>2/24/2003 0:2731</t>
  </si>
  <si>
    <t>2/24/2003 0:2732</t>
  </si>
  <si>
    <t>2/24/2003 0:2733</t>
  </si>
  <si>
    <t>2/24/2003 0:2734</t>
  </si>
  <si>
    <t>2/24/2003 0:2735</t>
  </si>
  <si>
    <t>2/24/2003 0:2736</t>
  </si>
  <si>
    <t>2/24/2003 0:2737</t>
  </si>
  <si>
    <t>2/24/2003 0:2738</t>
  </si>
  <si>
    <t>2/24/2003 0:2739</t>
  </si>
  <si>
    <t>2/24/2003 0:2740</t>
  </si>
  <si>
    <t>2/24/2003 0:2741</t>
  </si>
  <si>
    <t>2/24/2003 0:2742</t>
  </si>
  <si>
    <t>2/24/2003 0:2743</t>
  </si>
  <si>
    <t>2/24/2003 0:2744</t>
  </si>
  <si>
    <t>2/24/2003 0:2745</t>
  </si>
  <si>
    <t>2/24/2003 0:2746</t>
  </si>
  <si>
    <t>2/24/2003 0:2747</t>
  </si>
  <si>
    <t>2/24/2003 0:2748</t>
  </si>
  <si>
    <t>2/24/2003 0:2749</t>
  </si>
  <si>
    <t>2/24/2003 0:2750</t>
  </si>
  <si>
    <t>2/24/2003 0:2751</t>
  </si>
  <si>
    <t>2/24/2003 0:2752</t>
  </si>
  <si>
    <t>2/24/2003 0:2753</t>
  </si>
  <si>
    <t>2/24/2003 0:2754</t>
  </si>
  <si>
    <t>2/24/2003 0:2755</t>
  </si>
  <si>
    <t>2/24/2003 0:2756</t>
  </si>
  <si>
    <t>2/24/2003 0:2757</t>
  </si>
  <si>
    <t>2/24/2003 0:2758</t>
  </si>
  <si>
    <t>2/24/2003 0:2759</t>
  </si>
  <si>
    <t>2/24/2003 0:2760</t>
  </si>
  <si>
    <t>2/24/2003 0:2761</t>
  </si>
  <si>
    <t>2/24/2003 0:2762</t>
  </si>
  <si>
    <t>2/24/2003 0:2763</t>
  </si>
  <si>
    <t>2/24/2003 0:2764</t>
  </si>
  <si>
    <t>2/24/2003 0:2765</t>
  </si>
  <si>
    <t>2/24/2003 0:2766</t>
  </si>
  <si>
    <t>2/24/2003 0:2767</t>
  </si>
  <si>
    <t>2/24/2003 0:2768</t>
  </si>
  <si>
    <t>2/24/2003 0:2769</t>
  </si>
  <si>
    <t>2/24/2003 0:2770</t>
  </si>
  <si>
    <t>2/24/2003 0:2771</t>
  </si>
  <si>
    <t>2/24/2003 0:2772</t>
  </si>
  <si>
    <t>2/24/2003 0:2773</t>
  </si>
  <si>
    <t>2/24/2003 0:2774</t>
  </si>
  <si>
    <t>2/24/2003 0:2775</t>
  </si>
  <si>
    <t>2/24/2003 0:2776</t>
  </si>
  <si>
    <t>2/24/2003 0:2777</t>
  </si>
  <si>
    <t>2/24/2003 0:2778</t>
  </si>
  <si>
    <t>2/24/2003 0:2779</t>
  </si>
  <si>
    <t>2/24/2003 0:2780</t>
  </si>
  <si>
    <t>2/24/2003 0:2781</t>
  </si>
  <si>
    <t>2/24/2003 0:2782</t>
  </si>
  <si>
    <t>2/24/2003 0:2783</t>
  </si>
  <si>
    <t>2/24/2003 0:2784</t>
  </si>
  <si>
    <t>2/24/2003 0:2785</t>
  </si>
  <si>
    <t>2/24/2003 0:2786</t>
  </si>
  <si>
    <t>2/24/2003 0:2787</t>
  </si>
  <si>
    <t>2/24/2003 0:2788</t>
  </si>
  <si>
    <t>2/24/2003 0:2789</t>
  </si>
  <si>
    <t>2/24/2003 0:2790</t>
  </si>
  <si>
    <t>2/24/2003 0:2791</t>
  </si>
  <si>
    <t>2/24/2003 0:2792</t>
  </si>
  <si>
    <t>2/24/2003 0:2793</t>
  </si>
  <si>
    <t>2/24/2003 0:2794</t>
  </si>
  <si>
    <t>2/24/2003 0:2795</t>
  </si>
  <si>
    <t>2/24/2003 0:2796</t>
  </si>
  <si>
    <t>2/24/2003 0:2797</t>
  </si>
  <si>
    <t>2/24/2003 0:2798</t>
  </si>
  <si>
    <t>2/24/2003 0:2799</t>
  </si>
  <si>
    <t>2/24/2003 0:2800</t>
  </si>
  <si>
    <t>2/24/2003 0:2801</t>
  </si>
  <si>
    <t>2/24/2003 0:2802</t>
  </si>
  <si>
    <t>2/24/2003 0:2803</t>
  </si>
  <si>
    <t>2/24/2003 0:2804</t>
  </si>
  <si>
    <t>2/24/2003 0:2805</t>
  </si>
  <si>
    <t>2/24/2003 0:2806</t>
  </si>
  <si>
    <t>2/24/2003 0:2807</t>
  </si>
  <si>
    <t>2/24/2003 0:2808</t>
  </si>
  <si>
    <t>2/24/2003 0:2809</t>
  </si>
  <si>
    <t>2/24/2003 0:2810</t>
  </si>
  <si>
    <t>2/24/2003 0:2811</t>
  </si>
  <si>
    <t>2/24/2003 0:2812</t>
  </si>
  <si>
    <t>2/24/2003 0:2813</t>
  </si>
  <si>
    <t>2/24/2003 0:2814</t>
  </si>
  <si>
    <t>2/24/2003 0:2815</t>
  </si>
  <si>
    <t>2/24/2003 0:2816</t>
  </si>
  <si>
    <t>2/24/2003 0:2817</t>
  </si>
  <si>
    <t>2/24/2003 0:2818</t>
  </si>
  <si>
    <t>2/24/2003 0:2819</t>
  </si>
  <si>
    <t>2/24/2003 0:2820</t>
  </si>
  <si>
    <t>2/24/2003 0:2821</t>
  </si>
  <si>
    <t>2/24/2003 0:2822</t>
  </si>
  <si>
    <t>status_proper</t>
  </si>
  <si>
    <t>city_proper</t>
  </si>
  <si>
    <t>country_proper</t>
  </si>
  <si>
    <t>sales_status</t>
  </si>
  <si>
    <t>OVERALL PERFORMANCE</t>
  </si>
  <si>
    <t>1. What is the total sales generated across all orders?</t>
  </si>
  <si>
    <t>2. What is the total quantity ordered across all transactions?</t>
  </si>
  <si>
    <t>TIME-BASED ANALYSIS</t>
  </si>
  <si>
    <t>3. What are the total sales by year?</t>
  </si>
  <si>
    <t>4. Which year recorded the highest total sales?</t>
  </si>
  <si>
    <t>5. How do sales trend month-wise across years?</t>
  </si>
  <si>
    <t>6. Which quarter has the highest total sales?</t>
  </si>
  <si>
    <t>LOCATION-BASED ANALYSIS</t>
  </si>
  <si>
    <t>7. Which country generated the highest total sales?</t>
  </si>
  <si>
    <t>8. What is the sales distribution by country?</t>
  </si>
  <si>
    <t>9. Which cities contribute the most to total sales?</t>
  </si>
  <si>
    <t>PRODUCT ANALYSIS</t>
  </si>
  <si>
    <t>10. Which product line contributes the most to total sales?</t>
  </si>
  <si>
    <t>11. What is the average sales value by product line?</t>
  </si>
  <si>
    <t>12. Which product line has the highest number of orders?</t>
  </si>
  <si>
    <t>STATUS &amp; DERIVED</t>
  </si>
  <si>
    <t>13. What is the total sales for High vs Low sales categories?</t>
  </si>
  <si>
    <t>14. How many orders are Completed versus Pending?</t>
  </si>
  <si>
    <t>15. Which countries have the highest number of completed orders?</t>
  </si>
  <si>
    <t>BUSINESS INSIGHTS</t>
  </si>
  <si>
    <t>16. Which year has the highest number of completed orders?</t>
  </si>
  <si>
    <t>17. Which product lines perform best in terms of completed orders?</t>
  </si>
  <si>
    <t>18. Is there a visible relationship between deal size and total sales?</t>
  </si>
  <si>
    <t>Sum of SALES</t>
  </si>
  <si>
    <t>Row Labels</t>
  </si>
  <si>
    <t>Grand Total</t>
  </si>
  <si>
    <t>Column Labels</t>
  </si>
  <si>
    <t>Sum of QUANTITYORDERED</t>
  </si>
  <si>
    <t>HIGHEST SALE DISTRIBUTION OF COUNTRY</t>
  </si>
  <si>
    <t>Hghest sale of city</t>
  </si>
  <si>
    <t>highest contribution of product in sale</t>
  </si>
  <si>
    <t>Average of SALES</t>
  </si>
  <si>
    <t>higest sale by a product</t>
  </si>
  <si>
    <t>high sales</t>
  </si>
  <si>
    <t>low sales</t>
  </si>
  <si>
    <t>high sale and low sale satus</t>
  </si>
  <si>
    <t>status_check</t>
  </si>
  <si>
    <t>completed</t>
  </si>
  <si>
    <t>not completed</t>
  </si>
  <si>
    <t>Sum of ORDERNUMBER</t>
  </si>
  <si>
    <t>Count of ORDERNUMBER</t>
  </si>
  <si>
    <t>country_update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</si>
  <si>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</si>
  <si>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</si>
  <si>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</si>
  <si>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</si>
  <si>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</si>
  <si>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</si>
  <si>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</si>
  <si>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</si>
  <si>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IRELAND</t>
  </si>
  <si>
    <t>ITALY</t>
  </si>
  <si>
    <t>JAPAN</t>
  </si>
  <si>
    <t>NORWAY</t>
  </si>
  <si>
    <t>PHILIPPINES</t>
  </si>
  <si>
    <t>SINGAPORE</t>
  </si>
  <si>
    <t>SPAIN</t>
  </si>
  <si>
    <t>SWEDEN</t>
  </si>
  <si>
    <t>SWITZERLAND</t>
  </si>
  <si>
    <r>
      <t xml:space="preserve">1️⃣ </t>
    </r>
    <r>
      <rPr>
        <i/>
        <sz val="14"/>
        <color theme="1"/>
        <rFont val="Aptos Narrow"/>
        <family val="2"/>
        <scheme val="minor"/>
      </rPr>
      <t>Medium-sized deals generate the highest total sales.</t>
    </r>
  </si>
  <si>
    <r>
      <t xml:space="preserve">2️⃣ </t>
    </r>
    <r>
      <rPr>
        <i/>
        <sz val="14"/>
        <color theme="1"/>
        <rFont val="Aptos Narrow"/>
        <family val="2"/>
        <scheme val="minor"/>
      </rPr>
      <t>A few countries contribute a majority of total revenue.</t>
    </r>
  </si>
  <si>
    <r>
      <t xml:space="preserve">3️⃣ </t>
    </r>
    <r>
      <rPr>
        <i/>
        <sz val="14"/>
        <color theme="1"/>
        <rFont val="Aptos Narrow"/>
        <family val="2"/>
        <scheme val="minor"/>
      </rPr>
      <t>Order completion rate is high (~92%), indicating strong operations.</t>
    </r>
  </si>
  <si>
    <r>
      <t xml:space="preserve">4️⃣ </t>
    </r>
    <r>
      <rPr>
        <i/>
        <sz val="14"/>
        <color theme="1"/>
        <rFont val="Aptos Narrow"/>
        <family val="2"/>
        <scheme val="minor"/>
      </rPr>
      <t>Sales show variation across years, suggesting seasonality.</t>
    </r>
  </si>
  <si>
    <r>
      <t xml:space="preserve">5️⃣ </t>
    </r>
    <r>
      <rPr>
        <i/>
        <sz val="14"/>
        <color theme="1"/>
        <rFont val="Aptos Narrow"/>
        <family val="2"/>
        <scheme val="minor"/>
      </rPr>
      <t>Certain product lines consistently outperform others.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</si>
</sst>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9" fontId="0" fillId="0" borderId="0" xfId="1" applyFont="1"/>
    <xf numFmtId="0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[sales-performance-analysis-excel.xlsx]pivot_overall_perfromance!PivotTable1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pivot_overall_perfromance!$A$1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pivot_overall_perfromance!$A$2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pivot_overall_perfromance!$A$2</c:f>
              <c:numCache>
                <c:formatCode>General</c:formatCode>
                <c:ptCount val="1"/>
                <c:pt idx="0">
                  <c:v>10032628.850000011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4-439D-9956-F5BFCD010E62}"/>
            </c:ext>
          </c:extLst>
        </c:ser>
        <c:ser>
          <c:idx val="1"/>
          <c:order val="1"/>
          <c:tx>
            <c:strRef>
              <c:f>pivot_overall_perfromance!$B$1</c:f>
              <c:strCache>
                <c:ptCount val="1"/>
                <c:pt idx="0">
                  <c:v>Sum of QUANTITYORDERED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pivot_overall_perfromance!$A$2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pivot_overall_perfromance!$B$2</c:f>
              <c:numCache>
                <c:formatCode>General</c:formatCode>
                <c:ptCount val="1"/>
                <c:pt idx="0">
                  <c:v>99067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C4-439D-9956-F5BFCD010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83103"/>
        <c:axId val="138883583"/>
      </c:barChart>
      <c:catAx>
        <c:axId val="13888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3583"/>
        <c:crosses val="autoZero"/>
        <c:auto val="1"/>
        <c:lblAlgn val="ctr"/>
        <c:lblOffset val="100"/>
        <c:noMultiLvlLbl val="0"/>
      </c:catAx>
      <c:valAx>
        <c:axId val="1388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[sales-performance-analysis-excel.xlsx]PIVOT_YEAR_WISE!PivotTable2</c:name>
    <c:fmtId val="0"/>
  </c:pivotSource>
  <c:chart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PIVOT_YEAR_WISE!$B$1:$B$2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PIVOT_YEAR_WISE!$A$3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PIVOT_YEAR_WISE!$B$3</c:f>
              <c:numCache>
                <c:formatCode>General</c:formatCode>
                <c:ptCount val="1"/>
                <c:pt idx="0">
                  <c:v>3516979.540000001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D-45F7-A1B2-CB30D4F7E59C}"/>
            </c:ext>
          </c:extLst>
        </c:ser>
        <c:ser>
          <c:idx val="1"/>
          <c:order val="1"/>
          <c:tx>
            <c:strRef>
              <c:f>PIVOT_YEAR_WISE!$C$1:$C$2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PIVOT_YEAR_WISE!$A$3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PIVOT_YEAR_WISE!$C$3</c:f>
              <c:numCache>
                <c:formatCode>General</c:formatCode>
                <c:ptCount val="1"/>
                <c:pt idx="0">
                  <c:v>4724162.5999999968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6D-45F7-A1B2-CB30D4F7E59C}"/>
            </c:ext>
          </c:extLst>
        </c:ser>
        <c:ser>
          <c:idx val="2"/>
          <c:order val="2"/>
          <c:tx>
            <c:strRef>
              <c:f>PIVOT_YEAR_WISE!$D$1:$D$2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PIVOT_YEAR_WISE!$A$3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PIVOT_YEAR_WISE!$D$3</c:f>
              <c:numCache>
                <c:formatCode>General</c:formatCode>
                <c:ptCount val="1"/>
                <c:pt idx="0">
                  <c:v>1791486.71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6D-45F7-A1B2-CB30D4F7E5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1433727"/>
        <c:axId val="1981434207"/>
      </c:lineChart>
      <c:catAx>
        <c:axId val="198143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434207"/>
        <c:crosses val="autoZero"/>
        <c:auto val="1"/>
        <c:lblAlgn val="ctr"/>
        <c:lblOffset val="100"/>
        <c:noMultiLvlLbl val="0"/>
      </c:catAx>
      <c:valAx>
        <c:axId val="198143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43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13945852418014"/>
          <c:y val="0.38570501603966173"/>
          <c:w val="0.15296778463103672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[sales-performance-analysis-excel.xlsx]pivot_product_wise!PivotTable9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pivot_product_wise!$B$1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pivot_product_wise!$A$2:$A$9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pivot_product_wise!$B$2:$B$9</c:f>
              <c:numCache>
                <c:formatCode>General</c:formatCode>
                <c:ptCount val="7"/>
                <c:pt idx="0">
                  <c:v>4053.3771044467394</c:v>
                </c:pt>
                <c:pt idx="1">
                  <c:v>3523.8318429003029</c:v>
                </c:pt>
                <c:pt idx="2">
                  <c:v>3186.2861764705885</c:v>
                </c:pt>
                <c:pt idx="3">
                  <c:v>3053.1501282051281</c:v>
                </c:pt>
                <c:pt idx="4">
                  <c:v>2938.2268831168826</c:v>
                </c:pt>
                <c:pt idx="5">
                  <c:v>3746.8100996677726</c:v>
                </c:pt>
                <c:pt idx="6">
                  <c:v>3135.3391103789113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0-4101-965E-365E0738B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942831"/>
        <c:axId val="139943311"/>
      </c:barChart>
      <c:catAx>
        <c:axId val="139942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3311"/>
        <c:crosses val="autoZero"/>
        <c:auto val="1"/>
        <c:lblAlgn val="ctr"/>
        <c:lblOffset val="100"/>
        <c:noMultiLvlLbl val="0"/>
      </c:catAx>
      <c:valAx>
        <c:axId val="13994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[sales-performance-analysis-excel.xlsx]pivot_order!PivotTable1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pivot_order!$D$5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pivot_order!$D$5</c:f>
              <c:numCache>
                <c:formatCode>General</c:formatCode>
                <c:ptCount val="1"/>
                <c:pt idx="0">
                  <c:v>99067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3-478C-8B3D-D16CEDA04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239599"/>
        <c:axId val="251243919"/>
      </c:barChart>
      <c:catAx>
        <c:axId val="25123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43919"/>
        <c:crosses val="autoZero"/>
        <c:auto val="1"/>
        <c:lblAlgn val="ctr"/>
        <c:lblOffset val="100"/>
        <c:noMultiLvlLbl val="0"/>
      </c:catAx>
      <c:valAx>
        <c:axId val="251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3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[sales-performance-analysis-excel.xlsx]pivot_complted_country!PivotTable25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pivot_complted_country!$B$1:$B$2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pivot_complted_country!$B$3:$B$5</c:f>
              <c:numCache>
                <c:formatCode>General</c:formatCode>
                <c:ptCount val="2"/>
                <c:pt idx="0">
                  <c:v>167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6-4F8B-824B-14D16BAD3D7F}"/>
            </c:ext>
          </c:extLst>
        </c:ser>
        <c:ser>
          <c:idx val="1"/>
          <c:order val="1"/>
          <c:tx>
            <c:strRef>
              <c:f>pivot_complted_country!$C$1:$C$2</c:f>
              <c:strCache>
                <c:ptCount val="1"/>
                <c:pt idx="0">
                  <c:v>AUSTRIA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pivot_complted_country!$C$3:$C$5</c:f>
              <c:numCache>
                <c:formatCode>General</c:formatCode>
                <c:ptCount val="2"/>
                <c:pt idx="0">
                  <c:v>47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96-4F8B-824B-14D16BAD3D7F}"/>
            </c:ext>
          </c:extLst>
        </c:ser>
        <c:ser>
          <c:idx val="2"/>
          <c:order val="2"/>
          <c:tx>
            <c:strRef>
              <c:f>pivot_complted_country!$D$1:$D$2</c:f>
              <c:strCache>
                <c:ptCount val="1"/>
                <c:pt idx="0">
                  <c:v>BELGIUM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pivot_complted_country!$D$3:$D$5</c:f>
              <c:numCache>
                <c:formatCode>General</c:formatCode>
                <c:ptCount val="2"/>
                <c:pt idx="0">
                  <c:v>28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96-4F8B-824B-14D16BAD3D7F}"/>
            </c:ext>
          </c:extLst>
        </c:ser>
        <c:ser>
          <c:idx val="3"/>
          <c:order val="3"/>
          <c:tx>
            <c:strRef>
              <c:f>pivot_complted_country!$E$1:$E$2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pivot_complted_country!$E$3:$E$5</c:f>
              <c:numCache>
                <c:formatCode>General</c:formatCode>
                <c:ptCount val="2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96-4F8B-824B-14D16BAD3D7F}"/>
            </c:ext>
          </c:extLst>
        </c:ser>
        <c:ser>
          <c:idx val="4"/>
          <c:order val="4"/>
          <c:tx>
            <c:strRef>
              <c:f>pivot_complted_country!$F$1:$F$2</c:f>
              <c:strCache>
                <c:ptCount val="1"/>
                <c:pt idx="0">
                  <c:v>DENMARK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pivot_complted_country!$F$3:$F$5</c:f>
              <c:numCache>
                <c:formatCode>General</c:formatCode>
                <c:ptCount val="2"/>
                <c:pt idx="0">
                  <c:v>52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96-4F8B-824B-14D16BAD3D7F}"/>
            </c:ext>
          </c:extLst>
        </c:ser>
        <c:ser>
          <c:idx val="5"/>
          <c:order val="5"/>
          <c:tx>
            <c:strRef>
              <c:f>pivot_complted_country!$G$1:$G$2</c:f>
              <c:strCache>
                <c:ptCount val="1"/>
                <c:pt idx="0">
                  <c:v>FINLAND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pivot_complted_country!$G$3:$G$5</c:f>
              <c:numCache>
                <c:formatCode>General</c:formatCode>
                <c:ptCount val="2"/>
                <c:pt idx="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96-4F8B-824B-14D16BAD3D7F}"/>
            </c:ext>
          </c:extLst>
        </c:ser>
        <c:ser>
          <c:idx val="6"/>
          <c:order val="6"/>
          <c:tx>
            <c:strRef>
              <c:f>pivot_complted_country!$H$1:$H$2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pivot_complted_country!$H$3:$H$5</c:f>
              <c:numCache>
                <c:formatCode>General</c:formatCode>
                <c:ptCount val="2"/>
                <c:pt idx="0">
                  <c:v>301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96-4F8B-824B-14D16BAD3D7F}"/>
            </c:ext>
          </c:extLst>
        </c:ser>
        <c:ser>
          <c:idx val="7"/>
          <c:order val="7"/>
          <c:tx>
            <c:strRef>
              <c:f>pivot_complted_country!$I$1:$I$2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pivot_complted_country!$I$3:$I$5</c:f>
              <c:numCache>
                <c:formatCode>General</c:formatCode>
                <c:ptCount val="2"/>
                <c:pt idx="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96-4F8B-824B-14D16BAD3D7F}"/>
            </c:ext>
          </c:extLst>
        </c:ser>
        <c:ser>
          <c:idx val="8"/>
          <c:order val="8"/>
          <c:tx>
            <c:strRef>
              <c:f>pivot_complted_country!$J$1:$J$2</c:f>
              <c:strCache>
                <c:ptCount val="1"/>
                <c:pt idx="0">
                  <c:v>IRELAND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pivot_complted_country!$J$3:$J$5</c:f>
              <c:numCache>
                <c:formatCode>General</c:formatCode>
                <c:ptCount val="2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396-4F8B-824B-14D16BAD3D7F}"/>
            </c:ext>
          </c:extLst>
        </c:ser>
        <c:ser>
          <c:idx val="9"/>
          <c:order val="9"/>
          <c:tx>
            <c:strRef>
              <c:f>pivot_complted_country!$K$1:$K$2</c:f>
              <c:strCache>
                <c:ptCount val="1"/>
                <c:pt idx="0">
                  <c:v>ITALY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pivot_complted_country!$K$3:$K$5</c:f>
              <c:numCache>
                <c:formatCode>General</c:formatCode>
                <c:ptCount val="2"/>
                <c:pt idx="0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96-4F8B-824B-14D16BAD3D7F}"/>
            </c:ext>
          </c:extLst>
        </c:ser>
        <c:ser>
          <c:idx val="10"/>
          <c:order val="10"/>
          <c:tx>
            <c:strRef>
              <c:f>pivot_complted_country!$L$1:$L$2</c:f>
              <c:strCache>
                <c:ptCount val="1"/>
                <c:pt idx="0">
                  <c:v>JAPAN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pivot_complted_country!$L$3:$L$5</c:f>
              <c:numCache>
                <c:formatCode>General</c:formatCode>
                <c:ptCount val="2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396-4F8B-824B-14D16BAD3D7F}"/>
            </c:ext>
          </c:extLst>
        </c:ser>
        <c:ser>
          <c:idx val="11"/>
          <c:order val="11"/>
          <c:tx>
            <c:strRef>
              <c:f>pivot_complted_country!$M$1:$M$2</c:f>
              <c:strCache>
                <c:ptCount val="1"/>
                <c:pt idx="0">
                  <c:v>NORWAY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pivot_complted_country!$M$3:$M$5</c:f>
              <c:numCache>
                <c:formatCode>General</c:formatCode>
                <c:ptCount val="2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96-4F8B-824B-14D16BAD3D7F}"/>
            </c:ext>
          </c:extLst>
        </c:ser>
        <c:ser>
          <c:idx val="12"/>
          <c:order val="12"/>
          <c:tx>
            <c:strRef>
              <c:f>pivot_complted_country!$N$1:$N$2</c:f>
              <c:strCache>
                <c:ptCount val="1"/>
                <c:pt idx="0">
                  <c:v>PHILIPPINES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pivot_complted_country!$N$3:$N$5</c:f>
              <c:numCache>
                <c:formatCode>General</c:formatCode>
                <c:ptCount val="2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396-4F8B-824B-14D16BAD3D7F}"/>
            </c:ext>
          </c:extLst>
        </c:ser>
        <c:ser>
          <c:idx val="13"/>
          <c:order val="13"/>
          <c:tx>
            <c:strRef>
              <c:f>pivot_complted_country!$O$1:$O$2</c:f>
              <c:strCache>
                <c:ptCount val="1"/>
                <c:pt idx="0">
                  <c:v>SINGAPORE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pivot_complted_country!$O$3:$O$5</c:f>
              <c:numCache>
                <c:formatCode>General</c:formatCode>
                <c:ptCount val="2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396-4F8B-824B-14D16BAD3D7F}"/>
            </c:ext>
          </c:extLst>
        </c:ser>
        <c:ser>
          <c:idx val="14"/>
          <c:order val="14"/>
          <c:tx>
            <c:strRef>
              <c:f>pivot_complted_country!$P$1:$P$2</c:f>
              <c:strCache>
                <c:ptCount val="1"/>
                <c:pt idx="0">
                  <c:v>SPAIN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pivot_complted_country!$P$3:$P$5</c:f>
              <c:numCache>
                <c:formatCode>General</c:formatCode>
                <c:ptCount val="2"/>
                <c:pt idx="0">
                  <c:v>296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396-4F8B-824B-14D16BAD3D7F}"/>
            </c:ext>
          </c:extLst>
        </c:ser>
        <c:ser>
          <c:idx val="15"/>
          <c:order val="15"/>
          <c:tx>
            <c:strRef>
              <c:f>pivot_complted_country!$Q$1:$Q$2</c:f>
              <c:strCache>
                <c:ptCount val="1"/>
                <c:pt idx="0">
                  <c:v>SWEDEN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pivot_complted_country!$Q$3:$Q$5</c:f>
              <c:numCache>
                <c:formatCode>General</c:formatCode>
                <c:ptCount val="2"/>
                <c:pt idx="0">
                  <c:v>35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396-4F8B-824B-14D16BAD3D7F}"/>
            </c:ext>
          </c:extLst>
        </c:ser>
        <c:ser>
          <c:idx val="16"/>
          <c:order val="16"/>
          <c:tx>
            <c:strRef>
              <c:f>pivot_complted_country!$R$1:$R$2</c:f>
              <c:strCache>
                <c:ptCount val="1"/>
                <c:pt idx="0">
                  <c:v>SWITZERLAND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pivot_complted_country!$R$3:$R$5</c:f>
              <c:numCache>
                <c:formatCode>General</c:formatCode>
                <c:ptCount val="2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396-4F8B-824B-14D16BAD3D7F}"/>
            </c:ext>
          </c:extLst>
        </c:ser>
        <c:ser>
          <c:idx val="17"/>
          <c:order val="17"/>
          <c:tx>
            <c:strRef>
              <c:f>pivot_complted_country!$S$1:$S$2</c:f>
              <c:strCache>
                <c:ptCount val="1"/>
                <c:pt idx="0">
                  <c:v>UK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pivot_complted_country!$S$3:$S$5</c:f>
              <c:numCache>
                <c:formatCode>General</c:formatCode>
                <c:ptCount val="2"/>
                <c:pt idx="0">
                  <c:v>130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396-4F8B-824B-14D16BAD3D7F}"/>
            </c:ext>
          </c:extLst>
        </c:ser>
        <c:ser>
          <c:idx val="18"/>
          <c:order val="18"/>
          <c:tx>
            <c:strRef>
              <c:f>pivot_complted_country!$T$1:$T$2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pivot_complted_country!$T$3:$T$5</c:f>
              <c:numCache>
                <c:formatCode>General</c:formatCode>
                <c:ptCount val="2"/>
                <c:pt idx="0">
                  <c:v>935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396-4F8B-824B-14D16BAD3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93708127"/>
        <c:axId val="1993709087"/>
      </c:barChart>
      <c:catAx>
        <c:axId val="199370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709087"/>
        <c:crosses val="autoZero"/>
        <c:auto val="1"/>
        <c:lblAlgn val="ctr"/>
        <c:lblOffset val="100"/>
        <c:noMultiLvlLbl val="0"/>
      </c:catAx>
      <c:valAx>
        <c:axId val="199370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70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[sales-performance-analysis-excel.xlsx]pivot_visible_relation!PivotTable27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pivot_visible_relation!$C$1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pivot_visible_relation!$B$2:$B$5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pivot_visible_relation!$C$2:$C$5</c:f>
              <c:numCache>
                <c:formatCode>General</c:formatCode>
                <c:ptCount val="3"/>
                <c:pt idx="0">
                  <c:v>1302119.2600000007</c:v>
                </c:pt>
                <c:pt idx="1">
                  <c:v>6087432.2400000058</c:v>
                </c:pt>
                <c:pt idx="2">
                  <c:v>2643077.3499999968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5-45BA-8A83-9E24FDED9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113239295"/>
        <c:axId val="1113244575"/>
      </c:barChart>
      <c:catAx>
        <c:axId val="111323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44575"/>
        <c:crosses val="autoZero"/>
        <c:auto val="1"/>
        <c:lblAlgn val="ctr"/>
        <c:lblOffset val="100"/>
        <c:noMultiLvlLbl val="0"/>
      </c:catAx>
      <c:valAx>
        <c:axId val="111324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3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46456692913386"/>
          <c:y val="5.0925925925925923E-2"/>
        </c:manualLayout>
      </c:layout>
      <c:overlay val="0"/>
      <c:spPr>
        <a:noFill/>
        <a:ln>
          <a:solidFill>
            <a:schemeClr val="accent1">
              <a:shade val="1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pivot_percentage_completed!$D$2:$D$3</c:f>
              <c:numCache>
                <c:formatCode>0%</c:formatCode>
                <c:ptCount val="2"/>
                <c:pt idx="0">
                  <c:v>0.92263821454167383</c:v>
                </c:pt>
                <c:pt idx="1">
                  <c:v>7.7361785458326185E-2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C-47F0-8B0E-B7DB716D5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[sales-performance-analysis-excel.xlsx]PIVOT_YEAR_WISE!PivotTable2</c:name>
    <c:fmtId val="5"/>
  </c:pivotSource>
  <c:chart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739875412866286"/>
          <c:y val="0.22675766050063709"/>
          <c:w val="0.59237570284037211"/>
          <c:h val="0.65565313279274307"/>
        </c:manualLayout>
      </c:layout>
      <c:lineChart>
        <c:grouping val="standard"/>
        <c:varyColors val="0"/>
        <c:ser>
          <c:idx val="0"/>
          <c:order val="0"/>
          <c:tx>
            <c:strRef>
              <c:f>PIVOT_YEAR_WISE!$B$1:$B$2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PIVOT_YEAR_WISE!$A$3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PIVOT_YEAR_WISE!$B$3</c:f>
              <c:numCache>
                <c:formatCode>General</c:formatCode>
                <c:ptCount val="1"/>
                <c:pt idx="0">
                  <c:v>3516979.540000001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F-44F7-8EAC-EF1960F43203}"/>
            </c:ext>
          </c:extLst>
        </c:ser>
        <c:ser>
          <c:idx val="1"/>
          <c:order val="1"/>
          <c:tx>
            <c:strRef>
              <c:f>PIVOT_YEAR_WISE!$C$1:$C$2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PIVOT_YEAR_WISE!$A$3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PIVOT_YEAR_WISE!$C$3</c:f>
              <c:numCache>
                <c:formatCode>General</c:formatCode>
                <c:ptCount val="1"/>
                <c:pt idx="0">
                  <c:v>4724162.5999999968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3F-44F7-8EAC-EF1960F43203}"/>
            </c:ext>
          </c:extLst>
        </c:ser>
        <c:ser>
          <c:idx val="2"/>
          <c:order val="2"/>
          <c:tx>
            <c:strRef>
              <c:f>PIVOT_YEAR_WISE!$D$1:$D$2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PIVOT_YEAR_WISE!$A$3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PIVOT_YEAR_WISE!$D$3</c:f>
              <c:numCache>
                <c:formatCode>General</c:formatCode>
                <c:ptCount val="1"/>
                <c:pt idx="0">
                  <c:v>1791486.71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3F-44F7-8EAC-EF1960F432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1433727"/>
        <c:axId val="1981434207"/>
      </c:lineChart>
      <c:catAx>
        <c:axId val="198143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434207"/>
        <c:crosses val="autoZero"/>
        <c:auto val="1"/>
        <c:lblAlgn val="ctr"/>
        <c:lblOffset val="100"/>
        <c:noMultiLvlLbl val="0"/>
      </c:catAx>
      <c:valAx>
        <c:axId val="198143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43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13945852418014"/>
          <c:y val="0.38570501603966173"/>
          <c:w val="0.15296778463103672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[sales-performance-analysis-excel.xlsx]pivot_complted_country!PivotTable25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pivot_complted_country!$B$1:$B$2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pivot_complted_country!$B$3:$B$5</c:f>
              <c:numCache>
                <c:formatCode>General</c:formatCode>
                <c:ptCount val="2"/>
                <c:pt idx="0">
                  <c:v>167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E-41C4-973C-A3CD3DF22FCD}"/>
            </c:ext>
          </c:extLst>
        </c:ser>
        <c:ser>
          <c:idx val="1"/>
          <c:order val="1"/>
          <c:tx>
            <c:strRef>
              <c:f>pivot_complted_country!$C$1:$C$2</c:f>
              <c:strCache>
                <c:ptCount val="1"/>
                <c:pt idx="0">
                  <c:v>AUSTRIA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pivot_complted_country!$C$3:$C$5</c:f>
              <c:numCache>
                <c:formatCode>General</c:formatCode>
                <c:ptCount val="2"/>
                <c:pt idx="0">
                  <c:v>47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E-41C4-973C-A3CD3DF22FCD}"/>
            </c:ext>
          </c:extLst>
        </c:ser>
        <c:ser>
          <c:idx val="2"/>
          <c:order val="2"/>
          <c:tx>
            <c:strRef>
              <c:f>pivot_complted_country!$D$1:$D$2</c:f>
              <c:strCache>
                <c:ptCount val="1"/>
                <c:pt idx="0">
                  <c:v>BELGIUM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pivot_complted_country!$D$3:$D$5</c:f>
              <c:numCache>
                <c:formatCode>General</c:formatCode>
                <c:ptCount val="2"/>
                <c:pt idx="0">
                  <c:v>28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E-41C4-973C-A3CD3DF22FCD}"/>
            </c:ext>
          </c:extLst>
        </c:ser>
        <c:ser>
          <c:idx val="3"/>
          <c:order val="3"/>
          <c:tx>
            <c:strRef>
              <c:f>pivot_complted_country!$E$1:$E$2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pivot_complted_country!$E$3:$E$5</c:f>
              <c:numCache>
                <c:formatCode>General</c:formatCode>
                <c:ptCount val="2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DE-41C4-973C-A3CD3DF22FCD}"/>
            </c:ext>
          </c:extLst>
        </c:ser>
        <c:ser>
          <c:idx val="4"/>
          <c:order val="4"/>
          <c:tx>
            <c:strRef>
              <c:f>pivot_complted_country!$F$1:$F$2</c:f>
              <c:strCache>
                <c:ptCount val="1"/>
                <c:pt idx="0">
                  <c:v>DENMARK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pivot_complted_country!$F$3:$F$5</c:f>
              <c:numCache>
                <c:formatCode>General</c:formatCode>
                <c:ptCount val="2"/>
                <c:pt idx="0">
                  <c:v>52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DE-41C4-973C-A3CD3DF22FCD}"/>
            </c:ext>
          </c:extLst>
        </c:ser>
        <c:ser>
          <c:idx val="5"/>
          <c:order val="5"/>
          <c:tx>
            <c:strRef>
              <c:f>pivot_complted_country!$G$1:$G$2</c:f>
              <c:strCache>
                <c:ptCount val="1"/>
                <c:pt idx="0">
                  <c:v>FINLAND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pivot_complted_country!$G$3:$G$5</c:f>
              <c:numCache>
                <c:formatCode>General</c:formatCode>
                <c:ptCount val="2"/>
                <c:pt idx="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DE-41C4-973C-A3CD3DF22FCD}"/>
            </c:ext>
          </c:extLst>
        </c:ser>
        <c:ser>
          <c:idx val="6"/>
          <c:order val="6"/>
          <c:tx>
            <c:strRef>
              <c:f>pivot_complted_country!$H$1:$H$2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pivot_complted_country!$H$3:$H$5</c:f>
              <c:numCache>
                <c:formatCode>General</c:formatCode>
                <c:ptCount val="2"/>
                <c:pt idx="0">
                  <c:v>301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DE-41C4-973C-A3CD3DF22FCD}"/>
            </c:ext>
          </c:extLst>
        </c:ser>
        <c:ser>
          <c:idx val="7"/>
          <c:order val="7"/>
          <c:tx>
            <c:strRef>
              <c:f>pivot_complted_country!$I$1:$I$2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pivot_complted_country!$I$3:$I$5</c:f>
              <c:numCache>
                <c:formatCode>General</c:formatCode>
                <c:ptCount val="2"/>
                <c:pt idx="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EDE-41C4-973C-A3CD3DF22FCD}"/>
            </c:ext>
          </c:extLst>
        </c:ser>
        <c:ser>
          <c:idx val="8"/>
          <c:order val="8"/>
          <c:tx>
            <c:strRef>
              <c:f>pivot_complted_country!$J$1:$J$2</c:f>
              <c:strCache>
                <c:ptCount val="1"/>
                <c:pt idx="0">
                  <c:v>IRELAND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pivot_complted_country!$J$3:$J$5</c:f>
              <c:numCache>
                <c:formatCode>General</c:formatCode>
                <c:ptCount val="2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DE-41C4-973C-A3CD3DF22FCD}"/>
            </c:ext>
          </c:extLst>
        </c:ser>
        <c:ser>
          <c:idx val="9"/>
          <c:order val="9"/>
          <c:tx>
            <c:strRef>
              <c:f>pivot_complted_country!$K$1:$K$2</c:f>
              <c:strCache>
                <c:ptCount val="1"/>
                <c:pt idx="0">
                  <c:v>ITALY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pivot_complted_country!$K$3:$K$5</c:f>
              <c:numCache>
                <c:formatCode>General</c:formatCode>
                <c:ptCount val="2"/>
                <c:pt idx="0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EDE-41C4-973C-A3CD3DF22FCD}"/>
            </c:ext>
          </c:extLst>
        </c:ser>
        <c:ser>
          <c:idx val="10"/>
          <c:order val="10"/>
          <c:tx>
            <c:strRef>
              <c:f>pivot_complted_country!$L$1:$L$2</c:f>
              <c:strCache>
                <c:ptCount val="1"/>
                <c:pt idx="0">
                  <c:v>JAPAN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pivot_complted_country!$L$3:$L$5</c:f>
              <c:numCache>
                <c:formatCode>General</c:formatCode>
                <c:ptCount val="2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DE-41C4-973C-A3CD3DF22FCD}"/>
            </c:ext>
          </c:extLst>
        </c:ser>
        <c:ser>
          <c:idx val="11"/>
          <c:order val="11"/>
          <c:tx>
            <c:strRef>
              <c:f>pivot_complted_country!$M$1:$M$2</c:f>
              <c:strCache>
                <c:ptCount val="1"/>
                <c:pt idx="0">
                  <c:v>NORWAY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pivot_complted_country!$M$3:$M$5</c:f>
              <c:numCache>
                <c:formatCode>General</c:formatCode>
                <c:ptCount val="2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EDE-41C4-973C-A3CD3DF22FCD}"/>
            </c:ext>
          </c:extLst>
        </c:ser>
        <c:ser>
          <c:idx val="12"/>
          <c:order val="12"/>
          <c:tx>
            <c:strRef>
              <c:f>pivot_complted_country!$N$1:$N$2</c:f>
              <c:strCache>
                <c:ptCount val="1"/>
                <c:pt idx="0">
                  <c:v>PHILIPPINES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pivot_complted_country!$N$3:$N$5</c:f>
              <c:numCache>
                <c:formatCode>General</c:formatCode>
                <c:ptCount val="2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DE-41C4-973C-A3CD3DF22FCD}"/>
            </c:ext>
          </c:extLst>
        </c:ser>
        <c:ser>
          <c:idx val="13"/>
          <c:order val="13"/>
          <c:tx>
            <c:strRef>
              <c:f>pivot_complted_country!$O$1:$O$2</c:f>
              <c:strCache>
                <c:ptCount val="1"/>
                <c:pt idx="0">
                  <c:v>SINGAPORE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pivot_complted_country!$O$3:$O$5</c:f>
              <c:numCache>
                <c:formatCode>General</c:formatCode>
                <c:ptCount val="2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EDE-41C4-973C-A3CD3DF22FCD}"/>
            </c:ext>
          </c:extLst>
        </c:ser>
        <c:ser>
          <c:idx val="14"/>
          <c:order val="14"/>
          <c:tx>
            <c:strRef>
              <c:f>pivot_complted_country!$P$1:$P$2</c:f>
              <c:strCache>
                <c:ptCount val="1"/>
                <c:pt idx="0">
                  <c:v>SPAIN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pivot_complted_country!$P$3:$P$5</c:f>
              <c:numCache>
                <c:formatCode>General</c:formatCode>
                <c:ptCount val="2"/>
                <c:pt idx="0">
                  <c:v>296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EDE-41C4-973C-A3CD3DF22FCD}"/>
            </c:ext>
          </c:extLst>
        </c:ser>
        <c:ser>
          <c:idx val="15"/>
          <c:order val="15"/>
          <c:tx>
            <c:strRef>
              <c:f>pivot_complted_country!$Q$1:$Q$2</c:f>
              <c:strCache>
                <c:ptCount val="1"/>
                <c:pt idx="0">
                  <c:v>SWEDEN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pivot_complted_country!$Q$3:$Q$5</c:f>
              <c:numCache>
                <c:formatCode>General</c:formatCode>
                <c:ptCount val="2"/>
                <c:pt idx="0">
                  <c:v>35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EDE-41C4-973C-A3CD3DF22FCD}"/>
            </c:ext>
          </c:extLst>
        </c:ser>
        <c:ser>
          <c:idx val="16"/>
          <c:order val="16"/>
          <c:tx>
            <c:strRef>
              <c:f>pivot_complted_country!$R$1:$R$2</c:f>
              <c:strCache>
                <c:ptCount val="1"/>
                <c:pt idx="0">
                  <c:v>SWITZERLAND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pivot_complted_country!$R$3:$R$5</c:f>
              <c:numCache>
                <c:formatCode>General</c:formatCode>
                <c:ptCount val="2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EDE-41C4-973C-A3CD3DF22FCD}"/>
            </c:ext>
          </c:extLst>
        </c:ser>
        <c:ser>
          <c:idx val="17"/>
          <c:order val="17"/>
          <c:tx>
            <c:strRef>
              <c:f>pivot_complted_country!$S$1:$S$2</c:f>
              <c:strCache>
                <c:ptCount val="1"/>
                <c:pt idx="0">
                  <c:v>UK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pivot_complted_country!$S$3:$S$5</c:f>
              <c:numCache>
                <c:formatCode>General</c:formatCode>
                <c:ptCount val="2"/>
                <c:pt idx="0">
                  <c:v>130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EDE-41C4-973C-A3CD3DF22FCD}"/>
            </c:ext>
          </c:extLst>
        </c:ser>
        <c:ser>
          <c:idx val="18"/>
          <c:order val="18"/>
          <c:tx>
            <c:strRef>
              <c:f>pivot_complted_country!$T$1:$T$2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pivot_complted_country!$A$3:$A$5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pivot_complted_country!$T$3:$T$5</c:f>
              <c:numCache>
                <c:formatCode>General</c:formatCode>
                <c:ptCount val="2"/>
                <c:pt idx="0">
                  <c:v>935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EDE-41C4-973C-A3CD3DF22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93708127"/>
        <c:axId val="1993709087"/>
      </c:barChart>
      <c:catAx>
        <c:axId val="199370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709087"/>
        <c:crosses val="autoZero"/>
        <c:auto val="1"/>
        <c:lblAlgn val="ctr"/>
        <c:lblOffset val="100"/>
        <c:noMultiLvlLbl val="0"/>
      </c:catAx>
      <c:valAx>
        <c:axId val="199370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70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[sales-performance-analysis-excel.xlsx]pivot_product_wise!PivotTable9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pivot_product_wise!$B$1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pivot_product_wise!$A$2:$A$9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pivot_product_wise!$B$2:$B$9</c:f>
              <c:numCache>
                <c:formatCode>General</c:formatCode>
                <c:ptCount val="7"/>
                <c:pt idx="0">
                  <c:v>4053.3771044467394</c:v>
                </c:pt>
                <c:pt idx="1">
                  <c:v>3523.8318429003029</c:v>
                </c:pt>
                <c:pt idx="2">
                  <c:v>3186.2861764705885</c:v>
                </c:pt>
                <c:pt idx="3">
                  <c:v>3053.1501282051281</c:v>
                </c:pt>
                <c:pt idx="4">
                  <c:v>2938.2268831168826</c:v>
                </c:pt>
                <c:pt idx="5">
                  <c:v>3746.8100996677726</c:v>
                </c:pt>
                <c:pt idx="6">
                  <c:v>3135.3391103789113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0-4AEB-BC60-DAB74B279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942831"/>
        <c:axId val="139943311"/>
      </c:barChart>
      <c:catAx>
        <c:axId val="139942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3311"/>
        <c:crosses val="autoZero"/>
        <c:auto val="1"/>
        <c:lblAlgn val="ctr"/>
        <c:lblOffset val="100"/>
        <c:noMultiLvlLbl val="0"/>
      </c:catAx>
      <c:valAx>
        <c:axId val="13994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[sales-performance-analysis-excel.xlsx]pivot_visible_relation!PivotTable27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pivot_visible_relation!$C$1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pivot_visible_relation!$B$2:$B$5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pivot_visible_relation!$C$2:$C$5</c:f>
              <c:numCache>
                <c:formatCode>General</c:formatCode>
                <c:ptCount val="3"/>
                <c:pt idx="0">
                  <c:v>1302119.2600000007</c:v>
                </c:pt>
                <c:pt idx="1">
                  <c:v>6087432.2400000058</c:v>
                </c:pt>
                <c:pt idx="2">
                  <c:v>2643077.3499999968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F-4C39-ADEA-7A6017C6A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113239295"/>
        <c:axId val="1113244575"/>
      </c:barChart>
      <c:catAx>
        <c:axId val="111323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44575"/>
        <c:crosses val="autoZero"/>
        <c:auto val="1"/>
        <c:lblAlgn val="ctr"/>
        <c:lblOffset val="100"/>
        <c:noMultiLvlLbl val="0"/>
      </c:catAx>
      <c:valAx>
        <c:axId val="111324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3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[sales-performance-analysis-excel.xlsx]pivot_order!PivotTable1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pivot_order!$D$5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pivot_order!$D$5</c:f>
              <c:numCache>
                <c:formatCode>General</c:formatCode>
                <c:ptCount val="1"/>
                <c:pt idx="0">
                  <c:v>99067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B-41D7-BC4E-E791E19CA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239599"/>
        <c:axId val="251243919"/>
      </c:barChart>
      <c:catAx>
        <c:axId val="25123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43919"/>
        <c:crosses val="autoZero"/>
        <c:auto val="1"/>
        <c:lblAlgn val="ctr"/>
        <c:lblOffset val="100"/>
        <c:noMultiLvlLbl val="0"/>
      </c:catAx>
      <c:valAx>
        <c:axId val="251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3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934494269434416"/>
          <c:y val="5.0925914108211949E-2"/>
        </c:manualLayout>
      </c:layout>
      <c:overlay val="0"/>
      <c:spPr>
        <a:noFill/>
        <a:ln>
          <a:solidFill>
            <a:schemeClr val="accent1">
              <a:shade val="1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EA-41BB-81E3-689875D929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EA-41BB-81E3-689875D92920}"/>
              </c:ext>
            </c:extLst>
          </c:dPt>
          <c:val>
            <c:numRef>
              <c:f>pivot_percentage_completed!$D$2:$D$3</c:f>
              <c:numCache>
                <c:formatCode>0%</c:formatCode>
                <c:ptCount val="2"/>
                <c:pt idx="0">
                  <c:v>0.92263821454167383</c:v>
                </c:pt>
                <c:pt idx="1">
                  <c:v>7.7361785458326185E-2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EA-41BB-81E3-689875D92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632128</xdr:colOff>
      <xdr:row>1</xdr:row>
      <xdr:rowOff>111318</xdr:rowOff>
    </xdr:from>
    <xdr:to>
      <xdr:col>9</xdr:col>
      <xdr:colOff>75536</xdr:colOff>
      <xdr:row>15</xdr:row>
      <xdr:rowOff>182879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B04452-A8F6-3905-FBE7-937B0A49D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417443</xdr:colOff>
      <xdr:row>6</xdr:row>
      <xdr:rowOff>166977</xdr:rowOff>
    </xdr:from>
    <xdr:to>
      <xdr:col>11</xdr:col>
      <xdr:colOff>536713</xdr:colOff>
      <xdr:row>21</xdr:row>
      <xdr:rowOff>47708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2F01A-48D1-2144-E7E1-63256FF9A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632129</xdr:colOff>
      <xdr:row>6</xdr:row>
      <xdr:rowOff>182880</xdr:rowOff>
    </xdr:from>
    <xdr:to>
      <xdr:col>12</xdr:col>
      <xdr:colOff>266369</xdr:colOff>
      <xdr:row>21</xdr:row>
      <xdr:rowOff>63611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6BA86-1FF7-EF0F-2E99-53ED83128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1689652</xdr:colOff>
      <xdr:row>6</xdr:row>
      <xdr:rowOff>166977</xdr:rowOff>
    </xdr:from>
    <xdr:to>
      <xdr:col>5</xdr:col>
      <xdr:colOff>151075</xdr:colOff>
      <xdr:row>21</xdr:row>
      <xdr:rowOff>47708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1DD1D-AF89-2F61-FF4B-715F094C2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504908</xdr:colOff>
      <xdr:row>8</xdr:row>
      <xdr:rowOff>95416</xdr:rowOff>
    </xdr:from>
    <xdr:to>
      <xdr:col>12</xdr:col>
      <xdr:colOff>11927</xdr:colOff>
      <xdr:row>22</xdr:row>
      <xdr:rowOff>166977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ED186-FEE5-C156-4626-FE5E69A57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27829</xdr:colOff>
      <xdr:row>0</xdr:row>
      <xdr:rowOff>0</xdr:rowOff>
    </xdr:from>
    <xdr:to>
      <xdr:col>11</xdr:col>
      <xdr:colOff>147099</xdr:colOff>
      <xdr:row>14</xdr:row>
      <xdr:rowOff>71562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5521C-B97B-8254-3C09-97716A417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151075</xdr:colOff>
      <xdr:row>1</xdr:row>
      <xdr:rowOff>166977</xdr:rowOff>
    </xdr:from>
    <xdr:to>
      <xdr:col>11</xdr:col>
      <xdr:colOff>166977</xdr:colOff>
      <xdr:row>16</xdr:row>
      <xdr:rowOff>47707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6490D4-85A7-56C9-CBC2-B15E06D13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636102</xdr:colOff>
      <xdr:row>3</xdr:row>
      <xdr:rowOff>23853</xdr:rowOff>
    </xdr:from>
    <xdr:to>
      <xdr:col>5</xdr:col>
      <xdr:colOff>119268</xdr:colOff>
      <xdr:row>6</xdr:row>
      <xdr:rowOff>143123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ABEDF14-3109-FE42-FCFB-03EA3C82A5E2}"/>
            </a:ext>
          </a:extLst>
        </xdr:cNvPr>
        <xdr:cNvSpPr/>
      </xdr:nvSpPr>
      <xdr:spPr>
        <a:xfrm>
          <a:off x="1908311" y="596347"/>
          <a:ext cx="1391479" cy="6917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KPI</a:t>
          </a:r>
          <a:r>
            <a:rPr lang="en-IN" sz="1100" baseline="0"/>
            <a:t> -TOTAL SALES</a:t>
          </a:r>
        </a:p>
        <a:p>
          <a:pPr algn="ctr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 of SALES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10032628.85</a:t>
          </a:r>
          <a:r>
            <a:rPr lang="en-IN">
              <a:effectLst/>
            </a:rPr>
            <a:t> </a:t>
          </a:r>
          <a:endParaRPr lang="en-IN" sz="1100" baseline="0"/>
        </a:p>
        <a:p>
          <a:pPr algn="ctr"/>
          <a:endParaRPr lang="en-IN" sz="1100" baseline="0"/>
        </a:p>
        <a:p>
          <a:pPr algn="ctr"/>
          <a:endParaRPr lang="en-IN" sz="1100" baseline="0"/>
        </a:p>
      </xdr:txBody>
    </xdr:sp>
    <xdr:clientData/>
  </xdr:twoCellAnchor>
  <xdr:twoCellAnchor>
    <xdr:from>
      <xdr:col>9</xdr:col>
      <xdr:colOff>271668</xdr:colOff>
      <xdr:row>3</xdr:row>
      <xdr:rowOff>64935</xdr:rowOff>
    </xdr:from>
    <xdr:to>
      <xdr:col>11</xdr:col>
      <xdr:colOff>390938</xdr:colOff>
      <xdr:row>6</xdr:row>
      <xdr:rowOff>174929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B7BE05C-7F20-DF5B-7055-02AA09BBF397}"/>
            </a:ext>
          </a:extLst>
        </xdr:cNvPr>
        <xdr:cNvSpPr/>
      </xdr:nvSpPr>
      <xdr:spPr>
        <a:xfrm>
          <a:off x="5996607" y="637429"/>
          <a:ext cx="1391479" cy="68248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KPI</a:t>
          </a:r>
          <a:r>
            <a:rPr lang="en-IN" sz="1100" baseline="0"/>
            <a:t> -</a:t>
          </a:r>
          <a:r>
            <a:rPr lang="en-IN"/>
            <a:t>TOTAL ORDERS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Grand Total</a:t>
          </a:r>
          <a:r>
            <a:rPr lang="en-IN">
              <a:effectLst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53660470</a:t>
          </a:r>
          <a:r>
            <a:rPr lang="en-IN">
              <a:effectLst/>
            </a:rPr>
            <a:t> </a:t>
          </a:r>
        </a:p>
        <a:p>
          <a:pPr algn="ctr"/>
          <a:endParaRPr lang="en-IN">
            <a:effectLst/>
          </a:endParaRPr>
        </a:p>
        <a:p>
          <a:pPr algn="ctr"/>
          <a:endParaRPr lang="en-IN" sz="1100"/>
        </a:p>
      </xdr:txBody>
    </xdr:sp>
    <xdr:clientData/>
  </xdr:twoCellAnchor>
  <xdr:twoCellAnchor>
    <xdr:from>
      <xdr:col>16</xdr:col>
      <xdr:colOff>613235</xdr:colOff>
      <xdr:row>3</xdr:row>
      <xdr:rowOff>73967</xdr:rowOff>
    </xdr:from>
    <xdr:to>
      <xdr:col>19</xdr:col>
      <xdr:colOff>94553</xdr:colOff>
      <xdr:row>6</xdr:row>
      <xdr:rowOff>184915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F4082B0-0E29-F7F1-4C0F-D992221458D2}"/>
            </a:ext>
          </a:extLst>
        </xdr:cNvPr>
        <xdr:cNvSpPr/>
      </xdr:nvSpPr>
      <xdr:spPr>
        <a:xfrm>
          <a:off x="10820491" y="656446"/>
          <a:ext cx="1395178" cy="6934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KPI</a:t>
          </a:r>
          <a:r>
            <a:rPr lang="en-IN" sz="1100" baseline="0"/>
            <a:t> -COMPLETED %</a:t>
          </a:r>
        </a:p>
        <a:p>
          <a:pPr algn="ctr"/>
          <a:r>
            <a:rPr lang="en-IN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completed</a:t>
          </a:r>
        </a:p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92%</a:t>
          </a:r>
          <a:r>
            <a:rPr lang="en-IN">
              <a:effectLst/>
            </a:rPr>
            <a:t> </a:t>
          </a:r>
          <a:endParaRPr lang="en-IN" sz="1100" b="1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70267</xdr:colOff>
      <xdr:row>7</xdr:row>
      <xdr:rowOff>95416</xdr:rowOff>
    </xdr:from>
    <xdr:to>
      <xdr:col>7</xdr:col>
      <xdr:colOff>14608</xdr:colOff>
      <xdr:row>19</xdr:row>
      <xdr:rowOff>7951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D798A0A-7E43-DA6B-94C7-D7A0EA4DC130}"/>
            </a:ext>
          </a:extLst>
        </xdr:cNvPr>
        <xdr:cNvSpPr/>
      </xdr:nvSpPr>
      <xdr:spPr>
        <a:xfrm>
          <a:off x="708220" y="1454535"/>
          <a:ext cx="3772062" cy="22424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sales by year</a:t>
          </a:r>
        </a:p>
        <a:p>
          <a:pPr algn="ctr"/>
          <a:endParaRPr lang="en-IN" sz="1100"/>
        </a:p>
      </xdr:txBody>
    </xdr:sp>
    <xdr:clientData/>
  </xdr:twoCellAnchor>
  <xdr:twoCellAnchor>
    <xdr:from>
      <xdr:col>7</xdr:col>
      <xdr:colOff>485030</xdr:colOff>
      <xdr:row>7</xdr:row>
      <xdr:rowOff>96737</xdr:rowOff>
    </xdr:from>
    <xdr:to>
      <xdr:col>13</xdr:col>
      <xdr:colOff>437321</xdr:colOff>
      <xdr:row>19</xdr:row>
      <xdr:rowOff>23855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45583B9-1483-F0A9-C504-B4739F73E713}"/>
            </a:ext>
          </a:extLst>
        </xdr:cNvPr>
        <xdr:cNvSpPr/>
      </xdr:nvSpPr>
      <xdr:spPr>
        <a:xfrm>
          <a:off x="4937760" y="1432556"/>
          <a:ext cx="3768918" cy="221709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sales by country</a:t>
          </a:r>
        </a:p>
        <a:p>
          <a:pPr algn="ctr"/>
          <a:endParaRPr lang="en-IN" sz="1100"/>
        </a:p>
      </xdr:txBody>
    </xdr:sp>
    <xdr:clientData/>
  </xdr:twoCellAnchor>
  <xdr:twoCellAnchor>
    <xdr:from>
      <xdr:col>1</xdr:col>
      <xdr:colOff>64720</xdr:colOff>
      <xdr:row>20</xdr:row>
      <xdr:rowOff>104357</xdr:rowOff>
    </xdr:from>
    <xdr:to>
      <xdr:col>7</xdr:col>
      <xdr:colOff>36983</xdr:colOff>
      <xdr:row>34</xdr:row>
      <xdr:rowOff>157179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E166761-3B49-D9E8-95A8-2894247AA44A}"/>
            </a:ext>
          </a:extLst>
        </xdr:cNvPr>
        <xdr:cNvSpPr/>
      </xdr:nvSpPr>
      <xdr:spPr>
        <a:xfrm>
          <a:off x="702673" y="3987552"/>
          <a:ext cx="3799984" cy="277105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/>
            <a:t>product</a:t>
          </a:r>
          <a:r>
            <a:rPr lang="en-IN" sz="1200" baseline="0"/>
            <a:t> by sales</a:t>
          </a:r>
        </a:p>
        <a:p>
          <a:pPr algn="ctr"/>
          <a:endParaRPr lang="en-IN" sz="1200"/>
        </a:p>
      </xdr:txBody>
    </xdr:sp>
    <xdr:clientData/>
  </xdr:twoCellAnchor>
  <xdr:twoCellAnchor>
    <xdr:from>
      <xdr:col>7</xdr:col>
      <xdr:colOff>478833</xdr:colOff>
      <xdr:row>20</xdr:row>
      <xdr:rowOff>120193</xdr:rowOff>
    </xdr:from>
    <xdr:to>
      <xdr:col>13</xdr:col>
      <xdr:colOff>499268</xdr:colOff>
      <xdr:row>34</xdr:row>
      <xdr:rowOff>110948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A3225C1-6444-917F-8060-1FB406D94F18}"/>
            </a:ext>
          </a:extLst>
        </xdr:cNvPr>
        <xdr:cNvSpPr/>
      </xdr:nvSpPr>
      <xdr:spPr>
        <a:xfrm>
          <a:off x="4944507" y="4003388"/>
          <a:ext cx="3848156" cy="270899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/>
            <a:t>deal size vs sales</a:t>
          </a:r>
        </a:p>
        <a:p>
          <a:pPr algn="ctr"/>
          <a:endParaRPr lang="en-IN" sz="1200"/>
        </a:p>
      </xdr:txBody>
    </xdr:sp>
    <xdr:clientData/>
  </xdr:twoCellAnchor>
  <xdr:twoCellAnchor>
    <xdr:from>
      <xdr:col>15</xdr:col>
      <xdr:colOff>0</xdr:colOff>
      <xdr:row>20</xdr:row>
      <xdr:rowOff>138686</xdr:rowOff>
    </xdr:from>
    <xdr:to>
      <xdr:col>21</xdr:col>
      <xdr:colOff>286616</xdr:colOff>
      <xdr:row>34</xdr:row>
      <xdr:rowOff>36983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A335B2E-88AE-BFAC-2813-51699E2B2C16}"/>
            </a:ext>
          </a:extLst>
        </xdr:cNvPr>
        <xdr:cNvSpPr/>
      </xdr:nvSpPr>
      <xdr:spPr>
        <a:xfrm>
          <a:off x="9569302" y="4021881"/>
          <a:ext cx="4114337" cy="261653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/>
            <a:t>Completed vs Not Completed”</a:t>
          </a:r>
          <a:endParaRPr lang="en-IN" sz="1100"/>
        </a:p>
      </xdr:txBody>
    </xdr:sp>
    <xdr:clientData/>
  </xdr:twoCellAnchor>
  <xdr:twoCellAnchor>
    <xdr:from>
      <xdr:col>1</xdr:col>
      <xdr:colOff>64721</xdr:colOff>
      <xdr:row>8</xdr:row>
      <xdr:rowOff>111316</xdr:rowOff>
    </xdr:from>
    <xdr:to>
      <xdr:col>7</xdr:col>
      <xdr:colOff>18492</xdr:colOff>
      <xdr:row>19</xdr:row>
      <xdr:rowOff>92456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0E6427-EB46-4B2A-8038-56CDDE053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628708</xdr:colOff>
      <xdr:row>22</xdr:row>
      <xdr:rowOff>129995</xdr:rowOff>
    </xdr:from>
    <xdr:to>
      <xdr:col>21</xdr:col>
      <xdr:colOff>305108</xdr:colOff>
      <xdr:row>34</xdr:row>
      <xdr:rowOff>46229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7D4A21-80E6-437A-80F9-CCEA950F8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55474</xdr:colOff>
      <xdr:row>22</xdr:row>
      <xdr:rowOff>55474</xdr:rowOff>
    </xdr:from>
    <xdr:to>
      <xdr:col>7</xdr:col>
      <xdr:colOff>46229</xdr:colOff>
      <xdr:row>34</xdr:row>
      <xdr:rowOff>175550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35A158-4495-47EA-B63B-DF95E122D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471533</xdr:colOff>
      <xdr:row>22</xdr:row>
      <xdr:rowOff>92458</xdr:rowOff>
    </xdr:from>
    <xdr:to>
      <xdr:col>13</xdr:col>
      <xdr:colOff>499268</xdr:colOff>
      <xdr:row>34</xdr:row>
      <xdr:rowOff>110950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00694B4-0AA7-48B7-9E14-90C0FC8CE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472086</xdr:colOff>
      <xdr:row>8</xdr:row>
      <xdr:rowOff>156649</xdr:rowOff>
    </xdr:from>
    <xdr:to>
      <xdr:col>13</xdr:col>
      <xdr:colOff>434548</xdr:colOff>
      <xdr:row>19</xdr:row>
      <xdr:rowOff>83212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99B654D-6B8E-4877-A4AF-0496D5B89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27737</xdr:colOff>
      <xdr:row>7</xdr:row>
      <xdr:rowOff>96924</xdr:rowOff>
    </xdr:from>
    <xdr:to>
      <xdr:col>21</xdr:col>
      <xdr:colOff>231141</xdr:colOff>
      <xdr:row>19</xdr:row>
      <xdr:rowOff>138685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302D1F5-9AE4-16D4-451E-AA76F4D33B1F}"/>
            </a:ext>
          </a:extLst>
        </xdr:cNvPr>
        <xdr:cNvSpPr/>
      </xdr:nvSpPr>
      <xdr:spPr>
        <a:xfrm>
          <a:off x="9597039" y="1456043"/>
          <a:ext cx="4031125" cy="23716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completed</a:t>
          </a:r>
        </a:p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92%</a:t>
          </a:r>
          <a:r>
            <a:rPr lang="en-IN">
              <a:effectLst/>
            </a:rPr>
            <a:t> </a:t>
          </a:r>
        </a:p>
        <a:p>
          <a:pPr algn="ctr"/>
          <a:endParaRPr lang="en-IN" sz="1100" b="1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9245</xdr:colOff>
      <xdr:row>9</xdr:row>
      <xdr:rowOff>110950</xdr:rowOff>
    </xdr:from>
    <xdr:to>
      <xdr:col>21</xdr:col>
      <xdr:colOff>240388</xdr:colOff>
      <xdr:row>19</xdr:row>
      <xdr:rowOff>138687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1D79AC8-5A1D-4E91-9828-8639C120D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nsh" refreshedDate="46025.767889351853" createdVersion="8" refreshedVersion="8" minRefreshableVersion="3" recordCount="2824" xr:uid="{4C232ED6-5C18-439D-B2BD-43D679107B74}">
  <cacheSource type="worksheet">
    <worksheetSource ref="F1:J1048576" sheet="cleaned_sales_data"/>
  </cacheSource>
  <cacheFields count="5">
    <cacheField name="SALES" numFmtId="0">
      <sharedItems containsString="0" containsBlank="1" containsNumber="1" minValue="482.13" maxValue="14082.8"/>
    </cacheField>
    <cacheField name="ORDERDATE" numFmtId="0">
      <sharedItems containsBlank="1"/>
    </cacheField>
    <cacheField name="status_proper" numFmtId="0">
      <sharedItems containsBlank="1"/>
    </cacheField>
    <cacheField name="status_check" numFmtId="0">
      <sharedItems containsBlank="1" count="3">
        <s v="completed"/>
        <s v="not completed"/>
        <m/>
      </sharedItems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nsh" refreshedDate="46025.776250000003" createdVersion="8" refreshedVersion="8" minRefreshableVersion="3" recordCount="2824" xr:uid="{F3E2AC60-8A6B-402E-8D54-A67B0C2D42B2}">
  <cacheSource type="worksheet">
    <worksheetSource ref="A1:AE1048576" sheet="cleaned_sales_data"/>
  </cacheSource>
  <cacheFields count="30">
    <cacheField name="ORDERNUMBER" numFmtId="0">
      <sharedItems containsString="0" containsBlank="1" containsNumber="1" containsInteger="1" minValue="10100" maxValue="10425"/>
    </cacheField>
    <cacheField name="QUANTITYORDERED" numFmtId="0">
      <sharedItems containsString="0" containsBlank="1" containsNumber="1" containsInteger="1" minValue="6" maxValue="97" count="59">
        <n v="30"/>
        <n v="34"/>
        <n v="41"/>
        <n v="45"/>
        <n v="49"/>
        <n v="36"/>
        <n v="29"/>
        <n v="48"/>
        <n v="22"/>
        <n v="37"/>
        <n v="23"/>
        <n v="28"/>
        <n v="46"/>
        <n v="42"/>
        <n v="20"/>
        <n v="21"/>
        <n v="24"/>
        <n v="66"/>
        <n v="26"/>
        <n v="38"/>
        <n v="47"/>
        <n v="35"/>
        <n v="32"/>
        <n v="40"/>
        <n v="50"/>
        <n v="39"/>
        <n v="27"/>
        <n v="44"/>
        <n v="31"/>
        <n v="33"/>
        <n v="43"/>
        <n v="56"/>
        <n v="25"/>
        <n v="64"/>
        <n v="19"/>
        <n v="12"/>
        <n v="55"/>
        <n v="10"/>
        <n v="54"/>
        <n v="97"/>
        <n v="61"/>
        <n v="51"/>
        <n v="59"/>
        <n v="76"/>
        <n v="6"/>
        <n v="15"/>
        <n v="60"/>
        <n v="65"/>
        <n v="58"/>
        <n v="16"/>
        <n v="70"/>
        <n v="13"/>
        <n v="18"/>
        <n v="52"/>
        <n v="11"/>
        <n v="62"/>
        <n v="85"/>
        <n v="77"/>
        <m/>
      </sharedItems>
    </cacheField>
    <cacheField name="PRICEEACH" numFmtId="0">
      <sharedItems containsString="0" containsBlank="1" containsNumber="1" minValue="26.88" maxValue="100"/>
    </cacheField>
    <cacheField name="ORDERLINENUMBER" numFmtId="0">
      <sharedItems containsString="0" containsBlank="1" containsNumber="1" containsInteger="1" minValue="1" maxValue="18"/>
    </cacheField>
    <cacheField name="sales_status" numFmtId="0">
      <sharedItems containsBlank="1" count="3">
        <s v="low sales"/>
        <s v="high sales"/>
        <m/>
      </sharedItems>
    </cacheField>
    <cacheField name="SALES" numFmtId="0">
      <sharedItems containsString="0" containsBlank="1" containsNumber="1" minValue="482.13" maxValue="14082.8" count="2764">
        <n v="2871"/>
        <n v="2765.9"/>
        <n v="3884.34"/>
        <n v="3746.7"/>
        <n v="5205.2700000000004"/>
        <n v="3479.76"/>
        <n v="2497.77"/>
        <n v="5512.32"/>
        <n v="2168.54"/>
        <n v="4708.4399999999996"/>
        <n v="3965.66"/>
        <n v="2333.12"/>
        <n v="3188.64"/>
        <n v="3676.76"/>
        <n v="4177.3500000000004"/>
        <n v="4099.68"/>
        <n v="2597.39"/>
        <n v="4394.38"/>
        <n v="4358.04"/>
        <n v="4396.1400000000003"/>
        <n v="7737.93"/>
        <n v="1451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00000000003"/>
        <n v="7136.19"/>
        <n v="10172.700000000001"/>
        <n v="11623.7"/>
        <n v="6000.4"/>
        <n v="3003"/>
        <n v="3944.7"/>
        <n v="5691.84"/>
        <n v="4514.92"/>
        <n v="8254.7999999999993"/>
        <n v="2416.56"/>
        <n v="4140.2299999999996"/>
        <n v="12001"/>
        <n v="3896.49"/>
        <n v="2793.86"/>
        <n v="3307.77"/>
        <n v="5192.95"/>
        <n v="5016.83"/>
        <n v="3660.93"/>
        <n v="4695.6000000000004"/>
        <n v="3660.92"/>
        <n v="3025.92"/>
        <n v="3009.09"/>
        <n v="5422.39"/>
        <n v="2852.08"/>
        <n v="5756.52"/>
        <n v="4472"/>
        <n v="2904.44"/>
        <n v="6484.59"/>
        <n v="3757.26"/>
        <n v="4043.96"/>
        <n v="5566.5"/>
        <n v="3176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"/>
        <n v="8892.9"/>
        <n v="8714.7000000000007"/>
        <n v="8065.89"/>
        <n v="6123.4"/>
        <n v="9774.0300000000007"/>
        <n v="7023.9"/>
        <n v="7078.23"/>
        <n v="8336.94"/>
        <n v="6901.92"/>
        <n v="5438.07"/>
        <n v="6683.34"/>
        <n v="4570.3999999999996"/>
        <n v="7667.14"/>
        <n v="5868.2"/>
        <n v="2990.13"/>
        <n v="3664.1"/>
        <n v="3834.38"/>
        <n v="1822.17"/>
        <n v="11886.6"/>
        <n v="9218.16"/>
        <n v="7208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"/>
        <n v="2851.54"/>
        <n v="4428"/>
        <n v="5780.92"/>
        <n v="2297.0500000000002"/>
        <n v="6231.54"/>
        <n v="1735.3"/>
        <n v="4427.7299999999996"/>
        <n v="5894.94"/>
        <n v="5265.15"/>
        <n v="7599.9"/>
        <n v="8008.56"/>
        <n v="9245.76"/>
        <n v="8296.35"/>
        <n v="5019.8999999999996"/>
        <n v="5411.07"/>
        <n v="3840.9"/>
        <n v="3930.4"/>
        <n v="7498.9"/>
        <n v="4517.91"/>
        <n v="5774.72"/>
        <n v="3922.56"/>
        <n v="9160.36"/>
        <n v="9631"/>
        <n v="3432.24"/>
        <n v="5521.89"/>
        <n v="6934.62"/>
        <n v="6876.11"/>
        <n v="2930.27"/>
        <n v="3584.25"/>
        <n v="2817.87"/>
        <n v="3420"/>
        <n v="2575.04"/>
        <n v="1961.28"/>
        <n v="8690.36"/>
        <n v="6034.38"/>
        <n v="11279.2"/>
        <n v="8023.29"/>
        <n v="4904"/>
        <n v="8594.52"/>
        <n v="7474.5"/>
        <n v="3883.74"/>
        <n v="8887.7000000000007"/>
        <n v="8602.92"/>
        <n v="7181.44"/>
        <n v="8378.58"/>
        <n v="10606.2"/>
        <n v="5818.4"/>
        <n v="7071.27"/>
        <n v="8411.56"/>
        <n v="6570.76"/>
        <n v="7975.44"/>
        <n v="2688"/>
        <n v="1888.26"/>
        <n v="2513.2800000000002"/>
        <n v="4764.4799999999996"/>
        <n v="3560.64"/>
        <n v="3823.64"/>
        <n v="2280.96"/>
        <n v="8677.7999999999993"/>
        <n v="3394.98"/>
        <n v="3415.44"/>
        <n v="2439.5700000000002"/>
        <n v="4829.8"/>
        <n v="4100.1000000000004"/>
        <n v="6563.06"/>
        <n v="6817.22"/>
        <n v="6163.94"/>
        <n v="4933.92"/>
        <n v="4056.36"/>
        <n v="5759.42"/>
        <n v="3451"/>
        <n v="5920.4"/>
        <n v="6668.24"/>
        <n v="4094.72"/>
        <n v="2938.5"/>
        <n v="6387.8"/>
        <n v="6396"/>
        <n v="2669.1"/>
        <n v="4784.13"/>
        <n v="3273.93"/>
        <n v="3586.43"/>
        <n v="5960.36"/>
        <n v="8470.14"/>
        <n v="2952"/>
        <n v="2464.8000000000002"/>
        <n v="6232"/>
        <n v="7969.36"/>
        <n v="3036.6"/>
        <n v="8284"/>
        <n v="2711.2"/>
        <n v="8339.7999999999993"/>
        <n v="6238.84"/>
        <n v="4639.25"/>
        <n v="6747.6"/>
        <n v="4512.4799999999996"/>
        <n v="4029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00000000003"/>
        <n v="5393.64"/>
        <n v="4880.0200000000004"/>
        <n v="8378.69"/>
        <n v="4038.21"/>
        <n v="3807.12"/>
        <n v="3142.36"/>
        <n v="4713.6000000000004"/>
        <n v="7016.31"/>
        <n v="4381.25"/>
        <n v="4283.01"/>
        <n v="4364.82"/>
        <n v="4242.24"/>
        <n v="4982.7"/>
        <n v="6393.54"/>
        <n v="1466.91"/>
        <n v="4059.33"/>
        <n v="4801.5200000000004"/>
        <n v="2711.66"/>
        <n v="5862"/>
        <n v="4071.85"/>
        <n v="8236.75"/>
        <n v="6130.35"/>
        <n v="3693.34"/>
        <n v="6031.68"/>
        <n v="3494.94"/>
        <n v="5294.14"/>
        <n v="5464.69"/>
        <n v="2860.76"/>
        <n v="5590"/>
        <n v="2254.8000000000002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299999999996"/>
        <n v="7962.24"/>
        <n v="3778.8"/>
        <n v="8253"/>
        <n v="3633.4"/>
        <n v="6913.8"/>
        <n v="2583.6"/>
        <n v="3105.62"/>
        <n v="4408.5600000000004"/>
        <n v="3042.41"/>
        <n v="5941.5"/>
        <n v="3241.9"/>
        <n v="6109.29"/>
        <n v="3387.78"/>
        <n v="3485.82"/>
        <n v="2042.88"/>
        <n v="1800.24"/>
        <n v="1340.64"/>
        <n v="1762.08"/>
        <n v="2298.2399999999998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000000000004"/>
        <n v="3731.04"/>
        <n v="2142"/>
        <n v="2838.81"/>
        <n v="3230.37"/>
        <n v="5182"/>
        <n v="4391.1000000000004"/>
        <n v="4477.32"/>
        <n v="3544.56"/>
        <n v="5195.8500000000004"/>
        <n v="4180.4399999999996"/>
        <n v="2684.43"/>
        <n v="1958.88"/>
        <n v="4910.57"/>
        <n v="4468.3999999999996"/>
        <n v="3127.88"/>
        <n v="2675.13"/>
        <n v="2807.61"/>
        <n v="2504.75"/>
        <n v="2984.88"/>
        <n v="2524.86"/>
        <n v="4136"/>
        <n v="4068.7"/>
        <n v="5243.79"/>
        <n v="9048.16"/>
        <n v="3832.64"/>
        <n v="3920"/>
        <n v="4916.66"/>
        <n v="3857"/>
        <n v="4181.4399999999996"/>
        <n v="4641"/>
        <n v="3570.12"/>
        <n v="4480.32"/>
        <n v="2033.64"/>
        <n v="1960.14"/>
        <n v="3966.78"/>
        <n v="5152"/>
        <n v="3360"/>
        <n v="5453"/>
        <n v="4164.12"/>
        <n v="2800.08"/>
        <n v="4687.9399999999996"/>
        <n v="4508"/>
        <n v="2251.04"/>
        <n v="1167.25"/>
        <n v="2083.1999999999998"/>
        <n v="3822"/>
        <n v="3911.49"/>
        <n v="4704"/>
        <n v="2467.9"/>
        <n v="3213"/>
        <n v="7182"/>
        <n v="4379.18"/>
        <n v="3644.75"/>
        <n v="2702.04"/>
        <n v="3764.88"/>
        <n v="5418.16"/>
        <n v="3300.66"/>
        <n v="6182.4"/>
        <n v="4186.7299999999996"/>
        <n v="4529.28"/>
        <n v="5628.89"/>
        <n v="3054.48"/>
        <n v="2526.5100000000002"/>
        <n v="4667.8599999999997"/>
        <n v="6499.32"/>
        <n v="5917.78"/>
        <n v="6231.91"/>
        <n v="5803.14"/>
        <n v="6434.02"/>
        <n v="6454.4"/>
        <n v="4196.8"/>
        <n v="2611.8000000000002"/>
        <n v="5895.05"/>
        <n v="3375.72"/>
        <n v="8374.69"/>
        <n v="4464.24"/>
        <n v="4808.3100000000004"/>
        <n v="3288.78"/>
        <n v="3254.72"/>
        <n v="3184.94"/>
        <n v="5907.5"/>
        <n v="4389.12"/>
        <n v="5036.16"/>
        <n v="2183.25"/>
        <n v="3106.88"/>
        <n v="3735.72"/>
        <n v="2413.2600000000002"/>
        <n v="2953.75"/>
        <n v="4684.8"/>
        <n v="3248.7"/>
        <n v="5239.5"/>
        <n v="4567.9799999999996"/>
        <n v="3535.35"/>
        <n v="3843.34"/>
        <n v="3710.9"/>
        <n v="4375.9799999999996"/>
        <n v="1516.62"/>
        <n v="2509"/>
        <n v="9240.44"/>
        <n v="2515.3200000000002"/>
        <n v="5548.9"/>
        <n v="4873.05"/>
        <n v="2055.7399999999998"/>
        <n v="2354.88"/>
        <n v="2309.58"/>
        <n v="2113.37"/>
        <n v="1746.6"/>
        <n v="2304.4499999999998"/>
        <n v="2122.08"/>
        <n v="1742.4"/>
        <n v="2455.02"/>
        <n v="3053.28"/>
        <n v="1423.29"/>
        <n v="1504.12"/>
        <n v="1164.4000000000001"/>
        <n v="1500.75"/>
        <n v="1557.36"/>
        <n v="1345.68"/>
        <n v="1795.24"/>
        <n v="1105.25"/>
        <n v="2364.88"/>
        <n v="2427.0300000000002"/>
        <n v="1237.95"/>
        <n v="1593.02"/>
        <n v="3156.16"/>
        <n v="1320.75"/>
        <n v="4998"/>
        <n v="1293.75"/>
        <n v="5433.08"/>
        <n v="3073.72"/>
        <n v="4380.2"/>
        <n v="5848.68"/>
        <n v="6153.73"/>
        <n v="4965.24"/>
        <n v="5435.64"/>
        <n v="4258.3599999999997"/>
        <n v="4032"/>
        <n v="4492.3599999999997"/>
        <n v="4161.38"/>
        <n v="2508.66"/>
        <n v="3374.88"/>
        <n v="5196.6000000000004"/>
        <n v="2604.52"/>
        <n v="2936.8"/>
        <n v="3424.64"/>
        <n v="2923.2"/>
        <n v="4489.76"/>
        <n v="4849.24"/>
        <n v="5848.92"/>
        <n v="2758.7"/>
        <n v="1449.76"/>
        <n v="7048.14"/>
        <n v="5202.9399999999996"/>
        <n v="5279.4"/>
        <n v="6916.12"/>
        <n v="2781.66"/>
        <n v="5248"/>
        <n v="6531.44"/>
        <n v="5763.72"/>
        <n v="6490.68"/>
        <n v="6004.8"/>
        <n v="7483.98"/>
        <n v="5719.5"/>
        <n v="6954.08"/>
        <n v="8160.3"/>
        <n v="6567.96"/>
        <n v="6724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"/>
        <n v="6069"/>
        <n v="2856"/>
        <n v="5375.4"/>
        <n v="5176.5"/>
        <n v="7554.8"/>
        <n v="3141.6"/>
        <n v="5890.5"/>
        <n v="5967"/>
        <n v="3712.8"/>
        <n v="7597.3"/>
        <n v="3668.6"/>
        <n v="5875.2"/>
        <n v="7310"/>
        <n v="8078.4"/>
        <n v="3257.76"/>
        <n v="7650"/>
        <n v="4703.8100000000004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099999999997"/>
        <n v="7060.24"/>
        <n v="8448.64"/>
        <n v="7300.51"/>
        <n v="6549.2"/>
        <n v="5697.9"/>
        <n v="9169"/>
        <n v="3238.63"/>
        <n v="4554.9399999999996"/>
        <n v="3934.44"/>
        <n v="5776.26"/>
        <n v="7207.45"/>
        <n v="7460.74"/>
        <n v="6719.54"/>
        <n v="2428"/>
        <n v="2602.25"/>
        <n v="2200"/>
        <n v="6712.93"/>
        <n v="5318.04"/>
        <n v="3390"/>
        <n v="1608"/>
        <n v="2262.96"/>
        <n v="1496.64"/>
        <n v="1879.74"/>
        <n v="1495.26"/>
        <n v="2323.6999999999998"/>
        <n v="2491.86"/>
        <n v="1643.12"/>
        <n v="1322.16"/>
        <n v="1423.8"/>
        <n v="2397.4499999999998"/>
        <n v="1574"/>
        <n v="1729"/>
        <n v="2255.84"/>
        <n v="1834.5"/>
        <n v="3201.5"/>
        <n v="2276.4"/>
        <n v="8884.7999999999993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599999999997"/>
        <n v="4816.08"/>
        <n v="3416.78"/>
        <n v="1236.8399999999999"/>
        <n v="5814.86"/>
        <n v="5223.4799999999996"/>
        <n v="728.4"/>
        <n v="3949"/>
        <n v="3843.99"/>
        <n v="5498.08"/>
        <n v="3777.58"/>
        <n v="3782"/>
        <n v="3859.68"/>
        <n v="4431.84"/>
        <n v="4950.33"/>
        <n v="4299.7"/>
        <n v="4492.83"/>
        <n v="2212"/>
        <n v="4642.88"/>
        <n v="3206.32"/>
        <n v="3604.23"/>
        <n v="7017.76"/>
        <n v="6154.18"/>
        <n v="4750.8"/>
        <n v="3822.92"/>
        <n v="2440.8000000000002"/>
        <n v="4729.3599999999997"/>
        <n v="12536.5"/>
        <n v="2264.15"/>
        <n v="3928.2"/>
        <n v="3630.22"/>
        <n v="4196.07"/>
        <n v="4931.6000000000004"/>
        <n v="3068.69"/>
        <n v="785.64"/>
        <n v="4977"/>
        <n v="1189.98"/>
        <n v="3090.15"/>
        <n v="2795.86"/>
        <n v="2701.92"/>
        <n v="2204.1"/>
        <n v="2840.48"/>
        <n v="2647.04"/>
        <n v="3172.05"/>
        <n v="2585.9299999999998"/>
        <n v="2148.3000000000002"/>
        <n v="1667.4"/>
        <n v="1859.7"/>
        <n v="1476.6"/>
        <n v="1732"/>
        <n v="1674.17"/>
        <n v="1500.98"/>
        <n v="2192.6799999999998"/>
        <n v="1797.58"/>
        <n v="2142.35"/>
        <n v="2086.92"/>
        <n v="6834.5"/>
        <n v="2541.59"/>
        <n v="2130.92"/>
        <n v="1701.7"/>
        <n v="1694"/>
        <n v="2913.53"/>
        <n v="935.18"/>
        <n v="3073.26"/>
        <n v="2082.4899999999998"/>
        <n v="3394.23"/>
        <n v="1490.16"/>
        <n v="3844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1999999999998"/>
        <n v="981.2"/>
        <n v="1550.72"/>
        <n v="1771.06"/>
        <n v="2213.4"/>
        <n v="5266.04"/>
        <n v="1864.8"/>
        <n v="1142.4100000000001"/>
        <n v="1172.5999999999999"/>
        <n v="6981"/>
        <n v="3064.6"/>
        <n v="2202.48"/>
        <n v="3773.38"/>
        <n v="5074.3900000000003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"/>
        <n v="4455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3999999999996"/>
        <n v="3231.36"/>
        <n v="6853.44"/>
        <n v="5177.04"/>
        <n v="2824.8"/>
        <n v="4324.32"/>
        <n v="5052.96"/>
        <n v="3223.44"/>
        <n v="5278.68"/>
        <n v="2851.2"/>
        <n v="1687.4"/>
        <n v="1308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"/>
        <n v="2983.44"/>
        <n v="5126.24"/>
        <n v="5713.79"/>
        <n v="4613.8"/>
        <n v="3711.1"/>
        <n v="3524.73"/>
        <n v="4814.3999999999996"/>
        <n v="3572.33"/>
        <n v="4581.3599999999997"/>
        <n v="4319.76"/>
        <n v="1448"/>
        <n v="881.4"/>
        <n v="2011.1"/>
        <n v="1801.24"/>
        <n v="3390.2"/>
        <n v="1424"/>
        <n v="1499.1"/>
        <n v="3358.08"/>
        <n v="1504.16"/>
        <n v="2655.12"/>
        <n v="1244.1600000000001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00000000001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00000000002"/>
        <n v="2023.14"/>
        <n v="2586.64"/>
        <n v="1987.02"/>
        <n v="1146.5"/>
        <n v="2312.2399999999998"/>
        <n v="2793.71"/>
        <n v="1908.28"/>
        <n v="3441.37"/>
        <n v="2023.28"/>
        <n v="2245.1999999999998"/>
        <n v="3255.12"/>
        <n v="2539.5"/>
        <n v="4818.1499999999996"/>
        <n v="2921.7"/>
        <n v="1801.2"/>
        <n v="2804.36"/>
        <n v="4900.8"/>
        <n v="2759.31"/>
        <n v="2488.1999999999998"/>
        <n v="2769.89"/>
        <n v="3581.4"/>
        <n v="5285.14"/>
        <n v="3181.53"/>
        <n v="3340.51"/>
        <n v="3138.34"/>
        <n v="4775.08"/>
        <n v="3006.43"/>
        <n v="2866.26"/>
        <n v="2232.62"/>
        <n v="4457.0200000000004"/>
        <n v="2257.92"/>
        <n v="1592"/>
        <n v="4948.2"/>
        <n v="5160.76"/>
        <n v="1978.62"/>
        <n v="4288.2"/>
        <n v="2520.679999999999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3999999999996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"/>
        <n v="8209.44"/>
        <n v="3598.5"/>
        <n v="3837.24"/>
        <n v="8331.61"/>
        <n v="4836.5"/>
        <n v="5418.88"/>
        <n v="3734.01"/>
        <n v="3996.4"/>
        <n v="8754.69"/>
        <n v="5481.45"/>
        <n v="4419.8900000000003"/>
        <n v="6324.75"/>
        <n v="4409.72"/>
        <n v="3918.46"/>
        <n v="7620.5"/>
        <n v="8291.0400000000009"/>
        <n v="3937.25"/>
        <n v="5554.4"/>
        <n v="6407.86"/>
        <n v="4172.5200000000004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599999999991"/>
        <n v="4572.25"/>
        <n v="5700.09"/>
        <n v="3155.49"/>
        <n v="4170.6899999999996"/>
        <n v="2878.8"/>
        <n v="5029.5"/>
        <n v="7396.8"/>
        <n v="2991.68"/>
        <n v="6275.72"/>
        <n v="1534.95"/>
        <n v="7264.53"/>
        <n v="6869.05"/>
        <n v="3353.02"/>
        <n v="8289.0499999999993"/>
        <n v="11887.8"/>
        <n v="5926.9"/>
        <n v="3793.16"/>
        <n v="4330.1000000000004"/>
        <n v="2011.8"/>
        <n v="4837.18"/>
        <n v="2151.8200000000002"/>
        <n v="2573.46"/>
        <n v="5344.5"/>
        <n v="3070.52"/>
        <n v="3952.83"/>
        <n v="3564.75"/>
        <n v="5614.56"/>
        <n v="1855.41"/>
        <n v="4598.3999999999996"/>
        <n v="5082.42"/>
        <n v="5450.59"/>
        <n v="4174.92"/>
        <n v="2418.2399999999998"/>
        <n v="3670.4"/>
        <n v="2481.6999999999998"/>
        <n v="3807.68"/>
        <n v="2230.41"/>
        <n v="3814.64"/>
        <n v="2117.75"/>
        <n v="3340.48"/>
        <n v="2154"/>
        <n v="5808.48"/>
        <n v="1777.1"/>
        <n v="1536.57"/>
        <n v="3510"/>
        <n v="3097.44"/>
        <n v="1705.41"/>
        <n v="2264.320000000000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00000000002"/>
        <n v="3403.08"/>
        <n v="2245.8000000000002"/>
        <n v="1668.5"/>
        <n v="2773.8"/>
        <n v="2464"/>
        <n v="5491.6"/>
        <n v="4791.82"/>
        <n v="4178.8500000000004"/>
        <n v="3128.92"/>
        <n v="3095.4"/>
        <n v="3958.5"/>
        <n v="4991.4399999999996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n v="3288.6"/>
        <n v="8935.5"/>
        <n v="4035.96"/>
        <n v="1875.09"/>
        <n v="4049.56"/>
        <n v="2469.39"/>
        <n v="5432.7"/>
        <n v="4405.22"/>
        <n v="3638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"/>
        <n v="6548.3"/>
        <n v="3177.91"/>
        <n v="4142.6400000000003"/>
        <n v="4149.07"/>
        <n v="7397"/>
        <n v="6241.6"/>
        <n v="5331.88"/>
        <n v="5124.3"/>
        <n v="3639.44"/>
        <n v="5544"/>
        <n v="5493.12"/>
        <n v="5785.26"/>
        <n v="5340.6"/>
        <n v="5735.8"/>
        <n v="6357.6"/>
        <n v="7343.9"/>
        <n v="5959.22"/>
        <n v="4029.38"/>
        <n v="5035.1400000000003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1999999999998"/>
        <n v="3155.58"/>
        <n v="1357.86"/>
        <n v="2598.8200000000002"/>
        <n v="1057.56"/>
        <n v="3127.82"/>
        <n v="2488.14"/>
        <n v="2220.7199999999998"/>
        <n v="1357.72"/>
        <n v="1638.04"/>
        <n v="2626.08"/>
        <n v="1661.88"/>
        <n v="2173.6"/>
        <n v="2182.0500000000002"/>
        <n v="2819.88"/>
        <n v="2598.64"/>
        <n v="2019.27"/>
        <n v="1454.7"/>
        <n v="1657.57"/>
        <n v="2851.84"/>
        <n v="4609.6400000000003"/>
        <n v="5079.96"/>
        <n v="1879.92"/>
        <n v="4774.8599999999997"/>
        <n v="2687.04"/>
        <n v="3423.75"/>
        <n v="3455.76"/>
        <n v="3622.97"/>
        <n v="3599.58"/>
        <n v="5386.56"/>
        <n v="4918.78"/>
        <n v="2538.8000000000002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0999999999999"/>
        <n v="4811.8500000000004"/>
        <n v="7307.42"/>
        <n v="6209.25"/>
        <n v="5348.5"/>
        <n v="2780.58"/>
        <n v="3447"/>
        <n v="3791.52"/>
        <n v="4524.1000000000004"/>
        <n v="3337.6"/>
        <n v="5532.12"/>
        <n v="5096.91"/>
        <n v="4537.08"/>
        <n v="6146.8"/>
        <n v="8258"/>
        <n v="7238.28"/>
        <n v="6756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1999999999998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"/>
        <n v="3630.28"/>
        <n v="5090.5"/>
        <n v="3949.65"/>
        <n v="3491.67"/>
        <n v="2059.19"/>
        <n v="3170.16"/>
        <n v="1790.6"/>
        <n v="2345.9699999999998"/>
        <n v="3580.88"/>
        <n v="4946.0600000000004"/>
        <n v="3602.16"/>
        <n v="4300.5"/>
        <n v="4498.1899999999996"/>
        <n v="3023.1"/>
        <n v="3562.49"/>
        <n v="1640.24"/>
        <n v="4739.3999999999996"/>
        <n v="1207.68"/>
        <n v="4228.2"/>
        <n v="4815.45"/>
        <n v="7083"/>
        <n v="4601.2"/>
        <n v="6467.02"/>
        <n v="5012.55"/>
        <n v="5121.59"/>
        <n v="2441.04"/>
        <n v="4262.08"/>
        <n v="6658.02"/>
        <n v="4509.08"/>
        <n v="4716.2299999999996"/>
        <n v="2390.2199999999998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000000000004"/>
        <n v="5235.72"/>
        <n v="4325.16"/>
        <n v="1938.89"/>
        <n v="2490.5"/>
        <n v="2314.69"/>
        <n v="1254.83"/>
        <n v="1282.8"/>
        <n v="1345.75"/>
        <n v="2194.2199999999998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499999999998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"/>
        <n v="6276.46"/>
        <n v="4203.5"/>
        <n v="1629.04"/>
        <n v="3289.86"/>
        <n v="6862.94"/>
        <n v="2574.1799999999998"/>
        <n v="1327.79"/>
        <n v="2356.25"/>
        <n v="2013.5"/>
        <n v="2807.22"/>
        <n v="3072.96"/>
        <n v="1906.5"/>
        <n v="3431.7"/>
        <n v="2084.75"/>
        <n v="2136.0100000000002"/>
        <n v="2009.7"/>
        <n v="2719.8"/>
        <n v="1575.08"/>
        <n v="1688.43"/>
        <n v="1672.1"/>
        <n v="1674.75"/>
        <n v="3472.98"/>
        <n v="1649.18"/>
        <n v="3751"/>
        <n v="4536"/>
        <n v="4421.34"/>
        <n v="2078.2800000000002"/>
        <n v="3069"/>
        <n v="1713.8"/>
        <n v="1506.5"/>
        <n v="2692.12"/>
        <n v="2422.08"/>
        <n v="3488.34"/>
        <n v="2583.34"/>
        <n v="1249.4000000000001"/>
        <n v="3374.71"/>
        <n v="1265.46"/>
        <n v="1681.46"/>
        <n v="3204"/>
        <n v="2398.7199999999998"/>
        <n v="2381.04"/>
        <n v="1944.54"/>
        <n v="2273.6999999999998"/>
        <n v="2116.5"/>
        <n v="1307.32"/>
        <n v="1726.37"/>
        <n v="1267.77"/>
        <n v="3441.82"/>
        <n v="1987.18"/>
        <n v="3880.2"/>
        <n v="1942.15"/>
        <n v="3259.92"/>
        <n v="1213.8"/>
        <n v="1086.5999999999999"/>
        <n v="1632.75"/>
        <n v="1734"/>
        <n v="1857.06"/>
        <n v="1863.41"/>
        <n v="2924.68"/>
        <n v="2294.1799999999998"/>
        <n v="1457.82"/>
        <n v="1955.88"/>
        <n v="2314.4"/>
        <n v="1310.96"/>
        <n v="2913.3"/>
        <n v="1357.78"/>
        <n v="2150"/>
        <n v="2783.25"/>
        <n v="2339.92"/>
        <n v="5972.4"/>
        <n v="2275.1999999999998"/>
        <n v="2673.44"/>
        <n v="2431.75"/>
        <n v="2018.72"/>
        <n v="1558.99"/>
        <n v="1104.5999999999999"/>
        <n v="2575.1"/>
        <n v="2845.75"/>
        <n v="3431.75"/>
        <n v="3273.9"/>
        <n v="4119.3999999999996"/>
        <n v="5355.68"/>
        <n v="5747.5"/>
        <n v="5355.36"/>
        <n v="2535.75"/>
        <n v="4351.2299999999996"/>
        <n v="2254"/>
        <n v="2921.28"/>
        <n v="2299"/>
        <n v="2637.18"/>
        <n v="4307.5200000000004"/>
        <n v="2153.7600000000002"/>
        <n v="3716.88"/>
        <n v="5455.76"/>
        <n v="2650.62"/>
        <n v="6437.28"/>
        <n v="2633.4"/>
        <n v="2278.5300000000002"/>
        <n v="4846"/>
        <n v="4197.1000000000004"/>
        <n v="4597.6499999999996"/>
        <n v="5287.7"/>
        <n v="3550.05"/>
        <n v="1721.73"/>
        <n v="2993.5"/>
        <n v="1295.06"/>
        <n v="2671.95"/>
        <n v="1226.5899999999999"/>
        <n v="1453.84"/>
        <n v="1830.22"/>
        <n v="2530.0100000000002"/>
        <n v="2241.4499999999998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3970.56"/>
        <n v="2576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"/>
        <n v="2310.88"/>
        <n v="4061.76"/>
        <n v="3493.7"/>
        <n v="2872.25"/>
        <n v="4114.38"/>
        <n v="1063.6500000000001"/>
        <n v="2008.44"/>
        <n v="4328.6000000000004"/>
        <n v="1376.43"/>
        <n v="5552.16"/>
        <n v="3659.02"/>
        <n v="4165.6099999999997"/>
        <n v="1404"/>
        <n v="710.2"/>
        <n v="1702.8"/>
        <n v="1194.8399999999999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"/>
        <n v="3685.95"/>
        <n v="703.6"/>
        <n v="9720"/>
        <n v="834.67"/>
        <n v="8344.7099999999991"/>
        <n v="1801.94"/>
        <n v="1209.5999999999999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00000000002"/>
        <n v="2971.34"/>
        <n v="2257.58"/>
        <n v="3493.91"/>
        <n v="4398.8999999999996"/>
        <n v="3595.62"/>
        <n v="2443.29"/>
        <n v="5168.3999999999996"/>
        <n v="6341.21"/>
        <n v="5189.78"/>
        <n v="6027.75"/>
        <n v="3366"/>
        <n v="5456.4"/>
        <n v="3812.16"/>
        <n v="6083"/>
        <n v="3170.7"/>
        <n v="4534.6000000000004"/>
        <n v="4301.1499999999996"/>
        <n v="6804.63"/>
        <n v="5652.94"/>
        <n v="6960.48"/>
        <n v="4512.6000000000004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199999999998"/>
        <n v="1560.47"/>
        <n v="1112.94"/>
        <n v="1138.94"/>
        <n v="1012.4"/>
        <n v="913.92"/>
        <n v="2349.06"/>
        <n v="1161.1199999999999"/>
        <n v="1764.75"/>
        <n v="1690.9"/>
        <n v="2137.0500000000002"/>
        <n v="2177.1"/>
        <n v="1734.48"/>
        <n v="865.49"/>
        <n v="3500.1"/>
        <n v="2223.52"/>
        <n v="2311.6799999999998"/>
        <n v="828.36"/>
        <n v="856.52"/>
        <n v="1845.45"/>
        <n v="4042.08"/>
        <n v="1828"/>
        <n v="3680.28"/>
        <n v="2925.09"/>
        <n v="3415.77"/>
        <n v="5105.1400000000003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"/>
        <n v="5510.54"/>
        <n v="2060.4499999999998"/>
        <n v="2460.16"/>
        <n v="1787.56"/>
        <n v="1645.65"/>
        <n v="2169.1799999999998"/>
        <n v="2816.18"/>
        <n v="2521.0500000000002"/>
        <n v="3199.98"/>
        <n v="1338.12"/>
        <n v="2972.58"/>
        <n v="2070.9"/>
        <n v="3092.6"/>
        <n v="2408.6999999999998"/>
        <n v="3472.54"/>
        <n v="2263.2800000000002"/>
        <n v="2194.17"/>
        <n v="1346.4"/>
        <n v="2533.63"/>
        <n v="3403.26"/>
        <n v="3307.2"/>
        <n v="2896.65"/>
        <n v="2632.89"/>
        <n v="2046"/>
        <n v="2279.5500000000002"/>
        <n v="2150.5500000000002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000000000002"/>
        <n v="2181"/>
        <n v="3382.08"/>
        <n v="2876.75"/>
        <n v="4107.2"/>
        <n v="1350"/>
        <n v="3933.93"/>
        <n v="721.44"/>
        <n v="1489.41"/>
        <n v="891.03"/>
        <n v="1209.3"/>
        <n v="859.14"/>
        <n v="1151.44"/>
        <n v="1336.44"/>
        <n v="905.28"/>
        <n v="1247.4000000000001"/>
        <n v="846.51"/>
        <n v="1085.04"/>
        <n v="1767.43"/>
        <n v="1030.44"/>
        <n v="1585.36"/>
        <n v="813.2"/>
        <n v="1172.3399999999999"/>
        <n v="1510.56"/>
        <n v="1448.07"/>
        <n v="3338.1"/>
        <n v="1225.29"/>
        <n v="1336.68"/>
        <n v="2985.84"/>
        <n v="5545.8"/>
        <n v="6089.6"/>
        <n v="1789.4"/>
        <n v="1082.0999999999999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1999999999998"/>
        <n v="2219.6999999999998"/>
        <n v="1496.25"/>
        <n v="1884"/>
        <n v="2166.14"/>
        <n v="2828.16"/>
        <n v="6214.45"/>
        <n v="1867"/>
        <n v="2676.72"/>
        <n v="2182.44"/>
        <n v="1479.84"/>
        <n v="1424.22"/>
        <n v="5942.28"/>
        <n v="2348.75"/>
        <n v="4392.12"/>
        <n v="2759.75"/>
        <n v="2728.03"/>
        <n v="2395.8000000000002"/>
        <n v="3052.33"/>
        <n v="4242"/>
        <n v="2790.45"/>
        <n v="4340.49"/>
        <n v="2762.2"/>
        <n v="4645.72"/>
        <n v="5580.96"/>
        <n v="6539.04"/>
        <n v="5548.95"/>
        <n v="4595.41"/>
        <n v="1859.44"/>
        <n v="2093.7600000000002"/>
        <n v="4223.13"/>
        <n v="1596.76"/>
        <n v="5820.35"/>
        <n v="5296.5"/>
        <n v="930.9"/>
        <n v="1207.44"/>
        <n v="717.4"/>
        <n v="1066.75"/>
        <n v="1554"/>
        <n v="1277.6400000000001"/>
        <n v="1578.79"/>
        <n v="917.7"/>
        <n v="777"/>
        <n v="1476.28"/>
        <n v="1538.46"/>
        <n v="891.2"/>
        <n v="1706.8"/>
        <n v="1373.6"/>
        <n v="1205.5899999999999"/>
        <n v="1427.4"/>
        <n v="1649.28"/>
        <n v="1383.03"/>
        <n v="1229.51"/>
        <n v="1140.48"/>
        <n v="1575.6"/>
        <n v="1386.72"/>
        <n v="5018.3999999999996"/>
        <n v="5856.85"/>
        <n v="4894.7299999999996"/>
        <n v="2094.3200000000002"/>
        <n v="640.04999999999995"/>
        <n v="3193.52"/>
        <n v="3066.7"/>
        <n v="3883.11"/>
        <n v="4814.25"/>
        <n v="2826.27"/>
        <n v="1593.2"/>
        <n v="3266.1"/>
        <n v="2453.5500000000002"/>
        <n v="3910.4"/>
        <n v="1788"/>
        <n v="3328.07"/>
        <n v="3053.7"/>
        <n v="2005.74"/>
        <n v="2796.12"/>
        <n v="3159.96"/>
        <n v="3908.62"/>
        <n v="2606.48"/>
        <n v="2081.7600000000002"/>
        <n v="3519.85"/>
        <n v="10758"/>
        <n v="3021"/>
        <n v="1891.56"/>
        <n v="4208.41"/>
        <n v="2246.4"/>
        <n v="6107.4"/>
        <n v="1987.74"/>
        <n v="4068.96"/>
        <n v="2282.2199999999998"/>
        <n v="1541"/>
        <n v="1951.92"/>
        <n v="3107.61"/>
        <n v="2328.64"/>
        <n v="3184.8"/>
        <n v="2149.7399999999998"/>
        <n v="2114.58"/>
        <n v="4256.5600000000004"/>
        <n v="2344.98"/>
        <n v="2328.66"/>
        <n v="3575.04"/>
        <n v="2076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399999999999"/>
        <n v="1224.5999999999999"/>
        <n v="1359.4"/>
        <n v="1822.18"/>
        <n v="2163.7199999999998"/>
        <n v="1591.98"/>
        <n v="3078.5"/>
        <n v="2997.6"/>
        <n v="2747.8"/>
        <n v="2447.7600000000002"/>
        <n v="1910.84"/>
        <n v="2430.64"/>
        <n v="2896.3"/>
        <n v="1630.6"/>
        <n v="1459.6"/>
        <n v="1716.22"/>
        <n v="2560.4699999999998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"/>
        <n v="2231.6"/>
        <n v="2436.7800000000002"/>
        <n v="1254.5999999999999"/>
        <n v="3724.42"/>
        <n v="5203"/>
        <n v="3469.5"/>
        <n v="3148.2"/>
        <n v="2167.2199999999998"/>
        <n v="6244.07"/>
        <n v="5566"/>
        <n v="4368.96"/>
        <n v="4039.26"/>
        <n v="4420.32"/>
        <n v="2341.71"/>
        <n v="5110.9799999999996"/>
        <n v="6168"/>
        <n v="4873.26"/>
        <n v="2120.14"/>
        <n v="4236.1400000000003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799999999998"/>
        <n v="1697.3"/>
        <n v="2011.02"/>
        <n v="2306.25"/>
        <n v="1845"/>
        <n v="2493.12"/>
        <n v="1508.5"/>
        <n v="2394.3000000000002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"/>
        <n v="4479.63"/>
        <n v="5148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00000000001"/>
        <n v="2292.8000000000002"/>
        <n v="3286.49"/>
        <n v="2333.6999999999998"/>
        <n v="2675.05"/>
        <n v="4361.3999999999996"/>
        <n v="2018.58"/>
        <n v="3710.9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799999999998"/>
        <n v="1717.64"/>
        <n v="4086.29"/>
        <n v="553.9500000000000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499999999996"/>
        <n v="6311.2"/>
        <n v="3070.54"/>
        <n v="4797.3900000000003"/>
        <n v="3832.38"/>
        <n v="4641.4799999999996"/>
        <n v="4000.26"/>
        <n v="5325.76"/>
        <n v="4618.6899999999996"/>
        <n v="3182.97"/>
        <n v="2603.04"/>
        <n v="1408.96"/>
        <n v="1972.11"/>
        <n v="5207.75"/>
        <n v="4253.2"/>
        <n v="2873"/>
        <n v="2253.6799999999998"/>
        <n v="3576.12"/>
        <n v="3276.13"/>
        <n v="1811.4"/>
        <n v="3845.1"/>
        <n v="2571.14"/>
        <n v="5035.1099999999997"/>
        <n v="2279"/>
        <n v="3213.87"/>
        <n v="3532.23"/>
        <n v="3406.59"/>
        <n v="3467.2"/>
        <n v="3628.94"/>
        <n v="4674.72"/>
        <n v="1656.69"/>
        <n v="5171.3999999999996"/>
        <n v="3342.57"/>
        <n v="4884.88"/>
        <n v="6267.69"/>
        <n v="4424.16"/>
        <n v="1962.09"/>
        <n v="6847"/>
        <n v="3476.8"/>
        <n v="4592.6099999999997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10039.6"/>
        <n v="3167"/>
        <n v="3521.25"/>
        <n v="4219.28"/>
        <n v="3581.76"/>
        <n v="2130.0100000000002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199999999998"/>
        <n v="4607.3599999999997"/>
        <n v="3598.99"/>
        <n v="3964.1"/>
        <n v="2244.9"/>
        <n v="2793"/>
        <n v="4133.6400000000003"/>
        <n v="3900.6"/>
        <n v="2743.04"/>
        <n v="2402.0700000000002"/>
        <n v="2178.54"/>
        <n v="3155.04"/>
        <n v="2366.2800000000002"/>
        <n v="1963.6"/>
        <n v="4746.28"/>
        <n v="6386.94"/>
        <n v="4044.04"/>
        <n v="2708.42"/>
        <n v="2904.72"/>
        <n v="3553.88"/>
        <n v="1858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000000000004"/>
        <n v="4992.6099999999997"/>
        <n v="4764.6000000000004"/>
        <n v="1173.1500000000001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79999999999995"/>
        <n v="988.47"/>
        <n v="1518.11"/>
        <n v="1013.76"/>
        <n v="1549.8"/>
        <n v="1108.3800000000001"/>
        <n v="4102.5600000000004"/>
        <n v="3713.16"/>
        <n v="1513.54"/>
        <n v="2317.44"/>
        <n v="3298.4"/>
        <n v="1826.96"/>
        <n v="1206.9000000000001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8844.1200000000008"/>
        <n v="2424"/>
        <n v="1535.49"/>
        <n v="6358.68"/>
        <n v="1329.4"/>
        <n v="1701.76"/>
        <n v="2259.7199999999998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000000000001"/>
        <n v="2801.4"/>
        <n v="1988.4"/>
        <n v="2908.35"/>
        <n v="2147.4"/>
        <n v="2099.63"/>
        <n v="2315.1799999999998"/>
        <n v="2327.15"/>
        <n v="5377.4"/>
        <n v="2626.01"/>
        <n v="4406.3999999999996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499999999998"/>
        <n v="2191.1999999999998"/>
        <n v="3043.04"/>
        <n v="1228.2"/>
        <n v="1330.35"/>
        <n v="2792.52"/>
        <n v="2296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399999999998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"/>
        <n v="3251.34"/>
        <n v="2347.15"/>
        <n v="3920.88"/>
        <n v="2514.6"/>
        <n v="3600.24"/>
        <n v="4040.03"/>
        <n v="3336.9"/>
        <n v="3113.64"/>
        <n v="2832"/>
        <n v="3330.98"/>
        <n v="4304.6400000000003"/>
        <n v="2600.2600000000002"/>
        <n v="4382.16"/>
        <n v="4235"/>
        <n v="2626.8"/>
        <n v="5026.5600000000004"/>
        <n v="2201.62"/>
        <n v="4326.8"/>
        <n v="3425.18"/>
        <n v="4701.88"/>
        <n v="5189.3999999999996"/>
        <n v="1565.85"/>
        <n v="2480.38"/>
        <n v="1355.13"/>
        <n v="1246.44"/>
        <n v="820.4"/>
        <n v="2492.64"/>
        <n v="1113.5999999999999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00000000003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00000000001"/>
        <n v="3179.52"/>
        <n v="2091.1799999999998"/>
        <n v="1779.71"/>
        <n v="2537.64"/>
        <n v="2448.7199999999998"/>
        <n v="972.4"/>
        <n v="2856.14"/>
        <n v="1968.3"/>
        <n v="2056.1999999999998"/>
        <n v="2242.02"/>
        <n v="3128.65"/>
        <n v="2443.2600000000002"/>
        <n v="2470.86"/>
        <n v="1927.45"/>
        <n v="2051.56"/>
        <n v="2337.38"/>
        <n v="5932.96"/>
        <n v="2296.77"/>
        <n v="6490.88"/>
        <n v="1623.25"/>
        <n v="1405.92"/>
        <n v="2282.2800000000002"/>
        <n v="8977.0499999999993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3657.8"/>
        <n v="4682.3599999999997"/>
        <n v="3937.7"/>
        <n v="4984.32"/>
        <n v="5406.66"/>
        <n v="3491.18"/>
        <n v="2118.54"/>
        <n v="2897.47"/>
        <n v="1916.75"/>
        <n v="1860"/>
        <n v="2780.81"/>
        <n v="3239.62"/>
        <n v="1824"/>
        <n v="1134"/>
        <n v="1487.41"/>
        <n v="2837.46"/>
        <n v="1942.77"/>
        <n v="2544.12"/>
        <n v="2568.2399999999998"/>
        <n v="2108"/>
        <n v="1372.14"/>
        <n v="3540.15"/>
        <n v="1958.84"/>
        <n v="2700"/>
        <n v="2542"/>
        <n v="234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000000000004"/>
        <n v="2224.9499999999998"/>
        <n v="2795.14"/>
        <n v="2762.1"/>
        <n v="2658"/>
        <n v="5043.87"/>
        <n v="1210.8"/>
        <n v="3029.19"/>
        <n v="10066.6"/>
        <n v="4121.43"/>
        <n v="1135.31"/>
        <n v="2100.8200000000002"/>
        <n v="2034.35"/>
        <n v="3027.84"/>
        <n v="3104"/>
        <n v="3612.43"/>
        <n v="2711.88"/>
        <n v="3013.97"/>
        <n v="2738.54"/>
        <n v="4720"/>
        <n v="2231"/>
        <n v="2296.84"/>
        <n v="4157.2"/>
        <n v="2146.1999999999998"/>
        <n v="3724.23"/>
        <n v="2084.81"/>
        <n v="3488.78"/>
        <n v="1753.06"/>
        <n v="3469.2"/>
        <n v="2530.8000000000002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799999999998"/>
        <n v="2172.48"/>
        <n v="2927.43"/>
        <n v="2659.54"/>
        <n v="3838"/>
        <n v="4142.16"/>
        <n v="1882.8"/>
        <n v="3477.86"/>
        <n v="3323.84"/>
        <n v="4195.8"/>
        <n v="4156.58"/>
        <n v="3918.75"/>
        <n v="2352.67"/>
        <n v="1089.3599999999999"/>
        <n v="2701.12"/>
        <n v="2487.04"/>
        <n v="3910.32"/>
        <n v="4038.8"/>
        <n v="3070.4"/>
        <n v="3763.46"/>
        <n v="2584.8000000000002"/>
        <n v="4427.6000000000004"/>
        <n v="2152.02"/>
        <n v="2353.4"/>
        <n v="3431.39"/>
        <n v="1930.5"/>
        <n v="4774.5600000000004"/>
        <n v="2592.7199999999998"/>
        <n v="3246.75"/>
        <n v="3372.5"/>
        <n v="3909.15"/>
        <n v="2994.75"/>
        <n v="4472.5200000000004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799999999998"/>
        <n v="2038.87"/>
        <n v="2499.2600000000002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199999999998"/>
        <n v="3091.19"/>
        <n v="2576.1999999999998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"/>
        <n v="3195.27"/>
        <n v="3611.16"/>
        <n v="2000.77"/>
        <n v="2314.2600000000002"/>
        <n v="3871.89"/>
        <n v="2728"/>
        <n v="5614"/>
        <n v="4628.8"/>
        <n v="3641.4"/>
        <n v="4048"/>
        <n v="2321.46"/>
        <n v="3256.96"/>
        <n v="4208"/>
        <n v="2973.9"/>
        <n v="4248.3"/>
        <n v="9558.7999999999993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"/>
        <n v="3199.86"/>
        <n v="2402.75"/>
        <n v="6055.72"/>
        <n v="5465.16"/>
        <n v="6378.72"/>
        <n v="5392.8"/>
        <n v="3986.5"/>
        <n v="4009.23"/>
        <n v="7119"/>
        <n v="4072.2"/>
        <n v="4094.51"/>
        <n v="3302.4"/>
        <n v="3186.48"/>
        <n v="1668.25"/>
        <n v="7154.5"/>
        <n v="2810.83"/>
        <n v="2018.31"/>
        <n v="5642.83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644.12"/>
        <n v="3523.85"/>
        <n v="5001.92"/>
        <n v="5208.72"/>
        <n v="3018.88"/>
        <n v="1902.4"/>
        <n v="7084"/>
        <n v="3164.46"/>
        <n v="4219.2"/>
        <n v="3828.3"/>
        <n v="2334.9899999999998"/>
        <n v="4407.5"/>
        <n v="2812.8"/>
        <n v="4055.04"/>
        <n v="3891.66"/>
        <n v="2488.3200000000002"/>
        <n v="4447.3999999999996"/>
        <n v="4187.22"/>
        <n v="4615.68"/>
        <n v="3245.4"/>
        <n v="2203.75"/>
        <n v="3446"/>
        <n v="1939.3"/>
        <n v="3473.78"/>
        <n v="2884.8"/>
        <n v="2670.65"/>
        <n v="3440"/>
        <n v="2770.78"/>
        <n v="2397.54"/>
        <n v="3275.56"/>
        <n v="4143.6000000000004"/>
        <n v="5192.6400000000003"/>
        <n v="3029.04"/>
        <n v="2556.1799999999998"/>
        <n v="3753.9"/>
        <n v="2562.3000000000002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899999999998"/>
        <n v="2949.12"/>
        <n v="1539.72"/>
        <n v="2213.38"/>
        <n v="2919.58"/>
        <n v="3778.28"/>
        <n v="3233.49"/>
        <n v="3431.25"/>
        <n v="2546.8000000000002"/>
        <n v="2953.86"/>
        <n v="3183.29"/>
        <n v="2466.6999999999998"/>
        <n v="2363.2199999999998"/>
        <n v="2487.4499999999998"/>
        <n v="2249.0500000000002"/>
        <n v="2061.12"/>
        <n v="4071.14"/>
        <n v="2656.29"/>
        <n v="2736.36"/>
        <n v="3348.93"/>
        <n v="2893"/>
        <n v="1661.22"/>
        <n v="4277.3500000000004"/>
        <n v="2502.9"/>
        <n v="3801.6"/>
        <n v="3144.96"/>
        <n v="2031.4"/>
        <n v="2674.17"/>
        <n v="2526.7199999999998"/>
        <n v="1348.76"/>
        <n v="875.91"/>
        <n v="1874.05"/>
        <n v="1671.44"/>
        <n v="1668.4"/>
        <n v="2301.75"/>
        <n v="1459.92"/>
        <n v="1209.589999999999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000000000001"/>
        <n v="2419.62"/>
        <n v="1419.5"/>
        <n v="2184"/>
        <n v="2079.04"/>
        <n v="1724.97"/>
        <n v="1846.42"/>
        <n v="2009.2"/>
        <n v="1804.04"/>
        <n v="2109.66"/>
        <n v="2682.96"/>
        <n v="2280.2399999999998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  <m/>
      </sharedItems>
    </cacheField>
    <cacheField name="ORDERDATE" numFmtId="0">
      <sharedItems containsBlank="1"/>
    </cacheField>
    <cacheField name="status_proper" numFmtId="0">
      <sharedItems containsBlank="1" count="7">
        <s v="Shipped"/>
        <s v="Disputed"/>
        <s v="In Process"/>
        <s v="Cancelled"/>
        <s v="On Hold"/>
        <s v="Resolved"/>
        <m/>
      </sharedItems>
    </cacheField>
    <cacheField name="status_check" numFmtId="0">
      <sharedItems containsBlank="1" count="3">
        <s v="completed"/>
        <s v="not completed"/>
        <m/>
      </sharedItems>
    </cacheField>
    <cacheField name="STATUS" numFmtId="0">
      <sharedItems containsBlank="1"/>
    </cacheField>
    <cacheField name="QTR_ID" numFmtId="0">
      <sharedItems containsString="0" containsBlank="1" containsNumber="1" containsInteger="1" minValue="1" maxValue="4" count="5">
        <n v="1"/>
        <n v="2"/>
        <n v="3"/>
        <n v="4"/>
        <m/>
      </sharedItems>
    </cacheField>
    <cacheField name="MONTH_ID" numFmtId="0">
      <sharedItems containsString="0" containsBlank="1" containsNumber="1" containsInteger="1" minValue="1" maxValue="12" count="13">
        <n v="2"/>
        <n v="5"/>
        <n v="7"/>
        <n v="8"/>
        <n v="10"/>
        <n v="11"/>
        <n v="12"/>
        <n v="1"/>
        <n v="4"/>
        <n v="6"/>
        <n v="9"/>
        <n v="3"/>
        <m/>
      </sharedItems>
    </cacheField>
    <cacheField name="YEAR_ID" numFmtId="0">
      <sharedItems containsString="0" containsBlank="1" containsNumber="1" containsInteger="1" minValue="2003" maxValue="2005" count="4">
        <n v="2003"/>
        <n v="2004"/>
        <n v="2005"/>
        <m/>
      </sharedItems>
    </cacheField>
    <cacheField name="PRODUCTLINE" numFmtId="0">
      <sharedItems containsBlank="1" count="8">
        <s v="Motorcycles"/>
        <s v="Classic Cars"/>
        <s v="Trucks and Buses"/>
        <s v="Vintage Cars"/>
        <s v="Planes"/>
        <s v="Ships"/>
        <s v="Trains"/>
        <m/>
      </sharedItems>
    </cacheField>
    <cacheField name="MSRP" numFmtId="0">
      <sharedItems containsString="0" containsBlank="1" containsNumber="1" containsInteger="1" minValue="33" maxValue="214"/>
    </cacheField>
    <cacheField name="PRODUCTCODE" numFmtId="0">
      <sharedItems containsBlank="1"/>
    </cacheField>
    <cacheField name="CUSTOMERNAME" numFmtId="0">
      <sharedItems containsBlank="1"/>
    </cacheField>
    <cacheField name="PHONE" numFmtId="0">
      <sharedItems containsBlank="1" containsMixedTypes="1" containsNumber="1" containsInteger="1" minValue="2015559350" maxValue="9145554562"/>
    </cacheField>
    <cacheField name="ADDRESSLINE1" numFmtId="0">
      <sharedItems containsBlank="1"/>
    </cacheField>
    <cacheField name="ADDRESSLINE2" numFmtId="0">
      <sharedItems containsBlank="1"/>
    </cacheField>
    <cacheField name="city_proper" numFmtId="0">
      <sharedItems containsBlank="1"/>
    </cacheField>
    <cacheField name="CITY" numFmtId="0">
      <sharedItems containsBlank="1" count="74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  <m/>
      </sharedItems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_proper" numFmtId="0">
      <sharedItems containsBlank="1" count="20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  <m/>
      </sharedItems>
    </cacheField>
    <cacheField name="COUNTRY" numFmtId="0">
      <sharedItems containsBlank="1" count="20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  <m/>
      </sharedItems>
    </cacheField>
    <cacheField name="TERRITORY" numFmtId="0">
      <sharedItems containsBlank="1"/>
    </cacheField>
    <cacheField name="CONTACTLASTNAME" numFmtId="0">
      <sharedItems containsBlank="1"/>
    </cacheField>
    <cacheField name="CONTACTFIRSTNAME" numFmtId="0">
      <sharedItems containsBlank="1"/>
    </cacheField>
    <cacheField name="DEALSIZE" numFmtId="0">
      <sharedItems containsBlank="1" count="4">
        <s v="Small"/>
        <s v="Medium"/>
        <s v="Larg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4">
  <r>
    <n v="2871"/>
    <s v="2/24/2003 0:00"/>
    <s v="Shipped"/>
    <x v="0"/>
    <s v="Shipped"/>
  </r>
  <r>
    <n v="2765.9"/>
    <s v="2/24/2003 0:01"/>
    <s v="Shipped"/>
    <x v="0"/>
    <s v="Shipped"/>
  </r>
  <r>
    <n v="3884.34"/>
    <s v="2/24/2003 0:02"/>
    <s v="Shipped"/>
    <x v="0"/>
    <s v="Shipped"/>
  </r>
  <r>
    <n v="3746.7"/>
    <s v="2/24/2003 0:03"/>
    <s v="Shipped"/>
    <x v="0"/>
    <s v="Shipped"/>
  </r>
  <r>
    <n v="5205.2700000000004"/>
    <s v="2/24/2003 0:04"/>
    <s v="Shipped"/>
    <x v="0"/>
    <s v="Shipped"/>
  </r>
  <r>
    <n v="3479.76"/>
    <s v="2/24/2003 0:05"/>
    <s v="Shipped"/>
    <x v="0"/>
    <s v="Shipped"/>
  </r>
  <r>
    <n v="2497.77"/>
    <s v="2/24/2003 0:06"/>
    <s v="Shipped"/>
    <x v="0"/>
    <s v="Shipped"/>
  </r>
  <r>
    <n v="5512.32"/>
    <s v="2/24/2003 0:07"/>
    <s v="Shipped"/>
    <x v="0"/>
    <s v="Shipped"/>
  </r>
  <r>
    <n v="2168.54"/>
    <s v="2/24/2003 0:08"/>
    <s v="Shipped"/>
    <x v="0"/>
    <s v="Shipped"/>
  </r>
  <r>
    <n v="4708.4399999999996"/>
    <s v="2/24/2003 0:09"/>
    <s v="Shipped"/>
    <x v="0"/>
    <s v="Shipped"/>
  </r>
  <r>
    <n v="3965.66"/>
    <s v="2/24/2003 0:10"/>
    <s v="Shipped"/>
    <x v="0"/>
    <s v="Shipped"/>
  </r>
  <r>
    <n v="2333.12"/>
    <s v="2/24/2003 0:11"/>
    <s v="Shipped"/>
    <x v="0"/>
    <s v="Shipped"/>
  </r>
  <r>
    <n v="3188.64"/>
    <s v="2/24/2003 0:12"/>
    <s v="Shipped"/>
    <x v="0"/>
    <s v="Shipped"/>
  </r>
  <r>
    <n v="3676.76"/>
    <s v="2/24/2003 0:13"/>
    <s v="Shipped"/>
    <x v="0"/>
    <s v="Shipped"/>
  </r>
  <r>
    <n v="4177.3500000000004"/>
    <s v="2/24/2003 0:14"/>
    <s v="Shipped"/>
    <x v="0"/>
    <s v="Shipped"/>
  </r>
  <r>
    <n v="4099.68"/>
    <s v="2/24/2003 0:15"/>
    <s v="Shipped"/>
    <x v="0"/>
    <s v="Shipped"/>
  </r>
  <r>
    <n v="2597.39"/>
    <s v="2/24/2003 0:16"/>
    <s v="Shipped"/>
    <x v="0"/>
    <s v="Shipped"/>
  </r>
  <r>
    <n v="4394.38"/>
    <s v="2/24/2003 0:17"/>
    <s v="Shipped"/>
    <x v="0"/>
    <s v="Shipped"/>
  </r>
  <r>
    <n v="4358.04"/>
    <s v="2/24/2003 0:18"/>
    <s v="Shipped"/>
    <x v="0"/>
    <s v="Shipped"/>
  </r>
  <r>
    <n v="4396.1400000000003"/>
    <s v="2/24/2003 0:19"/>
    <s v="Shipped"/>
    <x v="0"/>
    <s v="Shipped"/>
  </r>
  <r>
    <n v="7737.93"/>
    <s v="2/24/2003 0:20"/>
    <s v="Shipped"/>
    <x v="0"/>
    <s v="Shipped"/>
  </r>
  <r>
    <n v="1451"/>
    <s v="2/24/2003 0:21"/>
    <s v="Shipped"/>
    <x v="0"/>
    <s v="Shipped"/>
  </r>
  <r>
    <n v="733.11"/>
    <s v="2/24/2003 0:22"/>
    <s v="Shipped"/>
    <x v="0"/>
    <s v="Shipped"/>
  </r>
  <r>
    <n v="3207.12"/>
    <s v="2/24/2003 0:23"/>
    <s v="Shipped"/>
    <x v="0"/>
    <s v="Shipped"/>
  </r>
  <r>
    <n v="2434.56"/>
    <s v="2/24/2003 0:24"/>
    <s v="Shipped"/>
    <x v="0"/>
    <s v="Shipped"/>
  </r>
  <r>
    <n v="7516.08"/>
    <s v="2/24/2003 0:25"/>
    <s v="Disputed"/>
    <x v="1"/>
    <s v="Disputed"/>
  </r>
  <r>
    <n v="5404.62"/>
    <s v="2/24/2003 0:26"/>
    <s v="Shipped"/>
    <x v="0"/>
    <s v="Shipped"/>
  </r>
  <r>
    <n v="7209.11"/>
    <s v="2/24/2003 0:27"/>
    <s v="Shipped"/>
    <x v="0"/>
    <s v="Shipped"/>
  </r>
  <r>
    <n v="7329.06"/>
    <s v="2/24/2003 0:28"/>
    <s v="Shipped"/>
    <x v="0"/>
    <s v="Shipped"/>
  </r>
  <r>
    <n v="7374.1"/>
    <s v="2/24/2003 0:29"/>
    <s v="Shipped"/>
    <x v="0"/>
    <s v="Shipped"/>
  </r>
  <r>
    <n v="10993.5"/>
    <s v="2/24/2003 0:30"/>
    <s v="Shipped"/>
    <x v="0"/>
    <s v="Shipped"/>
  </r>
  <r>
    <n v="4860.24"/>
    <s v="2/24/2003 0:31"/>
    <s v="Shipped"/>
    <x v="0"/>
    <s v="Shipped"/>
  </r>
  <r>
    <n v="8014.82"/>
    <s v="2/24/2003 0:32"/>
    <s v="Shipped"/>
    <x v="0"/>
    <s v="Shipped"/>
  </r>
  <r>
    <n v="5372.57"/>
    <s v="2/24/2003 0:33"/>
    <s v="Shipped"/>
    <x v="0"/>
    <s v="Shipped"/>
  </r>
  <r>
    <n v="7290.36"/>
    <s v="2/24/2003 0:34"/>
    <s v="Shipped"/>
    <x v="0"/>
    <s v="Shipped"/>
  </r>
  <r>
    <n v="9064.89"/>
    <s v="2/24/2003 0:35"/>
    <s v="Shipped"/>
    <x v="0"/>
    <s v="Shipped"/>
  </r>
  <r>
    <n v="6075.3"/>
    <s v="2/24/2003 0:36"/>
    <s v="Shipped"/>
    <x v="0"/>
    <s v="Shipped"/>
  </r>
  <r>
    <n v="6463.23"/>
    <s v="2/24/2003 0:37"/>
    <s v="Shipped"/>
    <x v="0"/>
    <s v="Shipped"/>
  </r>
  <r>
    <n v="6120.34"/>
    <s v="2/24/2003 0:38"/>
    <s v="Shipped"/>
    <x v="0"/>
    <s v="Shipped"/>
  </r>
  <r>
    <n v="7680.64"/>
    <s v="2/24/2003 0:39"/>
    <s v="Shipped"/>
    <x v="0"/>
    <s v="Shipped"/>
  </r>
  <r>
    <n v="4905.3900000000003"/>
    <s v="2/24/2003 0:40"/>
    <s v="Shipped"/>
    <x v="0"/>
    <s v="Shipped"/>
  </r>
  <r>
    <n v="8014.82"/>
    <s v="2/24/2003 0:41"/>
    <s v="Shipped"/>
    <x v="0"/>
    <s v="Shipped"/>
  </r>
  <r>
    <n v="7136.19"/>
    <s v="2/24/2003 0:42"/>
    <s v="Shipped"/>
    <x v="0"/>
    <s v="Shipped"/>
  </r>
  <r>
    <n v="10172.700000000001"/>
    <s v="2/24/2003 0:43"/>
    <s v="Shipped"/>
    <x v="0"/>
    <s v="Shipped"/>
  </r>
  <r>
    <n v="11623.7"/>
    <s v="2/24/2003 0:44"/>
    <s v="Shipped"/>
    <x v="0"/>
    <s v="Shipped"/>
  </r>
  <r>
    <n v="6000.4"/>
    <s v="2/24/2003 0:45"/>
    <s v="Shipped"/>
    <x v="0"/>
    <s v="Shipped"/>
  </r>
  <r>
    <n v="3003"/>
    <s v="2/24/2003 0:46"/>
    <s v="Shipped"/>
    <x v="0"/>
    <s v="Shipped"/>
  </r>
  <r>
    <n v="3944.7"/>
    <s v="2/24/2003 0:47"/>
    <s v="Shipped"/>
    <x v="0"/>
    <s v="Shipped"/>
  </r>
  <r>
    <n v="5691.84"/>
    <s v="2/24/2003 0:48"/>
    <s v="Shipped"/>
    <x v="0"/>
    <s v="Shipped"/>
  </r>
  <r>
    <n v="4514.92"/>
    <s v="2/24/2003 0:49"/>
    <s v="Shipped"/>
    <x v="0"/>
    <s v="Shipped"/>
  </r>
  <r>
    <n v="8254.7999999999993"/>
    <s v="2/24/2003 0:50"/>
    <s v="Shipped"/>
    <x v="0"/>
    <s v="Shipped"/>
  </r>
  <r>
    <n v="2416.56"/>
    <s v="2/24/2003 0:51"/>
    <s v="Shipped"/>
    <x v="0"/>
    <s v="Shipped"/>
  </r>
  <r>
    <n v="4140.2299999999996"/>
    <s v="2/24/2003 0:52"/>
    <s v="Shipped"/>
    <x v="0"/>
    <s v="Shipped"/>
  </r>
  <r>
    <n v="12001"/>
    <s v="2/24/2003 0:53"/>
    <s v="In Process"/>
    <x v="1"/>
    <s v="In Process"/>
  </r>
  <r>
    <n v="3896.49"/>
    <s v="2/24/2003 0:54"/>
    <s v="Shipped"/>
    <x v="0"/>
    <s v="Shipped"/>
  </r>
  <r>
    <n v="2793.86"/>
    <s v="2/24/2003 0:55"/>
    <s v="Shipped"/>
    <x v="0"/>
    <s v="Shipped"/>
  </r>
  <r>
    <n v="3307.77"/>
    <s v="2/24/2003 0:56"/>
    <s v="Shipped"/>
    <x v="0"/>
    <s v="Shipped"/>
  </r>
  <r>
    <n v="5192.95"/>
    <s v="2/24/2003 0:57"/>
    <s v="Shipped"/>
    <x v="0"/>
    <s v="Shipped"/>
  </r>
  <r>
    <n v="5016.83"/>
    <s v="2/24/2003 0:58"/>
    <s v="Shipped"/>
    <x v="0"/>
    <s v="Shipped"/>
  </r>
  <r>
    <n v="3660.93"/>
    <s v="2/24/2003 0:59"/>
    <s v="Shipped"/>
    <x v="0"/>
    <s v="Shipped"/>
  </r>
  <r>
    <n v="4695.6000000000004"/>
    <s v="2/24/2003 0:60"/>
    <s v="Shipped"/>
    <x v="0"/>
    <s v="Shipped"/>
  </r>
  <r>
    <n v="3660.92"/>
    <s v="2/24/2003 0:61"/>
    <s v="Shipped"/>
    <x v="0"/>
    <s v="Shipped"/>
  </r>
  <r>
    <n v="3025.92"/>
    <s v="2/24/2003 0:62"/>
    <s v="Shipped"/>
    <x v="0"/>
    <s v="Shipped"/>
  </r>
  <r>
    <n v="3009.09"/>
    <s v="2/24/2003 0:63"/>
    <s v="Shipped"/>
    <x v="0"/>
    <s v="Shipped"/>
  </r>
  <r>
    <n v="5422.39"/>
    <s v="2/24/2003 0:64"/>
    <s v="Shipped"/>
    <x v="0"/>
    <s v="Shipped"/>
  </r>
  <r>
    <n v="2852.08"/>
    <s v="2/24/2003 0:65"/>
    <s v="Shipped"/>
    <x v="0"/>
    <s v="Shipped"/>
  </r>
  <r>
    <n v="5756.52"/>
    <s v="2/24/2003 0:66"/>
    <s v="Shipped"/>
    <x v="0"/>
    <s v="Shipped"/>
  </r>
  <r>
    <n v="4472"/>
    <s v="2/24/2003 0:67"/>
    <s v="Shipped"/>
    <x v="0"/>
    <s v="Shipped"/>
  </r>
  <r>
    <n v="2904.44"/>
    <s v="2/24/2003 0:68"/>
    <s v="Shipped"/>
    <x v="0"/>
    <s v="Shipped"/>
  </r>
  <r>
    <n v="6484.59"/>
    <s v="2/24/2003 0:69"/>
    <s v="Shipped"/>
    <x v="0"/>
    <s v="Shipped"/>
  </r>
  <r>
    <n v="3757.26"/>
    <s v="2/24/2003 0:70"/>
    <s v="Shipped"/>
    <x v="0"/>
    <s v="Shipped"/>
  </r>
  <r>
    <n v="4043.96"/>
    <s v="2/24/2003 0:71"/>
    <s v="Shipped"/>
    <x v="0"/>
    <s v="Shipped"/>
  </r>
  <r>
    <n v="5566.5"/>
    <s v="2/24/2003 0:72"/>
    <s v="Shipped"/>
    <x v="0"/>
    <s v="Shipped"/>
  </r>
  <r>
    <n v="3176"/>
    <s v="2/24/2003 0:73"/>
    <s v="Shipped"/>
    <x v="0"/>
    <s v="Shipped"/>
  </r>
  <r>
    <n v="2756.8"/>
    <s v="2/24/2003 0:74"/>
    <s v="Shipped"/>
    <x v="0"/>
    <s v="Shipped"/>
  </r>
  <r>
    <n v="1329.9"/>
    <s v="2/24/2003 0:75"/>
    <s v="Shipped"/>
    <x v="0"/>
    <s v="Shipped"/>
  </r>
  <r>
    <n v="5288.01"/>
    <s v="2/24/2003 0:76"/>
    <s v="Shipped"/>
    <x v="0"/>
    <s v="Shipped"/>
  </r>
  <r>
    <n v="2225.5"/>
    <s v="2/24/2003 0:77"/>
    <s v="Shipped"/>
    <x v="0"/>
    <s v="Shipped"/>
  </r>
  <r>
    <n v="5833.8"/>
    <s v="2/24/2003 0:78"/>
    <s v="Shipped"/>
    <x v="0"/>
    <s v="Shipped"/>
  </r>
  <r>
    <n v="5887.35"/>
    <s v="2/24/2003 0:79"/>
    <s v="Disputed"/>
    <x v="1"/>
    <s v="Disputed"/>
  </r>
  <r>
    <n v="6065.55"/>
    <s v="2/24/2003 0:80"/>
    <s v="Shipped"/>
    <x v="0"/>
    <s v="Shipped"/>
  </r>
  <r>
    <n v="9264.86"/>
    <s v="2/24/2003 0:81"/>
    <s v="Shipped"/>
    <x v="0"/>
    <s v="Shipped"/>
  </r>
  <r>
    <n v="7023.98"/>
    <s v="2/24/2003 0:82"/>
    <s v="Shipped"/>
    <x v="0"/>
    <s v="Shipped"/>
  </r>
  <r>
    <n v="5176.38"/>
    <s v="2/24/2003 0:83"/>
    <s v="Shipped"/>
    <x v="0"/>
    <s v="Shipped"/>
  </r>
  <r>
    <n v="4132.7"/>
    <s v="2/24/2003 0:84"/>
    <s v="Shipped"/>
    <x v="0"/>
    <s v="Shipped"/>
  </r>
  <r>
    <n v="4183"/>
    <s v="2/24/2003 0:85"/>
    <s v="Shipped"/>
    <x v="0"/>
    <s v="Shipped"/>
  </r>
  <r>
    <n v="8892.9"/>
    <s v="2/24/2003 0:86"/>
    <s v="Shipped"/>
    <x v="0"/>
    <s v="Shipped"/>
  </r>
  <r>
    <n v="8714.7000000000007"/>
    <s v="2/24/2003 0:87"/>
    <s v="Shipped"/>
    <x v="0"/>
    <s v="Shipped"/>
  </r>
  <r>
    <n v="8065.89"/>
    <s v="2/24/2003 0:88"/>
    <s v="Shipped"/>
    <x v="0"/>
    <s v="Shipped"/>
  </r>
  <r>
    <n v="6123.4"/>
    <s v="2/24/2003 0:89"/>
    <s v="Shipped"/>
    <x v="0"/>
    <s v="Shipped"/>
  </r>
  <r>
    <n v="9774.0300000000007"/>
    <s v="2/24/2003 0:90"/>
    <s v="Shipped"/>
    <x v="0"/>
    <s v="Shipped"/>
  </r>
  <r>
    <n v="7023.9"/>
    <s v="2/24/2003 0:91"/>
    <s v="Shipped"/>
    <x v="0"/>
    <s v="Shipped"/>
  </r>
  <r>
    <n v="7078.23"/>
    <s v="2/24/2003 0:92"/>
    <s v="Shipped"/>
    <x v="0"/>
    <s v="Shipped"/>
  </r>
  <r>
    <n v="8336.94"/>
    <s v="2/24/2003 0:93"/>
    <s v="Shipped"/>
    <x v="0"/>
    <s v="Shipped"/>
  </r>
  <r>
    <n v="6901.92"/>
    <s v="2/24/2003 0:94"/>
    <s v="Shipped"/>
    <x v="0"/>
    <s v="Shipped"/>
  </r>
  <r>
    <n v="5438.07"/>
    <s v="2/24/2003 0:95"/>
    <s v="Shipped"/>
    <x v="0"/>
    <s v="Shipped"/>
  </r>
  <r>
    <n v="6683.34"/>
    <s v="2/24/2003 0:96"/>
    <s v="Shipped"/>
    <x v="0"/>
    <s v="Shipped"/>
  </r>
  <r>
    <n v="4570.3999999999996"/>
    <s v="2/24/2003 0:97"/>
    <s v="Shipped"/>
    <x v="0"/>
    <s v="Shipped"/>
  </r>
  <r>
    <n v="7667.14"/>
    <s v="2/24/2003 0:98"/>
    <s v="Shipped"/>
    <x v="0"/>
    <s v="Shipped"/>
  </r>
  <r>
    <n v="5868.2"/>
    <s v="2/24/2003 0:99"/>
    <s v="Shipped"/>
    <x v="0"/>
    <s v="Shipped"/>
  </r>
  <r>
    <n v="2990.13"/>
    <s v="2/24/2003 0:100"/>
    <s v="Shipped"/>
    <x v="0"/>
    <s v="Shipped"/>
  </r>
  <r>
    <n v="3664.1"/>
    <s v="2/24/2003 0:101"/>
    <s v="Shipped"/>
    <x v="0"/>
    <s v="Shipped"/>
  </r>
  <r>
    <n v="3834.38"/>
    <s v="2/24/2003 0:102"/>
    <s v="Shipped"/>
    <x v="0"/>
    <s v="Shipped"/>
  </r>
  <r>
    <n v="1822.17"/>
    <s v="2/24/2003 0:103"/>
    <s v="Shipped"/>
    <x v="0"/>
    <s v="Shipped"/>
  </r>
  <r>
    <n v="11886.6"/>
    <s v="2/24/2003 0:104"/>
    <s v="Shipped"/>
    <x v="0"/>
    <s v="Shipped"/>
  </r>
  <r>
    <n v="9218.16"/>
    <s v="2/24/2003 0:105"/>
    <s v="Disputed"/>
    <x v="1"/>
    <s v="Disputed"/>
  </r>
  <r>
    <n v="7208"/>
    <s v="2/24/2003 0:106"/>
    <s v="Shipped"/>
    <x v="0"/>
    <s v="Shipped"/>
  </r>
  <r>
    <n v="5004.8"/>
    <s v="2/24/2003 0:107"/>
    <s v="Shipped"/>
    <x v="0"/>
    <s v="Shipped"/>
  </r>
  <r>
    <n v="4398.24"/>
    <s v="2/24/2003 0:108"/>
    <s v="Shipped"/>
    <x v="0"/>
    <s v="Shipped"/>
  </r>
  <r>
    <n v="5597.76"/>
    <s v="2/24/2003 0:109"/>
    <s v="Shipped"/>
    <x v="0"/>
    <s v="Shipped"/>
  </r>
  <r>
    <n v="4526.08"/>
    <s v="2/24/2003 0:110"/>
    <s v="Shipped"/>
    <x v="0"/>
    <s v="Shipped"/>
  </r>
  <r>
    <n v="5924.16"/>
    <s v="2/24/2003 0:111"/>
    <s v="Cancelled"/>
    <x v="1"/>
    <s v="Cancelled"/>
  </r>
  <r>
    <n v="3492.48"/>
    <s v="2/24/2003 0:112"/>
    <s v="Shipped"/>
    <x v="0"/>
    <s v="Shipped"/>
  </r>
  <r>
    <n v="3854.24"/>
    <s v="2/24/2003 0:113"/>
    <s v="Shipped"/>
    <x v="0"/>
    <s v="Shipped"/>
  </r>
  <r>
    <n v="5324.4"/>
    <s v="2/24/2003 0:114"/>
    <s v="Shipped"/>
    <x v="0"/>
    <s v="Shipped"/>
  </r>
  <r>
    <n v="5197.92"/>
    <s v="2/24/2003 0:115"/>
    <s v="Shipped"/>
    <x v="0"/>
    <s v="Shipped"/>
  </r>
  <r>
    <n v="5997.6"/>
    <s v="2/24/2003 0:116"/>
    <s v="Shipped"/>
    <x v="0"/>
    <s v="Shipped"/>
  </r>
  <r>
    <n v="2910.4"/>
    <s v="2/24/2003 0:117"/>
    <s v="Cancelled"/>
    <x v="1"/>
    <s v="Cancelled"/>
  </r>
  <r>
    <n v="3378.24"/>
    <s v="2/24/2003 0:118"/>
    <s v="Shipped"/>
    <x v="0"/>
    <s v="Shipped"/>
  </r>
  <r>
    <n v="3508.8"/>
    <s v="2/24/2003 0:119"/>
    <s v="Shipped"/>
    <x v="0"/>
    <s v="Shipped"/>
  </r>
  <r>
    <n v="2992"/>
    <s v="2/24/2003 0:120"/>
    <s v="Shipped"/>
    <x v="0"/>
    <s v="Shipped"/>
  </r>
  <r>
    <n v="3427.2"/>
    <s v="2/24/2003 0:121"/>
    <s v="Shipped"/>
    <x v="0"/>
    <s v="Shipped"/>
  </r>
  <r>
    <n v="2692.8"/>
    <s v="2/24/2003 0:122"/>
    <s v="Shipped"/>
    <x v="0"/>
    <s v="Shipped"/>
  </r>
  <r>
    <n v="4128.96"/>
    <s v="2/24/2003 0:123"/>
    <s v="Shipped"/>
    <x v="0"/>
    <s v="Shipped"/>
  </r>
  <r>
    <n v="3051.71"/>
    <s v="2/24/2003 0:124"/>
    <s v="Shipped"/>
    <x v="0"/>
    <s v="Shipped"/>
  </r>
  <r>
    <n v="1201.25"/>
    <s v="2/24/2003 0:125"/>
    <s v="Shipped"/>
    <x v="0"/>
    <s v="Shipped"/>
  </r>
  <r>
    <n v="1962.22"/>
    <s v="2/24/2003 0:126"/>
    <s v="Shipped"/>
    <x v="0"/>
    <s v="Shipped"/>
  </r>
  <r>
    <n v="2624.64"/>
    <s v="2/24/2003 0:127"/>
    <s v="Shipped"/>
    <x v="0"/>
    <s v="Shipped"/>
  </r>
  <r>
    <n v="4046.25"/>
    <s v="2/24/2003 0:128"/>
    <s v="Shipped"/>
    <x v="0"/>
    <s v="Shipped"/>
  </r>
  <r>
    <n v="4846.7"/>
    <s v="2/24/2003 0:129"/>
    <s v="Shipped"/>
    <x v="0"/>
    <s v="Shipped"/>
  </r>
  <r>
    <n v="3370.56"/>
    <s v="2/24/2003 0:130"/>
    <s v="Shipped"/>
    <x v="0"/>
    <s v="Shipped"/>
  </r>
  <r>
    <n v="9661.44"/>
    <s v="2/24/2003 0:131"/>
    <s v="Shipped"/>
    <x v="0"/>
    <s v="Shipped"/>
  </r>
  <r>
    <n v="2764.88"/>
    <s v="2/24/2003 0:132"/>
    <s v="On Hold"/>
    <x v="1"/>
    <s v="On Hold"/>
  </r>
  <r>
    <n v="5398.26"/>
    <s v="2/24/2003 0:133"/>
    <s v="Shipped"/>
    <x v="0"/>
    <s v="Shipped"/>
  </r>
  <r>
    <n v="4305.28"/>
    <s v="2/24/2003 0:134"/>
    <s v="Shipped"/>
    <x v="0"/>
    <s v="Shipped"/>
  </r>
  <r>
    <n v="3347.74"/>
    <s v="2/24/2003 0:135"/>
    <s v="Shipped"/>
    <x v="0"/>
    <s v="Shipped"/>
  </r>
  <r>
    <n v="3188.12"/>
    <s v="2/24/2003 0:136"/>
    <s v="Shipped"/>
    <x v="0"/>
    <s v="Shipped"/>
  </r>
  <r>
    <n v="3191.2"/>
    <s v="2/24/2003 0:137"/>
    <s v="Shipped"/>
    <x v="0"/>
    <s v="Shipped"/>
  </r>
  <r>
    <n v="3536.82"/>
    <s v="2/24/2003 0:138"/>
    <s v="Resolved"/>
    <x v="1"/>
    <s v="Resolved"/>
  </r>
  <r>
    <n v="5362.83"/>
    <s v="2/24/2003 0:139"/>
    <s v="Shipped"/>
    <x v="0"/>
    <s v="Shipped"/>
  </r>
  <r>
    <n v="3433.36"/>
    <s v="2/24/2003 0:140"/>
    <s v="Shipped"/>
    <x v="0"/>
    <s v="Shipped"/>
  </r>
  <r>
    <n v="4263.74"/>
    <s v="2/24/2003 0:141"/>
    <s v="Shipped"/>
    <x v="0"/>
    <s v="Shipped"/>
  </r>
  <r>
    <n v="4076.19"/>
    <s v="2/24/2003 0:142"/>
    <s v="Shipped"/>
    <x v="0"/>
    <s v="Shipped"/>
  </r>
  <r>
    <n v="7020.48"/>
    <s v="2/24/2003 0:143"/>
    <s v="Shipped"/>
    <x v="0"/>
    <s v="Shipped"/>
  </r>
  <r>
    <n v="6426.5"/>
    <s v="2/24/2003 0:144"/>
    <s v="Shipped"/>
    <x v="0"/>
    <s v="Shipped"/>
  </r>
  <r>
    <n v="4591.72"/>
    <s v="2/24/2003 0:145"/>
    <s v="Shipped"/>
    <x v="0"/>
    <s v="Shipped"/>
  </r>
  <r>
    <n v="4033.38"/>
    <s v="2/24/2003 0:146"/>
    <s v="Shipped"/>
    <x v="0"/>
    <s v="Shipped"/>
  </r>
  <r>
    <n v="4302.08"/>
    <s v="2/24/2003 0:147"/>
    <s v="Shipped"/>
    <x v="0"/>
    <s v="Shipped"/>
  </r>
  <r>
    <n v="7020.64"/>
    <s v="2/24/2003 0:148"/>
    <s v="Shipped"/>
    <x v="0"/>
    <s v="Shipped"/>
  </r>
  <r>
    <n v="3855.9"/>
    <s v="2/24/2003 0:149"/>
    <s v="Shipped"/>
    <x v="0"/>
    <s v="Shipped"/>
  </r>
  <r>
    <n v="6680.78"/>
    <s v="2/24/2003 0:150"/>
    <s v="Shipped"/>
    <x v="0"/>
    <s v="Shipped"/>
  </r>
  <r>
    <n v="6678"/>
    <s v="2/24/2003 0:151"/>
    <s v="Shipped"/>
    <x v="0"/>
    <s v="Shipped"/>
  </r>
  <r>
    <n v="2851.54"/>
    <s v="2/24/2003 0:152"/>
    <s v="Shipped"/>
    <x v="0"/>
    <s v="Shipped"/>
  </r>
  <r>
    <n v="3188.12"/>
    <s v="2/24/2003 0:153"/>
    <s v="On Hold"/>
    <x v="1"/>
    <s v="On Hold"/>
  </r>
  <r>
    <n v="4428"/>
    <s v="2/24/2003 0:154"/>
    <s v="Shipped"/>
    <x v="0"/>
    <s v="Shipped"/>
  </r>
  <r>
    <n v="5780.92"/>
    <s v="2/24/2003 0:155"/>
    <s v="Shipped"/>
    <x v="0"/>
    <s v="Shipped"/>
  </r>
  <r>
    <n v="2297.0500000000002"/>
    <s v="2/24/2003 0:156"/>
    <s v="Shipped"/>
    <x v="0"/>
    <s v="Shipped"/>
  </r>
  <r>
    <n v="6231.54"/>
    <s v="2/24/2003 0:157"/>
    <s v="Shipped"/>
    <x v="0"/>
    <s v="Shipped"/>
  </r>
  <r>
    <n v="1735.3"/>
    <s v="2/24/2003 0:158"/>
    <s v="Shipped"/>
    <x v="0"/>
    <s v="Shipped"/>
  </r>
  <r>
    <n v="4427.7299999999996"/>
    <s v="2/24/2003 0:159"/>
    <s v="Shipped"/>
    <x v="0"/>
    <s v="Shipped"/>
  </r>
  <r>
    <n v="5894.94"/>
    <s v="2/24/2003 0:160"/>
    <s v="In Process"/>
    <x v="1"/>
    <s v="In Process"/>
  </r>
  <r>
    <n v="5265.15"/>
    <s v="2/24/2003 0:161"/>
    <s v="Shipped"/>
    <x v="0"/>
    <s v="Shipped"/>
  </r>
  <r>
    <n v="7599.9"/>
    <s v="2/24/2003 0:162"/>
    <s v="Shipped"/>
    <x v="0"/>
    <s v="Shipped"/>
  </r>
  <r>
    <n v="8008.56"/>
    <s v="2/24/2003 0:163"/>
    <s v="Shipped"/>
    <x v="0"/>
    <s v="Shipped"/>
  </r>
  <r>
    <n v="9245.76"/>
    <s v="2/24/2003 0:164"/>
    <s v="Shipped"/>
    <x v="0"/>
    <s v="Shipped"/>
  </r>
  <r>
    <n v="8296.35"/>
    <s v="2/24/2003 0:165"/>
    <s v="Shipped"/>
    <x v="0"/>
    <s v="Shipped"/>
  </r>
  <r>
    <n v="5019.8999999999996"/>
    <s v="2/24/2003 0:166"/>
    <s v="Shipped"/>
    <x v="0"/>
    <s v="Shipped"/>
  </r>
  <r>
    <n v="5411.07"/>
    <s v="2/24/2003 0:167"/>
    <s v="Shipped"/>
    <x v="0"/>
    <s v="Shipped"/>
  </r>
  <r>
    <n v="3840.9"/>
    <s v="2/24/2003 0:168"/>
    <s v="Shipped"/>
    <x v="0"/>
    <s v="Shipped"/>
  </r>
  <r>
    <n v="3930.4"/>
    <s v="2/24/2003 0:169"/>
    <s v="Shipped"/>
    <x v="0"/>
    <s v="Shipped"/>
  </r>
  <r>
    <n v="7498.9"/>
    <s v="2/24/2003 0:170"/>
    <s v="Shipped"/>
    <x v="0"/>
    <s v="Shipped"/>
  </r>
  <r>
    <n v="4517.91"/>
    <s v="2/24/2003 0:171"/>
    <s v="Shipped"/>
    <x v="0"/>
    <s v="Shipped"/>
  </r>
  <r>
    <n v="5774.72"/>
    <s v="2/24/2003 0:172"/>
    <s v="Shipped"/>
    <x v="0"/>
    <s v="Shipped"/>
  </r>
  <r>
    <n v="3922.56"/>
    <s v="2/24/2003 0:173"/>
    <s v="Cancelled"/>
    <x v="1"/>
    <s v="Cancelled"/>
  </r>
  <r>
    <n v="9160.36"/>
    <s v="2/24/2003 0:174"/>
    <s v="Shipped"/>
    <x v="0"/>
    <s v="Shipped"/>
  </r>
  <r>
    <n v="9631"/>
    <s v="2/24/2003 0:175"/>
    <s v="Shipped"/>
    <x v="0"/>
    <s v="Shipped"/>
  </r>
  <r>
    <n v="3432.24"/>
    <s v="2/24/2003 0:176"/>
    <s v="Shipped"/>
    <x v="0"/>
    <s v="Shipped"/>
  </r>
  <r>
    <n v="5521.89"/>
    <s v="2/24/2003 0:177"/>
    <s v="Shipped"/>
    <x v="0"/>
    <s v="Shipped"/>
  </r>
  <r>
    <n v="6934.62"/>
    <s v="2/24/2003 0:178"/>
    <s v="Shipped"/>
    <x v="0"/>
    <s v="Shipped"/>
  </r>
  <r>
    <n v="6876.11"/>
    <s v="2/24/2003 0:179"/>
    <s v="Shipped"/>
    <x v="0"/>
    <s v="Shipped"/>
  </r>
  <r>
    <n v="2930.27"/>
    <s v="2/24/2003 0:180"/>
    <s v="Shipped"/>
    <x v="0"/>
    <s v="Shipped"/>
  </r>
  <r>
    <n v="3584.25"/>
    <s v="2/24/2003 0:181"/>
    <s v="Shipped"/>
    <x v="0"/>
    <s v="Shipped"/>
  </r>
  <r>
    <n v="2817.87"/>
    <s v="2/24/2003 0:182"/>
    <s v="Shipped"/>
    <x v="0"/>
    <s v="Shipped"/>
  </r>
  <r>
    <n v="3420"/>
    <s v="2/24/2003 0:183"/>
    <s v="Shipped"/>
    <x v="0"/>
    <s v="Shipped"/>
  </r>
  <r>
    <n v="2575.04"/>
    <s v="2/24/2003 0:184"/>
    <s v="Shipped"/>
    <x v="0"/>
    <s v="Shipped"/>
  </r>
  <r>
    <n v="1961.28"/>
    <s v="2/24/2003 0:185"/>
    <s v="Shipped"/>
    <x v="0"/>
    <s v="Shipped"/>
  </r>
  <r>
    <n v="8690.36"/>
    <s v="2/24/2003 0:186"/>
    <s v="Shipped"/>
    <x v="0"/>
    <s v="Shipped"/>
  </r>
  <r>
    <n v="6034.38"/>
    <s v="2/24/2003 0:187"/>
    <s v="Shipped"/>
    <x v="0"/>
    <s v="Shipped"/>
  </r>
  <r>
    <n v="11279.2"/>
    <s v="2/24/2003 0:188"/>
    <s v="Shipped"/>
    <x v="0"/>
    <s v="Shipped"/>
  </r>
  <r>
    <n v="8023.29"/>
    <s v="2/24/2003 0:189"/>
    <s v="Shipped"/>
    <x v="0"/>
    <s v="Shipped"/>
  </r>
  <r>
    <n v="4904"/>
    <s v="2/24/2003 0:190"/>
    <s v="Shipped"/>
    <x v="0"/>
    <s v="Shipped"/>
  </r>
  <r>
    <n v="8594.52"/>
    <s v="2/24/2003 0:191"/>
    <s v="Shipped"/>
    <x v="0"/>
    <s v="Shipped"/>
  </r>
  <r>
    <n v="7474.5"/>
    <s v="2/24/2003 0:192"/>
    <s v="Shipped"/>
    <x v="0"/>
    <s v="Shipped"/>
  </r>
  <r>
    <n v="3883.74"/>
    <s v="2/24/2003 0:193"/>
    <s v="Shipped"/>
    <x v="0"/>
    <s v="Shipped"/>
  </r>
  <r>
    <n v="8887.7000000000007"/>
    <s v="2/24/2003 0:194"/>
    <s v="Shipped"/>
    <x v="0"/>
    <s v="Shipped"/>
  </r>
  <r>
    <n v="8602.92"/>
    <s v="2/24/2003 0:195"/>
    <s v="Shipped"/>
    <x v="0"/>
    <s v="Shipped"/>
  </r>
  <r>
    <n v="7181.44"/>
    <s v="2/24/2003 0:196"/>
    <s v="Shipped"/>
    <x v="0"/>
    <s v="Shipped"/>
  </r>
  <r>
    <n v="8378.58"/>
    <s v="2/24/2003 0:197"/>
    <s v="Shipped"/>
    <x v="0"/>
    <s v="Shipped"/>
  </r>
  <r>
    <n v="10606.2"/>
    <s v="2/24/2003 0:198"/>
    <s v="Shipped"/>
    <x v="0"/>
    <s v="Shipped"/>
  </r>
  <r>
    <n v="5818.4"/>
    <s v="2/24/2003 0:199"/>
    <s v="Shipped"/>
    <x v="0"/>
    <s v="Shipped"/>
  </r>
  <r>
    <n v="7071.27"/>
    <s v="2/24/2003 0:200"/>
    <s v="Shipped"/>
    <x v="0"/>
    <s v="Shipped"/>
  </r>
  <r>
    <n v="8411.56"/>
    <s v="2/24/2003 0:201"/>
    <s v="Shipped"/>
    <x v="0"/>
    <s v="Shipped"/>
  </r>
  <r>
    <n v="6570.76"/>
    <s v="2/24/2003 0:202"/>
    <s v="Shipped"/>
    <x v="0"/>
    <s v="Shipped"/>
  </r>
  <r>
    <n v="7975.44"/>
    <s v="2/24/2003 0:203"/>
    <s v="Shipped"/>
    <x v="0"/>
    <s v="Shipped"/>
  </r>
  <r>
    <n v="2688"/>
    <s v="2/24/2003 0:204"/>
    <s v="Shipped"/>
    <x v="0"/>
    <s v="Shipped"/>
  </r>
  <r>
    <n v="1888.26"/>
    <s v="2/24/2003 0:205"/>
    <s v="Shipped"/>
    <x v="0"/>
    <s v="Shipped"/>
  </r>
  <r>
    <n v="2513.2800000000002"/>
    <s v="2/24/2003 0:206"/>
    <s v="Shipped"/>
    <x v="0"/>
    <s v="Shipped"/>
  </r>
  <r>
    <n v="4764.4799999999996"/>
    <s v="2/24/2003 0:207"/>
    <s v="Shipped"/>
    <x v="0"/>
    <s v="Shipped"/>
  </r>
  <r>
    <n v="3560.64"/>
    <s v="2/24/2003 0:208"/>
    <s v="Shipped"/>
    <x v="0"/>
    <s v="Shipped"/>
  </r>
  <r>
    <n v="3823.64"/>
    <s v="2/24/2003 0:209"/>
    <s v="Shipped"/>
    <x v="0"/>
    <s v="Shipped"/>
  </r>
  <r>
    <n v="2280.96"/>
    <s v="2/24/2003 0:210"/>
    <s v="Shipped"/>
    <x v="0"/>
    <s v="Shipped"/>
  </r>
  <r>
    <n v="8677.7999999999993"/>
    <s v="2/24/2003 0:211"/>
    <s v="Shipped"/>
    <x v="0"/>
    <s v="Shipped"/>
  </r>
  <r>
    <n v="3394.98"/>
    <s v="2/24/2003 0:212"/>
    <s v="Shipped"/>
    <x v="0"/>
    <s v="Shipped"/>
  </r>
  <r>
    <n v="3415.44"/>
    <s v="2/24/2003 0:213"/>
    <s v="Shipped"/>
    <x v="0"/>
    <s v="Shipped"/>
  </r>
  <r>
    <n v="2439.5700000000002"/>
    <s v="2/24/2003 0:214"/>
    <s v="Shipped"/>
    <x v="0"/>
    <s v="Shipped"/>
  </r>
  <r>
    <n v="4829.8"/>
    <s v="2/24/2003 0:215"/>
    <s v="Shipped"/>
    <x v="0"/>
    <s v="Shipped"/>
  </r>
  <r>
    <n v="4100.1000000000004"/>
    <s v="2/24/2003 0:216"/>
    <s v="Shipped"/>
    <x v="0"/>
    <s v="Shipped"/>
  </r>
  <r>
    <n v="6563.06"/>
    <s v="2/24/2003 0:217"/>
    <s v="Resolved"/>
    <x v="1"/>
    <s v="Resolved"/>
  </r>
  <r>
    <n v="6817.22"/>
    <s v="2/24/2003 0:218"/>
    <s v="Shipped"/>
    <x v="0"/>
    <s v="Shipped"/>
  </r>
  <r>
    <n v="6163.94"/>
    <s v="2/24/2003 0:219"/>
    <s v="Shipped"/>
    <x v="0"/>
    <s v="Shipped"/>
  </r>
  <r>
    <n v="4933.92"/>
    <s v="2/24/2003 0:220"/>
    <s v="Shipped"/>
    <x v="0"/>
    <s v="Shipped"/>
  </r>
  <r>
    <n v="4056.36"/>
    <s v="2/24/2003 0:221"/>
    <s v="Shipped"/>
    <x v="0"/>
    <s v="Shipped"/>
  </r>
  <r>
    <n v="5759.42"/>
    <s v="2/24/2003 0:222"/>
    <s v="Shipped"/>
    <x v="0"/>
    <s v="Shipped"/>
  </r>
  <r>
    <n v="3451"/>
    <s v="2/24/2003 0:223"/>
    <s v="Shipped"/>
    <x v="0"/>
    <s v="Shipped"/>
  </r>
  <r>
    <n v="5920.4"/>
    <s v="2/24/2003 0:224"/>
    <s v="Shipped"/>
    <x v="0"/>
    <s v="Shipped"/>
  </r>
  <r>
    <n v="6668.24"/>
    <s v="2/24/2003 0:225"/>
    <s v="Shipped"/>
    <x v="0"/>
    <s v="Shipped"/>
  </r>
  <r>
    <n v="4094.72"/>
    <s v="2/24/2003 0:226"/>
    <s v="Shipped"/>
    <x v="0"/>
    <s v="Shipped"/>
  </r>
  <r>
    <n v="2938.5"/>
    <s v="2/24/2003 0:227"/>
    <s v="Shipped"/>
    <x v="0"/>
    <s v="Shipped"/>
  </r>
  <r>
    <n v="6387.8"/>
    <s v="2/24/2003 0:228"/>
    <s v="Shipped"/>
    <x v="0"/>
    <s v="Shipped"/>
  </r>
  <r>
    <n v="6396"/>
    <s v="2/24/2003 0:229"/>
    <s v="Shipped"/>
    <x v="0"/>
    <s v="Shipped"/>
  </r>
  <r>
    <n v="2669.1"/>
    <s v="2/24/2003 0:230"/>
    <s v="Shipped"/>
    <x v="0"/>
    <s v="Shipped"/>
  </r>
  <r>
    <n v="4784.13"/>
    <s v="2/24/2003 0:231"/>
    <s v="Shipped"/>
    <x v="0"/>
    <s v="Shipped"/>
  </r>
  <r>
    <n v="3273.93"/>
    <s v="2/24/2003 0:232"/>
    <s v="Shipped"/>
    <x v="0"/>
    <s v="Shipped"/>
  </r>
  <r>
    <n v="3586.43"/>
    <s v="2/24/2003 0:233"/>
    <s v="Shipped"/>
    <x v="0"/>
    <s v="Shipped"/>
  </r>
  <r>
    <n v="5960.36"/>
    <s v="2/24/2003 0:234"/>
    <s v="Shipped"/>
    <x v="0"/>
    <s v="Shipped"/>
  </r>
  <r>
    <n v="8470.14"/>
    <s v="2/24/2003 0:235"/>
    <s v="Shipped"/>
    <x v="0"/>
    <s v="Shipped"/>
  </r>
  <r>
    <n v="2952"/>
    <s v="2/24/2003 0:236"/>
    <s v="Shipped"/>
    <x v="0"/>
    <s v="Shipped"/>
  </r>
  <r>
    <n v="2464.8000000000002"/>
    <s v="2/24/2003 0:237"/>
    <s v="Shipped"/>
    <x v="0"/>
    <s v="Shipped"/>
  </r>
  <r>
    <n v="6232"/>
    <s v="2/24/2003 0:238"/>
    <s v="Shipped"/>
    <x v="0"/>
    <s v="Shipped"/>
  </r>
  <r>
    <n v="7969.36"/>
    <s v="2/24/2003 0:239"/>
    <s v="In Process"/>
    <x v="1"/>
    <s v="In Process"/>
  </r>
  <r>
    <n v="3036.6"/>
    <s v="2/24/2003 0:240"/>
    <s v="Shipped"/>
    <x v="0"/>
    <s v="Shipped"/>
  </r>
  <r>
    <n v="8284"/>
    <s v="2/24/2003 0:241"/>
    <s v="Shipped"/>
    <x v="0"/>
    <s v="Shipped"/>
  </r>
  <r>
    <n v="2711.2"/>
    <s v="2/24/2003 0:242"/>
    <s v="Shipped"/>
    <x v="0"/>
    <s v="Shipped"/>
  </r>
  <r>
    <n v="8339.7999999999993"/>
    <s v="2/24/2003 0:243"/>
    <s v="Shipped"/>
    <x v="0"/>
    <s v="Shipped"/>
  </r>
  <r>
    <n v="6238.84"/>
    <s v="2/24/2003 0:244"/>
    <s v="Shipped"/>
    <x v="0"/>
    <s v="Shipped"/>
  </r>
  <r>
    <n v="4639.25"/>
    <s v="2/24/2003 0:245"/>
    <s v="Shipped"/>
    <x v="0"/>
    <s v="Shipped"/>
  </r>
  <r>
    <n v="6747.6"/>
    <s v="2/24/2003 0:246"/>
    <s v="Shipped"/>
    <x v="0"/>
    <s v="Shipped"/>
  </r>
  <r>
    <n v="4512.4799999999996"/>
    <s v="2/24/2003 0:247"/>
    <s v="Shipped"/>
    <x v="0"/>
    <s v="Shipped"/>
  </r>
  <r>
    <n v="4029"/>
    <s v="2/24/2003 0:248"/>
    <s v="Shipped"/>
    <x v="0"/>
    <s v="Shipped"/>
  </r>
  <r>
    <n v="4771.8"/>
    <s v="2/24/2003 0:249"/>
    <s v="Shipped"/>
    <x v="0"/>
    <s v="Shipped"/>
  </r>
  <r>
    <n v="6087.94"/>
    <s v="2/24/2003 0:250"/>
    <s v="Shipped"/>
    <x v="0"/>
    <s v="Shipped"/>
  </r>
  <r>
    <n v="4193.28"/>
    <s v="2/24/2003 0:251"/>
    <s v="Shipped"/>
    <x v="0"/>
    <s v="Shipped"/>
  </r>
  <r>
    <n v="7552.28"/>
    <s v="2/24/2003 0:252"/>
    <s v="Shipped"/>
    <x v="0"/>
    <s v="Shipped"/>
  </r>
  <r>
    <n v="6434.4"/>
    <s v="2/24/2003 0:253"/>
    <s v="Shipped"/>
    <x v="0"/>
    <s v="Shipped"/>
  </r>
  <r>
    <n v="5181.5"/>
    <s v="2/24/2003 0:254"/>
    <s v="Shipped"/>
    <x v="0"/>
    <s v="Shipped"/>
  </r>
  <r>
    <n v="6863.92"/>
    <s v="2/24/2003 0:255"/>
    <s v="Shipped"/>
    <x v="0"/>
    <s v="Shipped"/>
  </r>
  <r>
    <n v="4157.04"/>
    <s v="2/24/2003 0:256"/>
    <s v="Shipped"/>
    <x v="0"/>
    <s v="Shipped"/>
  </r>
  <r>
    <n v="4660.24"/>
    <s v="2/24/2003 0:257"/>
    <s v="Shipped"/>
    <x v="0"/>
    <s v="Shipped"/>
  </r>
  <r>
    <n v="4111.8"/>
    <s v="2/24/2003 0:258"/>
    <s v="Shipped"/>
    <x v="0"/>
    <s v="Shipped"/>
  </r>
  <r>
    <n v="3542.64"/>
    <s v="2/24/2003 0:259"/>
    <s v="Shipped"/>
    <x v="0"/>
    <s v="Shipped"/>
  </r>
  <r>
    <n v="8118.55"/>
    <s v="2/24/2003 0:260"/>
    <s v="Shipped"/>
    <x v="0"/>
    <s v="Shipped"/>
  </r>
  <r>
    <n v="3877.06"/>
    <s v="2/24/2003 0:261"/>
    <s v="Shipped"/>
    <x v="0"/>
    <s v="Shipped"/>
  </r>
  <r>
    <n v="3867.08"/>
    <s v="2/24/2003 0:262"/>
    <s v="Shipped"/>
    <x v="0"/>
    <s v="Shipped"/>
  </r>
  <r>
    <n v="5951.44"/>
    <s v="2/24/2003 0:263"/>
    <s v="Shipped"/>
    <x v="0"/>
    <s v="Shipped"/>
  </r>
  <r>
    <n v="8648.64"/>
    <s v="2/24/2003 0:264"/>
    <s v="Shipped"/>
    <x v="0"/>
    <s v="Shipped"/>
  </r>
  <r>
    <n v="3447.78"/>
    <s v="2/24/2003 0:265"/>
    <s v="Disputed"/>
    <x v="1"/>
    <s v="Disputed"/>
  </r>
  <r>
    <n v="5958.5"/>
    <s v="2/24/2003 0:266"/>
    <s v="Shipped"/>
    <x v="0"/>
    <s v="Shipped"/>
  </r>
  <r>
    <n v="5911.64"/>
    <s v="2/24/2003 0:267"/>
    <s v="Shipped"/>
    <x v="0"/>
    <s v="Shipped"/>
  </r>
  <r>
    <n v="7366.44"/>
    <s v="2/24/2003 0:268"/>
    <s v="Shipped"/>
    <x v="0"/>
    <s v="Shipped"/>
  </r>
  <r>
    <n v="4985.6400000000003"/>
    <s v="2/24/2003 0:269"/>
    <s v="Shipped"/>
    <x v="0"/>
    <s v="Shipped"/>
  </r>
  <r>
    <n v="5393.64"/>
    <s v="2/24/2003 0:270"/>
    <s v="Shipped"/>
    <x v="0"/>
    <s v="Shipped"/>
  </r>
  <r>
    <n v="4880.0200000000004"/>
    <s v="2/24/2003 0:271"/>
    <s v="Shipped"/>
    <x v="0"/>
    <s v="Shipped"/>
  </r>
  <r>
    <n v="8378.69"/>
    <s v="2/24/2003 0:272"/>
    <s v="Shipped"/>
    <x v="0"/>
    <s v="Shipped"/>
  </r>
  <r>
    <n v="4038.21"/>
    <s v="2/24/2003 0:273"/>
    <s v="Shipped"/>
    <x v="0"/>
    <s v="Shipped"/>
  </r>
  <r>
    <n v="3807.12"/>
    <s v="2/24/2003 0:274"/>
    <s v="Shipped"/>
    <x v="0"/>
    <s v="Shipped"/>
  </r>
  <r>
    <n v="3142.36"/>
    <s v="2/24/2003 0:275"/>
    <s v="Shipped"/>
    <x v="0"/>
    <s v="Shipped"/>
  </r>
  <r>
    <n v="4713.6000000000004"/>
    <s v="2/24/2003 0:276"/>
    <s v="Shipped"/>
    <x v="0"/>
    <s v="Shipped"/>
  </r>
  <r>
    <n v="7016.31"/>
    <s v="2/24/2003 0:277"/>
    <s v="Shipped"/>
    <x v="0"/>
    <s v="Shipped"/>
  </r>
  <r>
    <n v="4381.25"/>
    <s v="2/24/2003 0:278"/>
    <s v="Shipped"/>
    <x v="0"/>
    <s v="Shipped"/>
  </r>
  <r>
    <n v="4283.01"/>
    <s v="2/24/2003 0:279"/>
    <s v="Shipped"/>
    <x v="0"/>
    <s v="Shipped"/>
  </r>
  <r>
    <n v="4364.82"/>
    <s v="2/24/2003 0:280"/>
    <s v="Shipped"/>
    <x v="0"/>
    <s v="Shipped"/>
  </r>
  <r>
    <n v="4242.24"/>
    <s v="2/24/2003 0:281"/>
    <s v="Shipped"/>
    <x v="0"/>
    <s v="Shipped"/>
  </r>
  <r>
    <n v="4982.7"/>
    <s v="2/24/2003 0:282"/>
    <s v="Shipped"/>
    <x v="0"/>
    <s v="Shipped"/>
  </r>
  <r>
    <n v="6393.54"/>
    <s v="2/24/2003 0:283"/>
    <s v="Shipped"/>
    <x v="0"/>
    <s v="Shipped"/>
  </r>
  <r>
    <n v="1466.91"/>
    <s v="2/24/2003 0:284"/>
    <s v="Shipped"/>
    <x v="0"/>
    <s v="Shipped"/>
  </r>
  <r>
    <n v="4059.33"/>
    <s v="2/24/2003 0:285"/>
    <s v="Shipped"/>
    <x v="0"/>
    <s v="Shipped"/>
  </r>
  <r>
    <n v="4801.5200000000004"/>
    <s v="2/24/2003 0:286"/>
    <s v="Shipped"/>
    <x v="0"/>
    <s v="Shipped"/>
  </r>
  <r>
    <n v="2711.66"/>
    <s v="2/24/2003 0:287"/>
    <s v="Shipped"/>
    <x v="0"/>
    <s v="Shipped"/>
  </r>
  <r>
    <n v="5862"/>
    <s v="2/24/2003 0:288"/>
    <s v="Shipped"/>
    <x v="0"/>
    <s v="Shipped"/>
  </r>
  <r>
    <n v="4071.85"/>
    <s v="2/24/2003 0:289"/>
    <s v="Shipped"/>
    <x v="0"/>
    <s v="Shipped"/>
  </r>
  <r>
    <n v="8236.75"/>
    <s v="2/24/2003 0:290"/>
    <s v="Shipped"/>
    <x v="0"/>
    <s v="Shipped"/>
  </r>
  <r>
    <n v="6130.35"/>
    <s v="2/24/2003 0:291"/>
    <s v="Shipped"/>
    <x v="0"/>
    <s v="Shipped"/>
  </r>
  <r>
    <n v="3693.34"/>
    <s v="2/24/2003 0:292"/>
    <s v="Shipped"/>
    <x v="0"/>
    <s v="Shipped"/>
  </r>
  <r>
    <n v="6031.68"/>
    <s v="2/24/2003 0:293"/>
    <s v="Shipped"/>
    <x v="0"/>
    <s v="Shipped"/>
  </r>
  <r>
    <n v="3494.94"/>
    <s v="2/24/2003 0:294"/>
    <s v="Shipped"/>
    <x v="0"/>
    <s v="Shipped"/>
  </r>
  <r>
    <n v="5294.14"/>
    <s v="2/24/2003 0:295"/>
    <s v="Shipped"/>
    <x v="0"/>
    <s v="Shipped"/>
  </r>
  <r>
    <n v="5464.69"/>
    <s v="2/24/2003 0:296"/>
    <s v="Shipped"/>
    <x v="0"/>
    <s v="Shipped"/>
  </r>
  <r>
    <n v="2860.76"/>
    <s v="2/24/2003 0:297"/>
    <s v="Shipped"/>
    <x v="0"/>
    <s v="Shipped"/>
  </r>
  <r>
    <n v="5590"/>
    <s v="2/24/2003 0:298"/>
    <s v="Shipped"/>
    <x v="0"/>
    <s v="Shipped"/>
  </r>
  <r>
    <n v="2254.8000000000002"/>
    <s v="2/24/2003 0:299"/>
    <s v="Shipped"/>
    <x v="0"/>
    <s v="Shipped"/>
  </r>
  <r>
    <n v="4946.76"/>
    <s v="2/24/2003 0:300"/>
    <s v="Shipped"/>
    <x v="0"/>
    <s v="Shipped"/>
  </r>
  <r>
    <n v="2495.5"/>
    <s v="2/24/2003 0:301"/>
    <s v="Shipped"/>
    <x v="0"/>
    <s v="Shipped"/>
  </r>
  <r>
    <n v="3167.38"/>
    <s v="2/24/2003 0:302"/>
    <s v="Shipped"/>
    <x v="0"/>
    <s v="Shipped"/>
  </r>
  <r>
    <n v="2402.84"/>
    <s v="2/24/2003 0:303"/>
    <s v="Cancelled"/>
    <x v="1"/>
    <s v="Cancelled"/>
  </r>
  <r>
    <n v="2454.54"/>
    <s v="2/24/2003 0:304"/>
    <s v="Shipped"/>
    <x v="0"/>
    <s v="Shipped"/>
  </r>
  <r>
    <n v="5464.69"/>
    <s v="2/24/2003 0:305"/>
    <s v="Shipped"/>
    <x v="0"/>
    <s v="Shipped"/>
  </r>
  <r>
    <n v="4756.5"/>
    <s v="2/24/2003 0:306"/>
    <s v="Shipped"/>
    <x v="0"/>
    <s v="Shipped"/>
  </r>
  <r>
    <n v="3984.6"/>
    <s v="2/24/2003 0:307"/>
    <s v="Shipped"/>
    <x v="0"/>
    <s v="Shipped"/>
  </r>
  <r>
    <n v="3100.32"/>
    <s v="2/24/2003 0:308"/>
    <s v="Shipped"/>
    <x v="0"/>
    <s v="Shipped"/>
  </r>
  <r>
    <n v="4850.3"/>
    <s v="2/24/2003 0:309"/>
    <s v="Shipped"/>
    <x v="0"/>
    <s v="Shipped"/>
  </r>
  <r>
    <n v="3846.98"/>
    <s v="2/24/2003 0:310"/>
    <s v="Shipped"/>
    <x v="0"/>
    <s v="Shipped"/>
  </r>
  <r>
    <n v="4220.92"/>
    <s v="2/24/2003 0:311"/>
    <s v="Shipped"/>
    <x v="0"/>
    <s v="Shipped"/>
  </r>
  <r>
    <n v="3288.82"/>
    <s v="2/24/2003 0:312"/>
    <s v="Shipped"/>
    <x v="0"/>
    <s v="Shipped"/>
  </r>
  <r>
    <n v="3987.2"/>
    <s v="2/24/2003 0:313"/>
    <s v="Shipped"/>
    <x v="0"/>
    <s v="Shipped"/>
  </r>
  <r>
    <n v="1809.5"/>
    <s v="2/24/2003 0:314"/>
    <s v="Shipped"/>
    <x v="0"/>
    <s v="Shipped"/>
  </r>
  <r>
    <n v="1092.2"/>
    <s v="2/24/2003 0:315"/>
    <s v="Shipped"/>
    <x v="0"/>
    <s v="Shipped"/>
  </r>
  <r>
    <n v="4566.05"/>
    <s v="2/24/2003 0:316"/>
    <s v="Shipped"/>
    <x v="0"/>
    <s v="Shipped"/>
  </r>
  <r>
    <n v="5938.14"/>
    <s v="2/24/2003 0:317"/>
    <s v="Shipped"/>
    <x v="0"/>
    <s v="Shipped"/>
  </r>
  <r>
    <n v="8138.76"/>
    <s v="2/24/2003 0:318"/>
    <s v="Shipped"/>
    <x v="0"/>
    <s v="Shipped"/>
  </r>
  <r>
    <n v="9470.94"/>
    <s v="2/24/2003 0:319"/>
    <s v="Shipped"/>
    <x v="0"/>
    <s v="Shipped"/>
  </r>
  <r>
    <n v="7036.89"/>
    <s v="2/24/2003 0:320"/>
    <s v="Shipped"/>
    <x v="0"/>
    <s v="Shipped"/>
  </r>
  <r>
    <n v="5559.03"/>
    <s v="2/24/2003 0:321"/>
    <s v="Shipped"/>
    <x v="0"/>
    <s v="Shipped"/>
  </r>
  <r>
    <n v="7872.5"/>
    <s v="2/24/2003 0:322"/>
    <s v="Shipped"/>
    <x v="0"/>
    <s v="Shipped"/>
  </r>
  <r>
    <n v="7886.2"/>
    <s v="2/24/2003 0:323"/>
    <s v="Shipped"/>
    <x v="0"/>
    <s v="Shipped"/>
  </r>
  <r>
    <n v="7232.16"/>
    <s v="2/24/2003 0:324"/>
    <s v="Shipped"/>
    <x v="0"/>
    <s v="Shipped"/>
  </r>
  <r>
    <n v="3114.4"/>
    <s v="2/24/2003 0:325"/>
    <s v="Shipped"/>
    <x v="0"/>
    <s v="Shipped"/>
  </r>
  <r>
    <n v="5045.22"/>
    <s v="2/24/2003 0:326"/>
    <s v="Shipped"/>
    <x v="0"/>
    <s v="Shipped"/>
  </r>
  <r>
    <n v="6952.12"/>
    <s v="2/24/2003 0:327"/>
    <s v="Shipped"/>
    <x v="0"/>
    <s v="Shipped"/>
  </r>
  <r>
    <n v="4157.7299999999996"/>
    <s v="2/24/2003 0:328"/>
    <s v="Shipped"/>
    <x v="0"/>
    <s v="Shipped"/>
  </r>
  <r>
    <n v="7962.24"/>
    <s v="2/24/2003 0:329"/>
    <s v="Shipped"/>
    <x v="0"/>
    <s v="Shipped"/>
  </r>
  <r>
    <n v="3778.8"/>
    <s v="2/24/2003 0:330"/>
    <s v="Shipped"/>
    <x v="0"/>
    <s v="Shipped"/>
  </r>
  <r>
    <n v="8253"/>
    <s v="2/24/2003 0:331"/>
    <s v="Shipped"/>
    <x v="0"/>
    <s v="Shipped"/>
  </r>
  <r>
    <n v="3633.4"/>
    <s v="2/24/2003 0:332"/>
    <s v="Shipped"/>
    <x v="0"/>
    <s v="Shipped"/>
  </r>
  <r>
    <n v="6913.8"/>
    <s v="2/24/2003 0:333"/>
    <s v="Shipped"/>
    <x v="0"/>
    <s v="Shipped"/>
  </r>
  <r>
    <n v="2583.6"/>
    <s v="2/24/2003 0:334"/>
    <s v="Shipped"/>
    <x v="0"/>
    <s v="Shipped"/>
  </r>
  <r>
    <n v="3105.62"/>
    <s v="2/24/2003 0:335"/>
    <s v="Shipped"/>
    <x v="0"/>
    <s v="Shipped"/>
  </r>
  <r>
    <n v="4408.5600000000004"/>
    <s v="2/24/2003 0:336"/>
    <s v="Shipped"/>
    <x v="0"/>
    <s v="Shipped"/>
  </r>
  <r>
    <n v="3042.41"/>
    <s v="2/24/2003 0:337"/>
    <s v="Shipped"/>
    <x v="0"/>
    <s v="Shipped"/>
  </r>
  <r>
    <n v="5941.5"/>
    <s v="2/24/2003 0:338"/>
    <s v="Shipped"/>
    <x v="0"/>
    <s v="Shipped"/>
  </r>
  <r>
    <n v="3241.9"/>
    <s v="2/24/2003 0:339"/>
    <s v="Shipped"/>
    <x v="0"/>
    <s v="Shipped"/>
  </r>
  <r>
    <n v="6109.29"/>
    <s v="2/24/2003 0:340"/>
    <s v="Shipped"/>
    <x v="0"/>
    <s v="Shipped"/>
  </r>
  <r>
    <n v="3387.78"/>
    <s v="2/24/2003 0:341"/>
    <s v="Shipped"/>
    <x v="0"/>
    <s v="Shipped"/>
  </r>
  <r>
    <n v="3485.82"/>
    <s v="2/24/2003 0:342"/>
    <s v="Shipped"/>
    <x v="0"/>
    <s v="Shipped"/>
  </r>
  <r>
    <n v="2042.88"/>
    <s v="2/24/2003 0:343"/>
    <s v="Shipped"/>
    <x v="0"/>
    <s v="Shipped"/>
  </r>
  <r>
    <n v="1800.24"/>
    <s v="2/24/2003 0:344"/>
    <s v="Shipped"/>
    <x v="0"/>
    <s v="Shipped"/>
  </r>
  <r>
    <n v="1340.64"/>
    <s v="2/24/2003 0:345"/>
    <s v="Shipped"/>
    <x v="0"/>
    <s v="Shipped"/>
  </r>
  <r>
    <n v="1762.08"/>
    <s v="2/24/2003 0:346"/>
    <s v="Shipped"/>
    <x v="0"/>
    <s v="Shipped"/>
  </r>
  <r>
    <n v="2298.2399999999998"/>
    <s v="2/24/2003 0:347"/>
    <s v="Shipped"/>
    <x v="0"/>
    <s v="Shipped"/>
  </r>
  <r>
    <n v="1628"/>
    <s v="2/24/2003 0:348"/>
    <s v="Shipped"/>
    <x v="0"/>
    <s v="Shipped"/>
  </r>
  <r>
    <n v="1939.2"/>
    <s v="2/24/2003 0:349"/>
    <s v="Shipped"/>
    <x v="0"/>
    <s v="Shipped"/>
  </r>
  <r>
    <n v="3651.56"/>
    <s v="2/24/2003 0:350"/>
    <s v="Shipped"/>
    <x v="0"/>
    <s v="Shipped"/>
  </r>
  <r>
    <n v="2591.96"/>
    <s v="2/24/2003 0:351"/>
    <s v="Shipped"/>
    <x v="0"/>
    <s v="Shipped"/>
  </r>
  <r>
    <n v="2864.17"/>
    <s v="2/24/2003 0:352"/>
    <s v="Shipped"/>
    <x v="0"/>
    <s v="Shipped"/>
  </r>
  <r>
    <n v="1484.2"/>
    <s v="2/24/2003 0:353"/>
    <s v="Shipped"/>
    <x v="0"/>
    <s v="Shipped"/>
  </r>
  <r>
    <n v="2254.25"/>
    <s v="2/24/2003 0:354"/>
    <s v="Cancelled"/>
    <x v="1"/>
    <s v="Cancelled"/>
  </r>
  <r>
    <n v="2681.35"/>
    <s v="2/24/2003 0:355"/>
    <s v="Shipped"/>
    <x v="0"/>
    <s v="Shipped"/>
  </r>
  <r>
    <n v="3184.02"/>
    <s v="2/24/2003 0:356"/>
    <s v="Shipped"/>
    <x v="0"/>
    <s v="Shipped"/>
  </r>
  <r>
    <n v="2846.63"/>
    <s v="2/24/2003 0:357"/>
    <s v="Shipped"/>
    <x v="0"/>
    <s v="Shipped"/>
  </r>
  <r>
    <n v="1685.42"/>
    <s v="2/24/2003 0:358"/>
    <s v="Shipped"/>
    <x v="0"/>
    <s v="Shipped"/>
  </r>
  <r>
    <n v="3988.6"/>
    <s v="2/24/2003 0:359"/>
    <s v="Shipped"/>
    <x v="0"/>
    <s v="Shipped"/>
  </r>
  <r>
    <n v="2789.96"/>
    <s v="2/24/2003 0:360"/>
    <s v="Shipped"/>
    <x v="0"/>
    <s v="Shipped"/>
  </r>
  <r>
    <n v="3607.56"/>
    <s v="2/24/2003 0:361"/>
    <s v="Shipped"/>
    <x v="0"/>
    <s v="Shipped"/>
  </r>
  <r>
    <n v="3368.16"/>
    <s v="2/24/2003 0:362"/>
    <s v="Shipped"/>
    <x v="0"/>
    <s v="Shipped"/>
  </r>
  <r>
    <n v="2775.08"/>
    <s v="2/24/2003 0:363"/>
    <s v="Shipped"/>
    <x v="0"/>
    <s v="Shipped"/>
  </r>
  <r>
    <n v="1627.92"/>
    <s v="2/24/2003 0:364"/>
    <s v="Shipped"/>
    <x v="0"/>
    <s v="Shipped"/>
  </r>
  <r>
    <n v="2529.36"/>
    <s v="2/24/2003 0:365"/>
    <s v="Shipped"/>
    <x v="0"/>
    <s v="Shipped"/>
  </r>
  <r>
    <n v="3065.78"/>
    <s v="2/24/2003 0:366"/>
    <s v="Shipped"/>
    <x v="0"/>
    <s v="Shipped"/>
  </r>
  <r>
    <n v="4615.78"/>
    <s v="2/24/2003 0:367"/>
    <s v="Shipped"/>
    <x v="0"/>
    <s v="Shipped"/>
  </r>
  <r>
    <n v="5723.78"/>
    <s v="2/24/2003 0:368"/>
    <s v="Shipped"/>
    <x v="0"/>
    <s v="Shipped"/>
  </r>
  <r>
    <n v="2559.6"/>
    <s v="2/24/2003 0:369"/>
    <s v="Shipped"/>
    <x v="0"/>
    <s v="Shipped"/>
  </r>
  <r>
    <n v="2140.11"/>
    <s v="2/24/2003 0:370"/>
    <s v="Shipped"/>
    <x v="0"/>
    <s v="Shipped"/>
  </r>
  <r>
    <n v="3327.6"/>
    <s v="2/24/2003 0:371"/>
    <s v="Shipped"/>
    <x v="0"/>
    <s v="Shipped"/>
  </r>
  <r>
    <n v="6825.6"/>
    <s v="2/24/2003 0:372"/>
    <s v="Shipped"/>
    <x v="0"/>
    <s v="Shipped"/>
  </r>
  <r>
    <n v="3543.28"/>
    <s v="2/24/2003 0:373"/>
    <s v="Shipped"/>
    <x v="0"/>
    <s v="Shipped"/>
  </r>
  <r>
    <n v="4516.22"/>
    <s v="2/24/2003 0:374"/>
    <s v="Shipped"/>
    <x v="0"/>
    <s v="Shipped"/>
  </r>
  <r>
    <n v="6445.46"/>
    <s v="2/24/2003 0:375"/>
    <s v="Shipped"/>
    <x v="0"/>
    <s v="Shipped"/>
  </r>
  <r>
    <n v="3384.36"/>
    <s v="2/24/2003 0:376"/>
    <s v="Shipped"/>
    <x v="0"/>
    <s v="Shipped"/>
  </r>
  <r>
    <n v="4891.68"/>
    <s v="2/24/2003 0:377"/>
    <s v="Shipped"/>
    <x v="0"/>
    <s v="Shipped"/>
  </r>
  <r>
    <n v="4521.96"/>
    <s v="2/24/2003 0:378"/>
    <s v="Shipped"/>
    <x v="0"/>
    <s v="Shipped"/>
  </r>
  <r>
    <n v="5069.66"/>
    <s v="2/24/2003 0:379"/>
    <s v="Shipped"/>
    <x v="0"/>
    <s v="Shipped"/>
  </r>
  <r>
    <n v="6541.2"/>
    <s v="2/24/2003 0:380"/>
    <s v="Shipped"/>
    <x v="0"/>
    <s v="Shipped"/>
  </r>
  <r>
    <n v="3012.27"/>
    <s v="2/24/2003 0:381"/>
    <s v="Shipped"/>
    <x v="0"/>
    <s v="Shipped"/>
  </r>
  <r>
    <n v="5247.18"/>
    <s v="2/24/2003 0:382"/>
    <s v="Shipped"/>
    <x v="0"/>
    <s v="Shipped"/>
  </r>
  <r>
    <n v="2214.87"/>
    <s v="2/24/2003 0:383"/>
    <s v="Shipped"/>
    <x v="0"/>
    <s v="Shipped"/>
  </r>
  <r>
    <n v="4773.18"/>
    <s v="2/24/2003 0:384"/>
    <s v="Shipped"/>
    <x v="0"/>
    <s v="Shipped"/>
  </r>
  <r>
    <n v="6185.7"/>
    <s v="2/24/2003 0:385"/>
    <s v="Shipped"/>
    <x v="0"/>
    <s v="Shipped"/>
  </r>
  <r>
    <n v="1517.88"/>
    <s v="2/24/2003 0:386"/>
    <s v="Shipped"/>
    <x v="0"/>
    <s v="Shipped"/>
  </r>
  <r>
    <n v="6372.6"/>
    <s v="2/24/2003 0:387"/>
    <s v="Shipped"/>
    <x v="0"/>
    <s v="Shipped"/>
  </r>
  <r>
    <n v="5232.96"/>
    <s v="2/24/2003 0:388"/>
    <s v="Shipped"/>
    <x v="0"/>
    <s v="Shipped"/>
  </r>
  <r>
    <n v="2694.72"/>
    <s v="2/24/2003 0:389"/>
    <s v="Shipped"/>
    <x v="0"/>
    <s v="Shipped"/>
  </r>
  <r>
    <n v="1749.79"/>
    <s v="2/24/2003 0:390"/>
    <s v="Shipped"/>
    <x v="0"/>
    <s v="Shipped"/>
  </r>
  <r>
    <n v="2130.56"/>
    <s v="2/24/2003 0:391"/>
    <s v="Shipped"/>
    <x v="0"/>
    <s v="Shipped"/>
  </r>
  <r>
    <n v="5951.34"/>
    <s v="2/24/2003 0:392"/>
    <s v="Shipped"/>
    <x v="0"/>
    <s v="Shipped"/>
  </r>
  <r>
    <n v="4692.6000000000004"/>
    <s v="2/24/2003 0:393"/>
    <s v="In Process"/>
    <x v="1"/>
    <s v="In Process"/>
  </r>
  <r>
    <n v="3731.04"/>
    <s v="2/24/2003 0:394"/>
    <s v="Shipped"/>
    <x v="0"/>
    <s v="Shipped"/>
  </r>
  <r>
    <n v="2142"/>
    <s v="2/24/2003 0:395"/>
    <s v="Shipped"/>
    <x v="0"/>
    <s v="Shipped"/>
  </r>
  <r>
    <n v="2838.81"/>
    <s v="2/24/2003 0:396"/>
    <s v="Shipped"/>
    <x v="0"/>
    <s v="Shipped"/>
  </r>
  <r>
    <n v="3230.37"/>
    <s v="2/24/2003 0:397"/>
    <s v="Shipped"/>
    <x v="0"/>
    <s v="Shipped"/>
  </r>
  <r>
    <n v="5182"/>
    <s v="2/24/2003 0:398"/>
    <s v="Shipped"/>
    <x v="0"/>
    <s v="Shipped"/>
  </r>
  <r>
    <n v="4391.1000000000004"/>
    <s v="2/24/2003 0:399"/>
    <s v="Shipped"/>
    <x v="0"/>
    <s v="Shipped"/>
  </r>
  <r>
    <n v="4477.32"/>
    <s v="2/24/2003 0:400"/>
    <s v="Shipped"/>
    <x v="0"/>
    <s v="Shipped"/>
  </r>
  <r>
    <n v="3544.56"/>
    <s v="2/24/2003 0:401"/>
    <s v="Shipped"/>
    <x v="0"/>
    <s v="Shipped"/>
  </r>
  <r>
    <n v="5195.8500000000004"/>
    <s v="2/24/2003 0:402"/>
    <s v="Shipped"/>
    <x v="0"/>
    <s v="Shipped"/>
  </r>
  <r>
    <n v="4180.4399999999996"/>
    <s v="2/24/2003 0:403"/>
    <s v="Shipped"/>
    <x v="0"/>
    <s v="Shipped"/>
  </r>
  <r>
    <n v="2684.43"/>
    <s v="2/24/2003 0:404"/>
    <s v="Shipped"/>
    <x v="0"/>
    <s v="Shipped"/>
  </r>
  <r>
    <n v="1958.88"/>
    <s v="2/24/2003 0:405"/>
    <s v="Shipped"/>
    <x v="0"/>
    <s v="Shipped"/>
  </r>
  <r>
    <n v="4910.57"/>
    <s v="2/24/2003 0:406"/>
    <s v="Cancelled"/>
    <x v="1"/>
    <s v="Cancelled"/>
  </r>
  <r>
    <n v="4468.3999999999996"/>
    <s v="2/24/2003 0:407"/>
    <s v="Shipped"/>
    <x v="0"/>
    <s v="Shipped"/>
  </r>
  <r>
    <n v="3127.88"/>
    <s v="2/24/2003 0:408"/>
    <s v="Shipped"/>
    <x v="0"/>
    <s v="Shipped"/>
  </r>
  <r>
    <n v="2675.13"/>
    <s v="2/24/2003 0:409"/>
    <s v="Shipped"/>
    <x v="0"/>
    <s v="Shipped"/>
  </r>
  <r>
    <n v="2807.61"/>
    <s v="2/24/2003 0:410"/>
    <s v="Shipped"/>
    <x v="0"/>
    <s v="Shipped"/>
  </r>
  <r>
    <n v="2504.75"/>
    <s v="2/24/2003 0:411"/>
    <s v="Shipped"/>
    <x v="0"/>
    <s v="Shipped"/>
  </r>
  <r>
    <n v="2984.88"/>
    <s v="2/24/2003 0:412"/>
    <s v="Shipped"/>
    <x v="0"/>
    <s v="Shipped"/>
  </r>
  <r>
    <n v="2524.86"/>
    <s v="2/24/2003 0:413"/>
    <s v="Shipped"/>
    <x v="0"/>
    <s v="Shipped"/>
  </r>
  <r>
    <n v="4136"/>
    <s v="2/24/2003 0:414"/>
    <s v="Shipped"/>
    <x v="0"/>
    <s v="Shipped"/>
  </r>
  <r>
    <n v="4068.7"/>
    <s v="2/24/2003 0:415"/>
    <s v="Shipped"/>
    <x v="0"/>
    <s v="Shipped"/>
  </r>
  <r>
    <n v="5182"/>
    <s v="2/24/2003 0:416"/>
    <s v="Shipped"/>
    <x v="0"/>
    <s v="Shipped"/>
  </r>
  <r>
    <n v="5243.79"/>
    <s v="2/24/2003 0:417"/>
    <s v="Shipped"/>
    <x v="0"/>
    <s v="Shipped"/>
  </r>
  <r>
    <n v="9048.16"/>
    <s v="2/24/2003 0:418"/>
    <s v="Shipped"/>
    <x v="0"/>
    <s v="Shipped"/>
  </r>
  <r>
    <n v="3832.64"/>
    <s v="2/24/2003 0:419"/>
    <s v="Shipped"/>
    <x v="0"/>
    <s v="Shipped"/>
  </r>
  <r>
    <n v="3920"/>
    <s v="2/24/2003 0:420"/>
    <s v="Shipped"/>
    <x v="0"/>
    <s v="Shipped"/>
  </r>
  <r>
    <n v="4916.66"/>
    <s v="2/24/2003 0:421"/>
    <s v="Shipped"/>
    <x v="0"/>
    <s v="Shipped"/>
  </r>
  <r>
    <n v="3857"/>
    <s v="2/24/2003 0:422"/>
    <s v="Shipped"/>
    <x v="0"/>
    <s v="Shipped"/>
  </r>
  <r>
    <n v="4181.4399999999996"/>
    <s v="2/24/2003 0:423"/>
    <s v="Shipped"/>
    <x v="0"/>
    <s v="Shipped"/>
  </r>
  <r>
    <n v="4641"/>
    <s v="2/24/2003 0:424"/>
    <s v="Shipped"/>
    <x v="0"/>
    <s v="Shipped"/>
  </r>
  <r>
    <n v="3570.12"/>
    <s v="2/24/2003 0:425"/>
    <s v="Resolved"/>
    <x v="1"/>
    <s v="Resolved"/>
  </r>
  <r>
    <n v="4480.32"/>
    <s v="2/24/2003 0:426"/>
    <s v="Shipped"/>
    <x v="0"/>
    <s v="Shipped"/>
  </r>
  <r>
    <n v="2033.64"/>
    <s v="2/24/2003 0:427"/>
    <s v="Shipped"/>
    <x v="0"/>
    <s v="Shipped"/>
  </r>
  <r>
    <n v="1960.14"/>
    <s v="2/24/2003 0:428"/>
    <s v="Shipped"/>
    <x v="0"/>
    <s v="Shipped"/>
  </r>
  <r>
    <n v="3966.78"/>
    <s v="2/24/2003 0:429"/>
    <s v="Shipped"/>
    <x v="0"/>
    <s v="Shipped"/>
  </r>
  <r>
    <n v="5152"/>
    <s v="2/24/2003 0:430"/>
    <s v="Shipped"/>
    <x v="0"/>
    <s v="Shipped"/>
  </r>
  <r>
    <n v="3360"/>
    <s v="2/24/2003 0:431"/>
    <s v="Shipped"/>
    <x v="0"/>
    <s v="Shipped"/>
  </r>
  <r>
    <n v="3451"/>
    <s v="2/24/2003 0:432"/>
    <s v="Shipped"/>
    <x v="0"/>
    <s v="Shipped"/>
  </r>
  <r>
    <n v="5453"/>
    <s v="2/24/2003 0:433"/>
    <s v="Shipped"/>
    <x v="0"/>
    <s v="Shipped"/>
  </r>
  <r>
    <n v="4164.12"/>
    <s v="2/24/2003 0:434"/>
    <s v="Shipped"/>
    <x v="0"/>
    <s v="Shipped"/>
  </r>
  <r>
    <n v="2800.08"/>
    <s v="2/24/2003 0:435"/>
    <s v="Shipped"/>
    <x v="0"/>
    <s v="Shipped"/>
  </r>
  <r>
    <n v="4687.9399999999996"/>
    <s v="2/24/2003 0:436"/>
    <s v="Shipped"/>
    <x v="0"/>
    <s v="Shipped"/>
  </r>
  <r>
    <n v="4508"/>
    <s v="2/24/2003 0:437"/>
    <s v="Shipped"/>
    <x v="0"/>
    <s v="Shipped"/>
  </r>
  <r>
    <n v="4181.4399999999996"/>
    <s v="2/24/2003 0:438"/>
    <s v="Shipped"/>
    <x v="0"/>
    <s v="Shipped"/>
  </r>
  <r>
    <n v="2251.04"/>
    <s v="2/24/2003 0:439"/>
    <s v="Shipped"/>
    <x v="0"/>
    <s v="Shipped"/>
  </r>
  <r>
    <n v="1167.25"/>
    <s v="2/24/2003 0:440"/>
    <s v="Shipped"/>
    <x v="0"/>
    <s v="Shipped"/>
  </r>
  <r>
    <n v="2083.1999999999998"/>
    <s v="2/24/2003 0:441"/>
    <s v="Shipped"/>
    <x v="0"/>
    <s v="Shipped"/>
  </r>
  <r>
    <n v="3822"/>
    <s v="2/24/2003 0:442"/>
    <s v="Shipped"/>
    <x v="0"/>
    <s v="Shipped"/>
  </r>
  <r>
    <n v="3911.49"/>
    <s v="2/24/2003 0:443"/>
    <s v="Shipped"/>
    <x v="0"/>
    <s v="Shipped"/>
  </r>
  <r>
    <n v="4704"/>
    <s v="2/24/2003 0:444"/>
    <s v="Shipped"/>
    <x v="0"/>
    <s v="Shipped"/>
  </r>
  <r>
    <n v="2467.9"/>
    <s v="2/24/2003 0:445"/>
    <s v="Shipped"/>
    <x v="0"/>
    <s v="Shipped"/>
  </r>
  <r>
    <n v="3213"/>
    <s v="2/24/2003 0:446"/>
    <s v="Shipped"/>
    <x v="0"/>
    <s v="Shipped"/>
  </r>
  <r>
    <n v="7182"/>
    <s v="2/24/2003 0:447"/>
    <s v="In Process"/>
    <x v="1"/>
    <s v="In Process"/>
  </r>
  <r>
    <n v="4379.18"/>
    <s v="2/24/2003 0:448"/>
    <s v="Shipped"/>
    <x v="0"/>
    <s v="Shipped"/>
  </r>
  <r>
    <n v="5004.8"/>
    <s v="2/24/2003 0:449"/>
    <s v="Shipped"/>
    <x v="0"/>
    <s v="Shipped"/>
  </r>
  <r>
    <n v="3644.75"/>
    <s v="2/24/2003 0:450"/>
    <s v="Shipped"/>
    <x v="0"/>
    <s v="Shipped"/>
  </r>
  <r>
    <n v="2702.04"/>
    <s v="2/24/2003 0:451"/>
    <s v="Shipped"/>
    <x v="0"/>
    <s v="Shipped"/>
  </r>
  <r>
    <n v="3764.88"/>
    <s v="2/24/2003 0:452"/>
    <s v="Shipped"/>
    <x v="0"/>
    <s v="Shipped"/>
  </r>
  <r>
    <n v="4508"/>
    <s v="2/24/2003 0:453"/>
    <s v="Shipped"/>
    <x v="0"/>
    <s v="Shipped"/>
  </r>
  <r>
    <n v="5418.16"/>
    <s v="2/24/2003 0:454"/>
    <s v="Shipped"/>
    <x v="0"/>
    <s v="Shipped"/>
  </r>
  <r>
    <n v="3300.66"/>
    <s v="2/24/2003 0:455"/>
    <s v="Shipped"/>
    <x v="0"/>
    <s v="Shipped"/>
  </r>
  <r>
    <n v="6182.4"/>
    <s v="2/24/2003 0:456"/>
    <s v="Shipped"/>
    <x v="0"/>
    <s v="Shipped"/>
  </r>
  <r>
    <n v="4186.7299999999996"/>
    <s v="2/24/2003 0:457"/>
    <s v="Shipped"/>
    <x v="0"/>
    <s v="Shipped"/>
  </r>
  <r>
    <n v="4529.28"/>
    <s v="2/24/2003 0:458"/>
    <s v="Shipped"/>
    <x v="0"/>
    <s v="Shipped"/>
  </r>
  <r>
    <n v="5628.89"/>
    <s v="2/24/2003 0:459"/>
    <s v="Shipped"/>
    <x v="0"/>
    <s v="Shipped"/>
  </r>
  <r>
    <n v="3054.48"/>
    <s v="2/24/2003 0:460"/>
    <s v="Cancelled"/>
    <x v="1"/>
    <s v="Cancelled"/>
  </r>
  <r>
    <n v="2526.5100000000002"/>
    <s v="2/24/2003 0:461"/>
    <s v="Shipped"/>
    <x v="0"/>
    <s v="Shipped"/>
  </r>
  <r>
    <n v="4667.8599999999997"/>
    <s v="2/24/2003 0:462"/>
    <s v="Shipped"/>
    <x v="0"/>
    <s v="Shipped"/>
  </r>
  <r>
    <n v="6499.32"/>
    <s v="2/24/2003 0:463"/>
    <s v="Shipped"/>
    <x v="0"/>
    <s v="Shipped"/>
  </r>
  <r>
    <n v="5917.78"/>
    <s v="2/24/2003 0:464"/>
    <s v="Shipped"/>
    <x v="0"/>
    <s v="Shipped"/>
  </r>
  <r>
    <n v="6231.91"/>
    <s v="2/24/2003 0:465"/>
    <s v="Shipped"/>
    <x v="0"/>
    <s v="Shipped"/>
  </r>
  <r>
    <n v="5803.14"/>
    <s v="2/24/2003 0:466"/>
    <s v="Shipped"/>
    <x v="0"/>
    <s v="Shipped"/>
  </r>
  <r>
    <n v="6434.02"/>
    <s v="2/24/2003 0:467"/>
    <s v="Shipped"/>
    <x v="0"/>
    <s v="Shipped"/>
  </r>
  <r>
    <n v="6454.4"/>
    <s v="2/24/2003 0:468"/>
    <s v="Shipped"/>
    <x v="0"/>
    <s v="Shipped"/>
  </r>
  <r>
    <n v="4196.8"/>
    <s v="2/24/2003 0:469"/>
    <s v="Shipped"/>
    <x v="0"/>
    <s v="Shipped"/>
  </r>
  <r>
    <n v="2611.8000000000002"/>
    <s v="2/24/2003 0:470"/>
    <s v="Shipped"/>
    <x v="0"/>
    <s v="Shipped"/>
  </r>
  <r>
    <n v="5895.05"/>
    <s v="2/24/2003 0:471"/>
    <s v="Shipped"/>
    <x v="0"/>
    <s v="Shipped"/>
  </r>
  <r>
    <n v="3375.72"/>
    <s v="2/24/2003 0:472"/>
    <s v="Shipped"/>
    <x v="0"/>
    <s v="Shipped"/>
  </r>
  <r>
    <n v="8374.69"/>
    <s v="2/24/2003 0:473"/>
    <s v="Disputed"/>
    <x v="1"/>
    <s v="Disputed"/>
  </r>
  <r>
    <n v="4464.24"/>
    <s v="2/24/2003 0:474"/>
    <s v="Shipped"/>
    <x v="0"/>
    <s v="Shipped"/>
  </r>
  <r>
    <n v="4808.3100000000004"/>
    <s v="2/24/2003 0:475"/>
    <s v="Shipped"/>
    <x v="0"/>
    <s v="Shipped"/>
  </r>
  <r>
    <n v="3288.78"/>
    <s v="2/24/2003 0:476"/>
    <s v="Shipped"/>
    <x v="0"/>
    <s v="Shipped"/>
  </r>
  <r>
    <n v="3254.72"/>
    <s v="2/24/2003 0:477"/>
    <s v="Shipped"/>
    <x v="0"/>
    <s v="Shipped"/>
  </r>
  <r>
    <n v="3184.94"/>
    <s v="2/24/2003 0:478"/>
    <s v="Shipped"/>
    <x v="0"/>
    <s v="Shipped"/>
  </r>
  <r>
    <n v="5907.5"/>
    <s v="2/24/2003 0:479"/>
    <s v="Shipped"/>
    <x v="0"/>
    <s v="Shipped"/>
  </r>
  <r>
    <n v="4389.12"/>
    <s v="2/24/2003 0:480"/>
    <s v="Shipped"/>
    <x v="0"/>
    <s v="Shipped"/>
  </r>
  <r>
    <n v="5036.16"/>
    <s v="2/24/2003 0:481"/>
    <s v="Shipped"/>
    <x v="0"/>
    <s v="Shipped"/>
  </r>
  <r>
    <n v="2183.25"/>
    <s v="2/24/2003 0:482"/>
    <s v="Shipped"/>
    <x v="0"/>
    <s v="Shipped"/>
  </r>
  <r>
    <n v="3106.88"/>
    <s v="2/24/2003 0:483"/>
    <s v="Shipped"/>
    <x v="0"/>
    <s v="Shipped"/>
  </r>
  <r>
    <n v="3735.72"/>
    <s v="2/24/2003 0:484"/>
    <s v="Shipped"/>
    <x v="0"/>
    <s v="Shipped"/>
  </r>
  <r>
    <n v="2413.2600000000002"/>
    <s v="2/24/2003 0:485"/>
    <s v="Shipped"/>
    <x v="0"/>
    <s v="Shipped"/>
  </r>
  <r>
    <n v="2953.75"/>
    <s v="2/24/2003 0:486"/>
    <s v="Shipped"/>
    <x v="0"/>
    <s v="Shipped"/>
  </r>
  <r>
    <n v="4684.8"/>
    <s v="2/24/2003 0:487"/>
    <s v="Shipped"/>
    <x v="0"/>
    <s v="Shipped"/>
  </r>
  <r>
    <n v="3248.7"/>
    <s v="2/24/2003 0:488"/>
    <s v="Shipped"/>
    <x v="0"/>
    <s v="Shipped"/>
  </r>
  <r>
    <n v="5239.5"/>
    <s v="2/24/2003 0:489"/>
    <s v="Shipped"/>
    <x v="0"/>
    <s v="Shipped"/>
  </r>
  <r>
    <n v="4567.9799999999996"/>
    <s v="2/24/2003 0:490"/>
    <s v="Shipped"/>
    <x v="0"/>
    <s v="Shipped"/>
  </r>
  <r>
    <n v="3535.35"/>
    <s v="2/24/2003 0:491"/>
    <s v="Shipped"/>
    <x v="0"/>
    <s v="Shipped"/>
  </r>
  <r>
    <n v="3843.34"/>
    <s v="2/24/2003 0:492"/>
    <s v="Shipped"/>
    <x v="0"/>
    <s v="Shipped"/>
  </r>
  <r>
    <n v="3710.9"/>
    <s v="2/24/2003 0:493"/>
    <s v="Shipped"/>
    <x v="0"/>
    <s v="Shipped"/>
  </r>
  <r>
    <n v="4375.9799999999996"/>
    <s v="2/24/2003 0:494"/>
    <s v="Shipped"/>
    <x v="0"/>
    <s v="Shipped"/>
  </r>
  <r>
    <n v="1516.62"/>
    <s v="2/24/2003 0:495"/>
    <s v="Shipped"/>
    <x v="0"/>
    <s v="Shipped"/>
  </r>
  <r>
    <n v="2509"/>
    <s v="2/24/2003 0:496"/>
    <s v="Shipped"/>
    <x v="0"/>
    <s v="Shipped"/>
  </r>
  <r>
    <n v="9240.44"/>
    <s v="2/24/2003 0:497"/>
    <s v="Shipped"/>
    <x v="0"/>
    <s v="Shipped"/>
  </r>
  <r>
    <n v="2515.3200000000002"/>
    <s v="2/24/2003 0:498"/>
    <s v="Shipped"/>
    <x v="0"/>
    <s v="Shipped"/>
  </r>
  <r>
    <n v="5548.9"/>
    <s v="2/24/2003 0:499"/>
    <s v="Shipped"/>
    <x v="0"/>
    <s v="Shipped"/>
  </r>
  <r>
    <n v="4873.05"/>
    <s v="2/24/2003 0:500"/>
    <s v="In Process"/>
    <x v="1"/>
    <s v="In Process"/>
  </r>
  <r>
    <n v="2055.7399999999998"/>
    <s v="2/24/2003 0:501"/>
    <s v="Shipped"/>
    <x v="0"/>
    <s v="Shipped"/>
  </r>
  <r>
    <n v="2354.88"/>
    <s v="2/24/2003 0:502"/>
    <s v="Shipped"/>
    <x v="0"/>
    <s v="Shipped"/>
  </r>
  <r>
    <n v="2309.58"/>
    <s v="2/24/2003 0:503"/>
    <s v="Shipped"/>
    <x v="0"/>
    <s v="Shipped"/>
  </r>
  <r>
    <n v="2113.37"/>
    <s v="2/24/2003 0:504"/>
    <s v="Shipped"/>
    <x v="0"/>
    <s v="Shipped"/>
  </r>
  <r>
    <n v="1746.6"/>
    <s v="2/24/2003 0:505"/>
    <s v="Shipped"/>
    <x v="0"/>
    <s v="Shipped"/>
  </r>
  <r>
    <n v="2304.4499999999998"/>
    <s v="2/24/2003 0:506"/>
    <s v="Shipped"/>
    <x v="0"/>
    <s v="Shipped"/>
  </r>
  <r>
    <n v="2122.08"/>
    <s v="2/24/2003 0:507"/>
    <s v="Shipped"/>
    <x v="0"/>
    <s v="Shipped"/>
  </r>
  <r>
    <n v="1742.4"/>
    <s v="2/24/2003 0:508"/>
    <s v="Shipped"/>
    <x v="0"/>
    <s v="Shipped"/>
  </r>
  <r>
    <n v="2455.02"/>
    <s v="2/24/2003 0:509"/>
    <s v="Shipped"/>
    <x v="0"/>
    <s v="Shipped"/>
  </r>
  <r>
    <n v="3053.28"/>
    <s v="2/24/2003 0:510"/>
    <s v="Shipped"/>
    <x v="0"/>
    <s v="Shipped"/>
  </r>
  <r>
    <n v="1423.29"/>
    <s v="2/24/2003 0:511"/>
    <s v="Shipped"/>
    <x v="0"/>
    <s v="Shipped"/>
  </r>
  <r>
    <n v="1504.12"/>
    <s v="2/24/2003 0:512"/>
    <s v="Shipped"/>
    <x v="0"/>
    <s v="Shipped"/>
  </r>
  <r>
    <n v="1164.4000000000001"/>
    <s v="2/24/2003 0:513"/>
    <s v="Shipped"/>
    <x v="0"/>
    <s v="Shipped"/>
  </r>
  <r>
    <n v="1500.75"/>
    <s v="2/24/2003 0:514"/>
    <s v="Shipped"/>
    <x v="0"/>
    <s v="Shipped"/>
  </r>
  <r>
    <n v="1557.36"/>
    <s v="2/24/2003 0:515"/>
    <s v="Shipped"/>
    <x v="0"/>
    <s v="Shipped"/>
  </r>
  <r>
    <n v="1345.68"/>
    <s v="2/24/2003 0:516"/>
    <s v="Shipped"/>
    <x v="0"/>
    <s v="Shipped"/>
  </r>
  <r>
    <n v="1795.24"/>
    <s v="2/24/2003 0:517"/>
    <s v="Shipped"/>
    <x v="0"/>
    <s v="Shipped"/>
  </r>
  <r>
    <n v="1105.25"/>
    <s v="2/24/2003 0:518"/>
    <s v="Shipped"/>
    <x v="0"/>
    <s v="Shipped"/>
  </r>
  <r>
    <n v="2364.88"/>
    <s v="2/24/2003 0:519"/>
    <s v="Shipped"/>
    <x v="0"/>
    <s v="Shipped"/>
  </r>
  <r>
    <n v="2427.0300000000002"/>
    <s v="2/24/2003 0:520"/>
    <s v="Shipped"/>
    <x v="0"/>
    <s v="Shipped"/>
  </r>
  <r>
    <n v="1237.95"/>
    <s v="2/24/2003 0:521"/>
    <s v="Shipped"/>
    <x v="0"/>
    <s v="Shipped"/>
  </r>
  <r>
    <n v="1593.02"/>
    <s v="2/24/2003 0:522"/>
    <s v="Shipped"/>
    <x v="0"/>
    <s v="Shipped"/>
  </r>
  <r>
    <n v="3156.16"/>
    <s v="2/24/2003 0:523"/>
    <s v="Shipped"/>
    <x v="0"/>
    <s v="Shipped"/>
  </r>
  <r>
    <n v="1320.75"/>
    <s v="2/24/2003 0:524"/>
    <s v="Shipped"/>
    <x v="0"/>
    <s v="Shipped"/>
  </r>
  <r>
    <n v="4998"/>
    <s v="2/24/2003 0:525"/>
    <s v="Shipped"/>
    <x v="0"/>
    <s v="Shipped"/>
  </r>
  <r>
    <n v="1293.75"/>
    <s v="2/24/2003 0:526"/>
    <s v="In Process"/>
    <x v="1"/>
    <s v="In Process"/>
  </r>
  <r>
    <n v="5433.08"/>
    <s v="2/24/2003 0:527"/>
    <s v="Shipped"/>
    <x v="0"/>
    <s v="Shipped"/>
  </r>
  <r>
    <n v="3073.72"/>
    <s v="2/24/2003 0:528"/>
    <s v="Shipped"/>
    <x v="0"/>
    <s v="Shipped"/>
  </r>
  <r>
    <n v="4380.2"/>
    <s v="2/24/2003 0:529"/>
    <s v="Shipped"/>
    <x v="0"/>
    <s v="Shipped"/>
  </r>
  <r>
    <n v="5848.68"/>
    <s v="2/24/2003 0:530"/>
    <s v="Shipped"/>
    <x v="0"/>
    <s v="Shipped"/>
  </r>
  <r>
    <n v="6153.73"/>
    <s v="2/24/2003 0:531"/>
    <s v="Shipped"/>
    <x v="0"/>
    <s v="Shipped"/>
  </r>
  <r>
    <n v="4965.24"/>
    <s v="2/24/2003 0:532"/>
    <s v="Shipped"/>
    <x v="0"/>
    <s v="Shipped"/>
  </r>
  <r>
    <n v="5435.64"/>
    <s v="2/24/2003 0:533"/>
    <s v="Shipped"/>
    <x v="0"/>
    <s v="Shipped"/>
  </r>
  <r>
    <n v="4258.3599999999997"/>
    <s v="2/24/2003 0:534"/>
    <s v="Shipped"/>
    <x v="0"/>
    <s v="Shipped"/>
  </r>
  <r>
    <n v="4032"/>
    <s v="2/24/2003 0:535"/>
    <s v="Shipped"/>
    <x v="0"/>
    <s v="Shipped"/>
  </r>
  <r>
    <n v="4492.3599999999997"/>
    <s v="2/24/2003 0:536"/>
    <s v="Shipped"/>
    <x v="0"/>
    <s v="Shipped"/>
  </r>
  <r>
    <n v="4161.38"/>
    <s v="2/24/2003 0:537"/>
    <s v="Shipped"/>
    <x v="0"/>
    <s v="Shipped"/>
  </r>
  <r>
    <n v="2508.66"/>
    <s v="2/24/2003 0:538"/>
    <s v="Shipped"/>
    <x v="0"/>
    <s v="Shipped"/>
  </r>
  <r>
    <n v="3374.88"/>
    <s v="2/24/2003 0:539"/>
    <s v="Cancelled"/>
    <x v="1"/>
    <s v="Cancelled"/>
  </r>
  <r>
    <n v="5196.6000000000004"/>
    <s v="2/24/2003 0:540"/>
    <s v="Shipped"/>
    <x v="0"/>
    <s v="Shipped"/>
  </r>
  <r>
    <n v="2604.52"/>
    <s v="2/24/2003 0:541"/>
    <s v="Shipped"/>
    <x v="0"/>
    <s v="Shipped"/>
  </r>
  <r>
    <n v="2936.8"/>
    <s v="2/24/2003 0:542"/>
    <s v="Shipped"/>
    <x v="0"/>
    <s v="Shipped"/>
  </r>
  <r>
    <n v="3424.64"/>
    <s v="2/24/2003 0:543"/>
    <s v="Shipped"/>
    <x v="0"/>
    <s v="Shipped"/>
  </r>
  <r>
    <n v="2923.2"/>
    <s v="2/24/2003 0:544"/>
    <s v="Shipped"/>
    <x v="0"/>
    <s v="Shipped"/>
  </r>
  <r>
    <n v="4489.76"/>
    <s v="2/24/2003 0:545"/>
    <s v="Shipped"/>
    <x v="0"/>
    <s v="Shipped"/>
  </r>
  <r>
    <n v="4849.24"/>
    <s v="2/24/2003 0:546"/>
    <s v="Shipped"/>
    <x v="0"/>
    <s v="Shipped"/>
  </r>
  <r>
    <n v="5848.92"/>
    <s v="2/24/2003 0:547"/>
    <s v="Shipped"/>
    <x v="0"/>
    <s v="Shipped"/>
  </r>
  <r>
    <n v="2758.7"/>
    <s v="2/24/2003 0:548"/>
    <s v="Resolved"/>
    <x v="1"/>
    <s v="Resolved"/>
  </r>
  <r>
    <n v="1449.76"/>
    <s v="2/24/2003 0:549"/>
    <s v="Shipped"/>
    <x v="0"/>
    <s v="Shipped"/>
  </r>
  <r>
    <n v="7048.14"/>
    <s v="2/24/2003 0:550"/>
    <s v="On Hold"/>
    <x v="1"/>
    <s v="On Hold"/>
  </r>
  <r>
    <n v="5202.9399999999996"/>
    <s v="2/24/2003 0:551"/>
    <s v="Shipped"/>
    <x v="0"/>
    <s v="Shipped"/>
  </r>
  <r>
    <n v="5279.4"/>
    <s v="2/24/2003 0:552"/>
    <s v="Shipped"/>
    <x v="0"/>
    <s v="Shipped"/>
  </r>
  <r>
    <n v="6916.12"/>
    <s v="2/24/2003 0:553"/>
    <s v="Shipped"/>
    <x v="0"/>
    <s v="Shipped"/>
  </r>
  <r>
    <n v="2781.66"/>
    <s v="2/24/2003 0:554"/>
    <s v="Shipped"/>
    <x v="0"/>
    <s v="Shipped"/>
  </r>
  <r>
    <n v="5248"/>
    <s v="2/24/2003 0:555"/>
    <s v="Shipped"/>
    <x v="0"/>
    <s v="Shipped"/>
  </r>
  <r>
    <n v="6531.44"/>
    <s v="2/24/2003 0:556"/>
    <s v="Shipped"/>
    <x v="0"/>
    <s v="Shipped"/>
  </r>
  <r>
    <n v="5763.72"/>
    <s v="2/24/2003 0:557"/>
    <s v="Cancelled"/>
    <x v="1"/>
    <s v="Cancelled"/>
  </r>
  <r>
    <n v="6490.68"/>
    <s v="2/24/2003 0:558"/>
    <s v="Shipped"/>
    <x v="0"/>
    <s v="Shipped"/>
  </r>
  <r>
    <n v="6004.8"/>
    <s v="2/24/2003 0:559"/>
    <s v="Shipped"/>
    <x v="0"/>
    <s v="Shipped"/>
  </r>
  <r>
    <n v="7483.98"/>
    <s v="2/24/2003 0:560"/>
    <s v="Shipped"/>
    <x v="0"/>
    <s v="Shipped"/>
  </r>
  <r>
    <n v="5719.5"/>
    <s v="2/24/2003 0:561"/>
    <s v="Shipped"/>
    <x v="0"/>
    <s v="Shipped"/>
  </r>
  <r>
    <n v="6954.08"/>
    <s v="2/24/2003 0:562"/>
    <s v="Shipped"/>
    <x v="0"/>
    <s v="Shipped"/>
  </r>
  <r>
    <n v="8160.3"/>
    <s v="2/24/2003 0:563"/>
    <s v="Shipped"/>
    <x v="0"/>
    <s v="Shipped"/>
  </r>
  <r>
    <n v="6567.96"/>
    <s v="2/24/2003 0:564"/>
    <s v="Cancelled"/>
    <x v="1"/>
    <s v="Cancelled"/>
  </r>
  <r>
    <n v="6724"/>
    <s v="2/24/2003 0:565"/>
    <s v="Shipped"/>
    <x v="0"/>
    <s v="Shipped"/>
  </r>
  <r>
    <n v="5747.85"/>
    <s v="2/24/2003 0:566"/>
    <s v="Shipped"/>
    <x v="0"/>
    <s v="Shipped"/>
  </r>
  <r>
    <n v="5676.84"/>
    <s v="2/24/2003 0:567"/>
    <s v="Shipped"/>
    <x v="0"/>
    <s v="Shipped"/>
  </r>
  <r>
    <n v="7379.97"/>
    <s v="2/24/2003 0:568"/>
    <s v="Shipped"/>
    <x v="0"/>
    <s v="Shipped"/>
  </r>
  <r>
    <n v="3704.13"/>
    <s v="2/24/2003 0:569"/>
    <s v="Shipped"/>
    <x v="0"/>
    <s v="Shipped"/>
  </r>
  <r>
    <n v="2804.75"/>
    <s v="2/24/2003 0:570"/>
    <s v="Resolved"/>
    <x v="1"/>
    <s v="Resolved"/>
  </r>
  <r>
    <n v="5624.79"/>
    <s v="2/24/2003 0:571"/>
    <s v="Shipped"/>
    <x v="0"/>
    <s v="Shipped"/>
  </r>
  <r>
    <n v="3881.28"/>
    <s v="2/24/2003 0:572"/>
    <s v="Shipped"/>
    <x v="0"/>
    <s v="Shipped"/>
  </r>
  <r>
    <n v="1611.4"/>
    <s v="2/24/2003 0:573"/>
    <s v="Shipped"/>
    <x v="0"/>
    <s v="Shipped"/>
  </r>
  <r>
    <n v="1364.25"/>
    <s v="2/24/2003 0:574"/>
    <s v="Resolved"/>
    <x v="1"/>
    <s v="Resolved"/>
  </r>
  <r>
    <n v="4215.09"/>
    <s v="2/24/2003 0:575"/>
    <s v="Shipped"/>
    <x v="0"/>
    <s v="Shipped"/>
  </r>
  <r>
    <n v="6433.82"/>
    <s v="2/24/2003 0:576"/>
    <s v="Shipped"/>
    <x v="0"/>
    <s v="Shipped"/>
  </r>
  <r>
    <n v="4352.16"/>
    <s v="2/24/2003 0:577"/>
    <s v="Shipped"/>
    <x v="0"/>
    <s v="Shipped"/>
  </r>
  <r>
    <n v="5151"/>
    <s v="2/24/2003 0:578"/>
    <s v="Shipped"/>
    <x v="0"/>
    <s v="Shipped"/>
  </r>
  <r>
    <n v="6069"/>
    <s v="2/24/2003 0:579"/>
    <s v="Shipped"/>
    <x v="0"/>
    <s v="Shipped"/>
  </r>
  <r>
    <n v="2856"/>
    <s v="2/24/2003 0:580"/>
    <s v="Shipped"/>
    <x v="0"/>
    <s v="Shipped"/>
  </r>
  <r>
    <n v="5375.4"/>
    <s v="2/24/2003 0:581"/>
    <s v="Shipped"/>
    <x v="0"/>
    <s v="Shipped"/>
  </r>
  <r>
    <n v="5176.5"/>
    <s v="2/24/2003 0:582"/>
    <s v="Shipped"/>
    <x v="0"/>
    <s v="Shipped"/>
  </r>
  <r>
    <n v="3508.8"/>
    <s v="2/24/2003 0:583"/>
    <s v="Shipped"/>
    <x v="0"/>
    <s v="Shipped"/>
  </r>
  <r>
    <n v="7554.8"/>
    <s v="2/24/2003 0:584"/>
    <s v="Shipped"/>
    <x v="0"/>
    <s v="Shipped"/>
  </r>
  <r>
    <n v="3141.6"/>
    <s v="2/24/2003 0:585"/>
    <s v="Shipped"/>
    <x v="0"/>
    <s v="Shipped"/>
  </r>
  <r>
    <n v="5890.5"/>
    <s v="2/24/2003 0:586"/>
    <s v="Shipped"/>
    <x v="0"/>
    <s v="Shipped"/>
  </r>
  <r>
    <n v="5967"/>
    <s v="2/24/2003 0:587"/>
    <s v="Shipped"/>
    <x v="0"/>
    <s v="Shipped"/>
  </r>
  <r>
    <n v="3712.8"/>
    <s v="2/24/2003 0:588"/>
    <s v="Shipped"/>
    <x v="0"/>
    <s v="Shipped"/>
  </r>
  <r>
    <n v="7597.3"/>
    <s v="2/24/2003 0:589"/>
    <s v="Shipped"/>
    <x v="0"/>
    <s v="Shipped"/>
  </r>
  <r>
    <n v="3668.6"/>
    <s v="2/24/2003 0:590"/>
    <s v="Shipped"/>
    <x v="0"/>
    <s v="Shipped"/>
  </r>
  <r>
    <n v="5875.2"/>
    <s v="2/24/2003 0:591"/>
    <s v="Shipped"/>
    <x v="0"/>
    <s v="Shipped"/>
  </r>
  <r>
    <n v="7310"/>
    <s v="2/24/2003 0:592"/>
    <s v="Shipped"/>
    <x v="0"/>
    <s v="Shipped"/>
  </r>
  <r>
    <n v="8078.4"/>
    <s v="2/24/2003 0:593"/>
    <s v="Shipped"/>
    <x v="0"/>
    <s v="Shipped"/>
  </r>
  <r>
    <n v="3257.76"/>
    <s v="2/24/2003 0:594"/>
    <s v="Shipped"/>
    <x v="0"/>
    <s v="Shipped"/>
  </r>
  <r>
    <n v="7650"/>
    <s v="2/24/2003 0:595"/>
    <s v="Shipped"/>
    <x v="0"/>
    <s v="Shipped"/>
  </r>
  <r>
    <n v="4703.8100000000004"/>
    <s v="2/24/2003 0:596"/>
    <s v="Resolved"/>
    <x v="1"/>
    <s v="Resolved"/>
  </r>
  <r>
    <n v="5399.55"/>
    <s v="2/24/2003 0:597"/>
    <s v="Shipped"/>
    <x v="0"/>
    <s v="Shipped"/>
  </r>
  <r>
    <n v="14082.8"/>
    <s v="2/24/2003 0:598"/>
    <s v="On Hold"/>
    <x v="1"/>
    <s v="On Hold"/>
  </r>
  <r>
    <n v="5283.6"/>
    <s v="2/24/2003 0:599"/>
    <s v="In Process"/>
    <x v="1"/>
    <s v="In Process"/>
  </r>
  <r>
    <n v="3130.82"/>
    <s v="2/24/2003 0:600"/>
    <s v="Shipped"/>
    <x v="0"/>
    <s v="Shipped"/>
  </r>
  <r>
    <n v="3112.34"/>
    <s v="2/24/2003 0:601"/>
    <s v="Shipped"/>
    <x v="0"/>
    <s v="Shipped"/>
  </r>
  <r>
    <n v="3806.88"/>
    <s v="2/24/2003 0:602"/>
    <s v="Shipped"/>
    <x v="0"/>
    <s v="Shipped"/>
  </r>
  <r>
    <n v="2142.14"/>
    <s v="2/24/2003 0:603"/>
    <s v="Shipped"/>
    <x v="0"/>
    <s v="Shipped"/>
  </r>
  <r>
    <n v="3364.9"/>
    <s v="2/24/2003 0:604"/>
    <s v="Shipped"/>
    <x v="0"/>
    <s v="Shipped"/>
  </r>
  <r>
    <n v="1262.8"/>
    <s v="2/24/2003 0:605"/>
    <s v="Shipped"/>
    <x v="0"/>
    <s v="Shipped"/>
  </r>
  <r>
    <n v="1626.24"/>
    <s v="2/24/2003 0:606"/>
    <s v="Shipped"/>
    <x v="0"/>
    <s v="Shipped"/>
  </r>
  <r>
    <n v="4088.7"/>
    <s v="2/24/2003 0:607"/>
    <s v="Shipped"/>
    <x v="0"/>
    <s v="Shipped"/>
  </r>
  <r>
    <n v="3846.15"/>
    <s v="2/24/2003 0:608"/>
    <s v="Shipped"/>
    <x v="0"/>
    <s v="Shipped"/>
  </r>
  <r>
    <n v="1339.8"/>
    <s v="2/24/2003 0:609"/>
    <s v="Shipped"/>
    <x v="0"/>
    <s v="Shipped"/>
  </r>
  <r>
    <n v="3039.96"/>
    <s v="2/24/2003 0:610"/>
    <s v="Shipped"/>
    <x v="0"/>
    <s v="Shipped"/>
  </r>
  <r>
    <n v="3400.32"/>
    <s v="2/24/2003 0:611"/>
    <s v="Shipped"/>
    <x v="0"/>
    <s v="Shipped"/>
  </r>
  <r>
    <n v="1930.39"/>
    <s v="2/24/2003 0:612"/>
    <s v="Cancelled"/>
    <x v="1"/>
    <s v="Cancelled"/>
  </r>
  <r>
    <n v="2464.77"/>
    <s v="2/24/2003 0:613"/>
    <s v="Shipped"/>
    <x v="0"/>
    <s v="Shipped"/>
  </r>
  <r>
    <n v="2634.94"/>
    <s v="2/24/2003 0:614"/>
    <s v="Shipped"/>
    <x v="0"/>
    <s v="Shipped"/>
  </r>
  <r>
    <n v="3625.16"/>
    <s v="2/24/2003 0:615"/>
    <s v="Shipped"/>
    <x v="0"/>
    <s v="Shipped"/>
  </r>
  <r>
    <n v="3788.4"/>
    <s v="2/24/2003 0:616"/>
    <s v="Shipped"/>
    <x v="0"/>
    <s v="Shipped"/>
  </r>
  <r>
    <n v="1832.6"/>
    <s v="2/24/2003 0:617"/>
    <s v="Shipped"/>
    <x v="0"/>
    <s v="Shipped"/>
  </r>
  <r>
    <n v="2905.98"/>
    <s v="2/24/2003 0:618"/>
    <s v="Shipped"/>
    <x v="0"/>
    <s v="Shipped"/>
  </r>
  <r>
    <n v="2954.81"/>
    <s v="2/24/2003 0:619"/>
    <s v="Shipped"/>
    <x v="0"/>
    <s v="Shipped"/>
  </r>
  <r>
    <n v="3599.75"/>
    <s v="2/24/2003 0:620"/>
    <s v="Shipped"/>
    <x v="0"/>
    <s v="Shipped"/>
  </r>
  <r>
    <n v="3686.54"/>
    <s v="2/24/2003 0:621"/>
    <s v="Shipped"/>
    <x v="0"/>
    <s v="Shipped"/>
  </r>
  <r>
    <n v="2100.56"/>
    <s v="2/24/2003 0:622"/>
    <s v="Shipped"/>
    <x v="0"/>
    <s v="Shipped"/>
  </r>
  <r>
    <n v="3881.78"/>
    <s v="2/24/2003 0:623"/>
    <s v="Shipped"/>
    <x v="0"/>
    <s v="Shipped"/>
  </r>
  <r>
    <n v="4509.12"/>
    <s v="2/24/2003 0:624"/>
    <s v="Shipped"/>
    <x v="0"/>
    <s v="Shipped"/>
  </r>
  <r>
    <n v="3273.27"/>
    <s v="2/24/2003 0:625"/>
    <s v="Shipped"/>
    <x v="0"/>
    <s v="Shipped"/>
  </r>
  <r>
    <n v="4432.7"/>
    <s v="2/24/2003 0:626"/>
    <s v="Shipped"/>
    <x v="0"/>
    <s v="Shipped"/>
  </r>
  <r>
    <n v="4100.99"/>
    <s v="2/24/2003 0:627"/>
    <s v="Shipped"/>
    <x v="0"/>
    <s v="Shipped"/>
  </r>
  <r>
    <n v="5274.72"/>
    <s v="2/24/2003 0:628"/>
    <s v="Shipped"/>
    <x v="0"/>
    <s v="Shipped"/>
  </r>
  <r>
    <n v="4232"/>
    <s v="2/24/2003 0:629"/>
    <s v="Shipped"/>
    <x v="0"/>
    <s v="Shipped"/>
  </r>
  <r>
    <n v="6145.44"/>
    <s v="2/24/2003 0:630"/>
    <s v="Shipped"/>
    <x v="0"/>
    <s v="Shipped"/>
  </r>
  <r>
    <n v="4680.2"/>
    <s v="2/24/2003 0:631"/>
    <s v="Shipped"/>
    <x v="0"/>
    <s v="Shipped"/>
  </r>
  <r>
    <n v="3286.08"/>
    <s v="2/24/2003 0:632"/>
    <s v="Shipped"/>
    <x v="0"/>
    <s v="Shipped"/>
  </r>
  <r>
    <n v="7421.3"/>
    <s v="2/24/2003 0:633"/>
    <s v="Shipped"/>
    <x v="0"/>
    <s v="Shipped"/>
  </r>
  <r>
    <n v="6432.64"/>
    <s v="2/24/2003 0:634"/>
    <s v="Shipped"/>
    <x v="0"/>
    <s v="Shipped"/>
  </r>
  <r>
    <n v="4840.87"/>
    <s v="2/24/2003 0:635"/>
    <s v="Shipped"/>
    <x v="0"/>
    <s v="Shipped"/>
  </r>
  <r>
    <n v="3892.08"/>
    <s v="2/24/2003 0:636"/>
    <s v="Shipped"/>
    <x v="0"/>
    <s v="Shipped"/>
  </r>
  <r>
    <n v="5526.32"/>
    <s v="2/24/2003 0:637"/>
    <s v="Shipped"/>
    <x v="0"/>
    <s v="Shipped"/>
  </r>
  <r>
    <n v="4459.62"/>
    <s v="2/24/2003 0:638"/>
    <s v="Cancelled"/>
    <x v="1"/>
    <s v="Cancelled"/>
  </r>
  <r>
    <n v="6203.4"/>
    <s v="2/24/2003 0:639"/>
    <s v="Shipped"/>
    <x v="0"/>
    <s v="Shipped"/>
  </r>
  <r>
    <n v="3754.05"/>
    <s v="2/24/2003 0:640"/>
    <s v="Shipped"/>
    <x v="0"/>
    <s v="Shipped"/>
  </r>
  <r>
    <n v="3516.48"/>
    <s v="2/24/2003 0:641"/>
    <s v="Shipped"/>
    <x v="0"/>
    <s v="Shipped"/>
  </r>
  <r>
    <n v="7488.04"/>
    <s v="2/24/2003 0:642"/>
    <s v="Shipped"/>
    <x v="0"/>
    <s v="Shipped"/>
  </r>
  <r>
    <n v="3448.08"/>
    <s v="2/24/2003 0:643"/>
    <s v="Shipped"/>
    <x v="0"/>
    <s v="Shipped"/>
  </r>
  <r>
    <n v="3734"/>
    <s v="2/24/2003 0:644"/>
    <s v="Shipped"/>
    <x v="0"/>
    <s v="Shipped"/>
  </r>
  <r>
    <n v="974.1"/>
    <s v="2/24/2003 0:645"/>
    <s v="Shipped"/>
    <x v="0"/>
    <s v="Shipped"/>
  </r>
  <r>
    <n v="3160.74"/>
    <s v="2/24/2003 0:646"/>
    <s v="Shipped"/>
    <x v="0"/>
    <s v="Shipped"/>
  </r>
  <r>
    <n v="1746.63"/>
    <s v="2/24/2003 0:647"/>
    <s v="Shipped"/>
    <x v="0"/>
    <s v="Shipped"/>
  </r>
  <r>
    <n v="4207.84"/>
    <s v="2/24/2003 0:648"/>
    <s v="Shipped"/>
    <x v="0"/>
    <s v="Shipped"/>
  </r>
  <r>
    <n v="4352.76"/>
    <s v="2/24/2003 0:649"/>
    <s v="Shipped"/>
    <x v="0"/>
    <s v="Shipped"/>
  </r>
  <r>
    <n v="1463.7"/>
    <s v="2/24/2003 0:650"/>
    <s v="Shipped"/>
    <x v="0"/>
    <s v="Shipped"/>
  </r>
  <r>
    <n v="7169.28"/>
    <s v="2/24/2003 0:651"/>
    <s v="Disputed"/>
    <x v="1"/>
    <s v="Disputed"/>
  </r>
  <r>
    <n v="4594.76"/>
    <s v="2/24/2003 0:652"/>
    <s v="Shipped"/>
    <x v="0"/>
    <s v="Shipped"/>
  </r>
  <r>
    <n v="3457.92"/>
    <s v="2/24/2003 0:653"/>
    <s v="Shipped"/>
    <x v="0"/>
    <s v="Shipped"/>
  </r>
  <r>
    <n v="7381.16"/>
    <s v="2/24/2003 0:654"/>
    <s v="Shipped"/>
    <x v="0"/>
    <s v="Shipped"/>
  </r>
  <r>
    <n v="7146.9"/>
    <s v="2/24/2003 0:655"/>
    <s v="Shipped"/>
    <x v="0"/>
    <s v="Shipped"/>
  </r>
  <r>
    <n v="5938.53"/>
    <s v="2/24/2003 0:656"/>
    <s v="Shipped"/>
    <x v="0"/>
    <s v="Shipped"/>
  </r>
  <r>
    <n v="7110.91"/>
    <s v="2/24/2003 0:657"/>
    <s v="Shipped"/>
    <x v="0"/>
    <s v="Shipped"/>
  </r>
  <r>
    <n v="5032.95"/>
    <s v="2/24/2003 0:658"/>
    <s v="Shipped"/>
    <x v="0"/>
    <s v="Shipped"/>
  </r>
  <r>
    <n v="3667.6"/>
    <s v="2/24/2003 0:659"/>
    <s v="Shipped"/>
    <x v="0"/>
    <s v="Shipped"/>
  </r>
  <r>
    <n v="7381.16"/>
    <s v="2/24/2003 0:660"/>
    <s v="Shipped"/>
    <x v="0"/>
    <s v="Shipped"/>
  </r>
  <r>
    <n v="5128.1099999999997"/>
    <s v="2/24/2003 0:661"/>
    <s v="Shipped"/>
    <x v="0"/>
    <s v="Shipped"/>
  </r>
  <r>
    <n v="7060.24"/>
    <s v="2/24/2003 0:662"/>
    <s v="Shipped"/>
    <x v="0"/>
    <s v="Shipped"/>
  </r>
  <r>
    <n v="8448.64"/>
    <s v="2/24/2003 0:663"/>
    <s v="Shipped"/>
    <x v="0"/>
    <s v="Shipped"/>
  </r>
  <r>
    <n v="7300.51"/>
    <s v="2/24/2003 0:664"/>
    <s v="Shipped"/>
    <x v="0"/>
    <s v="Shipped"/>
  </r>
  <r>
    <n v="6549.2"/>
    <s v="2/24/2003 0:665"/>
    <s v="Shipped"/>
    <x v="0"/>
    <s v="Shipped"/>
  </r>
  <r>
    <n v="5697.9"/>
    <s v="2/24/2003 0:666"/>
    <s v="Shipped"/>
    <x v="0"/>
    <s v="Shipped"/>
  </r>
  <r>
    <n v="9169"/>
    <s v="2/24/2003 0:667"/>
    <s v="Shipped"/>
    <x v="0"/>
    <s v="Shipped"/>
  </r>
  <r>
    <n v="3238.63"/>
    <s v="2/24/2003 0:668"/>
    <s v="Shipped"/>
    <x v="0"/>
    <s v="Shipped"/>
  </r>
  <r>
    <n v="4554.9399999999996"/>
    <s v="2/24/2003 0:669"/>
    <s v="Shipped"/>
    <x v="0"/>
    <s v="Shipped"/>
  </r>
  <r>
    <n v="3934.44"/>
    <s v="2/24/2003 0:670"/>
    <s v="Shipped"/>
    <x v="0"/>
    <s v="Shipped"/>
  </r>
  <r>
    <n v="5776.26"/>
    <s v="2/24/2003 0:671"/>
    <s v="Shipped"/>
    <x v="0"/>
    <s v="Shipped"/>
  </r>
  <r>
    <n v="7207.45"/>
    <s v="2/24/2003 0:672"/>
    <s v="Shipped"/>
    <x v="0"/>
    <s v="Shipped"/>
  </r>
  <r>
    <n v="7460.74"/>
    <s v="2/24/2003 0:673"/>
    <s v="Shipped"/>
    <x v="0"/>
    <s v="Shipped"/>
  </r>
  <r>
    <n v="6719.54"/>
    <s v="2/24/2003 0:674"/>
    <s v="Shipped"/>
    <x v="0"/>
    <s v="Shipped"/>
  </r>
  <r>
    <n v="2428"/>
    <s v="2/24/2003 0:675"/>
    <s v="Shipped"/>
    <x v="0"/>
    <s v="Shipped"/>
  </r>
  <r>
    <n v="2602.25"/>
    <s v="2/24/2003 0:676"/>
    <s v="Shipped"/>
    <x v="0"/>
    <s v="Shipped"/>
  </r>
  <r>
    <n v="2200"/>
    <s v="2/24/2003 0:677"/>
    <s v="Shipped"/>
    <x v="0"/>
    <s v="Shipped"/>
  </r>
  <r>
    <n v="6712.93"/>
    <s v="2/24/2003 0:678"/>
    <s v="Shipped"/>
    <x v="0"/>
    <s v="Shipped"/>
  </r>
  <r>
    <n v="5318.04"/>
    <s v="2/24/2003 0:679"/>
    <s v="In Process"/>
    <x v="1"/>
    <s v="In Process"/>
  </r>
  <r>
    <n v="3390"/>
    <s v="2/24/2003 0:680"/>
    <s v="Shipped"/>
    <x v="0"/>
    <s v="Shipped"/>
  </r>
  <r>
    <n v="1608"/>
    <s v="2/24/2003 0:681"/>
    <s v="Shipped"/>
    <x v="0"/>
    <s v="Shipped"/>
  </r>
  <r>
    <n v="2262.96"/>
    <s v="2/24/2003 0:682"/>
    <s v="Shipped"/>
    <x v="0"/>
    <s v="Shipped"/>
  </r>
  <r>
    <n v="1496.64"/>
    <s v="2/24/2003 0:683"/>
    <s v="Shipped"/>
    <x v="0"/>
    <s v="Shipped"/>
  </r>
  <r>
    <n v="1879.74"/>
    <s v="2/24/2003 0:684"/>
    <s v="Shipped"/>
    <x v="0"/>
    <s v="Shipped"/>
  </r>
  <r>
    <n v="1495.26"/>
    <s v="2/24/2003 0:685"/>
    <s v="Shipped"/>
    <x v="0"/>
    <s v="Shipped"/>
  </r>
  <r>
    <n v="2323.6999999999998"/>
    <s v="2/24/2003 0:686"/>
    <s v="Shipped"/>
    <x v="0"/>
    <s v="Shipped"/>
  </r>
  <r>
    <n v="2491.86"/>
    <s v="2/24/2003 0:687"/>
    <s v="Shipped"/>
    <x v="0"/>
    <s v="Shipped"/>
  </r>
  <r>
    <n v="1643.12"/>
    <s v="2/24/2003 0:688"/>
    <s v="Shipped"/>
    <x v="0"/>
    <s v="Shipped"/>
  </r>
  <r>
    <n v="1322.16"/>
    <s v="2/24/2003 0:689"/>
    <s v="Shipped"/>
    <x v="0"/>
    <s v="Shipped"/>
  </r>
  <r>
    <n v="1423.8"/>
    <s v="2/24/2003 0:690"/>
    <s v="Shipped"/>
    <x v="0"/>
    <s v="Shipped"/>
  </r>
  <r>
    <n v="2397.4499999999998"/>
    <s v="2/24/2003 0:691"/>
    <s v="Shipped"/>
    <x v="0"/>
    <s v="Shipped"/>
  </r>
  <r>
    <n v="1574"/>
    <s v="2/24/2003 0:692"/>
    <s v="Shipped"/>
    <x v="0"/>
    <s v="Shipped"/>
  </r>
  <r>
    <n v="1729"/>
    <s v="2/24/2003 0:693"/>
    <s v="Shipped"/>
    <x v="0"/>
    <s v="Shipped"/>
  </r>
  <r>
    <n v="2255.84"/>
    <s v="2/24/2003 0:694"/>
    <s v="Shipped"/>
    <x v="0"/>
    <s v="Shipped"/>
  </r>
  <r>
    <n v="1834.5"/>
    <s v="2/24/2003 0:695"/>
    <s v="Shipped"/>
    <x v="0"/>
    <s v="Shipped"/>
  </r>
  <r>
    <n v="3201.5"/>
    <s v="2/24/2003 0:696"/>
    <s v="Shipped"/>
    <x v="0"/>
    <s v="Shipped"/>
  </r>
  <r>
    <n v="2276.4"/>
    <s v="2/24/2003 0:697"/>
    <s v="Shipped"/>
    <x v="0"/>
    <s v="Shipped"/>
  </r>
  <r>
    <n v="8884.7999999999993"/>
    <s v="2/24/2003 0:698"/>
    <s v="Resolved"/>
    <x v="1"/>
    <s v="Resolved"/>
  </r>
  <r>
    <n v="1331.1"/>
    <s v="2/24/2003 0:699"/>
    <s v="Shipped"/>
    <x v="0"/>
    <s v="Shipped"/>
  </r>
  <r>
    <n v="3051.3"/>
    <s v="2/24/2003 0:700"/>
    <s v="On Hold"/>
    <x v="1"/>
    <s v="On Hold"/>
  </r>
  <r>
    <n v="2288.52"/>
    <s v="2/24/2003 0:701"/>
    <s v="In Process"/>
    <x v="1"/>
    <s v="In Process"/>
  </r>
  <r>
    <n v="3772.61"/>
    <s v="2/24/2003 0:702"/>
    <s v="Shipped"/>
    <x v="0"/>
    <s v="Shipped"/>
  </r>
  <r>
    <n v="4164.42"/>
    <s v="2/24/2003 0:703"/>
    <s v="Shipped"/>
    <x v="0"/>
    <s v="Shipped"/>
  </r>
  <r>
    <n v="6295.95"/>
    <s v="2/24/2003 0:704"/>
    <s v="Shipped"/>
    <x v="0"/>
    <s v="Shipped"/>
  </r>
  <r>
    <n v="6287.66"/>
    <s v="2/24/2003 0:705"/>
    <s v="Shipped"/>
    <x v="0"/>
    <s v="Shipped"/>
  </r>
  <r>
    <n v="5412.54"/>
    <s v="2/24/2003 0:706"/>
    <s v="Shipped"/>
    <x v="0"/>
    <s v="Shipped"/>
  </r>
  <r>
    <n v="5984.14"/>
    <s v="2/24/2003 0:707"/>
    <s v="Shipped"/>
    <x v="0"/>
    <s v="Shipped"/>
  </r>
  <r>
    <n v="5891.04"/>
    <s v="2/24/2003 0:708"/>
    <s v="Shipped"/>
    <x v="0"/>
    <s v="Shipped"/>
  </r>
  <r>
    <n v="5984.14"/>
    <s v="2/24/2003 0:709"/>
    <s v="Shipped"/>
    <x v="0"/>
    <s v="Shipped"/>
  </r>
  <r>
    <n v="3608.15"/>
    <s v="2/24/2003 0:710"/>
    <s v="Shipped"/>
    <x v="0"/>
    <s v="Shipped"/>
  </r>
  <r>
    <n v="5752.54"/>
    <s v="2/24/2003 0:711"/>
    <s v="Shipped"/>
    <x v="0"/>
    <s v="Shipped"/>
  </r>
  <r>
    <n v="3765.32"/>
    <s v="2/24/2003 0:712"/>
    <s v="Shipped"/>
    <x v="0"/>
    <s v="Shipped"/>
  </r>
  <r>
    <n v="2159.96"/>
    <s v="2/24/2003 0:713"/>
    <s v="Shipped"/>
    <x v="0"/>
    <s v="Shipped"/>
  </r>
  <r>
    <n v="3379.94"/>
    <s v="2/24/2003 0:714"/>
    <s v="Shipped"/>
    <x v="0"/>
    <s v="Shipped"/>
  </r>
  <r>
    <n v="5093.5"/>
    <s v="2/24/2003 0:715"/>
    <s v="Shipped"/>
    <x v="0"/>
    <s v="Shipped"/>
  </r>
  <r>
    <n v="5773.44"/>
    <s v="2/24/2003 0:716"/>
    <s v="Shipped"/>
    <x v="0"/>
    <s v="Shipped"/>
  </r>
  <r>
    <n v="4528.8599999999997"/>
    <s v="2/24/2003 0:717"/>
    <s v="Shipped"/>
    <x v="0"/>
    <s v="Shipped"/>
  </r>
  <r>
    <n v="4816.08"/>
    <s v="2/24/2003 0:718"/>
    <s v="Shipped"/>
    <x v="0"/>
    <s v="Shipped"/>
  </r>
  <r>
    <n v="3416.78"/>
    <s v="2/24/2003 0:719"/>
    <s v="Shipped"/>
    <x v="0"/>
    <s v="Shipped"/>
  </r>
  <r>
    <n v="1236.8399999999999"/>
    <s v="2/24/2003 0:720"/>
    <s v="Shipped"/>
    <x v="0"/>
    <s v="Shipped"/>
  </r>
  <r>
    <n v="5814.86"/>
    <s v="2/24/2003 0:721"/>
    <s v="On Hold"/>
    <x v="1"/>
    <s v="On Hold"/>
  </r>
  <r>
    <n v="5223.4799999999996"/>
    <s v="2/24/2003 0:722"/>
    <s v="Shipped"/>
    <x v="0"/>
    <s v="Shipped"/>
  </r>
  <r>
    <n v="728.4"/>
    <s v="2/24/2003 0:723"/>
    <s v="Shipped"/>
    <x v="0"/>
    <s v="Shipped"/>
  </r>
  <r>
    <n v="3949"/>
    <s v="2/24/2003 0:724"/>
    <s v="Shipped"/>
    <x v="0"/>
    <s v="Shipped"/>
  </r>
  <r>
    <n v="3843.99"/>
    <s v="2/24/2003 0:725"/>
    <s v="Shipped"/>
    <x v="0"/>
    <s v="Shipped"/>
  </r>
  <r>
    <n v="5498.08"/>
    <s v="2/24/2003 0:726"/>
    <s v="Shipped"/>
    <x v="0"/>
    <s v="Shipped"/>
  </r>
  <r>
    <n v="3777.58"/>
    <s v="2/24/2003 0:727"/>
    <s v="In Process"/>
    <x v="1"/>
    <s v="In Process"/>
  </r>
  <r>
    <n v="3782"/>
    <s v="2/24/2003 0:728"/>
    <s v="Shipped"/>
    <x v="0"/>
    <s v="Shipped"/>
  </r>
  <r>
    <n v="3859.68"/>
    <s v="2/24/2003 0:729"/>
    <s v="Shipped"/>
    <x v="0"/>
    <s v="Shipped"/>
  </r>
  <r>
    <n v="4431.84"/>
    <s v="2/24/2003 0:730"/>
    <s v="Shipped"/>
    <x v="0"/>
    <s v="Shipped"/>
  </r>
  <r>
    <n v="4950.33"/>
    <s v="2/24/2003 0:731"/>
    <s v="Shipped"/>
    <x v="0"/>
    <s v="Shipped"/>
  </r>
  <r>
    <n v="4299.7"/>
    <s v="2/24/2003 0:732"/>
    <s v="Shipped"/>
    <x v="0"/>
    <s v="Shipped"/>
  </r>
  <r>
    <n v="4492.83"/>
    <s v="2/24/2003 0:733"/>
    <s v="Shipped"/>
    <x v="0"/>
    <s v="Shipped"/>
  </r>
  <r>
    <n v="2212"/>
    <s v="2/24/2003 0:734"/>
    <s v="Shipped"/>
    <x v="0"/>
    <s v="Shipped"/>
  </r>
  <r>
    <n v="4642.88"/>
    <s v="2/24/2003 0:735"/>
    <s v="Shipped"/>
    <x v="0"/>
    <s v="Shipped"/>
  </r>
  <r>
    <n v="3206.32"/>
    <s v="2/24/2003 0:736"/>
    <s v="Shipped"/>
    <x v="0"/>
    <s v="Shipped"/>
  </r>
  <r>
    <n v="3604.23"/>
    <s v="2/24/2003 0:737"/>
    <s v="Shipped"/>
    <x v="0"/>
    <s v="Shipped"/>
  </r>
  <r>
    <n v="7017.76"/>
    <s v="2/24/2003 0:738"/>
    <s v="Shipped"/>
    <x v="0"/>
    <s v="Shipped"/>
  </r>
  <r>
    <n v="6154.18"/>
    <s v="2/24/2003 0:739"/>
    <s v="Shipped"/>
    <x v="0"/>
    <s v="Shipped"/>
  </r>
  <r>
    <n v="4750.8"/>
    <s v="2/24/2003 0:740"/>
    <s v="Shipped"/>
    <x v="0"/>
    <s v="Shipped"/>
  </r>
  <r>
    <n v="3822.92"/>
    <s v="2/24/2003 0:741"/>
    <s v="Shipped"/>
    <x v="0"/>
    <s v="Shipped"/>
  </r>
  <r>
    <n v="2440.8000000000002"/>
    <s v="2/24/2003 0:742"/>
    <s v="Shipped"/>
    <x v="0"/>
    <s v="Shipped"/>
  </r>
  <r>
    <n v="4729.3599999999997"/>
    <s v="2/24/2003 0:743"/>
    <s v="Shipped"/>
    <x v="0"/>
    <s v="Shipped"/>
  </r>
  <r>
    <n v="12536.5"/>
    <s v="2/24/2003 0:744"/>
    <s v="Shipped"/>
    <x v="0"/>
    <s v="Shipped"/>
  </r>
  <r>
    <n v="2264.15"/>
    <s v="2/24/2003 0:745"/>
    <s v="Shipped"/>
    <x v="0"/>
    <s v="Shipped"/>
  </r>
  <r>
    <n v="3928.2"/>
    <s v="2/24/2003 0:746"/>
    <s v="Shipped"/>
    <x v="0"/>
    <s v="Shipped"/>
  </r>
  <r>
    <n v="3630.22"/>
    <s v="2/24/2003 0:747"/>
    <s v="Shipped"/>
    <x v="0"/>
    <s v="Shipped"/>
  </r>
  <r>
    <n v="4196.07"/>
    <s v="2/24/2003 0:748"/>
    <s v="Resolved"/>
    <x v="1"/>
    <s v="Resolved"/>
  </r>
  <r>
    <n v="4931.6000000000004"/>
    <s v="2/24/2003 0:749"/>
    <s v="Shipped"/>
    <x v="0"/>
    <s v="Shipped"/>
  </r>
  <r>
    <n v="3068.69"/>
    <s v="2/24/2003 0:750"/>
    <s v="Shipped"/>
    <x v="0"/>
    <s v="Shipped"/>
  </r>
  <r>
    <n v="785.64"/>
    <s v="2/24/2003 0:751"/>
    <s v="Shipped"/>
    <x v="0"/>
    <s v="Shipped"/>
  </r>
  <r>
    <n v="4977"/>
    <s v="2/24/2003 0:752"/>
    <s v="In Process"/>
    <x v="1"/>
    <s v="In Process"/>
  </r>
  <r>
    <n v="1189.98"/>
    <s v="2/24/2003 0:753"/>
    <s v="Shipped"/>
    <x v="0"/>
    <s v="Shipped"/>
  </r>
  <r>
    <n v="3090.15"/>
    <s v="2/24/2003 0:754"/>
    <s v="Shipped"/>
    <x v="0"/>
    <s v="Shipped"/>
  </r>
  <r>
    <n v="2795.86"/>
    <s v="2/24/2003 0:755"/>
    <s v="Shipped"/>
    <x v="0"/>
    <s v="Shipped"/>
  </r>
  <r>
    <n v="2851.54"/>
    <s v="2/24/2003 0:756"/>
    <s v="Shipped"/>
    <x v="0"/>
    <s v="Shipped"/>
  </r>
  <r>
    <n v="2701.92"/>
    <s v="2/24/2003 0:757"/>
    <s v="Shipped"/>
    <x v="0"/>
    <s v="Shipped"/>
  </r>
  <r>
    <n v="2204.1"/>
    <s v="2/24/2003 0:758"/>
    <s v="Shipped"/>
    <x v="0"/>
    <s v="Shipped"/>
  </r>
  <r>
    <n v="2840.48"/>
    <s v="2/24/2003 0:759"/>
    <s v="Shipped"/>
    <x v="0"/>
    <s v="Shipped"/>
  </r>
  <r>
    <n v="2647.04"/>
    <s v="2/24/2003 0:760"/>
    <s v="Shipped"/>
    <x v="0"/>
    <s v="Shipped"/>
  </r>
  <r>
    <n v="3172.05"/>
    <s v="2/24/2003 0:761"/>
    <s v="Shipped"/>
    <x v="0"/>
    <s v="Shipped"/>
  </r>
  <r>
    <n v="2585.9299999999998"/>
    <s v="2/24/2003 0:762"/>
    <s v="Shipped"/>
    <x v="0"/>
    <s v="Shipped"/>
  </r>
  <r>
    <n v="2148.3000000000002"/>
    <s v="2/24/2003 0:763"/>
    <s v="Shipped"/>
    <x v="0"/>
    <s v="Shipped"/>
  </r>
  <r>
    <n v="1667.4"/>
    <s v="2/24/2003 0:764"/>
    <s v="Shipped"/>
    <x v="0"/>
    <s v="Shipped"/>
  </r>
  <r>
    <n v="1859.7"/>
    <s v="2/24/2003 0:765"/>
    <s v="Shipped"/>
    <x v="0"/>
    <s v="Shipped"/>
  </r>
  <r>
    <n v="1476.6"/>
    <s v="2/24/2003 0:766"/>
    <s v="Shipped"/>
    <x v="0"/>
    <s v="Shipped"/>
  </r>
  <r>
    <n v="1732"/>
    <s v="2/24/2003 0:767"/>
    <s v="Shipped"/>
    <x v="0"/>
    <s v="Shipped"/>
  </r>
  <r>
    <n v="1674.17"/>
    <s v="2/24/2003 0:768"/>
    <s v="Shipped"/>
    <x v="0"/>
    <s v="Shipped"/>
  </r>
  <r>
    <n v="1500.98"/>
    <s v="2/24/2003 0:769"/>
    <s v="Shipped"/>
    <x v="0"/>
    <s v="Shipped"/>
  </r>
  <r>
    <n v="2192.6799999999998"/>
    <s v="2/24/2003 0:770"/>
    <s v="Shipped"/>
    <x v="0"/>
    <s v="Shipped"/>
  </r>
  <r>
    <n v="1797.58"/>
    <s v="2/24/2003 0:771"/>
    <s v="Shipped"/>
    <x v="0"/>
    <s v="Shipped"/>
  </r>
  <r>
    <n v="2142.35"/>
    <s v="2/24/2003 0:772"/>
    <s v="Shipped"/>
    <x v="0"/>
    <s v="Shipped"/>
  </r>
  <r>
    <n v="2086.92"/>
    <s v="2/24/2003 0:773"/>
    <s v="On Hold"/>
    <x v="1"/>
    <s v="On Hold"/>
  </r>
  <r>
    <n v="6834.5"/>
    <s v="2/24/2003 0:774"/>
    <s v="Shipped"/>
    <x v="0"/>
    <s v="Shipped"/>
  </r>
  <r>
    <n v="2541.59"/>
    <s v="2/24/2003 0:775"/>
    <s v="Shipped"/>
    <x v="0"/>
    <s v="Shipped"/>
  </r>
  <r>
    <n v="2130.92"/>
    <s v="2/24/2003 0:776"/>
    <s v="Shipped"/>
    <x v="0"/>
    <s v="Shipped"/>
  </r>
  <r>
    <n v="1701.7"/>
    <s v="2/24/2003 0:777"/>
    <s v="Shipped"/>
    <x v="0"/>
    <s v="Shipped"/>
  </r>
  <r>
    <n v="1694"/>
    <s v="2/24/2003 0:778"/>
    <s v="Shipped"/>
    <x v="0"/>
    <s v="Shipped"/>
  </r>
  <r>
    <n v="2913.53"/>
    <s v="2/24/2003 0:779"/>
    <s v="Shipped"/>
    <x v="0"/>
    <s v="Shipped"/>
  </r>
  <r>
    <n v="935.18"/>
    <s v="2/24/2003 0:780"/>
    <s v="In Process"/>
    <x v="1"/>
    <s v="In Process"/>
  </r>
  <r>
    <n v="3073.26"/>
    <s v="2/24/2003 0:781"/>
    <s v="Shipped"/>
    <x v="0"/>
    <s v="Shipped"/>
  </r>
  <r>
    <n v="2082.4899999999998"/>
    <s v="2/24/2003 0:782"/>
    <s v="Shipped"/>
    <x v="0"/>
    <s v="Shipped"/>
  </r>
  <r>
    <n v="3394.23"/>
    <s v="2/24/2003 0:783"/>
    <s v="Shipped"/>
    <x v="0"/>
    <s v="Shipped"/>
  </r>
  <r>
    <n v="2559.6"/>
    <s v="2/24/2003 0:784"/>
    <s v="Shipped"/>
    <x v="0"/>
    <s v="Shipped"/>
  </r>
  <r>
    <n v="1490.16"/>
    <s v="2/24/2003 0:785"/>
    <s v="Shipped"/>
    <x v="0"/>
    <s v="Shipped"/>
  </r>
  <r>
    <n v="3844"/>
    <s v="2/24/2003 0:786"/>
    <s v="Shipped"/>
    <x v="0"/>
    <s v="Shipped"/>
  </r>
  <r>
    <n v="4724.91"/>
    <s v="2/24/2003 0:787"/>
    <s v="Shipped"/>
    <x v="0"/>
    <s v="Shipped"/>
  </r>
  <r>
    <n v="1824.72"/>
    <s v="2/24/2003 0:788"/>
    <s v="Shipped"/>
    <x v="0"/>
    <s v="Shipped"/>
  </r>
  <r>
    <n v="2668.68"/>
    <s v="2/24/2003 0:789"/>
    <s v="Shipped"/>
    <x v="0"/>
    <s v="Shipped"/>
  </r>
  <r>
    <n v="2843.61"/>
    <s v="2/24/2003 0:790"/>
    <s v="Shipped"/>
    <x v="0"/>
    <s v="Shipped"/>
  </r>
  <r>
    <n v="3163.65"/>
    <s v="2/24/2003 0:791"/>
    <s v="Shipped"/>
    <x v="0"/>
    <s v="Shipped"/>
  </r>
  <r>
    <n v="2226.11"/>
    <s v="2/24/2003 0:792"/>
    <s v="Shipped"/>
    <x v="0"/>
    <s v="Shipped"/>
  </r>
  <r>
    <n v="2069.75"/>
    <s v="2/24/2003 0:793"/>
    <s v="Shipped"/>
    <x v="0"/>
    <s v="Shipped"/>
  </r>
  <r>
    <n v="2235.33"/>
    <s v="2/24/2003 0:794"/>
    <s v="Shipped"/>
    <x v="0"/>
    <s v="Shipped"/>
  </r>
  <r>
    <n v="3116.43"/>
    <s v="2/24/2003 0:795"/>
    <s v="Shipped"/>
    <x v="0"/>
    <s v="Shipped"/>
  </r>
  <r>
    <n v="4781.7"/>
    <s v="2/24/2003 0:796"/>
    <s v="Resolved"/>
    <x v="1"/>
    <s v="Resolved"/>
  </r>
  <r>
    <n v="2810.7"/>
    <s v="2/24/2003 0:797"/>
    <s v="Shipped"/>
    <x v="0"/>
    <s v="Shipped"/>
  </r>
  <r>
    <n v="3515.67"/>
    <s v="2/24/2003 0:798"/>
    <s v="Shipped"/>
    <x v="0"/>
    <s v="Shipped"/>
  </r>
  <r>
    <n v="2909.34"/>
    <s v="2/24/2003 0:799"/>
    <s v="Shipped"/>
    <x v="0"/>
    <s v="Shipped"/>
  </r>
  <r>
    <n v="1570.17"/>
    <s v="2/24/2003 0:800"/>
    <s v="Resolved"/>
    <x v="1"/>
    <s v="Resolved"/>
  </r>
  <r>
    <n v="2613.92"/>
    <s v="2/24/2003 0:801"/>
    <s v="Shipped"/>
    <x v="0"/>
    <s v="Shipped"/>
  </r>
  <r>
    <n v="3193.26"/>
    <s v="2/24/2003 0:802"/>
    <s v="On Hold"/>
    <x v="1"/>
    <s v="On Hold"/>
  </r>
  <r>
    <n v="1482.6"/>
    <s v="2/24/2003 0:803"/>
    <s v="Shipped"/>
    <x v="0"/>
    <s v="Shipped"/>
  </r>
  <r>
    <n v="2055.23"/>
    <s v="2/24/2003 0:804"/>
    <s v="Shipped"/>
    <x v="0"/>
    <s v="Shipped"/>
  </r>
  <r>
    <n v="2674.9"/>
    <s v="2/24/2003 0:805"/>
    <s v="Shipped"/>
    <x v="0"/>
    <s v="Shipped"/>
  </r>
  <r>
    <n v="1853.4"/>
    <s v="2/24/2003 0:806"/>
    <s v="Shipped"/>
    <x v="0"/>
    <s v="Shipped"/>
  </r>
  <r>
    <n v="1490.1"/>
    <s v="2/24/2003 0:807"/>
    <s v="Shipped"/>
    <x v="0"/>
    <s v="Shipped"/>
  </r>
  <r>
    <n v="2162.16"/>
    <s v="2/24/2003 0:808"/>
    <s v="Shipped"/>
    <x v="0"/>
    <s v="Shipped"/>
  </r>
  <r>
    <n v="2814.28"/>
    <s v="2/24/2003 0:809"/>
    <s v="Shipped"/>
    <x v="0"/>
    <s v="Shipped"/>
  </r>
  <r>
    <n v="1605"/>
    <s v="2/24/2003 0:810"/>
    <s v="Shipped"/>
    <x v="0"/>
    <s v="Shipped"/>
  </r>
  <r>
    <n v="2093.44"/>
    <s v="2/24/2003 0:811"/>
    <s v="Shipped"/>
    <x v="0"/>
    <s v="Shipped"/>
  </r>
  <r>
    <n v="1944.3"/>
    <s v="2/24/2003 0:812"/>
    <s v="Shipped"/>
    <x v="0"/>
    <s v="Shipped"/>
  </r>
  <r>
    <n v="1986.8"/>
    <s v="2/24/2003 0:813"/>
    <s v="Shipped"/>
    <x v="0"/>
    <s v="Shipped"/>
  </r>
  <r>
    <n v="1695.96"/>
    <s v="2/24/2003 0:814"/>
    <s v="Shipped"/>
    <x v="0"/>
    <s v="Shipped"/>
  </r>
  <r>
    <n v="1281.56"/>
    <s v="2/24/2003 0:815"/>
    <s v="Shipped"/>
    <x v="0"/>
    <s v="Shipped"/>
  </r>
  <r>
    <n v="1774.22"/>
    <s v="2/24/2003 0:816"/>
    <s v="Shipped"/>
    <x v="0"/>
    <s v="Shipped"/>
  </r>
  <r>
    <n v="1997.5"/>
    <s v="2/24/2003 0:817"/>
    <s v="Shipped"/>
    <x v="0"/>
    <s v="Shipped"/>
  </r>
  <r>
    <n v="2353.1999999999998"/>
    <s v="2/24/2003 0:818"/>
    <s v="Shipped"/>
    <x v="0"/>
    <s v="Shipped"/>
  </r>
  <r>
    <n v="981.2"/>
    <s v="2/24/2003 0:819"/>
    <s v="Shipped"/>
    <x v="0"/>
    <s v="Shipped"/>
  </r>
  <r>
    <n v="1550.72"/>
    <s v="2/24/2003 0:820"/>
    <s v="Shipped"/>
    <x v="0"/>
    <s v="Shipped"/>
  </r>
  <r>
    <n v="1771.06"/>
    <s v="2/24/2003 0:821"/>
    <s v="Shipped"/>
    <x v="0"/>
    <s v="Shipped"/>
  </r>
  <r>
    <n v="2213.4"/>
    <s v="2/24/2003 0:822"/>
    <s v="Shipped"/>
    <x v="0"/>
    <s v="Shipped"/>
  </r>
  <r>
    <n v="5266.04"/>
    <s v="2/24/2003 0:823"/>
    <s v="Shipped"/>
    <x v="0"/>
    <s v="Shipped"/>
  </r>
  <r>
    <n v="1864.8"/>
    <s v="2/24/2003 0:824"/>
    <s v="Shipped"/>
    <x v="0"/>
    <s v="Shipped"/>
  </r>
  <r>
    <n v="1142.4100000000001"/>
    <s v="2/24/2003 0:825"/>
    <s v="Shipped"/>
    <x v="0"/>
    <s v="Shipped"/>
  </r>
  <r>
    <n v="1172.5999999999999"/>
    <s v="2/24/2003 0:826"/>
    <s v="Shipped"/>
    <x v="0"/>
    <s v="Shipped"/>
  </r>
  <r>
    <n v="6981"/>
    <s v="2/24/2003 0:827"/>
    <s v="Shipped"/>
    <x v="0"/>
    <s v="Shipped"/>
  </r>
  <r>
    <n v="3064.6"/>
    <s v="2/24/2003 0:828"/>
    <s v="Shipped"/>
    <x v="0"/>
    <s v="Shipped"/>
  </r>
  <r>
    <n v="2202.48"/>
    <s v="2/24/2003 0:829"/>
    <s v="Disputed"/>
    <x v="1"/>
    <s v="Disputed"/>
  </r>
  <r>
    <n v="3773.38"/>
    <s v="2/24/2003 0:830"/>
    <s v="Shipped"/>
    <x v="0"/>
    <s v="Shipped"/>
  </r>
  <r>
    <n v="5074.3900000000003"/>
    <s v="2/24/2003 0:831"/>
    <s v="Shipped"/>
    <x v="0"/>
    <s v="Shipped"/>
  </r>
  <r>
    <n v="6483.46"/>
    <s v="2/24/2003 0:832"/>
    <s v="Shipped"/>
    <x v="0"/>
    <s v="Shipped"/>
  </r>
  <r>
    <n v="7956.46"/>
    <s v="2/24/2003 0:833"/>
    <s v="Shipped"/>
    <x v="0"/>
    <s v="Shipped"/>
  </r>
  <r>
    <n v="4230.62"/>
    <s v="2/24/2003 0:834"/>
    <s v="Shipped"/>
    <x v="0"/>
    <s v="Shipped"/>
  </r>
  <r>
    <n v="7209.12"/>
    <s v="2/24/2003 0:835"/>
    <s v="Shipped"/>
    <x v="0"/>
    <s v="Shipped"/>
  </r>
  <r>
    <n v="3452.68"/>
    <s v="2/24/2003 0:836"/>
    <s v="Shipped"/>
    <x v="0"/>
    <s v="Shipped"/>
  </r>
  <r>
    <n v="3047.73"/>
    <s v="2/24/2003 0:837"/>
    <s v="Shipped"/>
    <x v="0"/>
    <s v="Shipped"/>
  </r>
  <r>
    <n v="3675.32"/>
    <s v="2/24/2003 0:838"/>
    <s v="Shipped"/>
    <x v="0"/>
    <s v="Shipped"/>
  </r>
  <r>
    <n v="7492.4"/>
    <s v="2/24/2003 0:839"/>
    <s v="Shipped"/>
    <x v="0"/>
    <s v="Shipped"/>
  </r>
  <r>
    <n v="9534.5"/>
    <s v="2/24/2003 0:840"/>
    <s v="Shipped"/>
    <x v="0"/>
    <s v="Shipped"/>
  </r>
  <r>
    <n v="5579.02"/>
    <s v="2/24/2003 0:841"/>
    <s v="Shipped"/>
    <x v="0"/>
    <s v="Shipped"/>
  </r>
  <r>
    <n v="5950.34"/>
    <s v="2/24/2003 0:842"/>
    <s v="Shipped"/>
    <x v="0"/>
    <s v="Shipped"/>
  </r>
  <r>
    <n v="3726"/>
    <s v="2/24/2003 0:843"/>
    <s v="Shipped"/>
    <x v="0"/>
    <s v="Shipped"/>
  </r>
  <r>
    <n v="4455"/>
    <s v="2/24/2003 0:844"/>
    <s v="Shipped"/>
    <x v="0"/>
    <s v="Shipped"/>
  </r>
  <r>
    <n v="8272.34"/>
    <s v="2/24/2003 0:845"/>
    <s v="Shipped"/>
    <x v="0"/>
    <s v="Shipped"/>
  </r>
  <r>
    <n v="3577.6"/>
    <s v="2/24/2003 0:846"/>
    <s v="Shipped"/>
    <x v="0"/>
    <s v="Shipped"/>
  </r>
  <r>
    <n v="3881.25"/>
    <s v="2/24/2003 0:847"/>
    <s v="Shipped"/>
    <x v="0"/>
    <s v="Shipped"/>
  </r>
  <r>
    <n v="5797.44"/>
    <s v="2/24/2003 0:848"/>
    <s v="Shipped"/>
    <x v="0"/>
    <s v="Shipped"/>
  </r>
  <r>
    <n v="1264.08"/>
    <s v="2/24/2003 0:849"/>
    <s v="Shipped"/>
    <x v="0"/>
    <s v="Shipped"/>
  </r>
  <r>
    <n v="4815.3"/>
    <s v="2/24/2003 0:850"/>
    <s v="Shipped"/>
    <x v="0"/>
    <s v="Shipped"/>
  </r>
  <r>
    <n v="4462.2"/>
    <s v="2/24/2003 0:851"/>
    <s v="Shipped"/>
    <x v="0"/>
    <s v="Shipped"/>
  </r>
  <r>
    <n v="3033.28"/>
    <s v="2/24/2003 0:852"/>
    <s v="Resolved"/>
    <x v="1"/>
    <s v="Resolved"/>
  </r>
  <r>
    <n v="990.78"/>
    <s v="2/24/2003 0:853"/>
    <s v="Shipped"/>
    <x v="0"/>
    <s v="Shipped"/>
  </r>
  <r>
    <n v="2030.86"/>
    <s v="2/24/2003 0:854"/>
    <s v="Shipped"/>
    <x v="0"/>
    <s v="Shipped"/>
  </r>
  <r>
    <n v="5433.75"/>
    <s v="2/24/2003 0:855"/>
    <s v="In Process"/>
    <x v="1"/>
    <s v="In Process"/>
  </r>
  <r>
    <n v="3157.44"/>
    <s v="2/24/2003 0:856"/>
    <s v="Shipped"/>
    <x v="0"/>
    <s v="Shipped"/>
  </r>
  <r>
    <n v="5161.2"/>
    <s v="2/24/2003 0:857"/>
    <s v="Shipped"/>
    <x v="0"/>
    <s v="Shipped"/>
  </r>
  <r>
    <n v="4346.76"/>
    <s v="2/24/2003 0:858"/>
    <s v="Shipped"/>
    <x v="0"/>
    <s v="Shipped"/>
  </r>
  <r>
    <n v="3528.36"/>
    <s v="2/24/2003 0:859"/>
    <s v="Shipped"/>
    <x v="0"/>
    <s v="Shipped"/>
  </r>
  <r>
    <n v="3187.8"/>
    <s v="2/24/2003 0:860"/>
    <s v="Shipped"/>
    <x v="0"/>
    <s v="Shipped"/>
  </r>
  <r>
    <n v="6023.16"/>
    <s v="2/24/2003 0:861"/>
    <s v="Shipped"/>
    <x v="0"/>
    <s v="Shipped"/>
  </r>
  <r>
    <n v="3884.76"/>
    <s v="2/24/2003 0:862"/>
    <s v="Shipped"/>
    <x v="0"/>
    <s v="Shipped"/>
  </r>
  <r>
    <n v="4965.84"/>
    <s v="2/24/2003 0:863"/>
    <s v="Shipped"/>
    <x v="0"/>
    <s v="Shipped"/>
  </r>
  <r>
    <n v="4169.88"/>
    <s v="2/24/2003 0:864"/>
    <s v="Shipped"/>
    <x v="0"/>
    <s v="Shipped"/>
  </r>
  <r>
    <n v="4910.3999999999996"/>
    <s v="2/24/2003 0:865"/>
    <s v="Shipped"/>
    <x v="0"/>
    <s v="Shipped"/>
  </r>
  <r>
    <n v="3231.36"/>
    <s v="2/24/2003 0:866"/>
    <s v="Shipped"/>
    <x v="0"/>
    <s v="Shipped"/>
  </r>
  <r>
    <n v="6853.44"/>
    <s v="2/24/2003 0:867"/>
    <s v="Shipped"/>
    <x v="0"/>
    <s v="Shipped"/>
  </r>
  <r>
    <n v="5177.04"/>
    <s v="2/24/2003 0:868"/>
    <s v="Cancelled"/>
    <x v="1"/>
    <s v="Cancelled"/>
  </r>
  <r>
    <n v="2824.8"/>
    <s v="2/24/2003 0:869"/>
    <s v="Shipped"/>
    <x v="0"/>
    <s v="Shipped"/>
  </r>
  <r>
    <n v="4324.32"/>
    <s v="2/24/2003 0:870"/>
    <s v="Shipped"/>
    <x v="0"/>
    <s v="Shipped"/>
  </r>
  <r>
    <n v="5052.96"/>
    <s v="2/24/2003 0:871"/>
    <s v="Shipped"/>
    <x v="0"/>
    <s v="Shipped"/>
  </r>
  <r>
    <n v="3223.44"/>
    <s v="2/24/2003 0:872"/>
    <s v="Shipped"/>
    <x v="0"/>
    <s v="Shipped"/>
  </r>
  <r>
    <n v="5278.68"/>
    <s v="2/24/2003 0:873"/>
    <s v="Shipped"/>
    <x v="0"/>
    <s v="Shipped"/>
  </r>
  <r>
    <n v="2851.2"/>
    <s v="2/24/2003 0:874"/>
    <s v="Shipped"/>
    <x v="0"/>
    <s v="Shipped"/>
  </r>
  <r>
    <n v="1687.4"/>
    <s v="2/24/2003 0:875"/>
    <s v="Shipped"/>
    <x v="0"/>
    <s v="Shipped"/>
  </r>
  <r>
    <n v="1308"/>
    <s v="2/24/2003 0:876"/>
    <s v="Shipped"/>
    <x v="0"/>
    <s v="Shipped"/>
  </r>
  <r>
    <n v="6144.6"/>
    <s v="2/24/2003 0:877"/>
    <s v="Shipped"/>
    <x v="0"/>
    <s v="Shipped"/>
  </r>
  <r>
    <n v="5127.2"/>
    <s v="2/24/2003 0:878"/>
    <s v="Shipped"/>
    <x v="0"/>
    <s v="Shipped"/>
  </r>
  <r>
    <n v="6386.16"/>
    <s v="2/24/2003 0:879"/>
    <s v="On Hold"/>
    <x v="1"/>
    <s v="On Hold"/>
  </r>
  <r>
    <n v="7695.6"/>
    <s v="2/24/2003 0:880"/>
    <s v="Shipped"/>
    <x v="0"/>
    <s v="Shipped"/>
  </r>
  <r>
    <n v="2242.89"/>
    <s v="2/24/2003 0:881"/>
    <s v="Shipped"/>
    <x v="0"/>
    <s v="Shipped"/>
  </r>
  <r>
    <n v="2539.89"/>
    <s v="2/24/2003 0:882"/>
    <s v="Shipped"/>
    <x v="0"/>
    <s v="Shipped"/>
  </r>
  <r>
    <n v="2795.27"/>
    <s v="2/24/2003 0:883"/>
    <s v="Shipped"/>
    <x v="0"/>
    <s v="Shipped"/>
  </r>
  <r>
    <n v="5545.76"/>
    <s v="2/24/2003 0:884"/>
    <s v="Shipped"/>
    <x v="0"/>
    <s v="Shipped"/>
  </r>
  <r>
    <n v="4285.46"/>
    <s v="2/24/2003 0:885"/>
    <s v="Shipped"/>
    <x v="0"/>
    <s v="Shipped"/>
  </r>
  <r>
    <n v="3329.09"/>
    <s v="2/24/2003 0:886"/>
    <s v="Shipped"/>
    <x v="0"/>
    <s v="Shipped"/>
  </r>
  <r>
    <n v="5592.22"/>
    <s v="2/24/2003 0:887"/>
    <s v="Shipped"/>
    <x v="0"/>
    <s v="Shipped"/>
  </r>
  <r>
    <n v="3298.55"/>
    <s v="2/24/2003 0:888"/>
    <s v="Shipped"/>
    <x v="0"/>
    <s v="Shipped"/>
  </r>
  <r>
    <n v="2609.88"/>
    <s v="2/24/2003 0:889"/>
    <s v="Shipped"/>
    <x v="0"/>
    <s v="Shipped"/>
  </r>
  <r>
    <n v="3336.29"/>
    <s v="2/24/2003 0:890"/>
    <s v="Shipped"/>
    <x v="0"/>
    <s v="Shipped"/>
  </r>
  <r>
    <n v="5510.05"/>
    <s v="2/24/2003 0:891"/>
    <s v="Shipped"/>
    <x v="0"/>
    <s v="Shipped"/>
  </r>
  <r>
    <n v="2504.4"/>
    <s v="2/24/2003 0:892"/>
    <s v="Shipped"/>
    <x v="0"/>
    <s v="Shipped"/>
  </r>
  <r>
    <n v="3525.6"/>
    <s v="2/24/2003 0:893"/>
    <s v="Shipped"/>
    <x v="0"/>
    <s v="Shipped"/>
  </r>
  <r>
    <n v="4407"/>
    <s v="2/24/2003 0:894"/>
    <s v="Shipped"/>
    <x v="0"/>
    <s v="Shipped"/>
  </r>
  <r>
    <n v="2983.44"/>
    <s v="2/24/2003 0:895"/>
    <s v="Shipped"/>
    <x v="0"/>
    <s v="Shipped"/>
  </r>
  <r>
    <n v="5126.24"/>
    <s v="2/24/2003 0:896"/>
    <s v="Shipped"/>
    <x v="0"/>
    <s v="Shipped"/>
  </r>
  <r>
    <n v="5713.79"/>
    <s v="2/24/2003 0:897"/>
    <s v="Shipped"/>
    <x v="0"/>
    <s v="Shipped"/>
  </r>
  <r>
    <n v="4613.8"/>
    <s v="2/24/2003 0:898"/>
    <s v="Shipped"/>
    <x v="0"/>
    <s v="Shipped"/>
  </r>
  <r>
    <n v="3711.1"/>
    <s v="2/24/2003 0:899"/>
    <s v="Shipped"/>
    <x v="0"/>
    <s v="Shipped"/>
  </r>
  <r>
    <n v="3524.73"/>
    <s v="2/24/2003 0:900"/>
    <s v="Shipped"/>
    <x v="0"/>
    <s v="Shipped"/>
  </r>
  <r>
    <n v="2795.27"/>
    <s v="2/24/2003 0:901"/>
    <s v="Shipped"/>
    <x v="0"/>
    <s v="Shipped"/>
  </r>
  <r>
    <n v="4814.3999999999996"/>
    <s v="2/24/2003 0:902"/>
    <s v="Shipped"/>
    <x v="0"/>
    <s v="Shipped"/>
  </r>
  <r>
    <n v="3572.33"/>
    <s v="2/24/2003 0:903"/>
    <s v="Shipped"/>
    <x v="0"/>
    <s v="Shipped"/>
  </r>
  <r>
    <n v="4581.3599999999997"/>
    <s v="2/24/2003 0:904"/>
    <s v="Shipped"/>
    <x v="0"/>
    <s v="Shipped"/>
  </r>
  <r>
    <n v="4319.76"/>
    <s v="2/24/2003 0:905"/>
    <s v="Shipped"/>
    <x v="0"/>
    <s v="Shipped"/>
  </r>
  <r>
    <n v="1448"/>
    <s v="2/24/2003 0:906"/>
    <s v="Shipped"/>
    <x v="0"/>
    <s v="Shipped"/>
  </r>
  <r>
    <n v="881.4"/>
    <s v="2/24/2003 0:907"/>
    <s v="In Process"/>
    <x v="1"/>
    <s v="In Process"/>
  </r>
  <r>
    <n v="2011.1"/>
    <s v="2/24/2003 0:908"/>
    <s v="Shipped"/>
    <x v="0"/>
    <s v="Shipped"/>
  </r>
  <r>
    <n v="1801.24"/>
    <s v="2/24/2003 0:909"/>
    <s v="Shipped"/>
    <x v="0"/>
    <s v="Shipped"/>
  </r>
  <r>
    <n v="3390.2"/>
    <s v="2/24/2003 0:910"/>
    <s v="Shipped"/>
    <x v="0"/>
    <s v="Shipped"/>
  </r>
  <r>
    <n v="1424"/>
    <s v="2/24/2003 0:911"/>
    <s v="Shipped"/>
    <x v="0"/>
    <s v="Shipped"/>
  </r>
  <r>
    <n v="1499.1"/>
    <s v="2/24/2003 0:912"/>
    <s v="Shipped"/>
    <x v="0"/>
    <s v="Shipped"/>
  </r>
  <r>
    <n v="3358.08"/>
    <s v="2/24/2003 0:913"/>
    <s v="Shipped"/>
    <x v="0"/>
    <s v="Shipped"/>
  </r>
  <r>
    <n v="1504.16"/>
    <s v="2/24/2003 0:914"/>
    <s v="Shipped"/>
    <x v="0"/>
    <s v="Shipped"/>
  </r>
  <r>
    <n v="2655.12"/>
    <s v="2/24/2003 0:915"/>
    <s v="Shipped"/>
    <x v="0"/>
    <s v="Shipped"/>
  </r>
  <r>
    <n v="1244.1600000000001"/>
    <s v="2/24/2003 0:916"/>
    <s v="Shipped"/>
    <x v="0"/>
    <s v="Shipped"/>
  </r>
  <r>
    <n v="1888.88"/>
    <s v="2/24/2003 0:917"/>
    <s v="Shipped"/>
    <x v="0"/>
    <s v="Shipped"/>
  </r>
  <r>
    <n v="1820.01"/>
    <s v="2/24/2003 0:918"/>
    <s v="Shipped"/>
    <x v="0"/>
    <s v="Shipped"/>
  </r>
  <r>
    <n v="2866.95"/>
    <s v="2/24/2003 0:919"/>
    <s v="Shipped"/>
    <x v="0"/>
    <s v="Shipped"/>
  </r>
  <r>
    <n v="1394.16"/>
    <s v="2/24/2003 0:920"/>
    <s v="Shipped"/>
    <x v="0"/>
    <s v="Shipped"/>
  </r>
  <r>
    <n v="2632.28"/>
    <s v="2/24/2003 0:921"/>
    <s v="Shipped"/>
    <x v="0"/>
    <s v="Shipped"/>
  </r>
  <r>
    <n v="2018.56"/>
    <s v="2/24/2003 0:922"/>
    <s v="Shipped"/>
    <x v="0"/>
    <s v="Shipped"/>
  </r>
  <r>
    <n v="2954.53"/>
    <s v="2/24/2003 0:923"/>
    <s v="Shipped"/>
    <x v="0"/>
    <s v="Shipped"/>
  </r>
  <r>
    <n v="1871.83"/>
    <s v="2/24/2003 0:924"/>
    <s v="Shipped"/>
    <x v="0"/>
    <s v="Shipped"/>
  </r>
  <r>
    <n v="1559.04"/>
    <s v="2/24/2003 0:925"/>
    <s v="Shipped"/>
    <x v="0"/>
    <s v="Shipped"/>
  </r>
  <r>
    <n v="1880.2"/>
    <s v="2/24/2003 0:926"/>
    <s v="Shipped"/>
    <x v="0"/>
    <s v="Shipped"/>
  </r>
  <r>
    <n v="1224.67"/>
    <s v="2/24/2003 0:927"/>
    <s v="Shipped"/>
    <x v="0"/>
    <s v="Shipped"/>
  </r>
  <r>
    <n v="2979.08"/>
    <s v="2/24/2003 0:928"/>
    <s v="Shipped"/>
    <x v="0"/>
    <s v="Shipped"/>
  </r>
  <r>
    <n v="2208.64"/>
    <s v="2/24/2003 0:929"/>
    <s v="Shipped"/>
    <x v="0"/>
    <s v="Shipped"/>
  </r>
  <r>
    <n v="3458.42"/>
    <s v="2/24/2003 0:930"/>
    <s v="Shipped"/>
    <x v="0"/>
    <s v="Shipped"/>
  </r>
  <r>
    <n v="1237.8800000000001"/>
    <s v="2/24/2003 0:931"/>
    <s v="Shipped"/>
    <x v="0"/>
    <s v="Shipped"/>
  </r>
  <r>
    <n v="2723.2"/>
    <s v="2/24/2003 0:932"/>
    <s v="Shipped"/>
    <x v="0"/>
    <s v="Shipped"/>
  </r>
  <r>
    <n v="2218.52"/>
    <s v="2/24/2003 0:933"/>
    <s v="Shipped"/>
    <x v="0"/>
    <s v="Shipped"/>
  </r>
  <r>
    <n v="1665.32"/>
    <s v="2/24/2003 0:934"/>
    <s v="In Process"/>
    <x v="1"/>
    <s v="In Process"/>
  </r>
  <r>
    <n v="3421.04"/>
    <s v="2/24/2003 0:935"/>
    <s v="Shipped"/>
    <x v="0"/>
    <s v="Shipped"/>
  </r>
  <r>
    <n v="1878.66"/>
    <s v="2/24/2003 0:936"/>
    <s v="Shipped"/>
    <x v="0"/>
    <s v="Shipped"/>
  </r>
  <r>
    <n v="3853.6"/>
    <s v="2/24/2003 0:937"/>
    <s v="Shipped"/>
    <x v="0"/>
    <s v="Shipped"/>
  </r>
  <r>
    <n v="3442.64"/>
    <s v="2/24/2003 0:938"/>
    <s v="Shipped"/>
    <x v="0"/>
    <s v="Shipped"/>
  </r>
  <r>
    <n v="3482.16"/>
    <s v="2/24/2003 0:939"/>
    <s v="Shipped"/>
    <x v="0"/>
    <s v="Shipped"/>
  </r>
  <r>
    <n v="3363.52"/>
    <s v="2/24/2003 0:940"/>
    <s v="Cancelled"/>
    <x v="1"/>
    <s v="Cancelled"/>
  </r>
  <r>
    <n v="3350.52"/>
    <s v="2/24/2003 0:941"/>
    <s v="Shipped"/>
    <x v="0"/>
    <s v="Shipped"/>
  </r>
  <r>
    <n v="2862.72"/>
    <s v="2/24/2003 0:942"/>
    <s v="Shipped"/>
    <x v="0"/>
    <s v="Shipped"/>
  </r>
  <r>
    <n v="4036.04"/>
    <s v="2/24/2003 0:943"/>
    <s v="Shipped"/>
    <x v="0"/>
    <s v="Shipped"/>
  </r>
  <r>
    <n v="2817.92"/>
    <s v="2/24/2003 0:944"/>
    <s v="Shipped"/>
    <x v="0"/>
    <s v="Shipped"/>
  </r>
  <r>
    <n v="4636.38"/>
    <s v="2/24/2003 0:945"/>
    <s v="Shipped"/>
    <x v="0"/>
    <s v="Shipped"/>
  </r>
  <r>
    <n v="1553.58"/>
    <s v="2/24/2003 0:946"/>
    <s v="Cancelled"/>
    <x v="1"/>
    <s v="Cancelled"/>
  </r>
  <r>
    <n v="2697.6"/>
    <s v="2/24/2003 0:947"/>
    <s v="Cancelled"/>
    <x v="1"/>
    <s v="Cancelled"/>
  </r>
  <r>
    <n v="3334.04"/>
    <s v="2/24/2003 0:948"/>
    <s v="Shipped"/>
    <x v="0"/>
    <s v="Shipped"/>
  </r>
  <r>
    <n v="2059.2600000000002"/>
    <s v="2/24/2003 0:949"/>
    <s v="Shipped"/>
    <x v="0"/>
    <s v="Shipped"/>
  </r>
  <r>
    <n v="2023.14"/>
    <s v="2/24/2003 0:950"/>
    <s v="Shipped"/>
    <x v="0"/>
    <s v="Shipped"/>
  </r>
  <r>
    <n v="2586.64"/>
    <s v="2/24/2003 0:951"/>
    <s v="Shipped"/>
    <x v="0"/>
    <s v="Shipped"/>
  </r>
  <r>
    <n v="1987.02"/>
    <s v="2/24/2003 0:952"/>
    <s v="Shipped"/>
    <x v="0"/>
    <s v="Shipped"/>
  </r>
  <r>
    <n v="1146.5"/>
    <s v="2/24/2003 0:953"/>
    <s v="Resolved"/>
    <x v="1"/>
    <s v="Resolved"/>
  </r>
  <r>
    <n v="2312.2399999999998"/>
    <s v="2/24/2003 0:954"/>
    <s v="Shipped"/>
    <x v="0"/>
    <s v="Shipped"/>
  </r>
  <r>
    <n v="2793.71"/>
    <s v="2/24/2003 0:955"/>
    <s v="Shipped"/>
    <x v="0"/>
    <s v="Shipped"/>
  </r>
  <r>
    <n v="1908.28"/>
    <s v="2/24/2003 0:956"/>
    <s v="Shipped"/>
    <x v="0"/>
    <s v="Shipped"/>
  </r>
  <r>
    <n v="3441.37"/>
    <s v="2/24/2003 0:957"/>
    <s v="Resolved"/>
    <x v="1"/>
    <s v="Resolved"/>
  </r>
  <r>
    <n v="2023.28"/>
    <s v="2/24/2003 0:958"/>
    <s v="Shipped"/>
    <x v="0"/>
    <s v="Shipped"/>
  </r>
  <r>
    <n v="2245.1999999999998"/>
    <s v="2/24/2003 0:959"/>
    <s v="Shipped"/>
    <x v="0"/>
    <s v="Shipped"/>
  </r>
  <r>
    <n v="3255.12"/>
    <s v="2/24/2003 0:960"/>
    <s v="On Hold"/>
    <x v="1"/>
    <s v="On Hold"/>
  </r>
  <r>
    <n v="2539.5"/>
    <s v="2/24/2003 0:961"/>
    <s v="Shipped"/>
    <x v="0"/>
    <s v="Shipped"/>
  </r>
  <r>
    <n v="4818.1499999999996"/>
    <s v="2/24/2003 0:962"/>
    <s v="Shipped"/>
    <x v="0"/>
    <s v="Shipped"/>
  </r>
  <r>
    <n v="2921.7"/>
    <s v="2/24/2003 0:963"/>
    <s v="Shipped"/>
    <x v="0"/>
    <s v="Shipped"/>
  </r>
  <r>
    <n v="1801.2"/>
    <s v="2/24/2003 0:964"/>
    <s v="Shipped"/>
    <x v="0"/>
    <s v="Shipped"/>
  </r>
  <r>
    <n v="2804.36"/>
    <s v="2/24/2003 0:965"/>
    <s v="Shipped"/>
    <x v="0"/>
    <s v="Shipped"/>
  </r>
  <r>
    <n v="4900.8"/>
    <s v="2/24/2003 0:966"/>
    <s v="Shipped"/>
    <x v="0"/>
    <s v="Shipped"/>
  </r>
  <r>
    <n v="2759.31"/>
    <s v="2/24/2003 0:967"/>
    <s v="Shipped"/>
    <x v="0"/>
    <s v="Shipped"/>
  </r>
  <r>
    <n v="2488.1999999999998"/>
    <s v="2/24/2003 0:968"/>
    <s v="Shipped"/>
    <x v="0"/>
    <s v="Shipped"/>
  </r>
  <r>
    <n v="2769.89"/>
    <s v="2/24/2003 0:969"/>
    <s v="Shipped"/>
    <x v="0"/>
    <s v="Shipped"/>
  </r>
  <r>
    <n v="3581.4"/>
    <s v="2/24/2003 0:970"/>
    <s v="Shipped"/>
    <x v="0"/>
    <s v="Shipped"/>
  </r>
  <r>
    <n v="5285.14"/>
    <s v="2/24/2003 0:971"/>
    <s v="Shipped"/>
    <x v="0"/>
    <s v="Shipped"/>
  </r>
  <r>
    <n v="3181.53"/>
    <s v="2/24/2003 0:972"/>
    <s v="Shipped"/>
    <x v="0"/>
    <s v="Shipped"/>
  </r>
  <r>
    <n v="3340.51"/>
    <s v="2/24/2003 0:973"/>
    <s v="Shipped"/>
    <x v="0"/>
    <s v="Shipped"/>
  </r>
  <r>
    <n v="3138.34"/>
    <s v="2/24/2003 0:974"/>
    <s v="Shipped"/>
    <x v="0"/>
    <s v="Shipped"/>
  </r>
  <r>
    <n v="4775.08"/>
    <s v="2/24/2003 0:975"/>
    <s v="Shipped"/>
    <x v="0"/>
    <s v="Shipped"/>
  </r>
  <r>
    <n v="3006.43"/>
    <s v="2/24/2003 0:976"/>
    <s v="Shipped"/>
    <x v="0"/>
    <s v="Shipped"/>
  </r>
  <r>
    <n v="2866.26"/>
    <s v="2/24/2003 0:977"/>
    <s v="Shipped"/>
    <x v="0"/>
    <s v="Shipped"/>
  </r>
  <r>
    <n v="2232.62"/>
    <s v="2/24/2003 0:978"/>
    <s v="Shipped"/>
    <x v="0"/>
    <s v="Shipped"/>
  </r>
  <r>
    <n v="4457.0200000000004"/>
    <s v="2/24/2003 0:979"/>
    <s v="Shipped"/>
    <x v="0"/>
    <s v="Shipped"/>
  </r>
  <r>
    <n v="2257.92"/>
    <s v="2/24/2003 0:980"/>
    <s v="Shipped"/>
    <x v="0"/>
    <s v="Shipped"/>
  </r>
  <r>
    <n v="1592"/>
    <s v="2/24/2003 0:981"/>
    <s v="Shipped"/>
    <x v="0"/>
    <s v="Shipped"/>
  </r>
  <r>
    <n v="4948.2"/>
    <s v="2/24/2003 0:982"/>
    <s v="Shipped"/>
    <x v="0"/>
    <s v="Shipped"/>
  </r>
  <r>
    <n v="5160.76"/>
    <s v="2/24/2003 0:983"/>
    <s v="Shipped"/>
    <x v="0"/>
    <s v="Shipped"/>
  </r>
  <r>
    <n v="1978.62"/>
    <s v="2/24/2003 0:984"/>
    <s v="Shipped"/>
    <x v="0"/>
    <s v="Shipped"/>
  </r>
  <r>
    <n v="4288.2"/>
    <s v="2/24/2003 0:985"/>
    <s v="Shipped"/>
    <x v="0"/>
    <s v="Shipped"/>
  </r>
  <r>
    <n v="2520.6799999999998"/>
    <s v="2/24/2003 0:986"/>
    <s v="Shipped"/>
    <x v="0"/>
    <s v="Shipped"/>
  </r>
  <r>
    <n v="1781.22"/>
    <s v="2/24/2003 0:987"/>
    <s v="In Process"/>
    <x v="1"/>
    <s v="In Process"/>
  </r>
  <r>
    <n v="3065.04"/>
    <s v="2/24/2003 0:988"/>
    <s v="Shipped"/>
    <x v="0"/>
    <s v="Shipped"/>
  </r>
  <r>
    <n v="3551.34"/>
    <s v="2/24/2003 0:989"/>
    <s v="Shipped"/>
    <x v="0"/>
    <s v="Shipped"/>
  </r>
  <r>
    <n v="5544.02"/>
    <s v="2/24/2003 0:990"/>
    <s v="Shipped"/>
    <x v="0"/>
    <s v="Shipped"/>
  </r>
  <r>
    <n v="6034.33"/>
    <s v="2/24/2003 0:991"/>
    <s v="Shipped"/>
    <x v="0"/>
    <s v="Shipped"/>
  </r>
  <r>
    <n v="3641.57"/>
    <s v="2/24/2003 0:992"/>
    <s v="Shipped"/>
    <x v="0"/>
    <s v="Shipped"/>
  </r>
  <r>
    <n v="6930.74"/>
    <s v="2/24/2003 0:993"/>
    <s v="Shipped"/>
    <x v="0"/>
    <s v="Shipped"/>
  </r>
  <r>
    <n v="3675.63"/>
    <s v="2/24/2003 0:994"/>
    <s v="Shipped"/>
    <x v="0"/>
    <s v="Shipped"/>
  </r>
  <r>
    <n v="3442.04"/>
    <s v="2/24/2003 0:995"/>
    <s v="Shipped"/>
    <x v="0"/>
    <s v="Shipped"/>
  </r>
  <r>
    <n v="6893.81"/>
    <s v="2/24/2003 0:996"/>
    <s v="Shipped"/>
    <x v="0"/>
    <s v="Shipped"/>
  </r>
  <r>
    <n v="2622.48"/>
    <s v="2/24/2003 0:997"/>
    <s v="Shipped"/>
    <x v="0"/>
    <s v="Shipped"/>
  </r>
  <r>
    <n v="4417.38"/>
    <s v="2/24/2003 0:998"/>
    <s v="Shipped"/>
    <x v="0"/>
    <s v="Shipped"/>
  </r>
  <r>
    <n v="3606.02"/>
    <s v="2/24/2003 0:999"/>
    <s v="Shipped"/>
    <x v="0"/>
    <s v="Shipped"/>
  </r>
  <r>
    <n v="3802.56"/>
    <s v="2/24/2003 0:1000"/>
    <s v="Cancelled"/>
    <x v="1"/>
    <s v="Cancelled"/>
  </r>
  <r>
    <n v="5026.3999999999996"/>
    <s v="2/24/2003 0:1001"/>
    <s v="Shipped"/>
    <x v="0"/>
    <s v="Shipped"/>
  </r>
  <r>
    <n v="6695.53"/>
    <s v="2/24/2003 0:1002"/>
    <s v="Shipped"/>
    <x v="0"/>
    <s v="Shipped"/>
  </r>
  <r>
    <n v="2819.28"/>
    <s v="2/24/2003 0:1003"/>
    <s v="Shipped"/>
    <x v="0"/>
    <s v="Shipped"/>
  </r>
  <r>
    <n v="3759.04"/>
    <s v="2/24/2003 0:1004"/>
    <s v="Shipped"/>
    <x v="0"/>
    <s v="Shipped"/>
  </r>
  <r>
    <n v="2731.8"/>
    <s v="2/24/2003 0:1005"/>
    <s v="Shipped"/>
    <x v="0"/>
    <s v="Shipped"/>
  </r>
  <r>
    <n v="1658.88"/>
    <s v="2/24/2003 0:1006"/>
    <s v="Shipped"/>
    <x v="0"/>
    <s v="Shipped"/>
  </r>
  <r>
    <n v="5778.24"/>
    <s v="2/24/2003 0:1007"/>
    <s v="Shipped"/>
    <x v="0"/>
    <s v="Shipped"/>
  </r>
  <r>
    <n v="5191.12"/>
    <s v="2/24/2003 0:1008"/>
    <s v="Shipped"/>
    <x v="0"/>
    <s v="Shipped"/>
  </r>
  <r>
    <n v="3862.88"/>
    <s v="2/24/2003 0:1009"/>
    <s v="Shipped"/>
    <x v="0"/>
    <s v="Shipped"/>
  </r>
  <r>
    <n v="1476.48"/>
    <s v="2/24/2003 0:1010"/>
    <s v="Shipped"/>
    <x v="0"/>
    <s v="Shipped"/>
  </r>
  <r>
    <n v="5273.73"/>
    <s v="2/24/2003 0:1011"/>
    <s v="Shipped"/>
    <x v="0"/>
    <s v="Shipped"/>
  </r>
  <r>
    <n v="4872.03"/>
    <s v="2/24/2003 0:1012"/>
    <s v="On Hold"/>
    <x v="1"/>
    <s v="On Hold"/>
  </r>
  <r>
    <n v="4556.99"/>
    <s v="2/24/2003 0:1013"/>
    <s v="Shipped"/>
    <x v="0"/>
    <s v="Shipped"/>
  </r>
  <r>
    <n v="8257"/>
    <s v="2/24/2003 0:1014"/>
    <s v="Shipped"/>
    <x v="0"/>
    <s v="Shipped"/>
  </r>
  <r>
    <n v="8209.44"/>
    <s v="2/24/2003 0:1015"/>
    <s v="Shipped"/>
    <x v="0"/>
    <s v="Shipped"/>
  </r>
  <r>
    <n v="3598.5"/>
    <s v="2/24/2003 0:1016"/>
    <s v="Shipped"/>
    <x v="0"/>
    <s v="Shipped"/>
  </r>
  <r>
    <n v="3837.24"/>
    <s v="2/24/2003 0:1017"/>
    <s v="Shipped"/>
    <x v="0"/>
    <s v="Shipped"/>
  </r>
  <r>
    <n v="8331.61"/>
    <s v="2/24/2003 0:1018"/>
    <s v="Shipped"/>
    <x v="0"/>
    <s v="Shipped"/>
  </r>
  <r>
    <n v="4836.5"/>
    <s v="2/24/2003 0:1019"/>
    <s v="Shipped"/>
    <x v="0"/>
    <s v="Shipped"/>
  </r>
  <r>
    <n v="5418.88"/>
    <s v="2/24/2003 0:1020"/>
    <s v="Shipped"/>
    <x v="0"/>
    <s v="Shipped"/>
  </r>
  <r>
    <n v="3734.01"/>
    <s v="2/24/2003 0:1021"/>
    <s v="Shipped"/>
    <x v="0"/>
    <s v="Shipped"/>
  </r>
  <r>
    <n v="3996.4"/>
    <s v="2/24/2003 0:1022"/>
    <s v="Shipped"/>
    <x v="0"/>
    <s v="Shipped"/>
  </r>
  <r>
    <n v="8754.69"/>
    <s v="2/24/2003 0:1023"/>
    <s v="Shipped"/>
    <x v="0"/>
    <s v="Shipped"/>
  </r>
  <r>
    <n v="5481.45"/>
    <s v="2/24/2003 0:1024"/>
    <s v="Shipped"/>
    <x v="0"/>
    <s v="Shipped"/>
  </r>
  <r>
    <n v="4419.8900000000003"/>
    <s v="2/24/2003 0:1025"/>
    <s v="Shipped"/>
    <x v="0"/>
    <s v="Shipped"/>
  </r>
  <r>
    <n v="6324.75"/>
    <s v="2/24/2003 0:1026"/>
    <s v="Shipped"/>
    <x v="0"/>
    <s v="Shipped"/>
  </r>
  <r>
    <n v="4409.72"/>
    <s v="2/24/2003 0:1027"/>
    <s v="Shipped"/>
    <x v="0"/>
    <s v="Shipped"/>
  </r>
  <r>
    <n v="3918.46"/>
    <s v="2/24/2003 0:1028"/>
    <s v="Shipped"/>
    <x v="0"/>
    <s v="Shipped"/>
  </r>
  <r>
    <n v="7620.5"/>
    <s v="2/24/2003 0:1029"/>
    <s v="Shipped"/>
    <x v="0"/>
    <s v="Shipped"/>
  </r>
  <r>
    <n v="8291.0400000000009"/>
    <s v="2/24/2003 0:1030"/>
    <s v="Shipped"/>
    <x v="0"/>
    <s v="Shipped"/>
  </r>
  <r>
    <n v="3937.25"/>
    <s v="2/24/2003 0:1031"/>
    <s v="Shipped"/>
    <x v="0"/>
    <s v="Shipped"/>
  </r>
  <r>
    <n v="5554.4"/>
    <s v="2/24/2003 0:1032"/>
    <s v="Shipped"/>
    <x v="0"/>
    <s v="Shipped"/>
  </r>
  <r>
    <n v="6407.86"/>
    <s v="2/24/2003 0:1033"/>
    <s v="Shipped"/>
    <x v="0"/>
    <s v="Shipped"/>
  </r>
  <r>
    <n v="4172.5200000000004"/>
    <s v="2/24/2003 0:1034"/>
    <s v="Shipped"/>
    <x v="0"/>
    <s v="Shipped"/>
  </r>
  <r>
    <n v="7083.37"/>
    <s v="2/24/2003 0:1035"/>
    <s v="Shipped"/>
    <x v="0"/>
    <s v="Shipped"/>
  </r>
  <r>
    <n v="7132.68"/>
    <s v="2/24/2003 0:1036"/>
    <s v="Shipped"/>
    <x v="0"/>
    <s v="Shipped"/>
  </r>
  <r>
    <n v="6773.6"/>
    <s v="2/24/2003 0:1037"/>
    <s v="Cancelled"/>
    <x v="1"/>
    <s v="Cancelled"/>
  </r>
  <r>
    <n v="3657.69"/>
    <s v="2/24/2003 0:1038"/>
    <s v="Shipped"/>
    <x v="0"/>
    <s v="Shipped"/>
  </r>
  <r>
    <n v="4812.55"/>
    <s v="2/24/2003 0:1039"/>
    <s v="Shipped"/>
    <x v="0"/>
    <s v="Shipped"/>
  </r>
  <r>
    <n v="3928.6"/>
    <s v="2/24/2003 0:1040"/>
    <s v="Shipped"/>
    <x v="0"/>
    <s v="Shipped"/>
  </r>
  <r>
    <n v="6401.22"/>
    <s v="2/24/2003 0:1041"/>
    <s v="Shipped"/>
    <x v="0"/>
    <s v="Shipped"/>
  </r>
  <r>
    <n v="4191.25"/>
    <s v="2/24/2003 0:1042"/>
    <s v="Shipped"/>
    <x v="0"/>
    <s v="Shipped"/>
  </r>
  <r>
    <n v="5852.52"/>
    <s v="2/24/2003 0:1043"/>
    <s v="Shipped"/>
    <x v="0"/>
    <s v="Shipped"/>
  </r>
  <r>
    <n v="2844.87"/>
    <s v="2/24/2003 0:1044"/>
    <s v="Shipped"/>
    <x v="0"/>
    <s v="Shipped"/>
  </r>
  <r>
    <n v="4011.66"/>
    <s v="2/24/2003 0:1045"/>
    <s v="Shipped"/>
    <x v="0"/>
    <s v="Shipped"/>
  </r>
  <r>
    <n v="7455.87"/>
    <s v="2/24/2003 0:1046"/>
    <s v="Shipped"/>
    <x v="0"/>
    <s v="Shipped"/>
  </r>
  <r>
    <n v="8940.9599999999991"/>
    <s v="2/24/2003 0:1047"/>
    <s v="Shipped"/>
    <x v="0"/>
    <s v="Shipped"/>
  </r>
  <r>
    <n v="4572.25"/>
    <s v="2/24/2003 0:1048"/>
    <s v="Shipped"/>
    <x v="0"/>
    <s v="Shipped"/>
  </r>
  <r>
    <n v="5700.09"/>
    <s v="2/24/2003 0:1049"/>
    <s v="Shipped"/>
    <x v="0"/>
    <s v="Shipped"/>
  </r>
  <r>
    <n v="3155.49"/>
    <s v="2/24/2003 0:1050"/>
    <s v="Shipped"/>
    <x v="0"/>
    <s v="Shipped"/>
  </r>
  <r>
    <n v="4170.6899999999996"/>
    <s v="2/24/2003 0:1051"/>
    <s v="Shipped"/>
    <x v="0"/>
    <s v="Shipped"/>
  </r>
  <r>
    <n v="2878.8"/>
    <s v="2/24/2003 0:1052"/>
    <s v="On Hold"/>
    <x v="1"/>
    <s v="On Hold"/>
  </r>
  <r>
    <n v="5029.5"/>
    <s v="2/24/2003 0:1053"/>
    <s v="Shipped"/>
    <x v="0"/>
    <s v="Shipped"/>
  </r>
  <r>
    <n v="7396.8"/>
    <s v="2/24/2003 0:1054"/>
    <s v="Shipped"/>
    <x v="0"/>
    <s v="Shipped"/>
  </r>
  <r>
    <n v="2991.68"/>
    <s v="2/24/2003 0:1055"/>
    <s v="Shipped"/>
    <x v="0"/>
    <s v="Shipped"/>
  </r>
  <r>
    <n v="6275.72"/>
    <s v="2/24/2003 0:1056"/>
    <s v="Shipped"/>
    <x v="0"/>
    <s v="Shipped"/>
  </r>
  <r>
    <n v="1534.95"/>
    <s v="2/24/2003 0:1057"/>
    <s v="Shipped"/>
    <x v="0"/>
    <s v="Shipped"/>
  </r>
  <r>
    <n v="7264.53"/>
    <s v="2/24/2003 0:1058"/>
    <s v="Shipped"/>
    <x v="0"/>
    <s v="Shipped"/>
  </r>
  <r>
    <n v="6869.05"/>
    <s v="2/24/2003 0:1059"/>
    <s v="Shipped"/>
    <x v="0"/>
    <s v="Shipped"/>
  </r>
  <r>
    <n v="3353.02"/>
    <s v="2/24/2003 0:1060"/>
    <s v="Shipped"/>
    <x v="0"/>
    <s v="Shipped"/>
  </r>
  <r>
    <n v="8289.0499999999993"/>
    <s v="2/24/2003 0:1061"/>
    <s v="Shipped"/>
    <x v="0"/>
    <s v="Shipped"/>
  </r>
  <r>
    <n v="11887.8"/>
    <s v="2/24/2003 0:1062"/>
    <s v="Shipped"/>
    <x v="0"/>
    <s v="Shipped"/>
  </r>
  <r>
    <n v="5926.9"/>
    <s v="2/24/2003 0:1063"/>
    <s v="Shipped"/>
    <x v="0"/>
    <s v="Shipped"/>
  </r>
  <r>
    <n v="3793.16"/>
    <s v="2/24/2003 0:1064"/>
    <s v="In Process"/>
    <x v="1"/>
    <s v="In Process"/>
  </r>
  <r>
    <n v="4330.1000000000004"/>
    <s v="2/24/2003 0:1065"/>
    <s v="Shipped"/>
    <x v="0"/>
    <s v="Shipped"/>
  </r>
  <r>
    <n v="2011.8"/>
    <s v="2/24/2003 0:1066"/>
    <s v="Shipped"/>
    <x v="0"/>
    <s v="Shipped"/>
  </r>
  <r>
    <n v="4837.18"/>
    <s v="2/24/2003 0:1067"/>
    <s v="Shipped"/>
    <x v="0"/>
    <s v="Shipped"/>
  </r>
  <r>
    <n v="2151.8200000000002"/>
    <s v="2/24/2003 0:1068"/>
    <s v="Shipped"/>
    <x v="0"/>
    <s v="Shipped"/>
  </r>
  <r>
    <n v="2573.46"/>
    <s v="2/24/2003 0:1069"/>
    <s v="Shipped"/>
    <x v="0"/>
    <s v="Shipped"/>
  </r>
  <r>
    <n v="5344.5"/>
    <s v="2/24/2003 0:1070"/>
    <s v="Shipped"/>
    <x v="0"/>
    <s v="Shipped"/>
  </r>
  <r>
    <n v="3070.52"/>
    <s v="2/24/2003 0:1071"/>
    <s v="Shipped"/>
    <x v="0"/>
    <s v="Shipped"/>
  </r>
  <r>
    <n v="3952.83"/>
    <s v="2/24/2003 0:1072"/>
    <s v="Shipped"/>
    <x v="0"/>
    <s v="Shipped"/>
  </r>
  <r>
    <n v="3564.75"/>
    <s v="2/24/2003 0:1073"/>
    <s v="Shipped"/>
    <x v="0"/>
    <s v="Shipped"/>
  </r>
  <r>
    <n v="5614.56"/>
    <s v="2/24/2003 0:1074"/>
    <s v="Shipped"/>
    <x v="0"/>
    <s v="Shipped"/>
  </r>
  <r>
    <n v="1855.41"/>
    <s v="2/24/2003 0:1075"/>
    <s v="Shipped"/>
    <x v="0"/>
    <s v="Shipped"/>
  </r>
  <r>
    <n v="4598.3999999999996"/>
    <s v="2/24/2003 0:1076"/>
    <s v="Shipped"/>
    <x v="0"/>
    <s v="Shipped"/>
  </r>
  <r>
    <n v="5082.42"/>
    <s v="2/24/2003 0:1077"/>
    <s v="Cancelled"/>
    <x v="1"/>
    <s v="Cancelled"/>
  </r>
  <r>
    <n v="5450.59"/>
    <s v="2/24/2003 0:1078"/>
    <s v="Shipped"/>
    <x v="0"/>
    <s v="Shipped"/>
  </r>
  <r>
    <n v="4174.92"/>
    <s v="2/24/2003 0:1079"/>
    <s v="Shipped"/>
    <x v="0"/>
    <s v="Shipped"/>
  </r>
  <r>
    <n v="2418.2399999999998"/>
    <s v="2/24/2003 0:1080"/>
    <s v="Shipped"/>
    <x v="0"/>
    <s v="Shipped"/>
  </r>
  <r>
    <n v="3670.4"/>
    <s v="2/24/2003 0:1081"/>
    <s v="Shipped"/>
    <x v="0"/>
    <s v="Shipped"/>
  </r>
  <r>
    <n v="2481.6999999999998"/>
    <s v="2/24/2003 0:1082"/>
    <s v="Shipped"/>
    <x v="0"/>
    <s v="Shipped"/>
  </r>
  <r>
    <n v="3807.68"/>
    <s v="2/24/2003 0:1083"/>
    <s v="Shipped"/>
    <x v="0"/>
    <s v="Shipped"/>
  </r>
  <r>
    <n v="2230.41"/>
    <s v="2/24/2003 0:1084"/>
    <s v="Shipped"/>
    <x v="0"/>
    <s v="Shipped"/>
  </r>
  <r>
    <n v="3814.64"/>
    <s v="2/24/2003 0:1085"/>
    <s v="Shipped"/>
    <x v="0"/>
    <s v="Shipped"/>
  </r>
  <r>
    <n v="2117.75"/>
    <s v="2/24/2003 0:1086"/>
    <s v="Shipped"/>
    <x v="0"/>
    <s v="Shipped"/>
  </r>
  <r>
    <n v="3340.48"/>
    <s v="2/24/2003 0:1087"/>
    <s v="Shipped"/>
    <x v="0"/>
    <s v="Shipped"/>
  </r>
  <r>
    <n v="2154"/>
    <s v="2/24/2003 0:1088"/>
    <s v="Shipped"/>
    <x v="0"/>
    <s v="Shipped"/>
  </r>
  <r>
    <n v="5808.48"/>
    <s v="2/24/2003 0:1089"/>
    <s v="On Hold"/>
    <x v="1"/>
    <s v="On Hold"/>
  </r>
  <r>
    <n v="1777.1"/>
    <s v="2/24/2003 0:1090"/>
    <s v="Shipped"/>
    <x v="0"/>
    <s v="Shipped"/>
  </r>
  <r>
    <n v="1536.57"/>
    <s v="2/24/2003 0:1091"/>
    <s v="Shipped"/>
    <x v="0"/>
    <s v="Shipped"/>
  </r>
  <r>
    <n v="3510"/>
    <s v="2/24/2003 0:1092"/>
    <s v="Shipped"/>
    <x v="0"/>
    <s v="Shipped"/>
  </r>
  <r>
    <n v="3097.44"/>
    <s v="2/24/2003 0:1093"/>
    <s v="Shipped"/>
    <x v="0"/>
    <s v="Shipped"/>
  </r>
  <r>
    <n v="1705.41"/>
    <s v="2/24/2003 0:1094"/>
    <s v="Shipped"/>
    <x v="0"/>
    <s v="Shipped"/>
  </r>
  <r>
    <n v="2264.3200000000002"/>
    <s v="2/24/2003 0:1095"/>
    <s v="Shipped"/>
    <x v="0"/>
    <s v="Shipped"/>
  </r>
  <r>
    <n v="2484.6"/>
    <s v="2/24/2003 0:1096"/>
    <s v="Shipped"/>
    <x v="0"/>
    <s v="Shipped"/>
  </r>
  <r>
    <n v="3415.68"/>
    <s v="2/24/2003 0:1097"/>
    <s v="Shipped"/>
    <x v="0"/>
    <s v="Shipped"/>
  </r>
  <r>
    <n v="2839.32"/>
    <s v="2/24/2003 0:1098"/>
    <s v="Shipped"/>
    <x v="0"/>
    <s v="Shipped"/>
  </r>
  <r>
    <n v="2730"/>
    <s v="2/24/2003 0:1099"/>
    <s v="Shipped"/>
    <x v="0"/>
    <s v="Shipped"/>
  </r>
  <r>
    <n v="3540.53"/>
    <s v="2/24/2003 0:1100"/>
    <s v="Shipped"/>
    <x v="0"/>
    <s v="Shipped"/>
  </r>
  <r>
    <n v="2999.97"/>
    <s v="2/24/2003 0:1101"/>
    <s v="Shipped"/>
    <x v="0"/>
    <s v="Shipped"/>
  </r>
  <r>
    <n v="1527.8"/>
    <s v="2/24/2003 0:1102"/>
    <s v="Shipped"/>
    <x v="0"/>
    <s v="Shipped"/>
  </r>
  <r>
    <n v="3907.8"/>
    <s v="2/24/2003 0:1103"/>
    <s v="Shipped"/>
    <x v="0"/>
    <s v="Shipped"/>
  </r>
  <r>
    <n v="2658.48"/>
    <s v="2/24/2003 0:1104"/>
    <s v="Shipped"/>
    <x v="0"/>
    <s v="Shipped"/>
  </r>
  <r>
    <n v="3042.68"/>
    <s v="2/24/2003 0:1105"/>
    <s v="Shipped"/>
    <x v="0"/>
    <s v="Shipped"/>
  </r>
  <r>
    <n v="3861.2"/>
    <s v="2/24/2003 0:1106"/>
    <s v="Shipped"/>
    <x v="0"/>
    <s v="Shipped"/>
  </r>
  <r>
    <n v="2171.0700000000002"/>
    <s v="2/24/2003 0:1107"/>
    <s v="Shipped"/>
    <x v="0"/>
    <s v="Shipped"/>
  </r>
  <r>
    <n v="3403.08"/>
    <s v="2/24/2003 0:1108"/>
    <s v="Shipped"/>
    <x v="0"/>
    <s v="Shipped"/>
  </r>
  <r>
    <n v="2245.8000000000002"/>
    <s v="2/24/2003 0:1109"/>
    <s v="Shipped"/>
    <x v="0"/>
    <s v="Shipped"/>
  </r>
  <r>
    <n v="1668.5"/>
    <s v="2/24/2003 0:1110"/>
    <s v="Shipped"/>
    <x v="0"/>
    <s v="Shipped"/>
  </r>
  <r>
    <n v="2773.8"/>
    <s v="2/24/2003 0:1111"/>
    <s v="Shipped"/>
    <x v="0"/>
    <s v="Shipped"/>
  </r>
  <r>
    <n v="2464"/>
    <s v="2/24/2003 0:1112"/>
    <s v="Shipped"/>
    <x v="0"/>
    <s v="Shipped"/>
  </r>
  <r>
    <n v="5491.6"/>
    <s v="2/24/2003 0:1113"/>
    <s v="Shipped"/>
    <x v="0"/>
    <s v="Shipped"/>
  </r>
  <r>
    <n v="4791.82"/>
    <s v="2/24/2003 0:1114"/>
    <s v="Shipped"/>
    <x v="0"/>
    <s v="Shipped"/>
  </r>
  <r>
    <n v="4178.8500000000004"/>
    <s v="2/24/2003 0:1115"/>
    <s v="Shipped"/>
    <x v="0"/>
    <s v="Shipped"/>
  </r>
  <r>
    <n v="3128.92"/>
    <s v="2/24/2003 0:1116"/>
    <s v="Shipped"/>
    <x v="0"/>
    <s v="Shipped"/>
  </r>
  <r>
    <n v="3095.4"/>
    <s v="2/24/2003 0:1117"/>
    <s v="Shipped"/>
    <x v="0"/>
    <s v="Shipped"/>
  </r>
  <r>
    <n v="3958.5"/>
    <s v="2/24/2003 0:1118"/>
    <s v="Shipped"/>
    <x v="0"/>
    <s v="Shipped"/>
  </r>
  <r>
    <n v="4991.4399999999996"/>
    <s v="2/24/2003 0:1119"/>
    <s v="Shipped"/>
    <x v="0"/>
    <s v="Shipped"/>
  </r>
  <r>
    <n v="2761.96"/>
    <s v="2/24/2003 0:1120"/>
    <s v="Shipped"/>
    <x v="0"/>
    <s v="Shipped"/>
  </r>
  <r>
    <n v="2848.23"/>
    <s v="2/24/2003 0:1121"/>
    <s v="Shipped"/>
    <x v="0"/>
    <s v="Shipped"/>
  </r>
  <r>
    <n v="2539.84"/>
    <s v="2/24/2003 0:1122"/>
    <s v="Shipped"/>
    <x v="0"/>
    <s v="Shipped"/>
  </r>
  <r>
    <n v="2444.4"/>
    <s v="2/24/2003 0:1123"/>
    <s v="Shipped"/>
    <x v="0"/>
    <s v="Shipped"/>
  </r>
  <r>
    <n v="4555.92"/>
    <s v="2/24/2003 0:1124"/>
    <s v="Shipped"/>
    <x v="0"/>
    <s v="Shipped"/>
  </r>
  <r>
    <n v="3666.96"/>
    <s v="2/24/2003 0:1125"/>
    <s v="Shipped"/>
    <x v="0"/>
    <s v="Shipped"/>
  </r>
  <r>
    <n v="3035.88"/>
    <s v="2/24/2003 0:1126"/>
    <s v="Shipped"/>
    <x v="0"/>
    <s v="Shipped"/>
  </r>
  <r>
    <n v="2321.54"/>
    <s v="2/24/2003 0:1127"/>
    <s v="Shipped"/>
    <x v="0"/>
    <s v="Shipped"/>
  </r>
  <r>
    <n v="3474.46"/>
    <s v="2/24/2003 0:1128"/>
    <s v="Shipped"/>
    <x v="0"/>
    <s v="Shipped"/>
  </r>
  <r>
    <n v="2501.98"/>
    <s v="2/24/2003 0:1129"/>
    <s v="Shipped"/>
    <x v="0"/>
    <s v="Shipped"/>
  </r>
  <r>
    <n v="3958.46"/>
    <s v="2/24/2003 0:1130"/>
    <s v="Shipped"/>
    <x v="0"/>
    <s v="Shipped"/>
  </r>
  <r>
    <n v="3535.95"/>
    <s v="2/24/2003 0:1131"/>
    <s v="Shipped"/>
    <x v="0"/>
    <s v="Shipped"/>
  </r>
  <r>
    <n v="3011.91"/>
    <s v="2/24/2003 0:1132"/>
    <s v="Shipped"/>
    <x v="0"/>
    <s v="Shipped"/>
  </r>
  <r>
    <n v="11336.7"/>
    <s v="2/24/2003 0:1133"/>
    <s v="Shipped"/>
    <x v="0"/>
    <s v="Shipped"/>
  </r>
  <r>
    <n v="2656.94"/>
    <s v="2/24/2003 0:1134"/>
    <s v="Shipped"/>
    <x v="0"/>
    <s v="Shipped"/>
  </r>
  <r>
    <n v="2604.25"/>
    <s v="2/24/2003 0:1135"/>
    <s v="Shipped"/>
    <x v="0"/>
    <s v="Shipped"/>
  </r>
  <r>
    <n v="3288.6"/>
    <s v="2/24/2003 0:1136"/>
    <s v="Shipped"/>
    <x v="0"/>
    <s v="Shipped"/>
  </r>
  <r>
    <n v="8935.5"/>
    <s v="2/24/2003 0:1137"/>
    <s v="Shipped"/>
    <x v="0"/>
    <s v="Shipped"/>
  </r>
  <r>
    <n v="4035.96"/>
    <s v="2/24/2003 0:1138"/>
    <s v="Shipped"/>
    <x v="0"/>
    <s v="Shipped"/>
  </r>
  <r>
    <n v="1875.09"/>
    <s v="2/24/2003 0:1139"/>
    <s v="In Process"/>
    <x v="1"/>
    <s v="In Process"/>
  </r>
  <r>
    <n v="4049.56"/>
    <s v="2/24/2003 0:1140"/>
    <s v="Shipped"/>
    <x v="0"/>
    <s v="Shipped"/>
  </r>
  <r>
    <n v="2469.39"/>
    <s v="2/24/2003 0:1141"/>
    <s v="Shipped"/>
    <x v="0"/>
    <s v="Shipped"/>
  </r>
  <r>
    <n v="5432.7"/>
    <s v="2/24/2003 0:1142"/>
    <s v="Shipped"/>
    <x v="0"/>
    <s v="Shipped"/>
  </r>
  <r>
    <n v="4405.22"/>
    <s v="2/24/2003 0:1143"/>
    <s v="Shipped"/>
    <x v="0"/>
    <s v="Shipped"/>
  </r>
  <r>
    <n v="3638"/>
    <s v="2/24/2003 0:1144"/>
    <s v="Shipped"/>
    <x v="0"/>
    <s v="Shipped"/>
  </r>
  <r>
    <n v="4444.92"/>
    <s v="2/24/2003 0:1145"/>
    <s v="Shipped"/>
    <x v="0"/>
    <s v="Shipped"/>
  </r>
  <r>
    <n v="3395.48"/>
    <s v="2/24/2003 0:1146"/>
    <s v="Shipped"/>
    <x v="0"/>
    <s v="Shipped"/>
  </r>
  <r>
    <n v="3414.58"/>
    <s v="2/24/2003 0:1147"/>
    <s v="Shipped"/>
    <x v="0"/>
    <s v="Shipped"/>
  </r>
  <r>
    <n v="5127.04"/>
    <s v="2/24/2003 0:1148"/>
    <s v="Shipped"/>
    <x v="0"/>
    <s v="Shipped"/>
  </r>
  <r>
    <n v="3745.28"/>
    <s v="2/24/2003 0:1149"/>
    <s v="Shipped"/>
    <x v="0"/>
    <s v="Shipped"/>
  </r>
  <r>
    <n v="4564.08"/>
    <s v="2/24/2003 0:1150"/>
    <s v="Shipped"/>
    <x v="0"/>
    <s v="Shipped"/>
  </r>
  <r>
    <n v="6554.24"/>
    <s v="2/24/2003 0:1151"/>
    <s v="Shipped"/>
    <x v="0"/>
    <s v="Shipped"/>
  </r>
  <r>
    <n v="6749.83"/>
    <s v="2/24/2003 0:1152"/>
    <s v="Shipped"/>
    <x v="0"/>
    <s v="Shipped"/>
  </r>
  <r>
    <n v="8427.02"/>
    <s v="2/24/2003 0:1153"/>
    <s v="Shipped"/>
    <x v="0"/>
    <s v="Shipped"/>
  </r>
  <r>
    <n v="3924.6"/>
    <s v="2/24/2003 0:1154"/>
    <s v="Shipped"/>
    <x v="0"/>
    <s v="Shipped"/>
  </r>
  <r>
    <n v="6761.6"/>
    <s v="2/24/2003 0:1155"/>
    <s v="Shipped"/>
    <x v="0"/>
    <s v="Shipped"/>
  </r>
  <r>
    <n v="3786.49"/>
    <s v="2/24/2003 0:1156"/>
    <s v="Shipped"/>
    <x v="0"/>
    <s v="Shipped"/>
  </r>
  <r>
    <n v="6266.12"/>
    <s v="2/24/2003 0:1157"/>
    <s v="Shipped"/>
    <x v="0"/>
    <s v="Shipped"/>
  </r>
  <r>
    <n v="3491"/>
    <s v="2/24/2003 0:1158"/>
    <s v="Shipped"/>
    <x v="0"/>
    <s v="Shipped"/>
  </r>
  <r>
    <n v="4405.22"/>
    <s v="2/24/2003 0:1159"/>
    <s v="Shipped"/>
    <x v="0"/>
    <s v="Shipped"/>
  </r>
  <r>
    <n v="6548.3"/>
    <s v="2/24/2003 0:1160"/>
    <s v="Shipped"/>
    <x v="0"/>
    <s v="Shipped"/>
  </r>
  <r>
    <n v="3177.91"/>
    <s v="2/24/2003 0:1161"/>
    <s v="Shipped"/>
    <x v="0"/>
    <s v="Shipped"/>
  </r>
  <r>
    <n v="4142.6400000000003"/>
    <s v="2/24/2003 0:1162"/>
    <s v="Shipped"/>
    <x v="0"/>
    <s v="Shipped"/>
  </r>
  <r>
    <n v="4149.07"/>
    <s v="2/24/2003 0:1163"/>
    <s v="Shipped"/>
    <x v="0"/>
    <s v="Shipped"/>
  </r>
  <r>
    <n v="7397"/>
    <s v="2/24/2003 0:1164"/>
    <s v="Shipped"/>
    <x v="0"/>
    <s v="Shipped"/>
  </r>
  <r>
    <n v="6241.6"/>
    <s v="2/24/2003 0:1165"/>
    <s v="Shipped"/>
    <x v="0"/>
    <s v="Shipped"/>
  </r>
  <r>
    <n v="5331.88"/>
    <s v="2/24/2003 0:1166"/>
    <s v="Shipped"/>
    <x v="0"/>
    <s v="Shipped"/>
  </r>
  <r>
    <n v="5124.3"/>
    <s v="2/24/2003 0:1167"/>
    <s v="Shipped"/>
    <x v="0"/>
    <s v="Shipped"/>
  </r>
  <r>
    <n v="3639.44"/>
    <s v="2/24/2003 0:1168"/>
    <s v="Shipped"/>
    <x v="0"/>
    <s v="Shipped"/>
  </r>
  <r>
    <n v="5544"/>
    <s v="2/24/2003 0:1169"/>
    <s v="Shipped"/>
    <x v="0"/>
    <s v="Shipped"/>
  </r>
  <r>
    <n v="5493.12"/>
    <s v="2/24/2003 0:1170"/>
    <s v="Shipped"/>
    <x v="0"/>
    <s v="Shipped"/>
  </r>
  <r>
    <n v="5785.26"/>
    <s v="2/24/2003 0:1171"/>
    <s v="Shipped"/>
    <x v="0"/>
    <s v="Shipped"/>
  </r>
  <r>
    <n v="5340.6"/>
    <s v="2/24/2003 0:1172"/>
    <s v="Shipped"/>
    <x v="0"/>
    <s v="Shipped"/>
  </r>
  <r>
    <n v="5735.8"/>
    <s v="2/24/2003 0:1173"/>
    <s v="Shipped"/>
    <x v="0"/>
    <s v="Shipped"/>
  </r>
  <r>
    <n v="6357.6"/>
    <s v="2/24/2003 0:1174"/>
    <s v="Shipped"/>
    <x v="0"/>
    <s v="Shipped"/>
  </r>
  <r>
    <n v="7343.9"/>
    <s v="2/24/2003 0:1175"/>
    <s v="Shipped"/>
    <x v="0"/>
    <s v="Shipped"/>
  </r>
  <r>
    <n v="5959.22"/>
    <s v="2/24/2003 0:1176"/>
    <s v="Shipped"/>
    <x v="0"/>
    <s v="Shipped"/>
  </r>
  <r>
    <n v="4029.38"/>
    <s v="2/24/2003 0:1177"/>
    <s v="Cancelled"/>
    <x v="1"/>
    <s v="Cancelled"/>
  </r>
  <r>
    <n v="5035.1400000000003"/>
    <s v="2/24/2003 0:1178"/>
    <s v="Shipped"/>
    <x v="0"/>
    <s v="Shipped"/>
  </r>
  <r>
    <n v="4116.8"/>
    <s v="2/24/2003 0:1179"/>
    <s v="Shipped"/>
    <x v="0"/>
    <s v="Shipped"/>
  </r>
  <r>
    <n v="4310.55"/>
    <s v="2/24/2003 0:1180"/>
    <s v="Shipped"/>
    <x v="0"/>
    <s v="Shipped"/>
  </r>
  <r>
    <n v="6446.7"/>
    <s v="2/24/2003 0:1181"/>
    <s v="Shipped"/>
    <x v="0"/>
    <s v="Shipped"/>
  </r>
  <r>
    <n v="3616.64"/>
    <s v="2/24/2003 0:1182"/>
    <s v="Shipped"/>
    <x v="0"/>
    <s v="Shipped"/>
  </r>
  <r>
    <n v="4232.76"/>
    <s v="2/24/2003 0:1183"/>
    <s v="Shipped"/>
    <x v="0"/>
    <s v="Shipped"/>
  </r>
  <r>
    <n v="1765.66"/>
    <s v="2/24/2003 0:1184"/>
    <s v="Shipped"/>
    <x v="0"/>
    <s v="Shipped"/>
  </r>
  <r>
    <n v="3734.72"/>
    <s v="2/24/2003 0:1185"/>
    <s v="Shipped"/>
    <x v="0"/>
    <s v="Shipped"/>
  </r>
  <r>
    <n v="4808.38"/>
    <s v="2/24/2003 0:1186"/>
    <s v="Resolved"/>
    <x v="1"/>
    <s v="Resolved"/>
  </r>
  <r>
    <n v="2266.56"/>
    <s v="2/24/2003 0:1187"/>
    <s v="Shipped"/>
    <x v="0"/>
    <s v="Shipped"/>
  </r>
  <r>
    <n v="10468.9"/>
    <s v="2/24/2003 0:1188"/>
    <s v="Disputed"/>
    <x v="1"/>
    <s v="Disputed"/>
  </r>
  <r>
    <n v="5589.14"/>
    <s v="2/24/2003 0:1189"/>
    <s v="Shipped"/>
    <x v="0"/>
    <s v="Shipped"/>
  </r>
  <r>
    <n v="2914.11"/>
    <s v="2/24/2003 0:1190"/>
    <s v="Shipped"/>
    <x v="0"/>
    <s v="Shipped"/>
  </r>
  <r>
    <n v="1740.9"/>
    <s v="2/24/2003 0:1191"/>
    <s v="Shipped"/>
    <x v="0"/>
    <s v="Shipped"/>
  </r>
  <r>
    <n v="2266.1999999999998"/>
    <s v="2/24/2003 0:1192"/>
    <s v="Shipped"/>
    <x v="0"/>
    <s v="Shipped"/>
  </r>
  <r>
    <n v="3155.58"/>
    <s v="2/24/2003 0:1193"/>
    <s v="Shipped"/>
    <x v="0"/>
    <s v="Shipped"/>
  </r>
  <r>
    <n v="1357.86"/>
    <s v="2/24/2003 0:1194"/>
    <s v="Shipped"/>
    <x v="0"/>
    <s v="Shipped"/>
  </r>
  <r>
    <n v="2598.8200000000002"/>
    <s v="2/24/2003 0:1195"/>
    <s v="Shipped"/>
    <x v="0"/>
    <s v="Shipped"/>
  </r>
  <r>
    <n v="1057.56"/>
    <s v="2/24/2003 0:1196"/>
    <s v="Shipped"/>
    <x v="0"/>
    <s v="Shipped"/>
  </r>
  <r>
    <n v="3127.82"/>
    <s v="2/24/2003 0:1197"/>
    <s v="Shipped"/>
    <x v="0"/>
    <s v="Shipped"/>
  </r>
  <r>
    <n v="2488.14"/>
    <s v="2/24/2003 0:1198"/>
    <s v="Shipped"/>
    <x v="0"/>
    <s v="Shipped"/>
  </r>
  <r>
    <n v="2220.7199999999998"/>
    <s v="2/24/2003 0:1199"/>
    <s v="Shipped"/>
    <x v="0"/>
    <s v="Shipped"/>
  </r>
  <r>
    <n v="1357.72"/>
    <s v="2/24/2003 0:1200"/>
    <s v="Shipped"/>
    <x v="0"/>
    <s v="Shipped"/>
  </r>
  <r>
    <n v="1638.04"/>
    <s v="2/24/2003 0:1201"/>
    <s v="Shipped"/>
    <x v="0"/>
    <s v="Shipped"/>
  </r>
  <r>
    <n v="2626.08"/>
    <s v="2/24/2003 0:1202"/>
    <s v="Shipped"/>
    <x v="0"/>
    <s v="Shipped"/>
  </r>
  <r>
    <n v="1661.88"/>
    <s v="2/24/2003 0:1203"/>
    <s v="Shipped"/>
    <x v="0"/>
    <s v="Shipped"/>
  </r>
  <r>
    <n v="2173.6"/>
    <s v="2/24/2003 0:1204"/>
    <s v="Shipped"/>
    <x v="0"/>
    <s v="Shipped"/>
  </r>
  <r>
    <n v="2182.0500000000002"/>
    <s v="2/24/2003 0:1205"/>
    <s v="Shipped"/>
    <x v="0"/>
    <s v="Shipped"/>
  </r>
  <r>
    <n v="2819.88"/>
    <s v="2/24/2003 0:1206"/>
    <s v="Shipped"/>
    <x v="0"/>
    <s v="Shipped"/>
  </r>
  <r>
    <n v="2598.64"/>
    <s v="2/24/2003 0:1207"/>
    <s v="Shipped"/>
    <x v="0"/>
    <s v="Shipped"/>
  </r>
  <r>
    <n v="2019.27"/>
    <s v="2/24/2003 0:1208"/>
    <s v="Shipped"/>
    <x v="0"/>
    <s v="Shipped"/>
  </r>
  <r>
    <n v="1454.7"/>
    <s v="2/24/2003 0:1209"/>
    <s v="Shipped"/>
    <x v="0"/>
    <s v="Shipped"/>
  </r>
  <r>
    <n v="1657.57"/>
    <s v="2/24/2003 0:1210"/>
    <s v="Shipped"/>
    <x v="0"/>
    <s v="Shipped"/>
  </r>
  <r>
    <n v="2851.84"/>
    <s v="2/24/2003 0:1211"/>
    <s v="Shipped"/>
    <x v="0"/>
    <s v="Shipped"/>
  </r>
  <r>
    <n v="4609.6400000000003"/>
    <s v="2/24/2003 0:1212"/>
    <s v="Shipped"/>
    <x v="0"/>
    <s v="Shipped"/>
  </r>
  <r>
    <n v="5079.96"/>
    <s v="2/24/2003 0:1213"/>
    <s v="Shipped"/>
    <x v="0"/>
    <s v="Shipped"/>
  </r>
  <r>
    <n v="1879.92"/>
    <s v="2/24/2003 0:1214"/>
    <s v="Shipped"/>
    <x v="0"/>
    <s v="Shipped"/>
  </r>
  <r>
    <n v="4774.8599999999997"/>
    <s v="2/24/2003 0:1215"/>
    <s v="Shipped"/>
    <x v="0"/>
    <s v="Shipped"/>
  </r>
  <r>
    <n v="2687.04"/>
    <s v="2/24/2003 0:1216"/>
    <s v="Shipped"/>
    <x v="0"/>
    <s v="Shipped"/>
  </r>
  <r>
    <n v="3423.75"/>
    <s v="2/24/2003 0:1217"/>
    <s v="Shipped"/>
    <x v="0"/>
    <s v="Shipped"/>
  </r>
  <r>
    <n v="3455.76"/>
    <s v="2/24/2003 0:1218"/>
    <s v="Shipped"/>
    <x v="0"/>
    <s v="Shipped"/>
  </r>
  <r>
    <n v="3622.97"/>
    <s v="2/24/2003 0:1219"/>
    <s v="Shipped"/>
    <x v="0"/>
    <s v="Shipped"/>
  </r>
  <r>
    <n v="3599.58"/>
    <s v="2/24/2003 0:1220"/>
    <s v="Cancelled"/>
    <x v="1"/>
    <s v="Cancelled"/>
  </r>
  <r>
    <n v="5386.56"/>
    <s v="2/24/2003 0:1221"/>
    <s v="Shipped"/>
    <x v="0"/>
    <s v="Shipped"/>
  </r>
  <r>
    <n v="4918.78"/>
    <s v="2/24/2003 0:1222"/>
    <s v="Shipped"/>
    <x v="0"/>
    <s v="Shipped"/>
  </r>
  <r>
    <n v="2538.8000000000002"/>
    <s v="2/24/2003 0:1223"/>
    <s v="Shipped"/>
    <x v="0"/>
    <s v="Shipped"/>
  </r>
  <r>
    <n v="2498.6"/>
    <s v="2/24/2003 0:1224"/>
    <s v="Shipped"/>
    <x v="0"/>
    <s v="Shipped"/>
  </r>
  <r>
    <n v="3858.75"/>
    <s v="2/24/2003 0:1225"/>
    <s v="Shipped"/>
    <x v="0"/>
    <s v="Shipped"/>
  </r>
  <r>
    <n v="5600.5"/>
    <s v="2/24/2003 0:1226"/>
    <s v="Shipped"/>
    <x v="0"/>
    <s v="Shipped"/>
  </r>
  <r>
    <n v="4103.46"/>
    <s v="2/24/2003 0:1227"/>
    <s v="Cancelled"/>
    <x v="1"/>
    <s v="Cancelled"/>
  </r>
  <r>
    <n v="4287.5"/>
    <s v="2/24/2003 0:1228"/>
    <s v="Shipped"/>
    <x v="0"/>
    <s v="Shipped"/>
  </r>
  <r>
    <n v="5795.54"/>
    <s v="2/24/2003 0:1229"/>
    <s v="Shipped"/>
    <x v="0"/>
    <s v="Shipped"/>
  </r>
  <r>
    <n v="1863.4"/>
    <s v="2/24/2003 0:1230"/>
    <s v="Shipped"/>
    <x v="0"/>
    <s v="Shipped"/>
  </r>
  <r>
    <n v="4166.88"/>
    <s v="2/24/2003 0:1231"/>
    <s v="Shipped"/>
    <x v="0"/>
    <s v="Shipped"/>
  </r>
  <r>
    <n v="4080.07"/>
    <s v="2/24/2003 0:1232"/>
    <s v="Shipped"/>
    <x v="0"/>
    <s v="Shipped"/>
  </r>
  <r>
    <n v="3815.48"/>
    <s v="2/24/2003 0:1233"/>
    <s v="Shipped"/>
    <x v="0"/>
    <s v="Shipped"/>
  </r>
  <r>
    <n v="5526.45"/>
    <s v="2/24/2003 0:1234"/>
    <s v="Shipped"/>
    <x v="0"/>
    <s v="Shipped"/>
  </r>
  <r>
    <n v="3374.6"/>
    <s v="2/24/2003 0:1235"/>
    <s v="Shipped"/>
    <x v="0"/>
    <s v="Shipped"/>
  </r>
  <r>
    <n v="3024.5"/>
    <s v="2/24/2003 0:1236"/>
    <s v="Shipped"/>
    <x v="0"/>
    <s v="Shipped"/>
  </r>
  <r>
    <n v="1266.0999999999999"/>
    <s v="2/24/2003 0:1237"/>
    <s v="Resolved"/>
    <x v="1"/>
    <s v="Resolved"/>
  </r>
  <r>
    <n v="4811.8500000000004"/>
    <s v="2/24/2003 0:1238"/>
    <s v="Shipped"/>
    <x v="0"/>
    <s v="Shipped"/>
  </r>
  <r>
    <n v="7307.42"/>
    <s v="2/24/2003 0:1239"/>
    <s v="Shipped"/>
    <x v="0"/>
    <s v="Shipped"/>
  </r>
  <r>
    <n v="6209.25"/>
    <s v="2/24/2003 0:1240"/>
    <s v="Disputed"/>
    <x v="1"/>
    <s v="Disputed"/>
  </r>
  <r>
    <n v="5348.5"/>
    <s v="2/24/2003 0:1241"/>
    <s v="Shipped"/>
    <x v="0"/>
    <s v="Shipped"/>
  </r>
  <r>
    <n v="2780.58"/>
    <s v="2/24/2003 0:1242"/>
    <s v="Shipped"/>
    <x v="0"/>
    <s v="Shipped"/>
  </r>
  <r>
    <n v="3447"/>
    <s v="2/24/2003 0:1243"/>
    <s v="Shipped"/>
    <x v="0"/>
    <s v="Shipped"/>
  </r>
  <r>
    <n v="3791.52"/>
    <s v="2/24/2003 0:1244"/>
    <s v="Shipped"/>
    <x v="0"/>
    <s v="Shipped"/>
  </r>
  <r>
    <n v="4524.1000000000004"/>
    <s v="2/24/2003 0:1245"/>
    <s v="Shipped"/>
    <x v="0"/>
    <s v="Shipped"/>
  </r>
  <r>
    <n v="3337.6"/>
    <s v="2/24/2003 0:1246"/>
    <s v="Shipped"/>
    <x v="0"/>
    <s v="Shipped"/>
  </r>
  <r>
    <n v="5532.12"/>
    <s v="2/24/2003 0:1247"/>
    <s v="Shipped"/>
    <x v="0"/>
    <s v="Shipped"/>
  </r>
  <r>
    <n v="5096.91"/>
    <s v="2/24/2003 0:1248"/>
    <s v="Shipped"/>
    <x v="0"/>
    <s v="Shipped"/>
  </r>
  <r>
    <n v="4537.08"/>
    <s v="2/24/2003 0:1249"/>
    <s v="Shipped"/>
    <x v="0"/>
    <s v="Shipped"/>
  </r>
  <r>
    <n v="6146.8"/>
    <s v="2/24/2003 0:1250"/>
    <s v="Shipped"/>
    <x v="0"/>
    <s v="Shipped"/>
  </r>
  <r>
    <n v="8258"/>
    <s v="2/24/2003 0:1251"/>
    <s v="Shipped"/>
    <x v="0"/>
    <s v="Shipped"/>
  </r>
  <r>
    <n v="7238.28"/>
    <s v="2/24/2003 0:1252"/>
    <s v="Shipped"/>
    <x v="0"/>
    <s v="Shipped"/>
  </r>
  <r>
    <n v="6756"/>
    <s v="2/24/2003 0:1253"/>
    <s v="Shipped"/>
    <x v="0"/>
    <s v="Shipped"/>
  </r>
  <r>
    <n v="3734"/>
    <s v="2/24/2003 0:1254"/>
    <s v="Shipped"/>
    <x v="0"/>
    <s v="Shipped"/>
  </r>
  <r>
    <n v="4674.8"/>
    <s v="2/24/2003 0:1255"/>
    <s v="Shipped"/>
    <x v="0"/>
    <s v="Shipped"/>
  </r>
  <r>
    <n v="7140.76"/>
    <s v="2/24/2003 0:1256"/>
    <s v="Shipped"/>
    <x v="0"/>
    <s v="Shipped"/>
  </r>
  <r>
    <n v="3600.65"/>
    <s v="2/24/2003 0:1257"/>
    <s v="Shipped"/>
    <x v="0"/>
    <s v="Shipped"/>
  </r>
  <r>
    <n v="4206.74"/>
    <s v="2/24/2003 0:1258"/>
    <s v="Shipped"/>
    <x v="0"/>
    <s v="Shipped"/>
  </r>
  <r>
    <n v="5379.71"/>
    <s v="2/24/2003 0:1259"/>
    <s v="Shipped"/>
    <x v="0"/>
    <s v="Shipped"/>
  </r>
  <r>
    <n v="5679.36"/>
    <s v="2/24/2003 0:1260"/>
    <s v="Shipped"/>
    <x v="0"/>
    <s v="Shipped"/>
  </r>
  <r>
    <n v="4394.84"/>
    <s v="2/24/2003 0:1261"/>
    <s v="Shipped"/>
    <x v="0"/>
    <s v="Shipped"/>
  </r>
  <r>
    <n v="2528.25"/>
    <s v="2/24/2003 0:1262"/>
    <s v="Shipped"/>
    <x v="0"/>
    <s v="Shipped"/>
  </r>
  <r>
    <n v="7031.52"/>
    <s v="2/24/2003 0:1263"/>
    <s v="Shipped"/>
    <x v="0"/>
    <s v="Shipped"/>
  </r>
  <r>
    <n v="5340.9"/>
    <s v="2/24/2003 0:1264"/>
    <s v="Shipped"/>
    <x v="0"/>
    <s v="Shipped"/>
  </r>
  <r>
    <n v="6376.58"/>
    <s v="2/24/2003 0:1265"/>
    <s v="Shipped"/>
    <x v="0"/>
    <s v="Shipped"/>
  </r>
  <r>
    <n v="6896.75"/>
    <s v="2/24/2003 0:1266"/>
    <s v="Shipped"/>
    <x v="0"/>
    <s v="Shipped"/>
  </r>
  <r>
    <n v="1903.22"/>
    <s v="2/24/2003 0:1267"/>
    <s v="Shipped"/>
    <x v="0"/>
    <s v="Shipped"/>
  </r>
  <r>
    <n v="2499.56"/>
    <s v="2/24/2003 0:1268"/>
    <s v="Shipped"/>
    <x v="0"/>
    <s v="Shipped"/>
  </r>
  <r>
    <n v="3081.24"/>
    <s v="2/24/2003 0:1269"/>
    <s v="Shipped"/>
    <x v="0"/>
    <s v="Shipped"/>
  </r>
  <r>
    <n v="3598.22"/>
    <s v="2/24/2003 0:1270"/>
    <s v="Shipped"/>
    <x v="0"/>
    <s v="Shipped"/>
  </r>
  <r>
    <n v="3912.09"/>
    <s v="2/24/2003 0:1271"/>
    <s v="Shipped"/>
    <x v="0"/>
    <s v="Shipped"/>
  </r>
  <r>
    <n v="1584.66"/>
    <s v="2/24/2003 0:1272"/>
    <s v="Shipped"/>
    <x v="0"/>
    <s v="Shipped"/>
  </r>
  <r>
    <n v="3942.72"/>
    <s v="2/24/2003 0:1273"/>
    <s v="Shipped"/>
    <x v="0"/>
    <s v="Shipped"/>
  </r>
  <r>
    <n v="2341.1999999999998"/>
    <s v="2/24/2003 0:1274"/>
    <s v="Shipped"/>
    <x v="0"/>
    <s v="Shipped"/>
  </r>
  <r>
    <n v="2482.11"/>
    <s v="2/24/2003 0:1275"/>
    <s v="Shipped"/>
    <x v="0"/>
    <s v="Shipped"/>
  </r>
  <r>
    <n v="3602.02"/>
    <s v="2/24/2003 0:1276"/>
    <s v="Shipped"/>
    <x v="0"/>
    <s v="Shipped"/>
  </r>
  <r>
    <n v="3566.94"/>
    <s v="2/24/2003 0:1277"/>
    <s v="Shipped"/>
    <x v="0"/>
    <s v="Shipped"/>
  </r>
  <r>
    <n v="3787.98"/>
    <s v="2/24/2003 0:1278"/>
    <s v="Shipped"/>
    <x v="0"/>
    <s v="Shipped"/>
  </r>
  <r>
    <n v="3704.05"/>
    <s v="2/24/2003 0:1279"/>
    <s v="Shipped"/>
    <x v="0"/>
    <s v="Shipped"/>
  </r>
  <r>
    <n v="2834.65"/>
    <s v="2/24/2003 0:1280"/>
    <s v="Shipped"/>
    <x v="0"/>
    <s v="Shipped"/>
  </r>
  <r>
    <n v="3392.26"/>
    <s v="2/24/2003 0:1281"/>
    <s v="Shipped"/>
    <x v="0"/>
    <s v="Shipped"/>
  </r>
  <r>
    <n v="3358.31"/>
    <s v="2/24/2003 0:1282"/>
    <s v="Shipped"/>
    <x v="0"/>
    <s v="Shipped"/>
  </r>
  <r>
    <n v="7310"/>
    <s v="2/24/2003 0:1283"/>
    <s v="Shipped"/>
    <x v="0"/>
    <s v="Shipped"/>
  </r>
  <r>
    <n v="2203.11"/>
    <s v="2/24/2003 0:1284"/>
    <s v="Shipped"/>
    <x v="0"/>
    <s v="Shipped"/>
  </r>
  <r>
    <n v="2696.96"/>
    <s v="2/24/2003 0:1285"/>
    <s v="Resolved"/>
    <x v="1"/>
    <s v="Resolved"/>
  </r>
  <r>
    <n v="3376.64"/>
    <s v="2/24/2003 0:1286"/>
    <s v="Shipped"/>
    <x v="0"/>
    <s v="Shipped"/>
  </r>
  <r>
    <n v="541.14"/>
    <s v="2/24/2003 0:1287"/>
    <s v="On Hold"/>
    <x v="1"/>
    <s v="On Hold"/>
  </r>
  <r>
    <n v="6134.7"/>
    <s v="2/24/2003 0:1288"/>
    <s v="In Process"/>
    <x v="1"/>
    <s v="In Process"/>
  </r>
  <r>
    <n v="3382.5"/>
    <s v="2/24/2003 0:1289"/>
    <s v="Shipped"/>
    <x v="0"/>
    <s v="Shipped"/>
  </r>
  <r>
    <n v="2240.66"/>
    <s v="2/24/2003 0:1290"/>
    <s v="Shipped"/>
    <x v="0"/>
    <s v="Shipped"/>
  </r>
  <r>
    <n v="3962.88"/>
    <s v="2/24/2003 0:1291"/>
    <s v="Shipped"/>
    <x v="0"/>
    <s v="Shipped"/>
  </r>
  <r>
    <n v="1685.28"/>
    <s v="2/24/2003 0:1292"/>
    <s v="Shipped"/>
    <x v="0"/>
    <s v="Shipped"/>
  </r>
  <r>
    <n v="1834.36"/>
    <s v="2/24/2003 0:1293"/>
    <s v="Shipped"/>
    <x v="0"/>
    <s v="Shipped"/>
  </r>
  <r>
    <n v="1916.98"/>
    <s v="2/24/2003 0:1294"/>
    <s v="Shipped"/>
    <x v="0"/>
    <s v="Shipped"/>
  </r>
  <r>
    <n v="2611"/>
    <s v="2/24/2003 0:1295"/>
    <s v="Shipped"/>
    <x v="0"/>
    <s v="Shipped"/>
  </r>
  <r>
    <n v="3630.28"/>
    <s v="2/24/2003 0:1296"/>
    <s v="Shipped"/>
    <x v="0"/>
    <s v="Shipped"/>
  </r>
  <r>
    <n v="5090.5"/>
    <s v="2/24/2003 0:1297"/>
    <s v="Shipped"/>
    <x v="0"/>
    <s v="Shipped"/>
  </r>
  <r>
    <n v="3949.65"/>
    <s v="2/24/2003 0:1298"/>
    <s v="Shipped"/>
    <x v="0"/>
    <s v="Shipped"/>
  </r>
  <r>
    <n v="3491.67"/>
    <s v="2/24/2003 0:1299"/>
    <s v="Shipped"/>
    <x v="0"/>
    <s v="Shipped"/>
  </r>
  <r>
    <n v="2059.19"/>
    <s v="2/24/2003 0:1300"/>
    <s v="Shipped"/>
    <x v="0"/>
    <s v="Shipped"/>
  </r>
  <r>
    <n v="3170.16"/>
    <s v="2/24/2003 0:1301"/>
    <s v="Cancelled"/>
    <x v="1"/>
    <s v="Cancelled"/>
  </r>
  <r>
    <n v="1790.6"/>
    <s v="2/24/2003 0:1302"/>
    <s v="Shipped"/>
    <x v="0"/>
    <s v="Shipped"/>
  </r>
  <r>
    <n v="2345.9699999999998"/>
    <s v="2/24/2003 0:1303"/>
    <s v="Shipped"/>
    <x v="0"/>
    <s v="Shipped"/>
  </r>
  <r>
    <n v="3580.88"/>
    <s v="2/24/2003 0:1304"/>
    <s v="Shipped"/>
    <x v="0"/>
    <s v="Shipped"/>
  </r>
  <r>
    <n v="4946.0600000000004"/>
    <s v="2/24/2003 0:1305"/>
    <s v="Shipped"/>
    <x v="0"/>
    <s v="Shipped"/>
  </r>
  <r>
    <n v="3525.6"/>
    <s v="2/24/2003 0:1306"/>
    <s v="Shipped"/>
    <x v="0"/>
    <s v="Shipped"/>
  </r>
  <r>
    <n v="3602.16"/>
    <s v="2/24/2003 0:1307"/>
    <s v="Shipped"/>
    <x v="0"/>
    <s v="Shipped"/>
  </r>
  <r>
    <n v="4300.5"/>
    <s v="2/24/2003 0:1308"/>
    <s v="Shipped"/>
    <x v="0"/>
    <s v="Shipped"/>
  </r>
  <r>
    <n v="4498.1899999999996"/>
    <s v="2/24/2003 0:1309"/>
    <s v="Shipped"/>
    <x v="0"/>
    <s v="Shipped"/>
  </r>
  <r>
    <n v="3023.1"/>
    <s v="2/24/2003 0:1310"/>
    <s v="Shipped"/>
    <x v="0"/>
    <s v="Shipped"/>
  </r>
  <r>
    <n v="3562.49"/>
    <s v="2/24/2003 0:1311"/>
    <s v="Shipped"/>
    <x v="0"/>
    <s v="Shipped"/>
  </r>
  <r>
    <n v="1640.24"/>
    <s v="2/24/2003 0:1312"/>
    <s v="Shipped"/>
    <x v="0"/>
    <s v="Shipped"/>
  </r>
  <r>
    <n v="4739.3999999999996"/>
    <s v="2/24/2003 0:1313"/>
    <s v="Shipped"/>
    <x v="0"/>
    <s v="Shipped"/>
  </r>
  <r>
    <n v="1207.68"/>
    <s v="2/24/2003 0:1314"/>
    <s v="On Hold"/>
    <x v="1"/>
    <s v="On Hold"/>
  </r>
  <r>
    <n v="4228.2"/>
    <s v="2/24/2003 0:1315"/>
    <s v="Shipped"/>
    <x v="0"/>
    <s v="Shipped"/>
  </r>
  <r>
    <n v="4815.45"/>
    <s v="2/24/2003 0:1316"/>
    <s v="Shipped"/>
    <x v="0"/>
    <s v="Shipped"/>
  </r>
  <r>
    <n v="7083"/>
    <s v="2/24/2003 0:1317"/>
    <s v="Shipped"/>
    <x v="0"/>
    <s v="Shipped"/>
  </r>
  <r>
    <n v="4601.2"/>
    <s v="2/24/2003 0:1318"/>
    <s v="Shipped"/>
    <x v="0"/>
    <s v="Shipped"/>
  </r>
  <r>
    <n v="6467.02"/>
    <s v="2/24/2003 0:1319"/>
    <s v="Shipped"/>
    <x v="0"/>
    <s v="Shipped"/>
  </r>
  <r>
    <n v="5012.55"/>
    <s v="2/24/2003 0:1320"/>
    <s v="Resolved"/>
    <x v="1"/>
    <s v="Resolved"/>
  </r>
  <r>
    <n v="5121.59"/>
    <s v="2/24/2003 0:1321"/>
    <s v="Shipped"/>
    <x v="0"/>
    <s v="Shipped"/>
  </r>
  <r>
    <n v="2441.04"/>
    <s v="2/24/2003 0:1322"/>
    <s v="Shipped"/>
    <x v="0"/>
    <s v="Shipped"/>
  </r>
  <r>
    <n v="4262.08"/>
    <s v="2/24/2003 0:1323"/>
    <s v="Shipped"/>
    <x v="0"/>
    <s v="Shipped"/>
  </r>
  <r>
    <n v="6658.02"/>
    <s v="2/24/2003 0:1324"/>
    <s v="Shipped"/>
    <x v="0"/>
    <s v="Shipped"/>
  </r>
  <r>
    <n v="4509.08"/>
    <s v="2/24/2003 0:1325"/>
    <s v="Shipped"/>
    <x v="0"/>
    <s v="Shipped"/>
  </r>
  <r>
    <n v="4716.2299999999996"/>
    <s v="2/24/2003 0:1326"/>
    <s v="Shipped"/>
    <x v="0"/>
    <s v="Shipped"/>
  </r>
  <r>
    <n v="2390.2199999999998"/>
    <s v="2/24/2003 0:1327"/>
    <s v="Shipped"/>
    <x v="0"/>
    <s v="Shipped"/>
  </r>
  <r>
    <n v="4666.62"/>
    <s v="2/24/2003 0:1328"/>
    <s v="Shipped"/>
    <x v="0"/>
    <s v="Shipped"/>
  </r>
  <r>
    <n v="5383.08"/>
    <s v="2/24/2003 0:1329"/>
    <s v="Shipped"/>
    <x v="0"/>
    <s v="Shipped"/>
  </r>
  <r>
    <n v="2482.25"/>
    <s v="2/24/2003 0:1330"/>
    <s v="Shipped"/>
    <x v="0"/>
    <s v="Shipped"/>
  </r>
  <r>
    <n v="5288.64"/>
    <s v="2/24/2003 0:1331"/>
    <s v="Shipped"/>
    <x v="0"/>
    <s v="Shipped"/>
  </r>
  <r>
    <n v="2184.38"/>
    <s v="2/24/2003 0:1332"/>
    <s v="Shipped"/>
    <x v="0"/>
    <s v="Shipped"/>
  </r>
  <r>
    <n v="2881.76"/>
    <s v="2/24/2003 0:1333"/>
    <s v="Shipped"/>
    <x v="0"/>
    <s v="Shipped"/>
  </r>
  <r>
    <n v="6203.06"/>
    <s v="2/24/2003 0:1334"/>
    <s v="Shipped"/>
    <x v="0"/>
    <s v="Shipped"/>
  </r>
  <r>
    <n v="6763.47"/>
    <s v="2/24/2003 0:1335"/>
    <s v="On Hold"/>
    <x v="1"/>
    <s v="On Hold"/>
  </r>
  <r>
    <n v="5884.65"/>
    <s v="2/24/2003 0:1336"/>
    <s v="Shipped"/>
    <x v="0"/>
    <s v="Shipped"/>
  </r>
  <r>
    <n v="3559.64"/>
    <s v="2/24/2003 0:1337"/>
    <s v="Shipped"/>
    <x v="0"/>
    <s v="Shipped"/>
  </r>
  <r>
    <n v="1668.37"/>
    <s v="2/24/2003 0:1338"/>
    <s v="Shipped"/>
    <x v="0"/>
    <s v="Shipped"/>
  </r>
  <r>
    <n v="4890.6000000000004"/>
    <s v="2/24/2003 0:1339"/>
    <s v="Shipped"/>
    <x v="0"/>
    <s v="Shipped"/>
  </r>
  <r>
    <n v="5235.72"/>
    <s v="2/24/2003 0:1340"/>
    <s v="Shipped"/>
    <x v="0"/>
    <s v="Shipped"/>
  </r>
  <r>
    <n v="4325.16"/>
    <s v="2/24/2003 0:1341"/>
    <s v="In Process"/>
    <x v="1"/>
    <s v="In Process"/>
  </r>
  <r>
    <n v="1938.89"/>
    <s v="2/24/2003 0:1342"/>
    <s v="Shipped"/>
    <x v="0"/>
    <s v="Shipped"/>
  </r>
  <r>
    <n v="2490.5"/>
    <s v="2/24/2003 0:1343"/>
    <s v="Shipped"/>
    <x v="0"/>
    <s v="Shipped"/>
  </r>
  <r>
    <n v="2314.69"/>
    <s v="2/24/2003 0:1344"/>
    <s v="Shipped"/>
    <x v="0"/>
    <s v="Shipped"/>
  </r>
  <r>
    <n v="1254.83"/>
    <s v="2/24/2003 0:1345"/>
    <s v="Shipped"/>
    <x v="0"/>
    <s v="Shipped"/>
  </r>
  <r>
    <n v="1282.8"/>
    <s v="2/24/2003 0:1346"/>
    <s v="Shipped"/>
    <x v="0"/>
    <s v="Shipped"/>
  </r>
  <r>
    <n v="1345.75"/>
    <s v="2/24/2003 0:1347"/>
    <s v="Resolved"/>
    <x v="1"/>
    <s v="Resolved"/>
  </r>
  <r>
    <n v="2194.2199999999998"/>
    <s v="2/24/2003 0:1348"/>
    <s v="Shipped"/>
    <x v="0"/>
    <s v="Shipped"/>
  </r>
  <r>
    <n v="1972"/>
    <s v="2/24/2003 0:1349"/>
    <s v="Shipped"/>
    <x v="0"/>
    <s v="Shipped"/>
  </r>
  <r>
    <n v="1835.98"/>
    <s v="2/24/2003 0:1350"/>
    <s v="Shipped"/>
    <x v="0"/>
    <s v="Shipped"/>
  </r>
  <r>
    <n v="1119.93"/>
    <s v="2/24/2003 0:1351"/>
    <s v="Shipped"/>
    <x v="0"/>
    <s v="Shipped"/>
  </r>
  <r>
    <n v="2082.88"/>
    <s v="2/24/2003 0:1352"/>
    <s v="Shipped"/>
    <x v="0"/>
    <s v="Shipped"/>
  </r>
  <r>
    <n v="1569.75"/>
    <s v="2/24/2003 0:1353"/>
    <s v="Shipped"/>
    <x v="0"/>
    <s v="Shipped"/>
  </r>
  <r>
    <n v="2694.15"/>
    <s v="2/24/2003 0:1354"/>
    <s v="Shipped"/>
    <x v="0"/>
    <s v="Shipped"/>
  </r>
  <r>
    <n v="1257.27"/>
    <s v="2/24/2003 0:1355"/>
    <s v="Shipped"/>
    <x v="0"/>
    <s v="Shipped"/>
  </r>
  <r>
    <n v="2567.84"/>
    <s v="2/24/2003 0:1356"/>
    <s v="Shipped"/>
    <x v="0"/>
    <s v="Shipped"/>
  </r>
  <r>
    <n v="2634.28"/>
    <s v="2/24/2003 0:1357"/>
    <s v="Shipped"/>
    <x v="0"/>
    <s v="Shipped"/>
  </r>
  <r>
    <n v="1502.78"/>
    <s v="2/24/2003 0:1358"/>
    <s v="Shipped"/>
    <x v="0"/>
    <s v="Shipped"/>
  </r>
  <r>
    <n v="1676.2"/>
    <s v="2/24/2003 0:1359"/>
    <s v="Shipped"/>
    <x v="0"/>
    <s v="Shipped"/>
  </r>
  <r>
    <n v="2217.15"/>
    <s v="2/24/2003 0:1360"/>
    <s v="Shipped"/>
    <x v="0"/>
    <s v="Shipped"/>
  </r>
  <r>
    <n v="6832.02"/>
    <s v="2/24/2003 0:1361"/>
    <s v="Shipped"/>
    <x v="0"/>
    <s v="Shipped"/>
  </r>
  <r>
    <n v="1916.64"/>
    <s v="2/24/2003 0:1362"/>
    <s v="Shipped"/>
    <x v="0"/>
    <s v="Shipped"/>
  </r>
  <r>
    <n v="7110.8"/>
    <s v="2/24/2003 0:1363"/>
    <s v="Shipped"/>
    <x v="0"/>
    <s v="Shipped"/>
  </r>
  <r>
    <n v="5302.8"/>
    <s v="2/24/2003 0:1364"/>
    <s v="Shipped"/>
    <x v="0"/>
    <s v="Shipped"/>
  </r>
  <r>
    <n v="2730"/>
    <s v="2/24/2003 0:1365"/>
    <s v="Shipped"/>
    <x v="0"/>
    <s v="Shipped"/>
  </r>
  <r>
    <n v="7827.3"/>
    <s v="2/24/2003 0:1366"/>
    <s v="Shipped"/>
    <x v="0"/>
    <s v="Shipped"/>
  </r>
  <r>
    <n v="2095.4499999999998"/>
    <s v="2/24/2003 0:1367"/>
    <s v="Shipped"/>
    <x v="0"/>
    <s v="Shipped"/>
  </r>
  <r>
    <n v="1556.62"/>
    <s v="2/24/2003 0:1368"/>
    <s v="In Process"/>
    <x v="1"/>
    <s v="In Process"/>
  </r>
  <r>
    <n v="5565.12"/>
    <s v="2/24/2003 0:1369"/>
    <s v="Shipped"/>
    <x v="0"/>
    <s v="Shipped"/>
  </r>
  <r>
    <n v="3583.16"/>
    <s v="2/24/2003 0:1370"/>
    <s v="Shipped"/>
    <x v="0"/>
    <s v="Shipped"/>
  </r>
  <r>
    <n v="4705.18"/>
    <s v="2/24/2003 0:1371"/>
    <s v="Shipped"/>
    <x v="0"/>
    <s v="Shipped"/>
  </r>
  <r>
    <n v="4444.54"/>
    <s v="2/24/2003 0:1372"/>
    <s v="Shipped"/>
    <x v="0"/>
    <s v="Shipped"/>
  </r>
  <r>
    <n v="4618.88"/>
    <s v="2/24/2003 0:1373"/>
    <s v="Shipped"/>
    <x v="0"/>
    <s v="Shipped"/>
  </r>
  <r>
    <n v="4910.3999999999996"/>
    <s v="2/24/2003 0:1374"/>
    <s v="Shipped"/>
    <x v="0"/>
    <s v="Shipped"/>
  </r>
  <r>
    <n v="5565.12"/>
    <s v="2/24/2003 0:1375"/>
    <s v="Shipped"/>
    <x v="0"/>
    <s v="Shipped"/>
  </r>
  <r>
    <n v="4237.76"/>
    <s v="2/24/2003 0:1376"/>
    <s v="Shipped"/>
    <x v="0"/>
    <s v="Shipped"/>
  </r>
  <r>
    <n v="5673.58"/>
    <s v="2/24/2003 0:1377"/>
    <s v="Shipped"/>
    <x v="0"/>
    <s v="Shipped"/>
  </r>
  <r>
    <n v="5260.15"/>
    <s v="2/24/2003 0:1378"/>
    <s v="Shipped"/>
    <x v="0"/>
    <s v="Shipped"/>
  </r>
  <r>
    <n v="6350.96"/>
    <s v="2/24/2003 0:1379"/>
    <s v="Shipped"/>
    <x v="0"/>
    <s v="Shipped"/>
  </r>
  <r>
    <n v="3559.4"/>
    <s v="2/24/2003 0:1380"/>
    <s v="Shipped"/>
    <x v="0"/>
    <s v="Shipped"/>
  </r>
  <r>
    <n v="2410.6"/>
    <s v="2/24/2003 0:1381"/>
    <s v="Shipped"/>
    <x v="0"/>
    <s v="Shipped"/>
  </r>
  <r>
    <n v="5713.92"/>
    <s v="2/24/2003 0:1382"/>
    <s v="Shipped"/>
    <x v="0"/>
    <s v="Shipped"/>
  </r>
  <r>
    <n v="4300.32"/>
    <s v="2/24/2003 0:1383"/>
    <s v="Shipped"/>
    <x v="0"/>
    <s v="Shipped"/>
  </r>
  <r>
    <n v="7947.31"/>
    <s v="2/24/2003 0:1384"/>
    <s v="Shipped"/>
    <x v="0"/>
    <s v="Shipped"/>
  </r>
  <r>
    <n v="5356.8"/>
    <s v="2/24/2003 0:1385"/>
    <s v="Shipped"/>
    <x v="0"/>
    <s v="Shipped"/>
  </r>
  <r>
    <n v="7901.1"/>
    <s v="2/24/2003 0:1386"/>
    <s v="Shipped"/>
    <x v="0"/>
    <s v="Shipped"/>
  </r>
  <r>
    <n v="6101"/>
    <s v="2/24/2003 0:1387"/>
    <s v="Shipped"/>
    <x v="0"/>
    <s v="Shipped"/>
  </r>
  <r>
    <n v="6276.46"/>
    <s v="2/24/2003 0:1388"/>
    <s v="Shipped"/>
    <x v="0"/>
    <s v="Shipped"/>
  </r>
  <r>
    <n v="4203.5"/>
    <s v="2/24/2003 0:1389"/>
    <s v="Shipped"/>
    <x v="0"/>
    <s v="Shipped"/>
  </r>
  <r>
    <n v="1629.04"/>
    <s v="2/24/2003 0:1390"/>
    <s v="Shipped"/>
    <x v="0"/>
    <s v="Shipped"/>
  </r>
  <r>
    <n v="3289.86"/>
    <s v="2/24/2003 0:1391"/>
    <s v="Shipped"/>
    <x v="0"/>
    <s v="Shipped"/>
  </r>
  <r>
    <n v="6862.94"/>
    <s v="2/24/2003 0:1392"/>
    <s v="Shipped"/>
    <x v="0"/>
    <s v="Shipped"/>
  </r>
  <r>
    <n v="2574.1799999999998"/>
    <s v="2/24/2003 0:1393"/>
    <s v="Shipped"/>
    <x v="0"/>
    <s v="Shipped"/>
  </r>
  <r>
    <n v="1327.79"/>
    <s v="2/24/2003 0:1394"/>
    <s v="Shipped"/>
    <x v="0"/>
    <s v="Shipped"/>
  </r>
  <r>
    <n v="2356.25"/>
    <s v="2/24/2003 0:1395"/>
    <s v="Shipped"/>
    <x v="0"/>
    <s v="Shipped"/>
  </r>
  <r>
    <n v="2013.5"/>
    <s v="2/24/2003 0:1396"/>
    <s v="Shipped"/>
    <x v="0"/>
    <s v="Shipped"/>
  </r>
  <r>
    <n v="2807.22"/>
    <s v="2/24/2003 0:1397"/>
    <s v="Shipped"/>
    <x v="0"/>
    <s v="Shipped"/>
  </r>
  <r>
    <n v="3072.96"/>
    <s v="2/24/2003 0:1398"/>
    <s v="Shipped"/>
    <x v="0"/>
    <s v="Shipped"/>
  </r>
  <r>
    <n v="1906.5"/>
    <s v="2/24/2003 0:1399"/>
    <s v="Shipped"/>
    <x v="0"/>
    <s v="Shipped"/>
  </r>
  <r>
    <n v="3431.7"/>
    <s v="2/24/2003 0:1400"/>
    <s v="Shipped"/>
    <x v="0"/>
    <s v="Shipped"/>
  </r>
  <r>
    <n v="2084.75"/>
    <s v="2/24/2003 0:1401"/>
    <s v="Shipped"/>
    <x v="0"/>
    <s v="Shipped"/>
  </r>
  <r>
    <n v="2136.0100000000002"/>
    <s v="2/24/2003 0:1402"/>
    <s v="Shipped"/>
    <x v="0"/>
    <s v="Shipped"/>
  </r>
  <r>
    <n v="2009.7"/>
    <s v="2/24/2003 0:1403"/>
    <s v="Shipped"/>
    <x v="0"/>
    <s v="Shipped"/>
  </r>
  <r>
    <n v="2719.8"/>
    <s v="2/24/2003 0:1404"/>
    <s v="Shipped"/>
    <x v="0"/>
    <s v="Shipped"/>
  </r>
  <r>
    <n v="1575.08"/>
    <s v="2/24/2003 0:1405"/>
    <s v="Shipped"/>
    <x v="0"/>
    <s v="Shipped"/>
  </r>
  <r>
    <n v="1688.43"/>
    <s v="2/24/2003 0:1406"/>
    <s v="Shipped"/>
    <x v="0"/>
    <s v="Shipped"/>
  </r>
  <r>
    <n v="1672.1"/>
    <s v="2/24/2003 0:1407"/>
    <s v="Shipped"/>
    <x v="0"/>
    <s v="Shipped"/>
  </r>
  <r>
    <n v="1674.75"/>
    <s v="2/24/2003 0:1408"/>
    <s v="Shipped"/>
    <x v="0"/>
    <s v="Shipped"/>
  </r>
  <r>
    <n v="3472.98"/>
    <s v="2/24/2003 0:1409"/>
    <s v="Shipped"/>
    <x v="0"/>
    <s v="Shipped"/>
  </r>
  <r>
    <n v="1649.18"/>
    <s v="2/24/2003 0:1410"/>
    <s v="Shipped"/>
    <x v="0"/>
    <s v="Shipped"/>
  </r>
  <r>
    <n v="3751"/>
    <s v="2/24/2003 0:1411"/>
    <s v="Resolved"/>
    <x v="1"/>
    <s v="Resolved"/>
  </r>
  <r>
    <n v="4536"/>
    <s v="2/24/2003 0:1412"/>
    <s v="Shipped"/>
    <x v="0"/>
    <s v="Shipped"/>
  </r>
  <r>
    <n v="4421.34"/>
    <s v="2/24/2003 0:1413"/>
    <s v="On Hold"/>
    <x v="1"/>
    <s v="On Hold"/>
  </r>
  <r>
    <n v="2078.2800000000002"/>
    <s v="2/24/2003 0:1414"/>
    <s v="In Process"/>
    <x v="1"/>
    <s v="In Process"/>
  </r>
  <r>
    <n v="3069"/>
    <s v="2/24/2003 0:1415"/>
    <s v="Shipped"/>
    <x v="0"/>
    <s v="Shipped"/>
  </r>
  <r>
    <n v="1713.8"/>
    <s v="2/24/2003 0:1416"/>
    <s v="Shipped"/>
    <x v="0"/>
    <s v="Shipped"/>
  </r>
  <r>
    <n v="1506.5"/>
    <s v="2/24/2003 0:1417"/>
    <s v="Shipped"/>
    <x v="0"/>
    <s v="Shipped"/>
  </r>
  <r>
    <n v="2692.12"/>
    <s v="2/24/2003 0:1418"/>
    <s v="Shipped"/>
    <x v="0"/>
    <s v="Shipped"/>
  </r>
  <r>
    <n v="2422.08"/>
    <s v="2/24/2003 0:1419"/>
    <s v="Shipped"/>
    <x v="0"/>
    <s v="Shipped"/>
  </r>
  <r>
    <n v="3488.34"/>
    <s v="2/24/2003 0:1420"/>
    <s v="Shipped"/>
    <x v="0"/>
    <s v="Shipped"/>
  </r>
  <r>
    <n v="2583.34"/>
    <s v="2/24/2003 0:1421"/>
    <s v="Shipped"/>
    <x v="0"/>
    <s v="Shipped"/>
  </r>
  <r>
    <n v="1249.4000000000001"/>
    <s v="2/24/2003 0:1422"/>
    <s v="Shipped"/>
    <x v="0"/>
    <s v="Shipped"/>
  </r>
  <r>
    <n v="3374.71"/>
    <s v="2/24/2003 0:1423"/>
    <s v="Shipped"/>
    <x v="0"/>
    <s v="Shipped"/>
  </r>
  <r>
    <n v="1265.46"/>
    <s v="2/24/2003 0:1424"/>
    <s v="Shipped"/>
    <x v="0"/>
    <s v="Shipped"/>
  </r>
  <r>
    <n v="1681.46"/>
    <s v="2/24/2003 0:1425"/>
    <s v="Shipped"/>
    <x v="0"/>
    <s v="Shipped"/>
  </r>
  <r>
    <n v="3204"/>
    <s v="2/24/2003 0:1426"/>
    <s v="Shipped"/>
    <x v="0"/>
    <s v="Shipped"/>
  </r>
  <r>
    <n v="2398.7199999999998"/>
    <s v="2/24/2003 0:1427"/>
    <s v="Shipped"/>
    <x v="0"/>
    <s v="Shipped"/>
  </r>
  <r>
    <n v="2381.04"/>
    <s v="2/24/2003 0:1428"/>
    <s v="Shipped"/>
    <x v="0"/>
    <s v="Shipped"/>
  </r>
  <r>
    <n v="1944.54"/>
    <s v="2/24/2003 0:1429"/>
    <s v="Shipped"/>
    <x v="0"/>
    <s v="Shipped"/>
  </r>
  <r>
    <n v="2273.6999999999998"/>
    <s v="2/24/2003 0:1430"/>
    <s v="Shipped"/>
    <x v="0"/>
    <s v="Shipped"/>
  </r>
  <r>
    <n v="2116.5"/>
    <s v="2/24/2003 0:1431"/>
    <s v="Shipped"/>
    <x v="0"/>
    <s v="Shipped"/>
  </r>
  <r>
    <n v="1307.32"/>
    <s v="2/24/2003 0:1432"/>
    <s v="Shipped"/>
    <x v="0"/>
    <s v="Shipped"/>
  </r>
  <r>
    <n v="1726.37"/>
    <s v="2/24/2003 0:1433"/>
    <s v="Shipped"/>
    <x v="0"/>
    <s v="Shipped"/>
  </r>
  <r>
    <n v="1267.77"/>
    <s v="2/24/2003 0:1434"/>
    <s v="Resolved"/>
    <x v="1"/>
    <s v="Resolved"/>
  </r>
  <r>
    <n v="3441.82"/>
    <s v="2/24/2003 0:1435"/>
    <s v="Shipped"/>
    <x v="0"/>
    <s v="Shipped"/>
  </r>
  <r>
    <n v="1987.18"/>
    <s v="2/24/2003 0:1436"/>
    <s v="On Hold"/>
    <x v="1"/>
    <s v="On Hold"/>
  </r>
  <r>
    <n v="3880.2"/>
    <s v="2/24/2003 0:1437"/>
    <s v="In Process"/>
    <x v="1"/>
    <s v="In Process"/>
  </r>
  <r>
    <n v="1942.15"/>
    <s v="2/24/2003 0:1438"/>
    <s v="Shipped"/>
    <x v="0"/>
    <s v="Shipped"/>
  </r>
  <r>
    <n v="3259.92"/>
    <s v="2/24/2003 0:1439"/>
    <s v="Shipped"/>
    <x v="0"/>
    <s v="Shipped"/>
  </r>
  <r>
    <n v="1213.8"/>
    <s v="2/24/2003 0:1440"/>
    <s v="Shipped"/>
    <x v="0"/>
    <s v="Shipped"/>
  </r>
  <r>
    <n v="1086.5999999999999"/>
    <s v="2/24/2003 0:1441"/>
    <s v="Shipped"/>
    <x v="0"/>
    <s v="Shipped"/>
  </r>
  <r>
    <n v="1632.75"/>
    <s v="2/24/2003 0:1442"/>
    <s v="Shipped"/>
    <x v="0"/>
    <s v="Shipped"/>
  </r>
  <r>
    <n v="1734"/>
    <s v="2/24/2003 0:1443"/>
    <s v="Shipped"/>
    <x v="0"/>
    <s v="Shipped"/>
  </r>
  <r>
    <n v="1857.06"/>
    <s v="2/24/2003 0:1444"/>
    <s v="Shipped"/>
    <x v="0"/>
    <s v="Shipped"/>
  </r>
  <r>
    <n v="1863.41"/>
    <s v="2/24/2003 0:1445"/>
    <s v="Shipped"/>
    <x v="0"/>
    <s v="Shipped"/>
  </r>
  <r>
    <n v="2924.68"/>
    <s v="2/24/2003 0:1446"/>
    <s v="Shipped"/>
    <x v="0"/>
    <s v="Shipped"/>
  </r>
  <r>
    <n v="2294.1799999999998"/>
    <s v="2/24/2003 0:1447"/>
    <s v="Shipped"/>
    <x v="0"/>
    <s v="Shipped"/>
  </r>
  <r>
    <n v="1457.82"/>
    <s v="2/24/2003 0:1448"/>
    <s v="Shipped"/>
    <x v="0"/>
    <s v="Shipped"/>
  </r>
  <r>
    <n v="1955.88"/>
    <s v="2/24/2003 0:1449"/>
    <s v="Shipped"/>
    <x v="0"/>
    <s v="Shipped"/>
  </r>
  <r>
    <n v="2314.4"/>
    <s v="2/24/2003 0:1450"/>
    <s v="Shipped"/>
    <x v="0"/>
    <s v="Shipped"/>
  </r>
  <r>
    <n v="1310.96"/>
    <s v="2/24/2003 0:1451"/>
    <s v="Shipped"/>
    <x v="0"/>
    <s v="Shipped"/>
  </r>
  <r>
    <n v="2913.3"/>
    <s v="2/24/2003 0:1452"/>
    <s v="Shipped"/>
    <x v="0"/>
    <s v="Shipped"/>
  </r>
  <r>
    <n v="1357.78"/>
    <s v="2/24/2003 0:1453"/>
    <s v="Shipped"/>
    <x v="0"/>
    <s v="Shipped"/>
  </r>
  <r>
    <n v="2150"/>
    <s v="2/24/2003 0:1454"/>
    <s v="Shipped"/>
    <x v="0"/>
    <s v="Shipped"/>
  </r>
  <r>
    <n v="2783.25"/>
    <s v="2/24/2003 0:1455"/>
    <s v="Shipped"/>
    <x v="0"/>
    <s v="Shipped"/>
  </r>
  <r>
    <n v="2339.92"/>
    <s v="2/24/2003 0:1456"/>
    <s v="Shipped"/>
    <x v="0"/>
    <s v="Shipped"/>
  </r>
  <r>
    <n v="1729"/>
    <s v="2/24/2003 0:1457"/>
    <s v="Shipped"/>
    <x v="0"/>
    <s v="Shipped"/>
  </r>
  <r>
    <n v="5972.4"/>
    <s v="2/24/2003 0:1458"/>
    <s v="Shipped"/>
    <x v="0"/>
    <s v="Shipped"/>
  </r>
  <r>
    <n v="2275.1999999999998"/>
    <s v="2/24/2003 0:1459"/>
    <s v="Shipped"/>
    <x v="0"/>
    <s v="Shipped"/>
  </r>
  <r>
    <n v="2673.44"/>
    <s v="2/24/2003 0:1460"/>
    <s v="Shipped"/>
    <x v="0"/>
    <s v="Shipped"/>
  </r>
  <r>
    <n v="2431.75"/>
    <s v="2/24/2003 0:1461"/>
    <s v="Shipped"/>
    <x v="0"/>
    <s v="Shipped"/>
  </r>
  <r>
    <n v="2018.72"/>
    <s v="2/24/2003 0:1462"/>
    <s v="Shipped"/>
    <x v="0"/>
    <s v="Shipped"/>
  </r>
  <r>
    <n v="1558.99"/>
    <s v="2/24/2003 0:1463"/>
    <s v="Shipped"/>
    <x v="0"/>
    <s v="Shipped"/>
  </r>
  <r>
    <n v="1104.5999999999999"/>
    <s v="2/24/2003 0:1464"/>
    <s v="Shipped"/>
    <x v="0"/>
    <s v="Shipped"/>
  </r>
  <r>
    <n v="2575.1"/>
    <s v="2/24/2003 0:1465"/>
    <s v="In Process"/>
    <x v="1"/>
    <s v="In Process"/>
  </r>
  <r>
    <n v="2845.75"/>
    <s v="2/24/2003 0:1466"/>
    <s v="Shipped"/>
    <x v="0"/>
    <s v="Shipped"/>
  </r>
  <r>
    <n v="3431.75"/>
    <s v="2/24/2003 0:1467"/>
    <s v="Shipped"/>
    <x v="0"/>
    <s v="Shipped"/>
  </r>
  <r>
    <n v="3273.9"/>
    <s v="2/24/2003 0:1468"/>
    <s v="Shipped"/>
    <x v="0"/>
    <s v="Shipped"/>
  </r>
  <r>
    <n v="4119.3999999999996"/>
    <s v="2/24/2003 0:1469"/>
    <s v="Shipped"/>
    <x v="0"/>
    <s v="Shipped"/>
  </r>
  <r>
    <n v="5355.68"/>
    <s v="2/24/2003 0:1470"/>
    <s v="Shipped"/>
    <x v="0"/>
    <s v="Shipped"/>
  </r>
  <r>
    <n v="5747.5"/>
    <s v="2/24/2003 0:1471"/>
    <s v="Shipped"/>
    <x v="0"/>
    <s v="Shipped"/>
  </r>
  <r>
    <n v="5355.36"/>
    <s v="2/24/2003 0:1472"/>
    <s v="Shipped"/>
    <x v="0"/>
    <s v="Shipped"/>
  </r>
  <r>
    <n v="2535.75"/>
    <s v="2/24/2003 0:1473"/>
    <s v="Shipped"/>
    <x v="0"/>
    <s v="Shipped"/>
  </r>
  <r>
    <n v="4351.2299999999996"/>
    <s v="2/24/2003 0:1474"/>
    <s v="Shipped"/>
    <x v="0"/>
    <s v="Shipped"/>
  </r>
  <r>
    <n v="2254"/>
    <s v="2/24/2003 0:1475"/>
    <s v="Shipped"/>
    <x v="0"/>
    <s v="Shipped"/>
  </r>
  <r>
    <n v="2921.28"/>
    <s v="2/24/2003 0:1476"/>
    <s v="Shipped"/>
    <x v="0"/>
    <s v="Shipped"/>
  </r>
  <r>
    <n v="2299"/>
    <s v="2/24/2003 0:1477"/>
    <s v="Shipped"/>
    <x v="0"/>
    <s v="Shipped"/>
  </r>
  <r>
    <n v="2637.18"/>
    <s v="2/24/2003 0:1478"/>
    <s v="Shipped"/>
    <x v="0"/>
    <s v="Shipped"/>
  </r>
  <r>
    <n v="4307.5200000000004"/>
    <s v="2/24/2003 0:1479"/>
    <s v="Shipped"/>
    <x v="0"/>
    <s v="Shipped"/>
  </r>
  <r>
    <n v="2153.7600000000002"/>
    <s v="2/24/2003 0:1480"/>
    <s v="Shipped"/>
    <x v="0"/>
    <s v="Shipped"/>
  </r>
  <r>
    <n v="3716.88"/>
    <s v="2/24/2003 0:1481"/>
    <s v="Shipped"/>
    <x v="0"/>
    <s v="Shipped"/>
  </r>
  <r>
    <n v="5455.76"/>
    <s v="2/24/2003 0:1482"/>
    <s v="Shipped"/>
    <x v="0"/>
    <s v="Shipped"/>
  </r>
  <r>
    <n v="2650.62"/>
    <s v="2/24/2003 0:1483"/>
    <s v="Shipped"/>
    <x v="0"/>
    <s v="Shipped"/>
  </r>
  <r>
    <n v="6437.28"/>
    <s v="2/24/2003 0:1484"/>
    <s v="Shipped"/>
    <x v="0"/>
    <s v="Shipped"/>
  </r>
  <r>
    <n v="2633.4"/>
    <s v="2/24/2003 0:1485"/>
    <s v="Shipped"/>
    <x v="0"/>
    <s v="Shipped"/>
  </r>
  <r>
    <n v="2278.5300000000002"/>
    <s v="2/24/2003 0:1486"/>
    <s v="Shipped"/>
    <x v="0"/>
    <s v="Shipped"/>
  </r>
  <r>
    <n v="4846"/>
    <s v="2/24/2003 0:1487"/>
    <s v="Shipped"/>
    <x v="0"/>
    <s v="Shipped"/>
  </r>
  <r>
    <n v="4197.1000000000004"/>
    <s v="2/24/2003 0:1488"/>
    <s v="Shipped"/>
    <x v="0"/>
    <s v="Shipped"/>
  </r>
  <r>
    <n v="4597.6499999999996"/>
    <s v="2/24/2003 0:1489"/>
    <s v="Shipped"/>
    <x v="0"/>
    <s v="Shipped"/>
  </r>
  <r>
    <n v="5287.7"/>
    <s v="2/24/2003 0:1490"/>
    <s v="Shipped"/>
    <x v="0"/>
    <s v="Shipped"/>
  </r>
  <r>
    <n v="3550.05"/>
    <s v="2/24/2003 0:1491"/>
    <s v="Disputed"/>
    <x v="1"/>
    <s v="Disputed"/>
  </r>
  <r>
    <n v="1721.73"/>
    <s v="2/24/2003 0:1492"/>
    <s v="Shipped"/>
    <x v="0"/>
    <s v="Shipped"/>
  </r>
  <r>
    <n v="2993.5"/>
    <s v="2/24/2003 0:1493"/>
    <s v="Shipped"/>
    <x v="0"/>
    <s v="Shipped"/>
  </r>
  <r>
    <n v="1295.06"/>
    <s v="2/24/2003 0:1494"/>
    <s v="Shipped"/>
    <x v="0"/>
    <s v="Shipped"/>
  </r>
  <r>
    <n v="2671.95"/>
    <s v="2/24/2003 0:1495"/>
    <s v="Shipped"/>
    <x v="0"/>
    <s v="Shipped"/>
  </r>
  <r>
    <n v="1226.5899999999999"/>
    <s v="2/24/2003 0:1496"/>
    <s v="Shipped"/>
    <x v="0"/>
    <s v="Shipped"/>
  </r>
  <r>
    <n v="1453.84"/>
    <s v="2/24/2003 0:1497"/>
    <s v="Shipped"/>
    <x v="0"/>
    <s v="Shipped"/>
  </r>
  <r>
    <n v="1830.22"/>
    <s v="2/24/2003 0:1498"/>
    <s v="Shipped"/>
    <x v="0"/>
    <s v="Shipped"/>
  </r>
  <r>
    <n v="2530.0100000000002"/>
    <s v="2/24/2003 0:1499"/>
    <s v="Shipped"/>
    <x v="0"/>
    <s v="Shipped"/>
  </r>
  <r>
    <n v="2241.4499999999998"/>
    <s v="2/24/2003 0:1500"/>
    <s v="Shipped"/>
    <x v="0"/>
    <s v="Shipped"/>
  </r>
  <r>
    <n v="2399.85"/>
    <s v="2/24/2003 0:1501"/>
    <s v="Shipped"/>
    <x v="0"/>
    <s v="Shipped"/>
  </r>
  <r>
    <n v="1557.72"/>
    <s v="2/24/2003 0:1502"/>
    <s v="Shipped"/>
    <x v="0"/>
    <s v="Shipped"/>
  </r>
  <r>
    <n v="845.25"/>
    <s v="2/24/2003 0:1503"/>
    <s v="Shipped"/>
    <x v="0"/>
    <s v="Shipped"/>
  </r>
  <r>
    <n v="1352.4"/>
    <s v="2/24/2003 0:1504"/>
    <s v="Shipped"/>
    <x v="0"/>
    <s v="Shipped"/>
  </r>
  <r>
    <n v="1584.8"/>
    <s v="2/24/2003 0:1505"/>
    <s v="Shipped"/>
    <x v="0"/>
    <s v="Shipped"/>
  </r>
  <r>
    <n v="2616"/>
    <s v="2/24/2003 0:1506"/>
    <s v="Shipped"/>
    <x v="0"/>
    <s v="Shipped"/>
  </r>
  <r>
    <n v="1129.04"/>
    <s v="2/24/2003 0:1507"/>
    <s v="Shipped"/>
    <x v="0"/>
    <s v="Shipped"/>
  </r>
  <r>
    <n v="2218.5"/>
    <s v="2/24/2003 0:1508"/>
    <s v="Shipped"/>
    <x v="0"/>
    <s v="Shipped"/>
  </r>
  <r>
    <n v="2028.48"/>
    <s v="2/24/2003 0:1509"/>
    <s v="Shipped"/>
    <x v="0"/>
    <s v="Shipped"/>
  </r>
  <r>
    <n v="1759.2"/>
    <s v="2/24/2003 0:1510"/>
    <s v="Shipped"/>
    <x v="0"/>
    <s v="Shipped"/>
  </r>
  <r>
    <n v="977.67"/>
    <s v="2/24/2003 0:1511"/>
    <s v="Shipped"/>
    <x v="0"/>
    <s v="Shipped"/>
  </r>
  <r>
    <n v="1463"/>
    <s v="2/24/2003 0:1512"/>
    <s v="Resolved"/>
    <x v="1"/>
    <s v="Resolved"/>
  </r>
  <r>
    <n v="3970.56"/>
    <s v="2/24/2003 0:1513"/>
    <s v="Shipped"/>
    <x v="0"/>
    <s v="Shipped"/>
  </r>
  <r>
    <n v="2576"/>
    <s v="2/24/2003 0:1514"/>
    <s v="On Hold"/>
    <x v="1"/>
    <s v="On Hold"/>
  </r>
  <r>
    <n v="2233.69"/>
    <s v="2/24/2003 0:1515"/>
    <s v="In Process"/>
    <x v="1"/>
    <s v="In Process"/>
  </r>
  <r>
    <n v="2481.64"/>
    <s v="2/24/2003 0:1516"/>
    <s v="Shipped"/>
    <x v="0"/>
    <s v="Shipped"/>
  </r>
  <r>
    <n v="4651.53"/>
    <s v="2/24/2003 0:1517"/>
    <s v="Shipped"/>
    <x v="0"/>
    <s v="Shipped"/>
  </r>
  <r>
    <n v="3858.1"/>
    <s v="2/24/2003 0:1518"/>
    <s v="Shipped"/>
    <x v="0"/>
    <s v="Shipped"/>
  </r>
  <r>
    <n v="3501.6"/>
    <s v="2/24/2003 0:1519"/>
    <s v="Shipped"/>
    <x v="0"/>
    <s v="Shipped"/>
  </r>
  <r>
    <n v="6433.7"/>
    <s v="2/24/2003 0:1520"/>
    <s v="Shipped"/>
    <x v="0"/>
    <s v="Shipped"/>
  </r>
  <r>
    <n v="2658.96"/>
    <s v="2/24/2003 0:1521"/>
    <s v="Shipped"/>
    <x v="0"/>
    <s v="Shipped"/>
  </r>
  <r>
    <n v="3608.76"/>
    <s v="2/24/2003 0:1522"/>
    <s v="Shipped"/>
    <x v="0"/>
    <s v="Shipped"/>
  </r>
  <r>
    <n v="2214.67"/>
    <s v="2/24/2003 0:1523"/>
    <s v="Shipped"/>
    <x v="0"/>
    <s v="Shipped"/>
  </r>
  <r>
    <n v="2747.53"/>
    <s v="2/24/2003 0:1524"/>
    <s v="Shipped"/>
    <x v="0"/>
    <s v="Shipped"/>
  </r>
  <r>
    <n v="3310.92"/>
    <s v="2/24/2003 0:1525"/>
    <s v="Cancelled"/>
    <x v="1"/>
    <s v="Cancelled"/>
  </r>
  <r>
    <n v="2380"/>
    <s v="2/24/2003 0:1526"/>
    <s v="Shipped"/>
    <x v="0"/>
    <s v="Shipped"/>
  </r>
  <r>
    <n v="2310.88"/>
    <s v="2/24/2003 0:1527"/>
    <s v="Shipped"/>
    <x v="0"/>
    <s v="Shipped"/>
  </r>
  <r>
    <n v="4061.76"/>
    <s v="2/24/2003 0:1528"/>
    <s v="Shipped"/>
    <x v="0"/>
    <s v="Shipped"/>
  </r>
  <r>
    <n v="3493.7"/>
    <s v="2/24/2003 0:1529"/>
    <s v="Shipped"/>
    <x v="0"/>
    <s v="Shipped"/>
  </r>
  <r>
    <n v="2872.25"/>
    <s v="2/24/2003 0:1530"/>
    <s v="Shipped"/>
    <x v="0"/>
    <s v="Shipped"/>
  </r>
  <r>
    <n v="4114.38"/>
    <s v="2/24/2003 0:1531"/>
    <s v="Shipped"/>
    <x v="0"/>
    <s v="Shipped"/>
  </r>
  <r>
    <n v="1063.6500000000001"/>
    <s v="2/24/2003 0:1532"/>
    <s v="Shipped"/>
    <x v="0"/>
    <s v="Shipped"/>
  </r>
  <r>
    <n v="2008.44"/>
    <s v="2/24/2003 0:1533"/>
    <s v="Shipped"/>
    <x v="0"/>
    <s v="Shipped"/>
  </r>
  <r>
    <n v="4328.6000000000004"/>
    <s v="2/24/2003 0:1534"/>
    <s v="Shipped"/>
    <x v="0"/>
    <s v="Shipped"/>
  </r>
  <r>
    <n v="1376.43"/>
    <s v="2/24/2003 0:1535"/>
    <s v="Resolved"/>
    <x v="1"/>
    <s v="Resolved"/>
  </r>
  <r>
    <n v="5552.16"/>
    <s v="2/24/2003 0:1536"/>
    <s v="Shipped"/>
    <x v="0"/>
    <s v="Shipped"/>
  </r>
  <r>
    <n v="3659.02"/>
    <s v="2/24/2003 0:1537"/>
    <s v="On Hold"/>
    <x v="1"/>
    <s v="On Hold"/>
  </r>
  <r>
    <n v="4165.6099999999997"/>
    <s v="2/24/2003 0:1538"/>
    <s v="Shipped"/>
    <x v="0"/>
    <s v="Shipped"/>
  </r>
  <r>
    <n v="1404"/>
    <s v="2/24/2003 0:1539"/>
    <s v="Shipped"/>
    <x v="0"/>
    <s v="Shipped"/>
  </r>
  <r>
    <n v="710.2"/>
    <s v="2/24/2003 0:1540"/>
    <s v="Shipped"/>
    <x v="0"/>
    <s v="Shipped"/>
  </r>
  <r>
    <n v="1702.8"/>
    <s v="2/24/2003 0:1541"/>
    <s v="Shipped"/>
    <x v="0"/>
    <s v="Shipped"/>
  </r>
  <r>
    <n v="1194.8399999999999"/>
    <s v="2/24/2003 0:1542"/>
    <s v="Shipped"/>
    <x v="0"/>
    <s v="Shipped"/>
  </r>
  <r>
    <n v="1007.14"/>
    <s v="2/24/2003 0:1543"/>
    <s v="Shipped"/>
    <x v="0"/>
    <s v="Shipped"/>
  </r>
  <r>
    <n v="977.43"/>
    <s v="2/24/2003 0:1544"/>
    <s v="Shipped"/>
    <x v="0"/>
    <s v="Shipped"/>
  </r>
  <r>
    <n v="1436.76"/>
    <s v="2/24/2003 0:1545"/>
    <s v="Shipped"/>
    <x v="0"/>
    <s v="Shipped"/>
  </r>
  <r>
    <n v="759.46"/>
    <s v="2/24/2003 0:1546"/>
    <s v="Shipped"/>
    <x v="0"/>
    <s v="Shipped"/>
  </r>
  <r>
    <n v="1189.44"/>
    <s v="2/24/2003 0:1547"/>
    <s v="Shipped"/>
    <x v="0"/>
    <s v="Shipped"/>
  </r>
  <r>
    <n v="683.8"/>
    <s v="2/24/2003 0:1548"/>
    <s v="Shipped"/>
    <x v="0"/>
    <s v="Shipped"/>
  </r>
  <r>
    <n v="1226.82"/>
    <s v="2/24/2003 0:1549"/>
    <s v="Shipped"/>
    <x v="0"/>
    <s v="Shipped"/>
  </r>
  <r>
    <n v="974.82"/>
    <s v="2/24/2003 0:1550"/>
    <s v="Shipped"/>
    <x v="0"/>
    <s v="Shipped"/>
  </r>
  <r>
    <n v="577.6"/>
    <s v="2/24/2003 0:1551"/>
    <s v="Shipped"/>
    <x v="0"/>
    <s v="Shipped"/>
  </r>
  <r>
    <n v="1106.93"/>
    <s v="2/24/2003 0:1552"/>
    <s v="Shipped"/>
    <x v="0"/>
    <s v="Shipped"/>
  </r>
  <r>
    <n v="694.6"/>
    <s v="2/24/2003 0:1553"/>
    <s v="Shipped"/>
    <x v="0"/>
    <s v="Shipped"/>
  </r>
  <r>
    <n v="1152.06"/>
    <s v="2/24/2003 0:1554"/>
    <s v="Shipped"/>
    <x v="0"/>
    <s v="Shipped"/>
  </r>
  <r>
    <n v="2624"/>
    <s v="2/24/2003 0:1555"/>
    <s v="Shipped"/>
    <x v="0"/>
    <s v="Shipped"/>
  </r>
  <r>
    <n v="3685.95"/>
    <s v="2/24/2003 0:1556"/>
    <s v="Shipped"/>
    <x v="0"/>
    <s v="Shipped"/>
  </r>
  <r>
    <n v="703.6"/>
    <s v="2/24/2003 0:1557"/>
    <s v="Shipped"/>
    <x v="0"/>
    <s v="Shipped"/>
  </r>
  <r>
    <n v="9720"/>
    <s v="2/24/2003 0:1558"/>
    <s v="Shipped"/>
    <x v="0"/>
    <s v="Shipped"/>
  </r>
  <r>
    <n v="834.67"/>
    <s v="2/24/2003 0:1559"/>
    <s v="Resolved"/>
    <x v="1"/>
    <s v="Resolved"/>
  </r>
  <r>
    <n v="2257.92"/>
    <s v="2/24/2003 0:1560"/>
    <s v="Shipped"/>
    <x v="0"/>
    <s v="Shipped"/>
  </r>
  <r>
    <n v="8344.7099999999991"/>
    <s v="2/24/2003 0:1561"/>
    <s v="Shipped"/>
    <x v="0"/>
    <s v="Shipped"/>
  </r>
  <r>
    <n v="1801.94"/>
    <s v="2/24/2003 0:1562"/>
    <s v="Shipped"/>
    <x v="0"/>
    <s v="Shipped"/>
  </r>
  <r>
    <n v="1209.5999999999999"/>
    <s v="2/24/2003 0:1563"/>
    <s v="In Process"/>
    <x v="1"/>
    <s v="In Process"/>
  </r>
  <r>
    <n v="3155.14"/>
    <s v="2/24/2003 0:1564"/>
    <s v="Shipped"/>
    <x v="0"/>
    <s v="Shipped"/>
  </r>
  <r>
    <n v="2848.86"/>
    <s v="2/24/2003 0:1565"/>
    <s v="Shipped"/>
    <x v="0"/>
    <s v="Shipped"/>
  </r>
  <r>
    <n v="3570.29"/>
    <s v="2/24/2003 0:1566"/>
    <s v="Shipped"/>
    <x v="0"/>
    <s v="Shipped"/>
  </r>
  <r>
    <n v="3902.41"/>
    <s v="2/24/2003 0:1567"/>
    <s v="Shipped"/>
    <x v="0"/>
    <s v="Shipped"/>
  </r>
  <r>
    <n v="1474.66"/>
    <s v="2/24/2003 0:1568"/>
    <s v="Shipped"/>
    <x v="0"/>
    <s v="Shipped"/>
  </r>
  <r>
    <n v="2186.89"/>
    <s v="2/24/2003 0:1569"/>
    <s v="Shipped"/>
    <x v="0"/>
    <s v="Shipped"/>
  </r>
  <r>
    <n v="1919.4"/>
    <s v="2/24/2003 0:1570"/>
    <s v="Shipped"/>
    <x v="0"/>
    <s v="Shipped"/>
  </r>
  <r>
    <n v="3656"/>
    <s v="2/24/2003 0:1571"/>
    <s v="Shipped"/>
    <x v="0"/>
    <s v="Shipped"/>
  </r>
  <r>
    <n v="1847"/>
    <s v="2/24/2003 0:1572"/>
    <s v="Shipped"/>
    <x v="0"/>
    <s v="Shipped"/>
  </r>
  <r>
    <n v="1851"/>
    <s v="2/24/2003 0:1573"/>
    <s v="Shipped"/>
    <x v="0"/>
    <s v="Shipped"/>
  </r>
  <r>
    <n v="2633.78"/>
    <s v="2/24/2003 0:1574"/>
    <s v="Shipped"/>
    <x v="0"/>
    <s v="Shipped"/>
  </r>
  <r>
    <n v="3153.6"/>
    <s v="2/24/2003 0:1575"/>
    <s v="Shipped"/>
    <x v="0"/>
    <s v="Shipped"/>
  </r>
  <r>
    <n v="2803.2"/>
    <s v="2/24/2003 0:1576"/>
    <s v="Shipped"/>
    <x v="0"/>
    <s v="Shipped"/>
  </r>
  <r>
    <n v="2311.02"/>
    <s v="2/24/2003 0:1577"/>
    <s v="Shipped"/>
    <x v="0"/>
    <s v="Shipped"/>
  </r>
  <r>
    <n v="2399.4"/>
    <s v="2/24/2003 0:1578"/>
    <s v="Shipped"/>
    <x v="0"/>
    <s v="Shipped"/>
  </r>
  <r>
    <n v="2733.12"/>
    <s v="2/24/2003 0:1579"/>
    <s v="Shipped"/>
    <x v="0"/>
    <s v="Shipped"/>
  </r>
  <r>
    <n v="2096.3200000000002"/>
    <s v="2/24/2003 0:1580"/>
    <s v="Shipped"/>
    <x v="0"/>
    <s v="Shipped"/>
  </r>
  <r>
    <n v="2971.34"/>
    <s v="2/24/2003 0:1581"/>
    <s v="Shipped"/>
    <x v="0"/>
    <s v="Shipped"/>
  </r>
  <r>
    <n v="2257.58"/>
    <s v="2/24/2003 0:1582"/>
    <s v="Shipped"/>
    <x v="0"/>
    <s v="Shipped"/>
  </r>
  <r>
    <n v="3493.91"/>
    <s v="2/24/2003 0:1583"/>
    <s v="Shipped"/>
    <x v="0"/>
    <s v="Shipped"/>
  </r>
  <r>
    <n v="4398.8999999999996"/>
    <s v="2/24/2003 0:1584"/>
    <s v="Shipped"/>
    <x v="0"/>
    <s v="Shipped"/>
  </r>
  <r>
    <n v="3595.62"/>
    <s v="2/24/2003 0:1585"/>
    <s v="Shipped"/>
    <x v="0"/>
    <s v="Shipped"/>
  </r>
  <r>
    <n v="2443.29"/>
    <s v="2/24/2003 0:1586"/>
    <s v="Shipped"/>
    <x v="0"/>
    <s v="Shipped"/>
  </r>
  <r>
    <n v="3988.6"/>
    <s v="2/24/2003 0:1587"/>
    <s v="Shipped"/>
    <x v="0"/>
    <s v="Shipped"/>
  </r>
  <r>
    <n v="5168.3999999999996"/>
    <s v="2/24/2003 0:1588"/>
    <s v="Shipped"/>
    <x v="0"/>
    <s v="Shipped"/>
  </r>
  <r>
    <n v="2803.2"/>
    <s v="2/24/2003 0:1589"/>
    <s v="Shipped"/>
    <x v="0"/>
    <s v="Shipped"/>
  </r>
  <r>
    <n v="6341.21"/>
    <s v="2/24/2003 0:1590"/>
    <s v="Shipped"/>
    <x v="0"/>
    <s v="Shipped"/>
  </r>
  <r>
    <n v="5189.78"/>
    <s v="2/24/2003 0:1591"/>
    <s v="Shipped"/>
    <x v="0"/>
    <s v="Shipped"/>
  </r>
  <r>
    <n v="6027.75"/>
    <s v="2/24/2003 0:1592"/>
    <s v="Shipped"/>
    <x v="0"/>
    <s v="Shipped"/>
  </r>
  <r>
    <n v="3366"/>
    <s v="2/24/2003 0:1593"/>
    <s v="Shipped"/>
    <x v="0"/>
    <s v="Shipped"/>
  </r>
  <r>
    <n v="5456.4"/>
    <s v="2/24/2003 0:1594"/>
    <s v="Shipped"/>
    <x v="0"/>
    <s v="Shipped"/>
  </r>
  <r>
    <n v="3812.16"/>
    <s v="2/24/2003 0:1595"/>
    <s v="Cancelled"/>
    <x v="1"/>
    <s v="Cancelled"/>
  </r>
  <r>
    <n v="6083"/>
    <s v="2/24/2003 0:1596"/>
    <s v="Shipped"/>
    <x v="0"/>
    <s v="Shipped"/>
  </r>
  <r>
    <n v="3170.7"/>
    <s v="2/24/2003 0:1597"/>
    <s v="Shipped"/>
    <x v="0"/>
    <s v="Shipped"/>
  </r>
  <r>
    <n v="4534.6000000000004"/>
    <s v="2/24/2003 0:1598"/>
    <s v="Shipped"/>
    <x v="0"/>
    <s v="Shipped"/>
  </r>
  <r>
    <n v="4301.1499999999996"/>
    <s v="2/24/2003 0:1599"/>
    <s v="Shipped"/>
    <x v="0"/>
    <s v="Shipped"/>
  </r>
  <r>
    <n v="6804.63"/>
    <s v="2/24/2003 0:1600"/>
    <s v="Shipped"/>
    <x v="0"/>
    <s v="Shipped"/>
  </r>
  <r>
    <n v="5652.94"/>
    <s v="2/24/2003 0:1601"/>
    <s v="Shipped"/>
    <x v="0"/>
    <s v="Shipped"/>
  </r>
  <r>
    <n v="6960.48"/>
    <s v="2/24/2003 0:1602"/>
    <s v="Cancelled"/>
    <x v="1"/>
    <s v="Cancelled"/>
  </r>
  <r>
    <n v="4512.6000000000004"/>
    <s v="2/24/2003 0:1603"/>
    <s v="Shipped"/>
    <x v="0"/>
    <s v="Shipped"/>
  </r>
  <r>
    <n v="2784.76"/>
    <s v="2/24/2003 0:1604"/>
    <s v="Shipped"/>
    <x v="0"/>
    <s v="Shipped"/>
  </r>
  <r>
    <n v="5316.36"/>
    <s v="2/24/2003 0:1605"/>
    <s v="Shipped"/>
    <x v="0"/>
    <s v="Shipped"/>
  </r>
  <r>
    <n v="2941.89"/>
    <s v="2/24/2003 0:1606"/>
    <s v="Shipped"/>
    <x v="0"/>
    <s v="Shipped"/>
  </r>
  <r>
    <n v="3207.4"/>
    <s v="2/24/2003 0:1607"/>
    <s v="Shipped"/>
    <x v="0"/>
    <s v="Shipped"/>
  </r>
  <r>
    <n v="4215.05"/>
    <s v="2/24/2003 0:1608"/>
    <s v="Shipped"/>
    <x v="0"/>
    <s v="Shipped"/>
  </r>
  <r>
    <n v="4333.29"/>
    <s v="2/24/2003 0:1609"/>
    <s v="Shipped"/>
    <x v="0"/>
    <s v="Shipped"/>
  </r>
  <r>
    <n v="2087.13"/>
    <s v="2/24/2003 0:1610"/>
    <s v="Shipped"/>
    <x v="0"/>
    <s v="Shipped"/>
  </r>
  <r>
    <n v="1711.22"/>
    <s v="2/24/2003 0:1611"/>
    <s v="Shipped"/>
    <x v="0"/>
    <s v="Shipped"/>
  </r>
  <r>
    <n v="3910.53"/>
    <s v="2/24/2003 0:1612"/>
    <s v="Shipped"/>
    <x v="0"/>
    <s v="Shipped"/>
  </r>
  <r>
    <n v="2255.12"/>
    <s v="2/24/2003 0:1613"/>
    <s v="Shipped"/>
    <x v="0"/>
    <s v="Shipped"/>
  </r>
  <r>
    <n v="5720.75"/>
    <s v="2/24/2003 0:1614"/>
    <s v="Shipped"/>
    <x v="0"/>
    <s v="Shipped"/>
  </r>
  <r>
    <n v="3335.23"/>
    <s v="2/24/2003 0:1615"/>
    <s v="On Hold"/>
    <x v="1"/>
    <s v="On Hold"/>
  </r>
  <r>
    <n v="2472.96"/>
    <s v="2/24/2003 0:1616"/>
    <s v="Shipped"/>
    <x v="0"/>
    <s v="Shipped"/>
  </r>
  <r>
    <n v="1729.65"/>
    <s v="2/24/2003 0:1617"/>
    <s v="Shipped"/>
    <x v="0"/>
    <s v="Shipped"/>
  </r>
  <r>
    <n v="995.5"/>
    <s v="2/24/2003 0:1618"/>
    <s v="Shipped"/>
    <x v="0"/>
    <s v="Shipped"/>
  </r>
  <r>
    <n v="2414.7199999999998"/>
    <s v="2/24/2003 0:1619"/>
    <s v="Shipped"/>
    <x v="0"/>
    <s v="Shipped"/>
  </r>
  <r>
    <n v="1560.47"/>
    <s v="2/24/2003 0:1620"/>
    <s v="Shipped"/>
    <x v="0"/>
    <s v="Shipped"/>
  </r>
  <r>
    <n v="1112.94"/>
    <s v="2/24/2003 0:1621"/>
    <s v="Shipped"/>
    <x v="0"/>
    <s v="Shipped"/>
  </r>
  <r>
    <n v="1138.94"/>
    <s v="2/24/2003 0:1622"/>
    <s v="Shipped"/>
    <x v="0"/>
    <s v="Shipped"/>
  </r>
  <r>
    <n v="1012.4"/>
    <s v="2/24/2003 0:1623"/>
    <s v="Shipped"/>
    <x v="0"/>
    <s v="Shipped"/>
  </r>
  <r>
    <n v="913.92"/>
    <s v="2/24/2003 0:1624"/>
    <s v="Shipped"/>
    <x v="0"/>
    <s v="Shipped"/>
  </r>
  <r>
    <n v="2349.06"/>
    <s v="2/24/2003 0:1625"/>
    <s v="Shipped"/>
    <x v="0"/>
    <s v="Shipped"/>
  </r>
  <r>
    <n v="1161.1199999999999"/>
    <s v="2/24/2003 0:1626"/>
    <s v="Shipped"/>
    <x v="0"/>
    <s v="Shipped"/>
  </r>
  <r>
    <n v="1764.75"/>
    <s v="2/24/2003 0:1627"/>
    <s v="Shipped"/>
    <x v="0"/>
    <s v="Shipped"/>
  </r>
  <r>
    <n v="1690.9"/>
    <s v="2/24/2003 0:1628"/>
    <s v="Shipped"/>
    <x v="0"/>
    <s v="Shipped"/>
  </r>
  <r>
    <n v="2137.0500000000002"/>
    <s v="2/24/2003 0:1629"/>
    <s v="Shipped"/>
    <x v="0"/>
    <s v="Shipped"/>
  </r>
  <r>
    <n v="2177.1"/>
    <s v="2/24/2003 0:1630"/>
    <s v="Shipped"/>
    <x v="0"/>
    <s v="Shipped"/>
  </r>
  <r>
    <n v="1734.48"/>
    <s v="2/24/2003 0:1631"/>
    <s v="Shipped"/>
    <x v="0"/>
    <s v="Shipped"/>
  </r>
  <r>
    <n v="865.49"/>
    <s v="2/24/2003 0:1632"/>
    <s v="Shipped"/>
    <x v="0"/>
    <s v="Shipped"/>
  </r>
  <r>
    <n v="3500.1"/>
    <s v="2/24/2003 0:1633"/>
    <s v="Shipped"/>
    <x v="0"/>
    <s v="Shipped"/>
  </r>
  <r>
    <n v="2223.52"/>
    <s v="2/24/2003 0:1634"/>
    <s v="Shipped"/>
    <x v="0"/>
    <s v="Shipped"/>
  </r>
  <r>
    <n v="2311.6799999999998"/>
    <s v="2/24/2003 0:1635"/>
    <s v="Shipped"/>
    <x v="0"/>
    <s v="Shipped"/>
  </r>
  <r>
    <n v="828.36"/>
    <s v="2/24/2003 0:1636"/>
    <s v="Shipped"/>
    <x v="0"/>
    <s v="Shipped"/>
  </r>
  <r>
    <n v="856.52"/>
    <s v="2/24/2003 0:1637"/>
    <s v="Resolved"/>
    <x v="1"/>
    <s v="Resolved"/>
  </r>
  <r>
    <n v="1845.45"/>
    <s v="2/24/2003 0:1638"/>
    <s v="Shipped"/>
    <x v="0"/>
    <s v="Shipped"/>
  </r>
  <r>
    <n v="4042.08"/>
    <s v="2/24/2003 0:1639"/>
    <s v="Shipped"/>
    <x v="0"/>
    <s v="Shipped"/>
  </r>
  <r>
    <n v="1828"/>
    <s v="2/24/2003 0:1640"/>
    <s v="In Process"/>
    <x v="1"/>
    <s v="In Process"/>
  </r>
  <r>
    <n v="3680.28"/>
    <s v="2/24/2003 0:1641"/>
    <s v="Shipped"/>
    <x v="0"/>
    <s v="Shipped"/>
  </r>
  <r>
    <n v="2925.09"/>
    <s v="2/24/2003 0:1642"/>
    <s v="Shipped"/>
    <x v="0"/>
    <s v="Shipped"/>
  </r>
  <r>
    <n v="3415.77"/>
    <s v="2/24/2003 0:1643"/>
    <s v="Shipped"/>
    <x v="0"/>
    <s v="Shipped"/>
  </r>
  <r>
    <n v="5105.1400000000003"/>
    <s v="2/24/2003 0:1644"/>
    <s v="Shipped"/>
    <x v="0"/>
    <s v="Shipped"/>
  </r>
  <r>
    <n v="5098.8"/>
    <s v="2/24/2003 0:1645"/>
    <s v="Shipped"/>
    <x v="0"/>
    <s v="Shipped"/>
  </r>
  <r>
    <n v="4661.76"/>
    <s v="2/24/2003 0:1646"/>
    <s v="Shipped"/>
    <x v="0"/>
    <s v="Shipped"/>
  </r>
  <r>
    <n v="2969.96"/>
    <s v="2/24/2003 0:1647"/>
    <s v="Shipped"/>
    <x v="0"/>
    <s v="Shipped"/>
  </r>
  <r>
    <n v="3496.32"/>
    <s v="2/24/2003 0:1648"/>
    <s v="Shipped"/>
    <x v="0"/>
    <s v="Shipped"/>
  </r>
  <r>
    <n v="5760.93"/>
    <s v="2/24/2003 0:1649"/>
    <s v="Shipped"/>
    <x v="0"/>
    <s v="Shipped"/>
  </r>
  <r>
    <n v="6819.04"/>
    <s v="2/24/2003 0:1650"/>
    <s v="Shipped"/>
    <x v="0"/>
    <s v="Shipped"/>
  </r>
  <r>
    <n v="3148.88"/>
    <s v="2/24/2003 0:1651"/>
    <s v="Shipped"/>
    <x v="0"/>
    <s v="Shipped"/>
  </r>
  <r>
    <n v="5704.32"/>
    <s v="2/24/2003 0:1652"/>
    <s v="Shipped"/>
    <x v="0"/>
    <s v="Shipped"/>
  </r>
  <r>
    <n v="3520.6"/>
    <s v="2/24/2003 0:1653"/>
    <s v="Shipped"/>
    <x v="0"/>
    <s v="Shipped"/>
  </r>
  <r>
    <n v="5285.62"/>
    <s v="2/24/2003 0:1654"/>
    <s v="Shipped"/>
    <x v="0"/>
    <s v="Shipped"/>
  </r>
  <r>
    <n v="5605.05"/>
    <s v="2/24/2003 0:1655"/>
    <s v="Shipped"/>
    <x v="0"/>
    <s v="Shipped"/>
  </r>
  <r>
    <n v="2779.5"/>
    <s v="2/24/2003 0:1656"/>
    <s v="Shipped"/>
    <x v="0"/>
    <s v="Shipped"/>
  </r>
  <r>
    <n v="5398.08"/>
    <s v="2/24/2003 0:1657"/>
    <s v="Shipped"/>
    <x v="0"/>
    <s v="Shipped"/>
  </r>
  <r>
    <n v="3189.6"/>
    <s v="2/24/2003 0:1658"/>
    <s v="Shipped"/>
    <x v="0"/>
    <s v="Shipped"/>
  </r>
  <r>
    <n v="5581.8"/>
    <s v="2/24/2003 0:1659"/>
    <s v="Shipped"/>
    <x v="0"/>
    <s v="Shipped"/>
  </r>
  <r>
    <n v="3820.44"/>
    <s v="2/24/2003 0:1660"/>
    <s v="Shipped"/>
    <x v="0"/>
    <s v="Shipped"/>
  </r>
  <r>
    <n v="5528.04"/>
    <s v="2/24/2003 0:1661"/>
    <s v="On Hold"/>
    <x v="1"/>
    <s v="On Hold"/>
  </r>
  <r>
    <n v="5981.42"/>
    <s v="2/24/2003 0:1662"/>
    <s v="Shipped"/>
    <x v="0"/>
    <s v="Shipped"/>
  </r>
  <r>
    <n v="5684.65"/>
    <s v="2/24/2003 0:1663"/>
    <s v="Shipped"/>
    <x v="0"/>
    <s v="Shipped"/>
  </r>
  <r>
    <n v="3449.4"/>
    <s v="2/24/2003 0:1664"/>
    <s v="Shipped"/>
    <x v="0"/>
    <s v="Shipped"/>
  </r>
  <r>
    <n v="2654.4"/>
    <s v="2/24/2003 0:1665"/>
    <s v="Shipped"/>
    <x v="0"/>
    <s v="Shipped"/>
  </r>
  <r>
    <n v="8498"/>
    <s v="2/24/2003 0:1666"/>
    <s v="Shipped"/>
    <x v="0"/>
    <s v="Shipped"/>
  </r>
  <r>
    <n v="5510.54"/>
    <s v="2/24/2003 0:1667"/>
    <s v="In Process"/>
    <x v="1"/>
    <s v="In Process"/>
  </r>
  <r>
    <n v="2060.4499999999998"/>
    <s v="2/24/2003 0:1668"/>
    <s v="Shipped"/>
    <x v="0"/>
    <s v="Shipped"/>
  </r>
  <r>
    <n v="2460.16"/>
    <s v="2/24/2003 0:1669"/>
    <s v="Shipped"/>
    <x v="0"/>
    <s v="Shipped"/>
  </r>
  <r>
    <n v="1787.56"/>
    <s v="2/24/2003 0:1670"/>
    <s v="Shipped"/>
    <x v="0"/>
    <s v="Shipped"/>
  </r>
  <r>
    <n v="1645.65"/>
    <s v="2/24/2003 0:1671"/>
    <s v="Shipped"/>
    <x v="0"/>
    <s v="Shipped"/>
  </r>
  <r>
    <n v="2169.1799999999998"/>
    <s v="2/24/2003 0:1672"/>
    <s v="Shipped"/>
    <x v="0"/>
    <s v="Shipped"/>
  </r>
  <r>
    <n v="2816.18"/>
    <s v="2/24/2003 0:1673"/>
    <s v="Shipped"/>
    <x v="0"/>
    <s v="Shipped"/>
  </r>
  <r>
    <n v="2521.0500000000002"/>
    <s v="2/24/2003 0:1674"/>
    <s v="Shipped"/>
    <x v="0"/>
    <s v="Shipped"/>
  </r>
  <r>
    <n v="3199.98"/>
    <s v="2/24/2003 0:1675"/>
    <s v="Shipped"/>
    <x v="0"/>
    <s v="Shipped"/>
  </r>
  <r>
    <n v="1338.12"/>
    <s v="2/24/2003 0:1676"/>
    <s v="Shipped"/>
    <x v="0"/>
    <s v="Shipped"/>
  </r>
  <r>
    <n v="2972.58"/>
    <s v="2/24/2003 0:1677"/>
    <s v="Shipped"/>
    <x v="0"/>
    <s v="Shipped"/>
  </r>
  <r>
    <n v="2070.9"/>
    <s v="2/24/2003 0:1678"/>
    <s v="Shipped"/>
    <x v="0"/>
    <s v="Shipped"/>
  </r>
  <r>
    <n v="3092.6"/>
    <s v="2/24/2003 0:1679"/>
    <s v="Shipped"/>
    <x v="0"/>
    <s v="Shipped"/>
  </r>
  <r>
    <n v="2408.6999999999998"/>
    <s v="2/24/2003 0:1680"/>
    <s v="Shipped"/>
    <x v="0"/>
    <s v="Shipped"/>
  </r>
  <r>
    <n v="3472.54"/>
    <s v="2/24/2003 0:1681"/>
    <s v="Shipped"/>
    <x v="0"/>
    <s v="Shipped"/>
  </r>
  <r>
    <n v="2263.2800000000002"/>
    <s v="2/24/2003 0:1682"/>
    <s v="Shipped"/>
    <x v="0"/>
    <s v="Shipped"/>
  </r>
  <r>
    <n v="2194.17"/>
    <s v="2/24/2003 0:1683"/>
    <s v="Shipped"/>
    <x v="0"/>
    <s v="Shipped"/>
  </r>
  <r>
    <n v="1346.4"/>
    <s v="2/24/2003 0:1684"/>
    <s v="Shipped"/>
    <x v="0"/>
    <s v="Shipped"/>
  </r>
  <r>
    <n v="2533.63"/>
    <s v="2/24/2003 0:1685"/>
    <s v="Shipped"/>
    <x v="0"/>
    <s v="Shipped"/>
  </r>
  <r>
    <n v="3403.26"/>
    <s v="2/24/2003 0:1686"/>
    <s v="Shipped"/>
    <x v="0"/>
    <s v="Shipped"/>
  </r>
  <r>
    <n v="3307.2"/>
    <s v="2/24/2003 0:1687"/>
    <s v="Shipped"/>
    <x v="0"/>
    <s v="Shipped"/>
  </r>
  <r>
    <n v="2896.65"/>
    <s v="2/24/2003 0:1688"/>
    <s v="Shipped"/>
    <x v="0"/>
    <s v="Shipped"/>
  </r>
  <r>
    <n v="2632.89"/>
    <s v="2/24/2003 0:1689"/>
    <s v="Shipped"/>
    <x v="0"/>
    <s v="Shipped"/>
  </r>
  <r>
    <n v="2046"/>
    <s v="2/24/2003 0:1690"/>
    <s v="Shipped"/>
    <x v="0"/>
    <s v="Shipped"/>
  </r>
  <r>
    <n v="2279.5500000000002"/>
    <s v="2/24/2003 0:1691"/>
    <s v="Shipped"/>
    <x v="0"/>
    <s v="Shipped"/>
  </r>
  <r>
    <n v="2150.5500000000002"/>
    <s v="2/24/2003 0:1692"/>
    <s v="Shipped"/>
    <x v="0"/>
    <s v="Shipped"/>
  </r>
  <r>
    <n v="3360.45"/>
    <s v="2/24/2003 0:1693"/>
    <s v="Shipped"/>
    <x v="0"/>
    <s v="Shipped"/>
  </r>
  <r>
    <n v="2326.4"/>
    <s v="2/24/2003 0:1694"/>
    <s v="Shipped"/>
    <x v="0"/>
    <s v="Shipped"/>
  </r>
  <r>
    <n v="1545.6"/>
    <s v="2/24/2003 0:1695"/>
    <s v="Shipped"/>
    <x v="0"/>
    <s v="Shipped"/>
  </r>
  <r>
    <n v="2144.6"/>
    <s v="2/24/2003 0:1696"/>
    <s v="Shipped"/>
    <x v="0"/>
    <s v="Shipped"/>
  </r>
  <r>
    <n v="1639.22"/>
    <s v="2/24/2003 0:1697"/>
    <s v="Shipped"/>
    <x v="0"/>
    <s v="Shipped"/>
  </r>
  <r>
    <n v="2649.6"/>
    <s v="2/24/2003 0:1698"/>
    <s v="Shipped"/>
    <x v="0"/>
    <s v="Shipped"/>
  </r>
  <r>
    <n v="3845.6"/>
    <s v="2/24/2003 0:1699"/>
    <s v="Shipped"/>
    <x v="0"/>
    <s v="Shipped"/>
  </r>
  <r>
    <n v="4527.04"/>
    <s v="2/24/2003 0:1700"/>
    <s v="Shipped"/>
    <x v="0"/>
    <s v="Shipped"/>
  </r>
  <r>
    <n v="3966.3"/>
    <s v="2/24/2003 0:1701"/>
    <s v="Shipped"/>
    <x v="0"/>
    <s v="Shipped"/>
  </r>
  <r>
    <n v="4142.58"/>
    <s v="2/24/2003 0:1702"/>
    <s v="Shipped"/>
    <x v="0"/>
    <s v="Shipped"/>
  </r>
  <r>
    <n v="4441.5"/>
    <s v="2/24/2003 0:1703"/>
    <s v="Shipped"/>
    <x v="0"/>
    <s v="Shipped"/>
  </r>
  <r>
    <n v="3315.12"/>
    <s v="2/24/2003 0:1704"/>
    <s v="Shipped"/>
    <x v="0"/>
    <s v="Shipped"/>
  </r>
  <r>
    <n v="3918.53"/>
    <s v="2/24/2003 0:1705"/>
    <s v="Shipped"/>
    <x v="0"/>
    <s v="Shipped"/>
  </r>
  <r>
    <n v="2830.45"/>
    <s v="2/24/2003 0:1706"/>
    <s v="Shipped"/>
    <x v="0"/>
    <s v="Shipped"/>
  </r>
  <r>
    <n v="5298.86"/>
    <s v="2/24/2003 0:1707"/>
    <s v="Shipped"/>
    <x v="0"/>
    <s v="Shipped"/>
  </r>
  <r>
    <n v="2620.8000000000002"/>
    <s v="2/24/2003 0:1708"/>
    <s v="Shipped"/>
    <x v="0"/>
    <s v="Shipped"/>
  </r>
  <r>
    <n v="2181"/>
    <s v="2/24/2003 0:1709"/>
    <s v="Shipped"/>
    <x v="0"/>
    <s v="Shipped"/>
  </r>
  <r>
    <n v="3382.08"/>
    <s v="2/24/2003 0:1710"/>
    <s v="Shipped"/>
    <x v="0"/>
    <s v="Shipped"/>
  </r>
  <r>
    <n v="2876.75"/>
    <s v="2/24/2003 0:1711"/>
    <s v="Shipped"/>
    <x v="0"/>
    <s v="Shipped"/>
  </r>
  <r>
    <n v="4107.2"/>
    <s v="2/24/2003 0:1712"/>
    <s v="Shipped"/>
    <x v="0"/>
    <s v="Shipped"/>
  </r>
  <r>
    <n v="1350"/>
    <s v="2/24/2003 0:1713"/>
    <s v="Shipped"/>
    <x v="0"/>
    <s v="Shipped"/>
  </r>
  <r>
    <n v="7182"/>
    <s v="2/24/2003 0:1714"/>
    <s v="On Hold"/>
    <x v="1"/>
    <s v="On Hold"/>
  </r>
  <r>
    <n v="3933.93"/>
    <s v="2/24/2003 0:1715"/>
    <s v="In Process"/>
    <x v="1"/>
    <s v="In Process"/>
  </r>
  <r>
    <n v="1742.4"/>
    <s v="2/24/2003 0:1716"/>
    <s v="Shipped"/>
    <x v="0"/>
    <s v="Shipped"/>
  </r>
  <r>
    <n v="721.44"/>
    <s v="2/24/2003 0:1717"/>
    <s v="Shipped"/>
    <x v="0"/>
    <s v="Shipped"/>
  </r>
  <r>
    <n v="1489.41"/>
    <s v="2/24/2003 0:1718"/>
    <s v="Shipped"/>
    <x v="0"/>
    <s v="Shipped"/>
  </r>
  <r>
    <n v="891.03"/>
    <s v="2/24/2003 0:1719"/>
    <s v="Shipped"/>
    <x v="0"/>
    <s v="Shipped"/>
  </r>
  <r>
    <n v="1209.3"/>
    <s v="2/24/2003 0:1720"/>
    <s v="Shipped"/>
    <x v="0"/>
    <s v="Shipped"/>
  </r>
  <r>
    <n v="859.14"/>
    <s v="2/24/2003 0:1721"/>
    <s v="Shipped"/>
    <x v="0"/>
    <s v="Shipped"/>
  </r>
  <r>
    <n v="1151.44"/>
    <s v="2/24/2003 0:1722"/>
    <s v="Shipped"/>
    <x v="0"/>
    <s v="Shipped"/>
  </r>
  <r>
    <n v="1336.44"/>
    <s v="2/24/2003 0:1723"/>
    <s v="Shipped"/>
    <x v="0"/>
    <s v="Shipped"/>
  </r>
  <r>
    <n v="905.28"/>
    <s v="2/24/2003 0:1724"/>
    <s v="Shipped"/>
    <x v="0"/>
    <s v="Shipped"/>
  </r>
  <r>
    <n v="1247.4000000000001"/>
    <s v="2/24/2003 0:1725"/>
    <s v="Shipped"/>
    <x v="0"/>
    <s v="Shipped"/>
  </r>
  <r>
    <n v="846.51"/>
    <s v="2/24/2003 0:1726"/>
    <s v="Shipped"/>
    <x v="0"/>
    <s v="Shipped"/>
  </r>
  <r>
    <n v="1085.04"/>
    <s v="2/24/2003 0:1727"/>
    <s v="Shipped"/>
    <x v="0"/>
    <s v="Shipped"/>
  </r>
  <r>
    <n v="1767.43"/>
    <s v="2/24/2003 0:1728"/>
    <s v="Shipped"/>
    <x v="0"/>
    <s v="Shipped"/>
  </r>
  <r>
    <n v="1030.44"/>
    <s v="2/24/2003 0:1729"/>
    <s v="Shipped"/>
    <x v="0"/>
    <s v="Shipped"/>
  </r>
  <r>
    <n v="1585.36"/>
    <s v="2/24/2003 0:1730"/>
    <s v="Shipped"/>
    <x v="0"/>
    <s v="Shipped"/>
  </r>
  <r>
    <n v="813.2"/>
    <s v="2/24/2003 0:1731"/>
    <s v="Shipped"/>
    <x v="0"/>
    <s v="Shipped"/>
  </r>
  <r>
    <n v="1172.3399999999999"/>
    <s v="2/24/2003 0:1732"/>
    <s v="Shipped"/>
    <x v="0"/>
    <s v="Shipped"/>
  </r>
  <r>
    <n v="1510.56"/>
    <s v="2/24/2003 0:1733"/>
    <s v="Shipped"/>
    <x v="0"/>
    <s v="Shipped"/>
  </r>
  <r>
    <n v="1448.07"/>
    <s v="2/24/2003 0:1734"/>
    <s v="Shipped"/>
    <x v="0"/>
    <s v="Shipped"/>
  </r>
  <r>
    <n v="3338.1"/>
    <s v="2/24/2003 0:1735"/>
    <s v="Shipped"/>
    <x v="0"/>
    <s v="Shipped"/>
  </r>
  <r>
    <n v="1225.29"/>
    <s v="2/24/2003 0:1736"/>
    <s v="Shipped"/>
    <x v="0"/>
    <s v="Shipped"/>
  </r>
  <r>
    <n v="1336.68"/>
    <s v="2/24/2003 0:1737"/>
    <s v="Shipped"/>
    <x v="0"/>
    <s v="Shipped"/>
  </r>
  <r>
    <n v="2985.84"/>
    <s v="2/24/2003 0:1738"/>
    <s v="Shipped"/>
    <x v="0"/>
    <s v="Shipped"/>
  </r>
  <r>
    <n v="5545.8"/>
    <s v="2/24/2003 0:1739"/>
    <s v="Shipped"/>
    <x v="0"/>
    <s v="Shipped"/>
  </r>
  <r>
    <n v="6089.6"/>
    <s v="2/24/2003 0:1740"/>
    <s v="Shipped"/>
    <x v="0"/>
    <s v="Shipped"/>
  </r>
  <r>
    <n v="1789.4"/>
    <s v="2/24/2003 0:1741"/>
    <s v="Shipped"/>
    <x v="0"/>
    <s v="Shipped"/>
  </r>
  <r>
    <n v="1082.0999999999999"/>
    <s v="2/24/2003 0:1742"/>
    <s v="Shipped"/>
    <x v="0"/>
    <s v="Shipped"/>
  </r>
  <r>
    <n v="1030.44"/>
    <s v="2/24/2003 0:1743"/>
    <s v="In Process"/>
    <x v="1"/>
    <s v="In Process"/>
  </r>
  <r>
    <n v="3659.32"/>
    <s v="2/24/2003 0:1744"/>
    <s v="Shipped"/>
    <x v="0"/>
    <s v="Shipped"/>
  </r>
  <r>
    <n v="2443.6"/>
    <s v="2/24/2003 0:1745"/>
    <s v="Shipped"/>
    <x v="0"/>
    <s v="Shipped"/>
  </r>
  <r>
    <n v="2349.9"/>
    <s v="2/24/2003 0:1746"/>
    <s v="Shipped"/>
    <x v="0"/>
    <s v="Shipped"/>
  </r>
  <r>
    <n v="1646.19"/>
    <s v="2/24/2003 0:1747"/>
    <s v="Shipped"/>
    <x v="0"/>
    <s v="Shipped"/>
  </r>
  <r>
    <n v="1670.26"/>
    <s v="2/24/2003 0:1748"/>
    <s v="Shipped"/>
    <x v="0"/>
    <s v="Shipped"/>
  </r>
  <r>
    <n v="1467.48"/>
    <s v="2/24/2003 0:1749"/>
    <s v="Cancelled"/>
    <x v="1"/>
    <s v="Cancelled"/>
  </r>
  <r>
    <n v="2748.56"/>
    <s v="2/24/2003 0:1750"/>
    <s v="Shipped"/>
    <x v="0"/>
    <s v="Shipped"/>
  </r>
  <r>
    <n v="1522.4"/>
    <s v="2/24/2003 0:1751"/>
    <s v="Shipped"/>
    <x v="0"/>
    <s v="Shipped"/>
  </r>
  <r>
    <n v="3255.36"/>
    <s v="2/24/2003 0:1752"/>
    <s v="Shipped"/>
    <x v="0"/>
    <s v="Shipped"/>
  </r>
  <r>
    <n v="3535.03"/>
    <s v="2/24/2003 0:1753"/>
    <s v="Shipped"/>
    <x v="0"/>
    <s v="Shipped"/>
  </r>
  <r>
    <n v="2608.96"/>
    <s v="2/24/2003 0:1754"/>
    <s v="Shipped"/>
    <x v="0"/>
    <s v="Shipped"/>
  </r>
  <r>
    <n v="1356.4"/>
    <s v="2/24/2003 0:1755"/>
    <s v="Shipped"/>
    <x v="0"/>
    <s v="Shipped"/>
  </r>
  <r>
    <n v="1611.36"/>
    <s v="2/24/2003 0:1756"/>
    <s v="Cancelled"/>
    <x v="1"/>
    <s v="Cancelled"/>
  </r>
  <r>
    <n v="2603.1999999999998"/>
    <s v="2/24/2003 0:1757"/>
    <s v="Shipped"/>
    <x v="0"/>
    <s v="Shipped"/>
  </r>
  <r>
    <n v="2219.6999999999998"/>
    <s v="2/24/2003 0:1758"/>
    <s v="Shipped"/>
    <x v="0"/>
    <s v="Shipped"/>
  </r>
  <r>
    <n v="1496.25"/>
    <s v="2/24/2003 0:1759"/>
    <s v="Shipped"/>
    <x v="0"/>
    <s v="Shipped"/>
  </r>
  <r>
    <n v="1884"/>
    <s v="2/24/2003 0:1760"/>
    <s v="Shipped"/>
    <x v="0"/>
    <s v="Shipped"/>
  </r>
  <r>
    <n v="2166.14"/>
    <s v="2/24/2003 0:1761"/>
    <s v="Shipped"/>
    <x v="0"/>
    <s v="Shipped"/>
  </r>
  <r>
    <n v="2828.16"/>
    <s v="2/24/2003 0:1762"/>
    <s v="Shipped"/>
    <x v="0"/>
    <s v="Shipped"/>
  </r>
  <r>
    <n v="6214.45"/>
    <s v="2/24/2003 0:1763"/>
    <s v="Shipped"/>
    <x v="0"/>
    <s v="Shipped"/>
  </r>
  <r>
    <n v="1867"/>
    <s v="2/24/2003 0:1764"/>
    <s v="Shipped"/>
    <x v="0"/>
    <s v="Shipped"/>
  </r>
  <r>
    <n v="2676.72"/>
    <s v="2/24/2003 0:1765"/>
    <s v="Shipped"/>
    <x v="0"/>
    <s v="Shipped"/>
  </r>
  <r>
    <n v="2182.44"/>
    <s v="2/24/2003 0:1766"/>
    <s v="Resolved"/>
    <x v="1"/>
    <s v="Resolved"/>
  </r>
  <r>
    <n v="1611.4"/>
    <s v="2/24/2003 0:1767"/>
    <s v="Shipped"/>
    <x v="0"/>
    <s v="Shipped"/>
  </r>
  <r>
    <n v="1479.84"/>
    <s v="2/24/2003 0:1768"/>
    <s v="Shipped"/>
    <x v="0"/>
    <s v="Shipped"/>
  </r>
  <r>
    <n v="1424.22"/>
    <s v="2/24/2003 0:1769"/>
    <s v="Disputed"/>
    <x v="1"/>
    <s v="Disputed"/>
  </r>
  <r>
    <n v="5942.28"/>
    <s v="2/24/2003 0:1770"/>
    <s v="Shipped"/>
    <x v="0"/>
    <s v="Shipped"/>
  </r>
  <r>
    <n v="2348.75"/>
    <s v="2/24/2003 0:1771"/>
    <s v="Shipped"/>
    <x v="0"/>
    <s v="Shipped"/>
  </r>
  <r>
    <n v="4392.12"/>
    <s v="2/24/2003 0:1772"/>
    <s v="Shipped"/>
    <x v="0"/>
    <s v="Shipped"/>
  </r>
  <r>
    <n v="2759.75"/>
    <s v="2/24/2003 0:1773"/>
    <s v="Shipped"/>
    <x v="0"/>
    <s v="Shipped"/>
  </r>
  <r>
    <n v="2728.03"/>
    <s v="2/24/2003 0:1774"/>
    <s v="Shipped"/>
    <x v="0"/>
    <s v="Shipped"/>
  </r>
  <r>
    <n v="2395.8000000000002"/>
    <s v="2/24/2003 0:1775"/>
    <s v="Shipped"/>
    <x v="0"/>
    <s v="Shipped"/>
  </r>
  <r>
    <n v="3052.33"/>
    <s v="2/24/2003 0:1776"/>
    <s v="Shipped"/>
    <x v="0"/>
    <s v="Shipped"/>
  </r>
  <r>
    <n v="4242"/>
    <s v="2/24/2003 0:1777"/>
    <s v="Shipped"/>
    <x v="0"/>
    <s v="Shipped"/>
  </r>
  <r>
    <n v="2790.45"/>
    <s v="2/24/2003 0:1778"/>
    <s v="Shipped"/>
    <x v="0"/>
    <s v="Shipped"/>
  </r>
  <r>
    <n v="4340.49"/>
    <s v="2/24/2003 0:1779"/>
    <s v="Shipped"/>
    <x v="0"/>
    <s v="Shipped"/>
  </r>
  <r>
    <n v="2762.2"/>
    <s v="2/24/2003 0:1780"/>
    <s v="Shipped"/>
    <x v="0"/>
    <s v="Shipped"/>
  </r>
  <r>
    <n v="4645.72"/>
    <s v="2/24/2003 0:1781"/>
    <s v="Shipped"/>
    <x v="0"/>
    <s v="Shipped"/>
  </r>
  <r>
    <n v="5580.96"/>
    <s v="2/24/2003 0:1782"/>
    <s v="Shipped"/>
    <x v="0"/>
    <s v="Shipped"/>
  </r>
  <r>
    <n v="6539.04"/>
    <s v="2/24/2003 0:1783"/>
    <s v="Shipped"/>
    <x v="0"/>
    <s v="Shipped"/>
  </r>
  <r>
    <n v="5548.95"/>
    <s v="2/24/2003 0:1784"/>
    <s v="Shipped"/>
    <x v="0"/>
    <s v="Shipped"/>
  </r>
  <r>
    <n v="4595.41"/>
    <s v="2/24/2003 0:1785"/>
    <s v="Shipped"/>
    <x v="0"/>
    <s v="Shipped"/>
  </r>
  <r>
    <n v="1859.44"/>
    <s v="2/24/2003 0:1786"/>
    <s v="Shipped"/>
    <x v="0"/>
    <s v="Shipped"/>
  </r>
  <r>
    <n v="2093.7600000000002"/>
    <s v="2/24/2003 0:1787"/>
    <s v="Shipped"/>
    <x v="0"/>
    <s v="Shipped"/>
  </r>
  <r>
    <n v="4223.13"/>
    <s v="2/24/2003 0:1788"/>
    <s v="Shipped"/>
    <x v="0"/>
    <s v="Shipped"/>
  </r>
  <r>
    <n v="1596.76"/>
    <s v="2/24/2003 0:1789"/>
    <s v="Shipped"/>
    <x v="0"/>
    <s v="Shipped"/>
  </r>
  <r>
    <n v="5820.35"/>
    <s v="2/24/2003 0:1790"/>
    <s v="On Hold"/>
    <x v="1"/>
    <s v="On Hold"/>
  </r>
  <r>
    <n v="5296.5"/>
    <s v="2/24/2003 0:1791"/>
    <s v="In Process"/>
    <x v="1"/>
    <s v="In Process"/>
  </r>
  <r>
    <n v="930.9"/>
    <s v="2/24/2003 0:1792"/>
    <s v="Shipped"/>
    <x v="0"/>
    <s v="Shipped"/>
  </r>
  <r>
    <n v="1207.44"/>
    <s v="2/24/2003 0:1793"/>
    <s v="Shipped"/>
    <x v="0"/>
    <s v="Shipped"/>
  </r>
  <r>
    <n v="717.4"/>
    <s v="2/24/2003 0:1794"/>
    <s v="Shipped"/>
    <x v="0"/>
    <s v="Shipped"/>
  </r>
  <r>
    <n v="1066.75"/>
    <s v="2/24/2003 0:1795"/>
    <s v="Shipped"/>
    <x v="0"/>
    <s v="Shipped"/>
  </r>
  <r>
    <n v="1554"/>
    <s v="2/24/2003 0:1796"/>
    <s v="Shipped"/>
    <x v="0"/>
    <s v="Shipped"/>
  </r>
  <r>
    <n v="1277.6400000000001"/>
    <s v="2/24/2003 0:1797"/>
    <s v="Shipped"/>
    <x v="0"/>
    <s v="Shipped"/>
  </r>
  <r>
    <n v="1578.79"/>
    <s v="2/24/2003 0:1798"/>
    <s v="Shipped"/>
    <x v="0"/>
    <s v="Shipped"/>
  </r>
  <r>
    <n v="917.7"/>
    <s v="2/24/2003 0:1799"/>
    <s v="Shipped"/>
    <x v="0"/>
    <s v="Shipped"/>
  </r>
  <r>
    <n v="777"/>
    <s v="2/24/2003 0:1800"/>
    <s v="Shipped"/>
    <x v="0"/>
    <s v="Shipped"/>
  </r>
  <r>
    <n v="1476.28"/>
    <s v="2/24/2003 0:1801"/>
    <s v="Shipped"/>
    <x v="0"/>
    <s v="Shipped"/>
  </r>
  <r>
    <n v="1538.46"/>
    <s v="2/24/2003 0:1802"/>
    <s v="Shipped"/>
    <x v="0"/>
    <s v="Shipped"/>
  </r>
  <r>
    <n v="891.2"/>
    <s v="2/24/2003 0:1803"/>
    <s v="Shipped"/>
    <x v="0"/>
    <s v="Shipped"/>
  </r>
  <r>
    <n v="1706.8"/>
    <s v="2/24/2003 0:1804"/>
    <s v="Cancelled"/>
    <x v="1"/>
    <s v="Cancelled"/>
  </r>
  <r>
    <n v="1373.6"/>
    <s v="2/24/2003 0:1805"/>
    <s v="Shipped"/>
    <x v="0"/>
    <s v="Shipped"/>
  </r>
  <r>
    <n v="1205.5899999999999"/>
    <s v="2/24/2003 0:1806"/>
    <s v="Shipped"/>
    <x v="0"/>
    <s v="Shipped"/>
  </r>
  <r>
    <n v="1427.4"/>
    <s v="2/24/2003 0:1807"/>
    <s v="Shipped"/>
    <x v="0"/>
    <s v="Shipped"/>
  </r>
  <r>
    <n v="1649.28"/>
    <s v="2/24/2003 0:1808"/>
    <s v="Shipped"/>
    <x v="0"/>
    <s v="Shipped"/>
  </r>
  <r>
    <n v="1383.03"/>
    <s v="2/24/2003 0:1809"/>
    <s v="Shipped"/>
    <x v="0"/>
    <s v="Shipped"/>
  </r>
  <r>
    <n v="1229.51"/>
    <s v="2/24/2003 0:1810"/>
    <s v="Shipped"/>
    <x v="0"/>
    <s v="Shipped"/>
  </r>
  <r>
    <n v="1140.48"/>
    <s v="2/24/2003 0:1811"/>
    <s v="Shipped"/>
    <x v="0"/>
    <s v="Shipped"/>
  </r>
  <r>
    <n v="1575.6"/>
    <s v="2/24/2003 0:1812"/>
    <s v="Shipped"/>
    <x v="0"/>
    <s v="Shipped"/>
  </r>
  <r>
    <n v="1386.72"/>
    <s v="2/24/2003 0:1813"/>
    <s v="Shipped"/>
    <x v="0"/>
    <s v="Shipped"/>
  </r>
  <r>
    <n v="5018.3999999999996"/>
    <s v="2/24/2003 0:1814"/>
    <s v="Resolved"/>
    <x v="1"/>
    <s v="Resolved"/>
  </r>
  <r>
    <n v="5856.85"/>
    <s v="2/24/2003 0:1815"/>
    <s v="Shipped"/>
    <x v="0"/>
    <s v="Shipped"/>
  </r>
  <r>
    <n v="4894.7299999999996"/>
    <s v="2/24/2003 0:1816"/>
    <s v="Shipped"/>
    <x v="0"/>
    <s v="Shipped"/>
  </r>
  <r>
    <n v="2094.3200000000002"/>
    <s v="2/24/2003 0:1817"/>
    <s v="Shipped"/>
    <x v="0"/>
    <s v="Shipped"/>
  </r>
  <r>
    <n v="640.04999999999995"/>
    <s v="2/24/2003 0:1818"/>
    <s v="Shipped"/>
    <x v="0"/>
    <s v="Shipped"/>
  </r>
  <r>
    <n v="3193.52"/>
    <s v="2/24/2003 0:1819"/>
    <s v="Shipped"/>
    <x v="0"/>
    <s v="Shipped"/>
  </r>
  <r>
    <n v="3066.7"/>
    <s v="2/24/2003 0:1820"/>
    <s v="Shipped"/>
    <x v="0"/>
    <s v="Shipped"/>
  </r>
  <r>
    <n v="3883.11"/>
    <s v="2/24/2003 0:1821"/>
    <s v="Shipped"/>
    <x v="0"/>
    <s v="Shipped"/>
  </r>
  <r>
    <n v="4814.25"/>
    <s v="2/24/2003 0:1822"/>
    <s v="Shipped"/>
    <x v="0"/>
    <s v="Shipped"/>
  </r>
  <r>
    <n v="2826.27"/>
    <s v="2/24/2003 0:1823"/>
    <s v="Shipped"/>
    <x v="0"/>
    <s v="Shipped"/>
  </r>
  <r>
    <n v="1593.2"/>
    <s v="2/24/2003 0:1824"/>
    <s v="Cancelled"/>
    <x v="1"/>
    <s v="Cancelled"/>
  </r>
  <r>
    <n v="3266.1"/>
    <s v="2/24/2003 0:1825"/>
    <s v="Shipped"/>
    <x v="0"/>
    <s v="Shipped"/>
  </r>
  <r>
    <n v="2453.5500000000002"/>
    <s v="2/24/2003 0:1826"/>
    <s v="Shipped"/>
    <x v="0"/>
    <s v="Shipped"/>
  </r>
  <r>
    <n v="3910.4"/>
    <s v="2/24/2003 0:1827"/>
    <s v="Shipped"/>
    <x v="0"/>
    <s v="Shipped"/>
  </r>
  <r>
    <n v="1788"/>
    <s v="2/24/2003 0:1828"/>
    <s v="Shipped"/>
    <x v="0"/>
    <s v="Shipped"/>
  </r>
  <r>
    <n v="3328.07"/>
    <s v="2/24/2003 0:1829"/>
    <s v="Shipped"/>
    <x v="0"/>
    <s v="Shipped"/>
  </r>
  <r>
    <n v="3788.4"/>
    <s v="2/24/2003 0:1830"/>
    <s v="Shipped"/>
    <x v="0"/>
    <s v="Shipped"/>
  </r>
  <r>
    <n v="3053.7"/>
    <s v="2/24/2003 0:1831"/>
    <s v="Cancelled"/>
    <x v="1"/>
    <s v="Cancelled"/>
  </r>
  <r>
    <n v="2005.74"/>
    <s v="2/24/2003 0:1832"/>
    <s v="Shipped"/>
    <x v="0"/>
    <s v="Shipped"/>
  </r>
  <r>
    <n v="2796.12"/>
    <s v="2/24/2003 0:1833"/>
    <s v="Shipped"/>
    <x v="0"/>
    <s v="Shipped"/>
  </r>
  <r>
    <n v="3159.96"/>
    <s v="2/24/2003 0:1834"/>
    <s v="Shipped"/>
    <x v="0"/>
    <s v="Shipped"/>
  </r>
  <r>
    <n v="3908.62"/>
    <s v="2/24/2003 0:1835"/>
    <s v="Shipped"/>
    <x v="0"/>
    <s v="Shipped"/>
  </r>
  <r>
    <n v="2606.48"/>
    <s v="2/24/2003 0:1836"/>
    <s v="Shipped"/>
    <x v="0"/>
    <s v="Shipped"/>
  </r>
  <r>
    <n v="2081.7600000000002"/>
    <s v="2/24/2003 0:1837"/>
    <s v="Shipped"/>
    <x v="0"/>
    <s v="Shipped"/>
  </r>
  <r>
    <n v="3519.85"/>
    <s v="2/24/2003 0:1838"/>
    <s v="Shipped"/>
    <x v="0"/>
    <s v="Shipped"/>
  </r>
  <r>
    <n v="10758"/>
    <s v="2/24/2003 0:1839"/>
    <s v="Shipped"/>
    <x v="0"/>
    <s v="Shipped"/>
  </r>
  <r>
    <n v="3021"/>
    <s v="2/24/2003 0:1840"/>
    <s v="Shipped"/>
    <x v="0"/>
    <s v="Shipped"/>
  </r>
  <r>
    <n v="1891.56"/>
    <s v="2/24/2003 0:1841"/>
    <s v="Shipped"/>
    <x v="0"/>
    <s v="Shipped"/>
  </r>
  <r>
    <n v="4208.41"/>
    <s v="2/24/2003 0:1842"/>
    <s v="Shipped"/>
    <x v="0"/>
    <s v="Shipped"/>
  </r>
  <r>
    <n v="2246.4"/>
    <s v="2/24/2003 0:1843"/>
    <s v="Shipped"/>
    <x v="0"/>
    <s v="Shipped"/>
  </r>
  <r>
    <n v="6107.4"/>
    <s v="2/24/2003 0:1844"/>
    <s v="On Hold"/>
    <x v="1"/>
    <s v="On Hold"/>
  </r>
  <r>
    <n v="1987.74"/>
    <s v="2/24/2003 0:1845"/>
    <s v="Shipped"/>
    <x v="0"/>
    <s v="Shipped"/>
  </r>
  <r>
    <n v="4068.96"/>
    <s v="2/24/2003 0:1846"/>
    <s v="Shipped"/>
    <x v="0"/>
    <s v="Shipped"/>
  </r>
  <r>
    <n v="2282.2199999999998"/>
    <s v="2/24/2003 0:1847"/>
    <s v="Shipped"/>
    <x v="0"/>
    <s v="Shipped"/>
  </r>
  <r>
    <n v="1541"/>
    <s v="2/24/2003 0:1848"/>
    <s v="Shipped"/>
    <x v="0"/>
    <s v="Shipped"/>
  </r>
  <r>
    <n v="1951.92"/>
    <s v="2/24/2003 0:1849"/>
    <s v="Shipped"/>
    <x v="0"/>
    <s v="Shipped"/>
  </r>
  <r>
    <n v="3107.61"/>
    <s v="2/24/2003 0:1850"/>
    <s v="Shipped"/>
    <x v="0"/>
    <s v="Shipped"/>
  </r>
  <r>
    <n v="2328.64"/>
    <s v="2/24/2003 0:1851"/>
    <s v="Shipped"/>
    <x v="0"/>
    <s v="Shipped"/>
  </r>
  <r>
    <n v="3184.8"/>
    <s v="2/24/2003 0:1852"/>
    <s v="Shipped"/>
    <x v="0"/>
    <s v="Shipped"/>
  </r>
  <r>
    <n v="2149.7399999999998"/>
    <s v="2/24/2003 0:1853"/>
    <s v="Shipped"/>
    <x v="0"/>
    <s v="Shipped"/>
  </r>
  <r>
    <n v="3184.8"/>
    <s v="2/24/2003 0:1854"/>
    <s v="Shipped"/>
    <x v="0"/>
    <s v="Shipped"/>
  </r>
  <r>
    <n v="2114.58"/>
    <s v="2/24/2003 0:1855"/>
    <s v="Shipped"/>
    <x v="0"/>
    <s v="Shipped"/>
  </r>
  <r>
    <n v="4256.5600000000004"/>
    <s v="2/24/2003 0:1856"/>
    <s v="Shipped"/>
    <x v="0"/>
    <s v="Shipped"/>
  </r>
  <r>
    <n v="2344.98"/>
    <s v="2/24/2003 0:1857"/>
    <s v="Shipped"/>
    <x v="0"/>
    <s v="Shipped"/>
  </r>
  <r>
    <n v="2328.66"/>
    <s v="2/24/2003 0:1858"/>
    <s v="Shipped"/>
    <x v="0"/>
    <s v="Shipped"/>
  </r>
  <r>
    <n v="3575.04"/>
    <s v="2/24/2003 0:1859"/>
    <s v="Shipped"/>
    <x v="0"/>
    <s v="Shipped"/>
  </r>
  <r>
    <n v="2076"/>
    <s v="2/24/2003 0:1860"/>
    <s v="Shipped"/>
    <x v="0"/>
    <s v="Shipped"/>
  </r>
  <r>
    <n v="3305.25"/>
    <s v="2/24/2003 0:1861"/>
    <s v="Shipped"/>
    <x v="0"/>
    <s v="Shipped"/>
  </r>
  <r>
    <n v="1538.55"/>
    <s v="2/24/2003 0:1862"/>
    <s v="Shipped"/>
    <x v="0"/>
    <s v="Shipped"/>
  </r>
  <r>
    <n v="3325.92"/>
    <s v="2/24/2003 0:1863"/>
    <s v="Shipped"/>
    <x v="0"/>
    <s v="Shipped"/>
  </r>
  <r>
    <n v="3662.52"/>
    <s v="2/24/2003 0:1864"/>
    <s v="Shipped"/>
    <x v="0"/>
    <s v="Shipped"/>
  </r>
  <r>
    <n v="3478.64"/>
    <s v="2/24/2003 0:1865"/>
    <s v="Shipped"/>
    <x v="0"/>
    <s v="Shipped"/>
  </r>
  <r>
    <n v="1057.29"/>
    <s v="2/24/2003 0:1866"/>
    <s v="On Hold"/>
    <x v="1"/>
    <s v="On Hold"/>
  </r>
  <r>
    <n v="3385.9"/>
    <s v="2/24/2003 0:1867"/>
    <s v="In Process"/>
    <x v="1"/>
    <s v="In Process"/>
  </r>
  <r>
    <n v="1892.1"/>
    <s v="2/24/2003 0:1868"/>
    <s v="Shipped"/>
    <x v="0"/>
    <s v="Shipped"/>
  </r>
  <r>
    <n v="1707.14"/>
    <s v="2/24/2003 0:1869"/>
    <s v="Shipped"/>
    <x v="0"/>
    <s v="Shipped"/>
  </r>
  <r>
    <n v="1785.51"/>
    <s v="2/24/2003 0:1870"/>
    <s v="Shipped"/>
    <x v="0"/>
    <s v="Shipped"/>
  </r>
  <r>
    <n v="2057.4"/>
    <s v="2/24/2003 0:1871"/>
    <s v="Shipped"/>
    <x v="0"/>
    <s v="Shipped"/>
  </r>
  <r>
    <n v="3490"/>
    <s v="2/24/2003 0:1872"/>
    <s v="Shipped"/>
    <x v="0"/>
    <s v="Shipped"/>
  </r>
  <r>
    <n v="1707.14"/>
    <s v="2/24/2003 0:1873"/>
    <s v="Shipped"/>
    <x v="0"/>
    <s v="Shipped"/>
  </r>
  <r>
    <n v="1506.96"/>
    <s v="2/24/2003 0:1874"/>
    <s v="Shipped"/>
    <x v="0"/>
    <s v="Shipped"/>
  </r>
  <r>
    <n v="2880.48"/>
    <s v="2/24/2003 0:1875"/>
    <s v="Shipped"/>
    <x v="0"/>
    <s v="Shipped"/>
  </r>
  <r>
    <n v="2206.6"/>
    <s v="2/24/2003 0:1876"/>
    <s v="Shipped"/>
    <x v="0"/>
    <s v="Shipped"/>
  </r>
  <r>
    <n v="2351.04"/>
    <s v="2/24/2003 0:1877"/>
    <s v="Shipped"/>
    <x v="0"/>
    <s v="Shipped"/>
  </r>
  <r>
    <n v="1205.04"/>
    <s v="2/24/2003 0:1878"/>
    <s v="Shipped"/>
    <x v="0"/>
    <s v="Shipped"/>
  </r>
  <r>
    <n v="2935.15"/>
    <s v="2/24/2003 0:1879"/>
    <s v="Shipped"/>
    <x v="0"/>
    <s v="Shipped"/>
  </r>
  <r>
    <n v="1263.8399999999999"/>
    <s v="2/24/2003 0:1880"/>
    <s v="Cancelled"/>
    <x v="1"/>
    <s v="Cancelled"/>
  </r>
  <r>
    <n v="2935.15"/>
    <s v="2/24/2003 0:1881"/>
    <s v="Shipped"/>
    <x v="0"/>
    <s v="Shipped"/>
  </r>
  <r>
    <n v="1224.5999999999999"/>
    <s v="2/24/2003 0:1882"/>
    <s v="Shipped"/>
    <x v="0"/>
    <s v="Shipped"/>
  </r>
  <r>
    <n v="1359.4"/>
    <s v="2/24/2003 0:1883"/>
    <s v="Shipped"/>
    <x v="0"/>
    <s v="Shipped"/>
  </r>
  <r>
    <n v="1822.18"/>
    <s v="2/24/2003 0:1884"/>
    <s v="Shipped"/>
    <x v="0"/>
    <s v="Shipped"/>
  </r>
  <r>
    <n v="2163.7199999999998"/>
    <s v="2/24/2003 0:1885"/>
    <s v="Shipped"/>
    <x v="0"/>
    <s v="Shipped"/>
  </r>
  <r>
    <n v="1591.98"/>
    <s v="2/24/2003 0:1886"/>
    <s v="Shipped"/>
    <x v="0"/>
    <s v="Shipped"/>
  </r>
  <r>
    <n v="3078.5"/>
    <s v="2/24/2003 0:1887"/>
    <s v="Shipped"/>
    <x v="0"/>
    <s v="Shipped"/>
  </r>
  <r>
    <n v="2997.6"/>
    <s v="2/24/2003 0:1888"/>
    <s v="Shipped"/>
    <x v="0"/>
    <s v="Shipped"/>
  </r>
  <r>
    <n v="2747.8"/>
    <s v="2/24/2003 0:1889"/>
    <s v="Shipped"/>
    <x v="0"/>
    <s v="Shipped"/>
  </r>
  <r>
    <n v="2447.7600000000002"/>
    <s v="2/24/2003 0:1890"/>
    <s v="Shipped"/>
    <x v="0"/>
    <s v="Shipped"/>
  </r>
  <r>
    <n v="1910.84"/>
    <s v="2/24/2003 0:1891"/>
    <s v="Shipped"/>
    <x v="0"/>
    <s v="Shipped"/>
  </r>
  <r>
    <n v="2430.64"/>
    <s v="2/24/2003 0:1892"/>
    <s v="Shipped"/>
    <x v="0"/>
    <s v="Shipped"/>
  </r>
  <r>
    <n v="2896.3"/>
    <s v="2/24/2003 0:1893"/>
    <s v="Shipped"/>
    <x v="0"/>
    <s v="Shipped"/>
  </r>
  <r>
    <n v="1630.6"/>
    <s v="2/24/2003 0:1894"/>
    <s v="Shipped"/>
    <x v="0"/>
    <s v="Shipped"/>
  </r>
  <r>
    <n v="1459.6"/>
    <s v="2/24/2003 0:1895"/>
    <s v="Shipped"/>
    <x v="0"/>
    <s v="Shipped"/>
  </r>
  <r>
    <n v="1716.22"/>
    <s v="2/24/2003 0:1896"/>
    <s v="Shipped"/>
    <x v="0"/>
    <s v="Shipped"/>
  </r>
  <r>
    <n v="2560.4699999999998"/>
    <s v="2/24/2003 0:1897"/>
    <s v="Shipped"/>
    <x v="0"/>
    <s v="Shipped"/>
  </r>
  <r>
    <n v="1900.26"/>
    <s v="2/24/2003 0:1898"/>
    <s v="Shipped"/>
    <x v="0"/>
    <s v="Shipped"/>
  </r>
  <r>
    <n v="2019.84"/>
    <s v="2/24/2003 0:1899"/>
    <s v="Cancelled"/>
    <x v="1"/>
    <s v="Cancelled"/>
  </r>
  <r>
    <n v="1988.28"/>
    <s v="2/24/2003 0:1900"/>
    <s v="Shipped"/>
    <x v="0"/>
    <s v="Shipped"/>
  </r>
  <r>
    <n v="1449.84"/>
    <s v="2/24/2003 0:1901"/>
    <s v="Shipped"/>
    <x v="0"/>
    <s v="Shipped"/>
  </r>
  <r>
    <n v="1935.09"/>
    <s v="2/24/2003 0:1902"/>
    <s v="Shipped"/>
    <x v="0"/>
    <s v="Shipped"/>
  </r>
  <r>
    <n v="2793.24"/>
    <s v="2/24/2003 0:1903"/>
    <s v="Shipped"/>
    <x v="0"/>
    <s v="Shipped"/>
  </r>
  <r>
    <n v="3025.05"/>
    <s v="2/24/2003 0:1904"/>
    <s v="Shipped"/>
    <x v="0"/>
    <s v="Shipped"/>
  </r>
  <r>
    <n v="1742.5"/>
    <s v="2/24/2003 0:1905"/>
    <s v="Shipped"/>
    <x v="0"/>
    <s v="Shipped"/>
  </r>
  <r>
    <n v="3236.1"/>
    <s v="2/24/2003 0:1906"/>
    <s v="Cancelled"/>
    <x v="1"/>
    <s v="Cancelled"/>
  </r>
  <r>
    <n v="1735.92"/>
    <s v="2/24/2003 0:1907"/>
    <s v="Shipped"/>
    <x v="0"/>
    <s v="Shipped"/>
  </r>
  <r>
    <n v="2795.13"/>
    <s v="2/24/2003 0:1908"/>
    <s v="Shipped"/>
    <x v="0"/>
    <s v="Shipped"/>
  </r>
  <r>
    <n v="1671.52"/>
    <s v="2/24/2003 0:1909"/>
    <s v="Shipped"/>
    <x v="0"/>
    <s v="Shipped"/>
  </r>
  <r>
    <n v="1576.74"/>
    <s v="2/24/2003 0:1910"/>
    <s v="Shipped"/>
    <x v="0"/>
    <s v="Shipped"/>
  </r>
  <r>
    <n v="3615.71"/>
    <s v="2/24/2003 0:1911"/>
    <s v="Shipped"/>
    <x v="0"/>
    <s v="Shipped"/>
  </r>
  <r>
    <n v="1459.6"/>
    <s v="2/24/2003 0:1912"/>
    <s v="Shipped"/>
    <x v="0"/>
    <s v="Shipped"/>
  </r>
  <r>
    <n v="2891.01"/>
    <s v="2/24/2003 0:1913"/>
    <s v="Shipped"/>
    <x v="0"/>
    <s v="Shipped"/>
  </r>
  <r>
    <n v="2598.44"/>
    <s v="2/24/2003 0:1914"/>
    <s v="Shipped"/>
    <x v="0"/>
    <s v="Shipped"/>
  </r>
  <r>
    <n v="3871.92"/>
    <s v="2/24/2003 0:1915"/>
    <s v="Shipped"/>
    <x v="0"/>
    <s v="Shipped"/>
  </r>
  <r>
    <n v="3036"/>
    <s v="2/24/2003 0:1916"/>
    <s v="Shipped"/>
    <x v="0"/>
    <s v="Shipped"/>
  </r>
  <r>
    <n v="2231.6"/>
    <s v="2/24/2003 0:1917"/>
    <s v="Resolved"/>
    <x v="1"/>
    <s v="Resolved"/>
  </r>
  <r>
    <n v="2436.7800000000002"/>
    <s v="2/24/2003 0:1918"/>
    <s v="Shipped"/>
    <x v="0"/>
    <s v="Shipped"/>
  </r>
  <r>
    <n v="2173.6"/>
    <s v="2/24/2003 0:1919"/>
    <s v="Shipped"/>
    <x v="0"/>
    <s v="Shipped"/>
  </r>
  <r>
    <n v="1254.5999999999999"/>
    <s v="2/24/2003 0:1920"/>
    <s v="Disputed"/>
    <x v="1"/>
    <s v="Disputed"/>
  </r>
  <r>
    <n v="3724.42"/>
    <s v="2/24/2003 0:1921"/>
    <s v="Shipped"/>
    <x v="0"/>
    <s v="Shipped"/>
  </r>
  <r>
    <n v="5203"/>
    <s v="2/24/2003 0:1922"/>
    <s v="Shipped"/>
    <x v="0"/>
    <s v="Shipped"/>
  </r>
  <r>
    <n v="3469.5"/>
    <s v="2/24/2003 0:1923"/>
    <s v="Shipped"/>
    <x v="0"/>
    <s v="Shipped"/>
  </r>
  <r>
    <n v="3148.2"/>
    <s v="2/24/2003 0:1924"/>
    <s v="Shipped"/>
    <x v="0"/>
    <s v="Shipped"/>
  </r>
  <r>
    <n v="2167.2199999999998"/>
    <s v="2/24/2003 0:1925"/>
    <s v="Shipped"/>
    <x v="0"/>
    <s v="Shipped"/>
  </r>
  <r>
    <n v="6244.07"/>
    <s v="2/24/2003 0:1926"/>
    <s v="Shipped"/>
    <x v="0"/>
    <s v="Shipped"/>
  </r>
  <r>
    <n v="5566"/>
    <s v="2/24/2003 0:1927"/>
    <s v="Shipped"/>
    <x v="0"/>
    <s v="Shipped"/>
  </r>
  <r>
    <n v="4368.96"/>
    <s v="2/24/2003 0:1928"/>
    <s v="Shipped"/>
    <x v="0"/>
    <s v="Shipped"/>
  </r>
  <r>
    <n v="4039.26"/>
    <s v="2/24/2003 0:1929"/>
    <s v="Shipped"/>
    <x v="0"/>
    <s v="Shipped"/>
  </r>
  <r>
    <n v="4420.32"/>
    <s v="2/24/2003 0:1930"/>
    <s v="Shipped"/>
    <x v="0"/>
    <s v="Shipped"/>
  </r>
  <r>
    <n v="2341.71"/>
    <s v="2/24/2003 0:1931"/>
    <s v="Shipped"/>
    <x v="0"/>
    <s v="Shipped"/>
  </r>
  <r>
    <n v="5110.9799999999996"/>
    <s v="2/24/2003 0:1932"/>
    <s v="Shipped"/>
    <x v="0"/>
    <s v="Shipped"/>
  </r>
  <r>
    <n v="6168"/>
    <s v="2/24/2003 0:1933"/>
    <s v="Shipped"/>
    <x v="0"/>
    <s v="Shipped"/>
  </r>
  <r>
    <n v="4873.26"/>
    <s v="2/24/2003 0:1934"/>
    <s v="Shipped"/>
    <x v="0"/>
    <s v="Shipped"/>
  </r>
  <r>
    <n v="2120.14"/>
    <s v="2/24/2003 0:1935"/>
    <s v="Shipped"/>
    <x v="0"/>
    <s v="Shipped"/>
  </r>
  <r>
    <n v="4236.1400000000003"/>
    <s v="2/24/2003 0:1936"/>
    <s v="Shipped"/>
    <x v="0"/>
    <s v="Shipped"/>
  </r>
  <r>
    <n v="1888.95"/>
    <s v="2/24/2003 0:1937"/>
    <s v="Shipped"/>
    <x v="0"/>
    <s v="Shipped"/>
  </r>
  <r>
    <n v="1152.58"/>
    <s v="2/24/2003 0:1938"/>
    <s v="Shipped"/>
    <x v="0"/>
    <s v="Shipped"/>
  </r>
  <r>
    <n v="2492.88"/>
    <s v="2/24/2003 0:1939"/>
    <s v="Shipped"/>
    <x v="0"/>
    <s v="Shipped"/>
  </r>
  <r>
    <n v="1991.6"/>
    <s v="2/24/2003 0:1940"/>
    <s v="Shipped"/>
    <x v="0"/>
    <s v="Shipped"/>
  </r>
  <r>
    <n v="3953.18"/>
    <s v="2/24/2003 0:1941"/>
    <s v="Shipped"/>
    <x v="0"/>
    <s v="Shipped"/>
  </r>
  <r>
    <n v="3729.39"/>
    <s v="2/24/2003 0:1942"/>
    <s v="On Hold"/>
    <x v="1"/>
    <s v="On Hold"/>
  </r>
  <r>
    <n v="2617.16"/>
    <s v="2/24/2003 0:1943"/>
    <s v="In Process"/>
    <x v="1"/>
    <s v="In Process"/>
  </r>
  <r>
    <n v="3983.5"/>
    <s v="2/24/2003 0:1944"/>
    <s v="Shipped"/>
    <x v="0"/>
    <s v="Shipped"/>
  </r>
  <r>
    <n v="3169.95"/>
    <s v="2/24/2003 0:1945"/>
    <s v="Shipped"/>
    <x v="0"/>
    <s v="Shipped"/>
  </r>
  <r>
    <n v="3899.5"/>
    <s v="2/24/2003 0:1946"/>
    <s v="Shipped"/>
    <x v="0"/>
    <s v="Shipped"/>
  </r>
  <r>
    <n v="1851.73"/>
    <s v="2/24/2003 0:1947"/>
    <s v="Shipped"/>
    <x v="0"/>
    <s v="Shipped"/>
  </r>
  <r>
    <n v="2513.41"/>
    <s v="2/24/2003 0:1948"/>
    <s v="Shipped"/>
    <x v="0"/>
    <s v="Shipped"/>
  </r>
  <r>
    <n v="2431.94"/>
    <s v="2/24/2003 0:1949"/>
    <s v="Cancelled"/>
    <x v="1"/>
    <s v="Cancelled"/>
  </r>
  <r>
    <n v="1514.52"/>
    <s v="2/24/2003 0:1950"/>
    <s v="Shipped"/>
    <x v="0"/>
    <s v="Shipped"/>
  </r>
  <r>
    <n v="3079.44"/>
    <s v="2/24/2003 0:1951"/>
    <s v="Shipped"/>
    <x v="0"/>
    <s v="Shipped"/>
  </r>
  <r>
    <n v="1900.36"/>
    <s v="2/24/2003 0:1952"/>
    <s v="Shipped"/>
    <x v="0"/>
    <s v="Shipped"/>
  </r>
  <r>
    <n v="1974.06"/>
    <s v="2/24/2003 0:1953"/>
    <s v="Shipped"/>
    <x v="0"/>
    <s v="Shipped"/>
  </r>
  <r>
    <n v="3703.46"/>
    <s v="2/24/2003 0:1954"/>
    <s v="Shipped"/>
    <x v="0"/>
    <s v="Shipped"/>
  </r>
  <r>
    <n v="1755.13"/>
    <s v="2/24/2003 0:1955"/>
    <s v="Cancelled"/>
    <x v="1"/>
    <s v="Cancelled"/>
  </r>
  <r>
    <n v="4273.29"/>
    <s v="2/24/2003 0:1956"/>
    <s v="Cancelled"/>
    <x v="1"/>
    <s v="Cancelled"/>
  </r>
  <r>
    <n v="3984.96"/>
    <s v="2/24/2003 0:1957"/>
    <s v="Shipped"/>
    <x v="0"/>
    <s v="Shipped"/>
  </r>
  <r>
    <n v="2407.6799999999998"/>
    <s v="2/24/2003 0:1958"/>
    <s v="Shipped"/>
    <x v="0"/>
    <s v="Shipped"/>
  </r>
  <r>
    <n v="1697.3"/>
    <s v="2/24/2003 0:1959"/>
    <s v="Shipped"/>
    <x v="0"/>
    <s v="Shipped"/>
  </r>
  <r>
    <n v="2011.02"/>
    <s v="2/24/2003 0:1960"/>
    <s v="Shipped"/>
    <x v="0"/>
    <s v="Shipped"/>
  </r>
  <r>
    <n v="2306.25"/>
    <s v="2/24/2003 0:1961"/>
    <s v="Shipped"/>
    <x v="0"/>
    <s v="Shipped"/>
  </r>
  <r>
    <n v="1845"/>
    <s v="2/24/2003 0:1962"/>
    <s v="Shipped"/>
    <x v="0"/>
    <s v="Shipped"/>
  </r>
  <r>
    <n v="2493.12"/>
    <s v="2/24/2003 0:1963"/>
    <s v="Shipped"/>
    <x v="0"/>
    <s v="Shipped"/>
  </r>
  <r>
    <n v="1508.5"/>
    <s v="2/24/2003 0:1964"/>
    <s v="Shipped"/>
    <x v="0"/>
    <s v="Shipped"/>
  </r>
  <r>
    <n v="2394.3000000000002"/>
    <s v="2/24/2003 0:1965"/>
    <s v="Shipped"/>
    <x v="0"/>
    <s v="Shipped"/>
  </r>
  <r>
    <n v="3164.98"/>
    <s v="2/24/2003 0:1966"/>
    <s v="Shipped"/>
    <x v="0"/>
    <s v="Shipped"/>
  </r>
  <r>
    <n v="3351.09"/>
    <s v="2/24/2003 0:1967"/>
    <s v="Shipped"/>
    <x v="0"/>
    <s v="Shipped"/>
  </r>
  <r>
    <n v="3064.32"/>
    <s v="2/24/2003 0:1968"/>
    <s v="Shipped"/>
    <x v="0"/>
    <s v="Shipped"/>
  </r>
  <r>
    <n v="3891.81"/>
    <s v="2/24/2003 0:1969"/>
    <s v="On Hold"/>
    <x v="1"/>
    <s v="On Hold"/>
  </r>
  <r>
    <n v="5448.8"/>
    <s v="2/24/2003 0:1970"/>
    <s v="Shipped"/>
    <x v="0"/>
    <s v="Shipped"/>
  </r>
  <r>
    <n v="5494.97"/>
    <s v="2/24/2003 0:1971"/>
    <s v="Shipped"/>
    <x v="0"/>
    <s v="Shipped"/>
  </r>
  <r>
    <n v="6336.07"/>
    <s v="2/24/2003 0:1972"/>
    <s v="Shipped"/>
    <x v="0"/>
    <s v="Shipped"/>
  </r>
  <r>
    <n v="2906.97"/>
    <s v="2/24/2003 0:1973"/>
    <s v="Shipped"/>
    <x v="0"/>
    <s v="Shipped"/>
  </r>
  <r>
    <n v="4767.7"/>
    <s v="2/24/2003 0:1974"/>
    <s v="Shipped"/>
    <x v="0"/>
    <s v="Shipped"/>
  </r>
  <r>
    <n v="3819.56"/>
    <s v="2/24/2003 0:1975"/>
    <s v="Shipped"/>
    <x v="0"/>
    <s v="Shipped"/>
  </r>
  <r>
    <n v="3861.75"/>
    <s v="2/24/2003 0:1976"/>
    <s v="Shipped"/>
    <x v="0"/>
    <s v="Shipped"/>
  </r>
  <r>
    <n v="6319.35"/>
    <s v="2/24/2003 0:1977"/>
    <s v="Shipped"/>
    <x v="0"/>
    <s v="Shipped"/>
  </r>
  <r>
    <n v="6996.42"/>
    <s v="2/24/2003 0:1978"/>
    <s v="Shipped"/>
    <x v="0"/>
    <s v="Shipped"/>
  </r>
  <r>
    <n v="6949.67"/>
    <s v="2/24/2003 0:1979"/>
    <s v="Shipped"/>
    <x v="0"/>
    <s v="Shipped"/>
  </r>
  <r>
    <n v="4550"/>
    <s v="2/24/2003 0:1980"/>
    <s v="Shipped"/>
    <x v="0"/>
    <s v="Shipped"/>
  </r>
  <r>
    <n v="4479.63"/>
    <s v="2/24/2003 0:1981"/>
    <s v="Shipped"/>
    <x v="0"/>
    <s v="Shipped"/>
  </r>
  <r>
    <n v="5148"/>
    <s v="2/24/2003 0:1982"/>
    <s v="Cancelled"/>
    <x v="1"/>
    <s v="Cancelled"/>
  </r>
  <r>
    <n v="2932.08"/>
    <s v="2/24/2003 0:1983"/>
    <s v="Shipped"/>
    <x v="0"/>
    <s v="Shipped"/>
  </r>
  <r>
    <n v="3159.75"/>
    <s v="2/24/2003 0:1984"/>
    <s v="Shipped"/>
    <x v="0"/>
    <s v="Shipped"/>
  </r>
  <r>
    <n v="4297.32"/>
    <s v="2/24/2003 0:1985"/>
    <s v="Shipped"/>
    <x v="0"/>
    <s v="Shipped"/>
  </r>
  <r>
    <n v="7723.5"/>
    <s v="2/24/2003 0:1986"/>
    <s v="Shipped"/>
    <x v="0"/>
    <s v="Shipped"/>
  </r>
  <r>
    <n v="5497.65"/>
    <s v="2/24/2003 0:1987"/>
    <s v="Shipped"/>
    <x v="0"/>
    <s v="Shipped"/>
  </r>
  <r>
    <n v="4052.88"/>
    <s v="2/24/2003 0:1988"/>
    <s v="Shipped"/>
    <x v="0"/>
    <s v="Shipped"/>
  </r>
  <r>
    <n v="3135.93"/>
    <s v="2/24/2003 0:1989"/>
    <s v="Shipped"/>
    <x v="0"/>
    <s v="Shipped"/>
  </r>
  <r>
    <n v="5013.54"/>
    <s v="2/24/2003 0:1990"/>
    <s v="Shipped"/>
    <x v="0"/>
    <s v="Shipped"/>
  </r>
  <r>
    <n v="5302.72"/>
    <s v="2/24/2003 0:1991"/>
    <s v="Shipped"/>
    <x v="0"/>
    <s v="Shipped"/>
  </r>
  <r>
    <n v="2931.98"/>
    <s v="2/24/2003 0:1992"/>
    <s v="Shipped"/>
    <x v="0"/>
    <s v="Shipped"/>
  </r>
  <r>
    <n v="1757.91"/>
    <s v="2/24/2003 0:1993"/>
    <s v="Shipped"/>
    <x v="0"/>
    <s v="Shipped"/>
  </r>
  <r>
    <n v="6763.05"/>
    <s v="2/24/2003 0:1994"/>
    <s v="Shipped"/>
    <x v="0"/>
    <s v="Shipped"/>
  </r>
  <r>
    <n v="11739.7"/>
    <s v="2/24/2003 0:1995"/>
    <s v="Shipped"/>
    <x v="0"/>
    <s v="Shipped"/>
  </r>
  <r>
    <n v="9240"/>
    <s v="2/24/2003 0:1996"/>
    <s v="Shipped"/>
    <x v="0"/>
    <s v="Shipped"/>
  </r>
  <r>
    <n v="3241.5"/>
    <s v="2/24/2003 0:1997"/>
    <s v="Shipped"/>
    <x v="0"/>
    <s v="Shipped"/>
  </r>
  <r>
    <n v="1968.12"/>
    <s v="2/24/2003 0:1998"/>
    <s v="Shipped"/>
    <x v="0"/>
    <s v="Shipped"/>
  </r>
  <r>
    <n v="4094.5"/>
    <s v="2/24/2003 0:1999"/>
    <s v="Shipped"/>
    <x v="0"/>
    <s v="Shipped"/>
  </r>
  <r>
    <n v="1853.32"/>
    <s v="2/24/2003 0:2000"/>
    <s v="Shipped"/>
    <x v="0"/>
    <s v="Shipped"/>
  </r>
  <r>
    <n v="3392.84"/>
    <s v="2/24/2003 0:2001"/>
    <s v="Shipped"/>
    <x v="0"/>
    <s v="Shipped"/>
  </r>
  <r>
    <n v="1971.54"/>
    <s v="2/24/2003 0:2002"/>
    <s v="Shipped"/>
    <x v="0"/>
    <s v="Shipped"/>
  </r>
  <r>
    <n v="2169.9"/>
    <s v="2/24/2003 0:2003"/>
    <s v="Shipped"/>
    <x v="0"/>
    <s v="Shipped"/>
  </r>
  <r>
    <n v="2846.17"/>
    <s v="2/24/2003 0:2004"/>
    <s v="Shipped"/>
    <x v="0"/>
    <s v="Shipped"/>
  </r>
  <r>
    <n v="2018.4"/>
    <s v="2/24/2003 0:2005"/>
    <s v="Shipped"/>
    <x v="0"/>
    <s v="Shipped"/>
  </r>
  <r>
    <n v="2718.72"/>
    <s v="2/24/2003 0:2006"/>
    <s v="Shipped"/>
    <x v="0"/>
    <s v="Shipped"/>
  </r>
  <r>
    <n v="1981.65"/>
    <s v="2/24/2003 0:2007"/>
    <s v="Shipped"/>
    <x v="0"/>
    <s v="Shipped"/>
  </r>
  <r>
    <n v="3002.4"/>
    <s v="2/24/2003 0:2008"/>
    <s v="Shipped"/>
    <x v="0"/>
    <s v="Shipped"/>
  </r>
  <r>
    <n v="2948.16"/>
    <s v="2/24/2003 0:2009"/>
    <s v="Cancelled"/>
    <x v="1"/>
    <s v="Cancelled"/>
  </r>
  <r>
    <n v="3357.49"/>
    <s v="2/24/2003 0:2010"/>
    <s v="Shipped"/>
    <x v="0"/>
    <s v="Shipped"/>
  </r>
  <r>
    <n v="1175.1600000000001"/>
    <s v="2/24/2003 0:2011"/>
    <s v="Shipped"/>
    <x v="0"/>
    <s v="Shipped"/>
  </r>
  <r>
    <n v="2292.8000000000002"/>
    <s v="2/24/2003 0:2012"/>
    <s v="Shipped"/>
    <x v="0"/>
    <s v="Shipped"/>
  </r>
  <r>
    <n v="3286.49"/>
    <s v="2/24/2003 0:2013"/>
    <s v="Shipped"/>
    <x v="0"/>
    <s v="Shipped"/>
  </r>
  <r>
    <n v="2333.6999999999998"/>
    <s v="2/24/2003 0:2014"/>
    <s v="Shipped"/>
    <x v="0"/>
    <s v="Shipped"/>
  </r>
  <r>
    <n v="2675.05"/>
    <s v="2/24/2003 0:2015"/>
    <s v="Shipped"/>
    <x v="0"/>
    <s v="Shipped"/>
  </r>
  <r>
    <n v="4361.3999999999996"/>
    <s v="2/24/2003 0:2016"/>
    <s v="Shipped"/>
    <x v="0"/>
    <s v="Shipped"/>
  </r>
  <r>
    <n v="2018.58"/>
    <s v="2/24/2003 0:2017"/>
    <s v="Shipped"/>
    <x v="0"/>
    <s v="Shipped"/>
  </r>
  <r>
    <n v="3710.98"/>
    <s v="2/24/2003 0:2018"/>
    <s v="Shipped"/>
    <x v="0"/>
    <s v="Shipped"/>
  </r>
  <r>
    <n v="2847"/>
    <s v="2/24/2003 0:2019"/>
    <s v="Shipped"/>
    <x v="0"/>
    <s v="Shipped"/>
  </r>
  <r>
    <n v="3006.12"/>
    <s v="2/24/2003 0:2020"/>
    <s v="Resolved"/>
    <x v="1"/>
    <s v="Resolved"/>
  </r>
  <r>
    <n v="2797.84"/>
    <s v="2/24/2003 0:2021"/>
    <s v="Shipped"/>
    <x v="0"/>
    <s v="Shipped"/>
  </r>
  <r>
    <n v="3843.2"/>
    <s v="2/24/2003 0:2022"/>
    <s v="On Hold"/>
    <x v="1"/>
    <s v="On Hold"/>
  </r>
  <r>
    <n v="1351.08"/>
    <s v="2/24/2003 0:2023"/>
    <s v="Shipped"/>
    <x v="0"/>
    <s v="Shipped"/>
  </r>
  <r>
    <n v="1689.03"/>
    <s v="2/24/2003 0:2024"/>
    <s v="Shipped"/>
    <x v="0"/>
    <s v="Shipped"/>
  </r>
  <r>
    <n v="1654.56"/>
    <s v="2/24/2003 0:2025"/>
    <s v="Shipped"/>
    <x v="0"/>
    <s v="Shipped"/>
  </r>
  <r>
    <n v="1528.58"/>
    <s v="2/24/2003 0:2026"/>
    <s v="Shipped"/>
    <x v="0"/>
    <s v="Shipped"/>
  </r>
  <r>
    <n v="1013.48"/>
    <s v="2/24/2003 0:2027"/>
    <s v="Shipped"/>
    <x v="0"/>
    <s v="Shipped"/>
  </r>
  <r>
    <n v="1442.26"/>
    <s v="2/24/2003 0:2028"/>
    <s v="Shipped"/>
    <x v="0"/>
    <s v="Shipped"/>
  </r>
  <r>
    <n v="1163.05"/>
    <s v="2/24/2003 0:2029"/>
    <s v="Shipped"/>
    <x v="0"/>
    <s v="Shipped"/>
  </r>
  <r>
    <n v="971.98"/>
    <s v="2/24/2003 0:2030"/>
    <s v="Shipped"/>
    <x v="0"/>
    <s v="Shipped"/>
  </r>
  <r>
    <n v="902.66"/>
    <s v="2/24/2003 0:2031"/>
    <s v="Shipped"/>
    <x v="0"/>
    <s v="Shipped"/>
  </r>
  <r>
    <n v="1295.97"/>
    <s v="2/24/2003 0:2032"/>
    <s v="Shipped"/>
    <x v="0"/>
    <s v="Shipped"/>
  </r>
  <r>
    <n v="1534.72"/>
    <s v="2/24/2003 0:2033"/>
    <s v="Shipped"/>
    <x v="0"/>
    <s v="Shipped"/>
  </r>
  <r>
    <n v="1185.3"/>
    <s v="2/24/2003 0:2034"/>
    <s v="Shipped"/>
    <x v="0"/>
    <s v="Shipped"/>
  </r>
  <r>
    <n v="1698.78"/>
    <s v="2/24/2003 0:2035"/>
    <s v="Shipped"/>
    <x v="0"/>
    <s v="Shipped"/>
  </r>
  <r>
    <n v="1381.05"/>
    <s v="2/24/2003 0:2036"/>
    <s v="Shipped"/>
    <x v="0"/>
    <s v="Shipped"/>
  </r>
  <r>
    <n v="1340.46"/>
    <s v="2/24/2003 0:2037"/>
    <s v="Shipped"/>
    <x v="0"/>
    <s v="Shipped"/>
  </r>
  <r>
    <n v="965.04"/>
    <s v="2/24/2003 0:2038"/>
    <s v="Shipped"/>
    <x v="0"/>
    <s v="Shipped"/>
  </r>
  <r>
    <n v="1093.99"/>
    <s v="2/24/2003 0:2039"/>
    <s v="Shipped"/>
    <x v="0"/>
    <s v="Shipped"/>
  </r>
  <r>
    <n v="3166.84"/>
    <s v="2/24/2003 0:2040"/>
    <s v="Shipped"/>
    <x v="0"/>
    <s v="Shipped"/>
  </r>
  <r>
    <n v="2143.6799999999998"/>
    <s v="2/24/2003 0:2041"/>
    <s v="Shipped"/>
    <x v="0"/>
    <s v="Shipped"/>
  </r>
  <r>
    <n v="1717.64"/>
    <s v="2/24/2003 0:2042"/>
    <s v="Shipped"/>
    <x v="0"/>
    <s v="Shipped"/>
  </r>
  <r>
    <n v="4086.29"/>
    <s v="2/24/2003 0:2043"/>
    <s v="Shipped"/>
    <x v="0"/>
    <s v="Shipped"/>
  </r>
  <r>
    <n v="553.95000000000005"/>
    <s v="2/24/2003 0:2044"/>
    <s v="Shipped"/>
    <x v="0"/>
    <s v="Shipped"/>
  </r>
  <r>
    <n v="652.35"/>
    <s v="2/24/2003 0:2045"/>
    <s v="In Process"/>
    <x v="1"/>
    <s v="In Process"/>
  </r>
  <r>
    <n v="2921.62"/>
    <s v="2/24/2003 0:2046"/>
    <s v="Shipped"/>
    <x v="0"/>
    <s v="Shipped"/>
  </r>
  <r>
    <n v="5568.64"/>
    <s v="2/24/2003 0:2047"/>
    <s v="Shipped"/>
    <x v="0"/>
    <s v="Shipped"/>
  </r>
  <r>
    <n v="1939.8"/>
    <s v="2/24/2003 0:2048"/>
    <s v="Shipped"/>
    <x v="0"/>
    <s v="Shipped"/>
  </r>
  <r>
    <n v="3784.8"/>
    <s v="2/24/2003 0:2049"/>
    <s v="Shipped"/>
    <x v="0"/>
    <s v="Shipped"/>
  </r>
  <r>
    <n v="2802.09"/>
    <s v="2/24/2003 0:2050"/>
    <s v="Shipped"/>
    <x v="0"/>
    <s v="Shipped"/>
  </r>
  <r>
    <n v="2384.64"/>
    <s v="2/24/2003 0:2051"/>
    <s v="Shipped"/>
    <x v="0"/>
    <s v="Shipped"/>
  </r>
  <r>
    <n v="2915.66"/>
    <s v="2/24/2003 0:2052"/>
    <s v="Shipped"/>
    <x v="0"/>
    <s v="Shipped"/>
  </r>
  <r>
    <n v="5795.72"/>
    <s v="2/24/2003 0:2053"/>
    <s v="Shipped"/>
    <x v="0"/>
    <s v="Shipped"/>
  </r>
  <r>
    <n v="3699.88"/>
    <s v="2/24/2003 0:2054"/>
    <s v="Shipped"/>
    <x v="0"/>
    <s v="Shipped"/>
  </r>
  <r>
    <n v="2980.6"/>
    <s v="2/24/2003 0:2055"/>
    <s v="Shipped"/>
    <x v="0"/>
    <s v="Shipped"/>
  </r>
  <r>
    <n v="5032.74"/>
    <s v="2/24/2003 0:2056"/>
    <s v="Shipped"/>
    <x v="0"/>
    <s v="Shipped"/>
  </r>
  <r>
    <n v="4737.1499999999996"/>
    <s v="2/24/2003 0:2057"/>
    <s v="Shipped"/>
    <x v="0"/>
    <s v="Shipped"/>
  </r>
  <r>
    <n v="6311.2"/>
    <s v="2/24/2003 0:2058"/>
    <s v="Shipped"/>
    <x v="0"/>
    <s v="Shipped"/>
  </r>
  <r>
    <n v="3070.54"/>
    <s v="2/24/2003 0:2059"/>
    <s v="Shipped"/>
    <x v="0"/>
    <s v="Shipped"/>
  </r>
  <r>
    <n v="4797.3900000000003"/>
    <s v="2/24/2003 0:2060"/>
    <s v="Shipped"/>
    <x v="0"/>
    <s v="Shipped"/>
  </r>
  <r>
    <n v="3832.38"/>
    <s v="2/24/2003 0:2061"/>
    <s v="Shipped"/>
    <x v="0"/>
    <s v="Shipped"/>
  </r>
  <r>
    <n v="4641.4799999999996"/>
    <s v="2/24/2003 0:2062"/>
    <s v="Shipped"/>
    <x v="0"/>
    <s v="Shipped"/>
  </r>
  <r>
    <n v="4000.26"/>
    <s v="2/24/2003 0:2063"/>
    <s v="Shipped"/>
    <x v="0"/>
    <s v="Shipped"/>
  </r>
  <r>
    <n v="5325.76"/>
    <s v="2/24/2003 0:2064"/>
    <s v="Shipped"/>
    <x v="0"/>
    <s v="Shipped"/>
  </r>
  <r>
    <n v="4618.6899999999996"/>
    <s v="2/24/2003 0:2065"/>
    <s v="Shipped"/>
    <x v="0"/>
    <s v="Shipped"/>
  </r>
  <r>
    <n v="3182.97"/>
    <s v="2/24/2003 0:2066"/>
    <s v="Shipped"/>
    <x v="0"/>
    <s v="Shipped"/>
  </r>
  <r>
    <n v="2603.04"/>
    <s v="2/24/2003 0:2067"/>
    <s v="Shipped"/>
    <x v="0"/>
    <s v="Shipped"/>
  </r>
  <r>
    <n v="1408.96"/>
    <s v="2/24/2003 0:2068"/>
    <s v="Shipped"/>
    <x v="0"/>
    <s v="Shipped"/>
  </r>
  <r>
    <n v="1972.11"/>
    <s v="2/24/2003 0:2069"/>
    <s v="Shipped"/>
    <x v="0"/>
    <s v="Shipped"/>
  </r>
  <r>
    <n v="5207.75"/>
    <s v="2/24/2003 0:2070"/>
    <s v="Shipped"/>
    <x v="0"/>
    <s v="Shipped"/>
  </r>
  <r>
    <n v="4253.2"/>
    <s v="2/24/2003 0:2071"/>
    <s v="Shipped"/>
    <x v="0"/>
    <s v="Shipped"/>
  </r>
  <r>
    <n v="2873"/>
    <s v="2/24/2003 0:2072"/>
    <s v="Shipped"/>
    <x v="0"/>
    <s v="Shipped"/>
  </r>
  <r>
    <n v="2253.6799999999998"/>
    <s v="2/24/2003 0:2073"/>
    <s v="Shipped"/>
    <x v="0"/>
    <s v="Shipped"/>
  </r>
  <r>
    <n v="3576.12"/>
    <s v="2/24/2003 0:2074"/>
    <s v="Shipped"/>
    <x v="0"/>
    <s v="Shipped"/>
  </r>
  <r>
    <n v="3276.13"/>
    <s v="2/24/2003 0:2075"/>
    <s v="Shipped"/>
    <x v="0"/>
    <s v="Shipped"/>
  </r>
  <r>
    <n v="1811.4"/>
    <s v="2/24/2003 0:2076"/>
    <s v="Shipped"/>
    <x v="0"/>
    <s v="Shipped"/>
  </r>
  <r>
    <n v="3845.1"/>
    <s v="2/24/2003 0:2077"/>
    <s v="Shipped"/>
    <x v="0"/>
    <s v="Shipped"/>
  </r>
  <r>
    <n v="2571.14"/>
    <s v="2/24/2003 0:2078"/>
    <s v="Shipped"/>
    <x v="0"/>
    <s v="Shipped"/>
  </r>
  <r>
    <n v="5035.1099999999997"/>
    <s v="2/24/2003 0:2079"/>
    <s v="Shipped"/>
    <x v="0"/>
    <s v="Shipped"/>
  </r>
  <r>
    <n v="2279"/>
    <s v="2/24/2003 0:2080"/>
    <s v="Shipped"/>
    <x v="0"/>
    <s v="Shipped"/>
  </r>
  <r>
    <n v="3213.87"/>
    <s v="2/24/2003 0:2081"/>
    <s v="Shipped"/>
    <x v="0"/>
    <s v="Shipped"/>
  </r>
  <r>
    <n v="3532.23"/>
    <s v="2/24/2003 0:2082"/>
    <s v="Shipped"/>
    <x v="0"/>
    <s v="Shipped"/>
  </r>
  <r>
    <n v="3406.59"/>
    <s v="2/24/2003 0:2083"/>
    <s v="Shipped"/>
    <x v="0"/>
    <s v="Shipped"/>
  </r>
  <r>
    <n v="3467.2"/>
    <s v="2/24/2003 0:2084"/>
    <s v="Shipped"/>
    <x v="0"/>
    <s v="Shipped"/>
  </r>
  <r>
    <n v="3628.94"/>
    <s v="2/24/2003 0:2085"/>
    <s v="Shipped"/>
    <x v="0"/>
    <s v="Shipped"/>
  </r>
  <r>
    <n v="4674.72"/>
    <s v="2/24/2003 0:2086"/>
    <s v="Shipped"/>
    <x v="0"/>
    <s v="Shipped"/>
  </r>
  <r>
    <n v="1656.69"/>
    <s v="2/24/2003 0:2087"/>
    <s v="Shipped"/>
    <x v="0"/>
    <s v="Shipped"/>
  </r>
  <r>
    <n v="5171.3999999999996"/>
    <s v="2/24/2003 0:2088"/>
    <s v="Shipped"/>
    <x v="0"/>
    <s v="Shipped"/>
  </r>
  <r>
    <n v="3342.57"/>
    <s v="2/24/2003 0:2089"/>
    <s v="Shipped"/>
    <x v="0"/>
    <s v="Shipped"/>
  </r>
  <r>
    <n v="4884.88"/>
    <s v="2/24/2003 0:2090"/>
    <s v="Shipped"/>
    <x v="0"/>
    <s v="Shipped"/>
  </r>
  <r>
    <n v="6267.69"/>
    <s v="2/24/2003 0:2091"/>
    <s v="Shipped"/>
    <x v="0"/>
    <s v="Shipped"/>
  </r>
  <r>
    <n v="4424.16"/>
    <s v="2/24/2003 0:2092"/>
    <s v="Shipped"/>
    <x v="0"/>
    <s v="Shipped"/>
  </r>
  <r>
    <n v="1962.09"/>
    <s v="2/24/2003 0:2093"/>
    <s v="Shipped"/>
    <x v="0"/>
    <s v="Shipped"/>
  </r>
  <r>
    <n v="6847"/>
    <s v="2/24/2003 0:2094"/>
    <s v="Shipped"/>
    <x v="0"/>
    <s v="Shipped"/>
  </r>
  <r>
    <n v="3476.8"/>
    <s v="2/24/2003 0:2095"/>
    <s v="Shipped"/>
    <x v="0"/>
    <s v="Shipped"/>
  </r>
  <r>
    <n v="4592.6099999999997"/>
    <s v="2/24/2003 0:2096"/>
    <s v="Shipped"/>
    <x v="0"/>
    <s v="Shipped"/>
  </r>
  <r>
    <n v="2208.92"/>
    <s v="2/24/2003 0:2097"/>
    <s v="In Process"/>
    <x v="1"/>
    <s v="In Process"/>
  </r>
  <r>
    <n v="1657.76"/>
    <s v="2/24/2003 0:2098"/>
    <s v="Shipped"/>
    <x v="0"/>
    <s v="Shipped"/>
  </r>
  <r>
    <n v="2479.21"/>
    <s v="2/24/2003 0:2099"/>
    <s v="Shipped"/>
    <x v="0"/>
    <s v="Shipped"/>
  </r>
  <r>
    <n v="3565.92"/>
    <s v="2/24/2003 0:2100"/>
    <s v="Shipped"/>
    <x v="0"/>
    <s v="Shipped"/>
  </r>
  <r>
    <n v="2797.41"/>
    <s v="2/24/2003 0:2101"/>
    <s v="Shipped"/>
    <x v="0"/>
    <s v="Shipped"/>
  </r>
  <r>
    <n v="3756"/>
    <s v="2/24/2003 0:2102"/>
    <s v="Shipped"/>
    <x v="0"/>
    <s v="Shipped"/>
  </r>
  <r>
    <n v="2840"/>
    <s v="2/24/2003 0:2103"/>
    <s v="Shipped"/>
    <x v="0"/>
    <s v="Shipped"/>
  </r>
  <r>
    <n v="1716.26"/>
    <s v="2/24/2003 0:2104"/>
    <s v="Shipped"/>
    <x v="0"/>
    <s v="Shipped"/>
  </r>
  <r>
    <n v="3245.6"/>
    <s v="2/24/2003 0:2105"/>
    <s v="Shipped"/>
    <x v="0"/>
    <s v="Shipped"/>
  </r>
  <r>
    <n v="2760.94"/>
    <s v="2/24/2003 0:2106"/>
    <s v="Shipped"/>
    <x v="0"/>
    <s v="Shipped"/>
  </r>
  <r>
    <n v="1808.4"/>
    <s v="2/24/2003 0:2107"/>
    <s v="Shipped"/>
    <x v="0"/>
    <s v="Shipped"/>
  </r>
  <r>
    <n v="1682.37"/>
    <s v="2/24/2003 0:2108"/>
    <s v="Shipped"/>
    <x v="0"/>
    <s v="Shipped"/>
  </r>
  <r>
    <n v="1491"/>
    <s v="2/24/2003 0:2109"/>
    <s v="Shipped"/>
    <x v="0"/>
    <s v="Shipped"/>
  </r>
  <r>
    <n v="1666.35"/>
    <s v="2/24/2003 0:2110"/>
    <s v="Shipped"/>
    <x v="0"/>
    <s v="Shipped"/>
  </r>
  <r>
    <n v="3666.08"/>
    <s v="2/24/2003 0:2111"/>
    <s v="Shipped"/>
    <x v="0"/>
    <s v="Shipped"/>
  </r>
  <r>
    <n v="2916.2"/>
    <s v="2/24/2003 0:2112"/>
    <s v="Shipped"/>
    <x v="0"/>
    <s v="Shipped"/>
  </r>
  <r>
    <n v="2616.98"/>
    <s v="2/24/2003 0:2113"/>
    <s v="Shipped"/>
    <x v="0"/>
    <s v="Shipped"/>
  </r>
  <r>
    <n v="3390.8"/>
    <s v="2/24/2003 0:2114"/>
    <s v="Shipped"/>
    <x v="0"/>
    <s v="Shipped"/>
  </r>
  <r>
    <n v="3146.5"/>
    <s v="2/24/2003 0:2115"/>
    <s v="Shipped"/>
    <x v="0"/>
    <s v="Shipped"/>
  </r>
  <r>
    <n v="1561.5"/>
    <s v="2/24/2003 0:2116"/>
    <s v="Shipped"/>
    <x v="0"/>
    <s v="Shipped"/>
  </r>
  <r>
    <n v="10039.6"/>
    <s v="2/24/2003 0:2117"/>
    <s v="Shipped"/>
    <x v="0"/>
    <s v="Shipped"/>
  </r>
  <r>
    <n v="3167"/>
    <s v="2/24/2003 0:2118"/>
    <s v="Resolved"/>
    <x v="1"/>
    <s v="Resolved"/>
  </r>
  <r>
    <n v="3521.25"/>
    <s v="2/24/2003 0:2119"/>
    <s v="Shipped"/>
    <x v="0"/>
    <s v="Shipped"/>
  </r>
  <r>
    <n v="4219.28"/>
    <s v="2/24/2003 0:2120"/>
    <s v="On Hold"/>
    <x v="1"/>
    <s v="On Hold"/>
  </r>
  <r>
    <n v="3581.76"/>
    <s v="2/24/2003 0:2121"/>
    <s v="Shipped"/>
    <x v="0"/>
    <s v="Shipped"/>
  </r>
  <r>
    <n v="2130.0100000000002"/>
    <s v="2/24/2003 0:2122"/>
    <s v="Shipped"/>
    <x v="0"/>
    <s v="Shipped"/>
  </r>
  <r>
    <n v="2063.06"/>
    <s v="2/24/2003 0:2123"/>
    <s v="Shipped"/>
    <x v="0"/>
    <s v="Shipped"/>
  </r>
  <r>
    <n v="2008.13"/>
    <s v="2/24/2003 0:2124"/>
    <s v="Shipped"/>
    <x v="0"/>
    <s v="Shipped"/>
  </r>
  <r>
    <n v="2004.77"/>
    <s v="2/24/2003 0:2125"/>
    <s v="Shipped"/>
    <x v="0"/>
    <s v="Shipped"/>
  </r>
  <r>
    <n v="1543.3"/>
    <s v="2/24/2003 0:2126"/>
    <s v="Shipped"/>
    <x v="0"/>
    <s v="Shipped"/>
  </r>
  <r>
    <n v="2269.92"/>
    <s v="2/24/2003 0:2127"/>
    <s v="Shipped"/>
    <x v="0"/>
    <s v="Shipped"/>
  </r>
  <r>
    <n v="1991.92"/>
    <s v="2/24/2003 0:2128"/>
    <s v="Shipped"/>
    <x v="0"/>
    <s v="Shipped"/>
  </r>
  <r>
    <n v="2916.76"/>
    <s v="2/24/2003 0:2129"/>
    <s v="Shipped"/>
    <x v="0"/>
    <s v="Shipped"/>
  </r>
  <r>
    <n v="2027.52"/>
    <s v="2/24/2003 0:2130"/>
    <s v="Shipped"/>
    <x v="0"/>
    <s v="Shipped"/>
  </r>
  <r>
    <n v="3235.18"/>
    <s v="2/24/2003 0:2131"/>
    <s v="Shipped"/>
    <x v="0"/>
    <s v="Shipped"/>
  </r>
  <r>
    <n v="2062.94"/>
    <s v="2/24/2003 0:2132"/>
    <s v="Shipped"/>
    <x v="0"/>
    <s v="Shipped"/>
  </r>
  <r>
    <n v="3317.78"/>
    <s v="2/24/2003 0:2133"/>
    <s v="Shipped"/>
    <x v="0"/>
    <s v="Shipped"/>
  </r>
  <r>
    <n v="3913.69"/>
    <s v="2/24/2003 0:2134"/>
    <s v="Shipped"/>
    <x v="0"/>
    <s v="Shipped"/>
  </r>
  <r>
    <n v="3608.64"/>
    <s v="2/24/2003 0:2135"/>
    <s v="Shipped"/>
    <x v="0"/>
    <s v="Shipped"/>
  </r>
  <r>
    <n v="3524.8"/>
    <s v="2/24/2003 0:2136"/>
    <s v="Shipped"/>
    <x v="0"/>
    <s v="Shipped"/>
  </r>
  <r>
    <n v="2586.88"/>
    <s v="2/24/2003 0:2137"/>
    <s v="Shipped"/>
    <x v="0"/>
    <s v="Shipped"/>
  </r>
  <r>
    <n v="4753.49"/>
    <s v="2/24/2003 0:2138"/>
    <s v="Shipped"/>
    <x v="0"/>
    <s v="Shipped"/>
  </r>
  <r>
    <n v="3684.67"/>
    <s v="2/24/2003 0:2139"/>
    <s v="Shipped"/>
    <x v="0"/>
    <s v="Shipped"/>
  </r>
  <r>
    <n v="5715.4"/>
    <s v="2/24/2003 0:2140"/>
    <s v="Shipped"/>
    <x v="0"/>
    <s v="Shipped"/>
  </r>
  <r>
    <n v="3098.7"/>
    <s v="2/24/2003 0:2141"/>
    <s v="Shipped"/>
    <x v="0"/>
    <s v="Shipped"/>
  </r>
  <r>
    <n v="2670.92"/>
    <s v="2/24/2003 0:2142"/>
    <s v="Shipped"/>
    <x v="0"/>
    <s v="Shipped"/>
  </r>
  <r>
    <n v="5154.41"/>
    <s v="2/24/2003 0:2143"/>
    <s v="Shipped"/>
    <x v="0"/>
    <s v="Shipped"/>
  </r>
  <r>
    <n v="4894.17"/>
    <s v="2/24/2003 0:2144"/>
    <s v="Shipped"/>
    <x v="0"/>
    <s v="Shipped"/>
  </r>
  <r>
    <n v="2472.6"/>
    <s v="2/24/2003 0:2145"/>
    <s v="Shipped"/>
    <x v="0"/>
    <s v="Shipped"/>
  </r>
  <r>
    <n v="3224.31"/>
    <s v="2/24/2003 0:2146"/>
    <s v="Shipped"/>
    <x v="0"/>
    <s v="Shipped"/>
  </r>
  <r>
    <n v="3667.52"/>
    <s v="2/24/2003 0:2147"/>
    <s v="Shipped"/>
    <x v="0"/>
    <s v="Shipped"/>
  </r>
  <r>
    <n v="4141.33"/>
    <s v="2/24/2003 0:2148"/>
    <s v="Shipped"/>
    <x v="0"/>
    <s v="Shipped"/>
  </r>
  <r>
    <n v="2829.58"/>
    <s v="2/24/2003 0:2149"/>
    <s v="Shipped"/>
    <x v="0"/>
    <s v="Shipped"/>
  </r>
  <r>
    <n v="3068.55"/>
    <s v="2/24/2003 0:2150"/>
    <s v="Shipped"/>
    <x v="0"/>
    <s v="Shipped"/>
  </r>
  <r>
    <n v="2634.96"/>
    <s v="2/24/2003 0:2151"/>
    <s v="Resolved"/>
    <x v="1"/>
    <s v="Resolved"/>
  </r>
  <r>
    <n v="2436.7199999999998"/>
    <s v="2/24/2003 0:2152"/>
    <s v="Shipped"/>
    <x v="0"/>
    <s v="Shipped"/>
  </r>
  <r>
    <n v="4607.3599999999997"/>
    <s v="2/24/2003 0:2153"/>
    <s v="Shipped"/>
    <x v="0"/>
    <s v="Shipped"/>
  </r>
  <r>
    <n v="3598.99"/>
    <s v="2/24/2003 0:2154"/>
    <s v="Shipped"/>
    <x v="0"/>
    <s v="Shipped"/>
  </r>
  <r>
    <n v="3964.1"/>
    <s v="2/24/2003 0:2155"/>
    <s v="Shipped"/>
    <x v="0"/>
    <s v="Shipped"/>
  </r>
  <r>
    <n v="2244.9"/>
    <s v="2/24/2003 0:2156"/>
    <s v="Shipped"/>
    <x v="0"/>
    <s v="Shipped"/>
  </r>
  <r>
    <n v="2793"/>
    <s v="2/24/2003 0:2157"/>
    <s v="Shipped"/>
    <x v="0"/>
    <s v="Shipped"/>
  </r>
  <r>
    <n v="4133.6400000000003"/>
    <s v="2/24/2003 0:2158"/>
    <s v="Shipped"/>
    <x v="0"/>
    <s v="Shipped"/>
  </r>
  <r>
    <n v="3900.6"/>
    <s v="2/24/2003 0:2159"/>
    <s v="Shipped"/>
    <x v="0"/>
    <s v="Shipped"/>
  </r>
  <r>
    <n v="2743.04"/>
    <s v="2/24/2003 0:2160"/>
    <s v="Shipped"/>
    <x v="0"/>
    <s v="Shipped"/>
  </r>
  <r>
    <n v="2402.0700000000002"/>
    <s v="2/24/2003 0:2161"/>
    <s v="Shipped"/>
    <x v="0"/>
    <s v="Shipped"/>
  </r>
  <r>
    <n v="2178.54"/>
    <s v="2/24/2003 0:2162"/>
    <s v="Shipped"/>
    <x v="0"/>
    <s v="Shipped"/>
  </r>
  <r>
    <n v="3155.04"/>
    <s v="2/24/2003 0:2163"/>
    <s v="Shipped"/>
    <x v="0"/>
    <s v="Shipped"/>
  </r>
  <r>
    <n v="2366.2800000000002"/>
    <s v="2/24/2003 0:2164"/>
    <s v="Shipped"/>
    <x v="0"/>
    <s v="Shipped"/>
  </r>
  <r>
    <n v="1963.6"/>
    <s v="2/24/2003 0:2165"/>
    <s v="Shipped"/>
    <x v="0"/>
    <s v="Shipped"/>
  </r>
  <r>
    <n v="4746.28"/>
    <s v="2/24/2003 0:2166"/>
    <s v="Shipped"/>
    <x v="0"/>
    <s v="Shipped"/>
  </r>
  <r>
    <n v="6386.94"/>
    <s v="2/24/2003 0:2167"/>
    <s v="Shipped"/>
    <x v="0"/>
    <s v="Shipped"/>
  </r>
  <r>
    <n v="4428"/>
    <s v="2/24/2003 0:2168"/>
    <s v="Shipped"/>
    <x v="0"/>
    <s v="Shipped"/>
  </r>
  <r>
    <n v="4044.04"/>
    <s v="2/24/2003 0:2169"/>
    <s v="Shipped"/>
    <x v="0"/>
    <s v="Shipped"/>
  </r>
  <r>
    <n v="2708.42"/>
    <s v="2/24/2003 0:2170"/>
    <s v="Shipped"/>
    <x v="0"/>
    <s v="Shipped"/>
  </r>
  <r>
    <n v="2904.72"/>
    <s v="2/24/2003 0:2171"/>
    <s v="Shipped"/>
    <x v="0"/>
    <s v="Shipped"/>
  </r>
  <r>
    <n v="3553.88"/>
    <s v="2/24/2003 0:2172"/>
    <s v="In Process"/>
    <x v="1"/>
    <s v="In Process"/>
  </r>
  <r>
    <n v="1858"/>
    <s v="2/24/2003 0:2173"/>
    <s v="Shipped"/>
    <x v="0"/>
    <s v="Shipped"/>
  </r>
  <r>
    <n v="2461.36"/>
    <s v="2/24/2003 0:2174"/>
    <s v="Shipped"/>
    <x v="0"/>
    <s v="Shipped"/>
  </r>
  <r>
    <n v="2642.01"/>
    <s v="2/24/2003 0:2175"/>
    <s v="Shipped"/>
    <x v="0"/>
    <s v="Shipped"/>
  </r>
  <r>
    <n v="3098.7"/>
    <s v="2/24/2003 0:2176"/>
    <s v="Shipped"/>
    <x v="0"/>
    <s v="Shipped"/>
  </r>
  <r>
    <n v="3244.36"/>
    <s v="2/24/2003 0:2177"/>
    <s v="Shipped"/>
    <x v="0"/>
    <s v="Shipped"/>
  </r>
  <r>
    <n v="4351.16"/>
    <s v="2/24/2003 0:2178"/>
    <s v="Shipped"/>
    <x v="0"/>
    <s v="Shipped"/>
  </r>
  <r>
    <n v="3675.86"/>
    <s v="2/24/2003 0:2179"/>
    <s v="Shipped"/>
    <x v="0"/>
    <s v="Shipped"/>
  </r>
  <r>
    <n v="2475.27"/>
    <s v="2/24/2003 0:2180"/>
    <s v="Shipped"/>
    <x v="0"/>
    <s v="Shipped"/>
  </r>
  <r>
    <n v="4177.49"/>
    <s v="2/24/2003 0:2181"/>
    <s v="Shipped"/>
    <x v="0"/>
    <s v="Shipped"/>
  </r>
  <r>
    <n v="3282.28"/>
    <s v="2/24/2003 0:2182"/>
    <s v="Shipped"/>
    <x v="0"/>
    <s v="Shipped"/>
  </r>
  <r>
    <n v="2477.21"/>
    <s v="2/24/2003 0:2183"/>
    <s v="Shipped"/>
    <x v="0"/>
    <s v="Shipped"/>
  </r>
  <r>
    <n v="1883.93"/>
    <s v="2/24/2003 0:2184"/>
    <s v="Shipped"/>
    <x v="0"/>
    <s v="Shipped"/>
  </r>
  <r>
    <n v="3658.93"/>
    <s v="2/24/2003 0:2185"/>
    <s v="Shipped"/>
    <x v="0"/>
    <s v="Shipped"/>
  </r>
  <r>
    <n v="2856.88"/>
    <s v="2/24/2003 0:2186"/>
    <s v="Shipped"/>
    <x v="0"/>
    <s v="Shipped"/>
  </r>
  <r>
    <n v="1917.84"/>
    <s v="2/24/2003 0:2187"/>
    <s v="Shipped"/>
    <x v="0"/>
    <s v="Shipped"/>
  </r>
  <r>
    <n v="5305.36"/>
    <s v="2/24/2003 0:2188"/>
    <s v="Shipped"/>
    <x v="0"/>
    <s v="Shipped"/>
  </r>
  <r>
    <n v="2875.95"/>
    <s v="2/24/2003 0:2189"/>
    <s v="Shipped"/>
    <x v="0"/>
    <s v="Shipped"/>
  </r>
  <r>
    <n v="6482.85"/>
    <s v="2/24/2003 0:2190"/>
    <s v="Shipped"/>
    <x v="0"/>
    <s v="Shipped"/>
  </r>
  <r>
    <n v="3733.82"/>
    <s v="2/24/2003 0:2191"/>
    <s v="Shipped"/>
    <x v="0"/>
    <s v="Shipped"/>
  </r>
  <r>
    <n v="6576.5"/>
    <s v="2/24/2003 0:2192"/>
    <s v="Shipped"/>
    <x v="0"/>
    <s v="Shipped"/>
  </r>
  <r>
    <n v="6353.27"/>
    <s v="2/24/2003 0:2193"/>
    <s v="Shipped"/>
    <x v="0"/>
    <s v="Shipped"/>
  </r>
  <r>
    <n v="4175.6000000000004"/>
    <s v="2/24/2003 0:2194"/>
    <s v="Shipped"/>
    <x v="0"/>
    <s v="Shipped"/>
  </r>
  <r>
    <n v="4992.6099999999997"/>
    <s v="2/24/2003 0:2195"/>
    <s v="On Hold"/>
    <x v="1"/>
    <s v="On Hold"/>
  </r>
  <r>
    <n v="4764.6000000000004"/>
    <s v="2/24/2003 0:2196"/>
    <s v="Shipped"/>
    <x v="0"/>
    <s v="Shipped"/>
  </r>
  <r>
    <n v="1173.1500000000001"/>
    <s v="2/24/2003 0:2197"/>
    <s v="Shipped"/>
    <x v="0"/>
    <s v="Shipped"/>
  </r>
  <r>
    <n v="1384.46"/>
    <s v="2/24/2003 0:2198"/>
    <s v="Shipped"/>
    <x v="0"/>
    <s v="Shipped"/>
  </r>
  <r>
    <n v="1327.59"/>
    <s v="2/24/2003 0:2199"/>
    <s v="Shipped"/>
    <x v="0"/>
    <s v="Shipped"/>
  </r>
  <r>
    <n v="1109.8"/>
    <s v="2/24/2003 0:2200"/>
    <s v="Shipped"/>
    <x v="0"/>
    <s v="Shipped"/>
  </r>
  <r>
    <n v="1239"/>
    <s v="2/24/2003 0:2201"/>
    <s v="Shipped"/>
    <x v="0"/>
    <s v="Shipped"/>
  </r>
  <r>
    <n v="1035.58"/>
    <s v="2/24/2003 0:2202"/>
    <s v="Shipped"/>
    <x v="0"/>
    <s v="Shipped"/>
  </r>
  <r>
    <n v="1545.64"/>
    <s v="2/24/2003 0:2203"/>
    <s v="Shipped"/>
    <x v="0"/>
    <s v="Shipped"/>
  </r>
  <r>
    <n v="1517.54"/>
    <s v="2/24/2003 0:2204"/>
    <s v="Shipped"/>
    <x v="0"/>
    <s v="Shipped"/>
  </r>
  <r>
    <n v="1731.84"/>
    <s v="2/24/2003 0:2205"/>
    <s v="Shipped"/>
    <x v="0"/>
    <s v="Shipped"/>
  </r>
  <r>
    <n v="1695.49"/>
    <s v="2/24/2003 0:2206"/>
    <s v="Shipped"/>
    <x v="0"/>
    <s v="Shipped"/>
  </r>
  <r>
    <n v="1045.98"/>
    <s v="2/24/2003 0:2207"/>
    <s v="Shipped"/>
    <x v="0"/>
    <s v="Shipped"/>
  </r>
  <r>
    <n v="1738.08"/>
    <s v="2/24/2003 0:2208"/>
    <s v="Shipped"/>
    <x v="0"/>
    <s v="Shipped"/>
  </r>
  <r>
    <n v="651.79999999999995"/>
    <s v="2/24/2003 0:2209"/>
    <s v="Shipped"/>
    <x v="0"/>
    <s v="Shipped"/>
  </r>
  <r>
    <n v="988.47"/>
    <s v="2/24/2003 0:2210"/>
    <s v="Shipped"/>
    <x v="0"/>
    <s v="Shipped"/>
  </r>
  <r>
    <n v="1518.11"/>
    <s v="2/24/2003 0:2211"/>
    <s v="Shipped"/>
    <x v="0"/>
    <s v="Shipped"/>
  </r>
  <r>
    <n v="1013.76"/>
    <s v="2/24/2003 0:2212"/>
    <s v="Shipped"/>
    <x v="0"/>
    <s v="Shipped"/>
  </r>
  <r>
    <n v="1549.8"/>
    <s v="2/24/2003 0:2213"/>
    <s v="Shipped"/>
    <x v="0"/>
    <s v="Shipped"/>
  </r>
  <r>
    <n v="1108.3800000000001"/>
    <s v="2/24/2003 0:2214"/>
    <s v="Shipped"/>
    <x v="0"/>
    <s v="Shipped"/>
  </r>
  <r>
    <n v="4102.5600000000004"/>
    <s v="2/24/2003 0:2215"/>
    <s v="Shipped"/>
    <x v="0"/>
    <s v="Shipped"/>
  </r>
  <r>
    <n v="3713.16"/>
    <s v="2/24/2003 0:2216"/>
    <s v="Shipped"/>
    <x v="0"/>
    <s v="Shipped"/>
  </r>
  <r>
    <n v="1513.54"/>
    <s v="2/24/2003 0:2217"/>
    <s v="Shipped"/>
    <x v="0"/>
    <s v="Shipped"/>
  </r>
  <r>
    <n v="2317.44"/>
    <s v="2/24/2003 0:2218"/>
    <s v="Shipped"/>
    <x v="0"/>
    <s v="Shipped"/>
  </r>
  <r>
    <n v="3298.4"/>
    <s v="2/24/2003 0:2219"/>
    <s v="Shipped"/>
    <x v="0"/>
    <s v="Shipped"/>
  </r>
  <r>
    <n v="1826.96"/>
    <s v="2/24/2003 0:2220"/>
    <s v="Shipped"/>
    <x v="0"/>
    <s v="Shipped"/>
  </r>
  <r>
    <n v="1206.9000000000001"/>
    <s v="2/24/2003 0:2221"/>
    <s v="Shipped"/>
    <x v="0"/>
    <s v="Shipped"/>
  </r>
  <r>
    <n v="1666.7"/>
    <s v="2/24/2003 0:2222"/>
    <s v="Shipped"/>
    <x v="0"/>
    <s v="Shipped"/>
  </r>
  <r>
    <n v="1560.44"/>
    <s v="2/24/2003 0:2223"/>
    <s v="Shipped"/>
    <x v="0"/>
    <s v="Shipped"/>
  </r>
  <r>
    <n v="2337.75"/>
    <s v="2/24/2003 0:2224"/>
    <s v="Shipped"/>
    <x v="0"/>
    <s v="Shipped"/>
  </r>
  <r>
    <n v="1103.76"/>
    <s v="2/24/2003 0:2225"/>
    <s v="Shipped"/>
    <x v="0"/>
    <s v="Shipped"/>
  </r>
  <r>
    <n v="2617.85"/>
    <s v="2/24/2003 0:2226"/>
    <s v="Shipped"/>
    <x v="0"/>
    <s v="Shipped"/>
  </r>
  <r>
    <n v="2207.52"/>
    <s v="2/24/2003 0:2227"/>
    <s v="Shipped"/>
    <x v="0"/>
    <s v="Shipped"/>
  </r>
  <r>
    <n v="3165.5"/>
    <s v="2/24/2003 0:2228"/>
    <s v="Shipped"/>
    <x v="0"/>
    <s v="Shipped"/>
  </r>
  <r>
    <n v="2071.41"/>
    <s v="2/24/2003 0:2229"/>
    <s v="Shipped"/>
    <x v="0"/>
    <s v="Shipped"/>
  </r>
  <r>
    <n v="1385.28"/>
    <s v="2/24/2003 0:2230"/>
    <s v="Shipped"/>
    <x v="0"/>
    <s v="Shipped"/>
  </r>
  <r>
    <n v="1621.62"/>
    <s v="2/24/2003 0:2231"/>
    <s v="Shipped"/>
    <x v="0"/>
    <s v="Shipped"/>
  </r>
  <r>
    <n v="1931.65"/>
    <s v="2/24/2003 0:2232"/>
    <s v="Shipped"/>
    <x v="0"/>
    <s v="Shipped"/>
  </r>
  <r>
    <n v="1244.53"/>
    <s v="2/24/2003 0:2233"/>
    <s v="Shipped"/>
    <x v="0"/>
    <s v="Shipped"/>
  </r>
  <r>
    <n v="1704.5"/>
    <s v="2/24/2003 0:2234"/>
    <s v="Shipped"/>
    <x v="0"/>
    <s v="Shipped"/>
  </r>
  <r>
    <n v="1753.2"/>
    <s v="2/24/2003 0:2235"/>
    <s v="Shipped"/>
    <x v="0"/>
    <s v="Shipped"/>
  </r>
  <r>
    <n v="1666.7"/>
    <s v="2/24/2003 0:2236"/>
    <s v="Shipped"/>
    <x v="0"/>
    <s v="Shipped"/>
  </r>
  <r>
    <n v="1710.89"/>
    <s v="2/24/2003 0:2237"/>
    <s v="Shipped"/>
    <x v="0"/>
    <s v="Shipped"/>
  </r>
  <r>
    <n v="2326.5"/>
    <s v="2/24/2003 0:2238"/>
    <s v="Shipped"/>
    <x v="0"/>
    <s v="Shipped"/>
  </r>
  <r>
    <n v="2316"/>
    <s v="2/24/2003 0:2239"/>
    <s v="Shipped"/>
    <x v="0"/>
    <s v="Shipped"/>
  </r>
  <r>
    <n v="1727.1"/>
    <s v="2/24/2003 0:2240"/>
    <s v="Shipped"/>
    <x v="0"/>
    <s v="Shipped"/>
  </r>
  <r>
    <n v="8844.1200000000008"/>
    <s v="2/24/2003 0:2241"/>
    <s v="Shipped"/>
    <x v="0"/>
    <s v="Shipped"/>
  </r>
  <r>
    <n v="2424"/>
    <s v="2/24/2003 0:2242"/>
    <s v="Shipped"/>
    <x v="0"/>
    <s v="Shipped"/>
  </r>
  <r>
    <n v="1535.49"/>
    <s v="2/24/2003 0:2243"/>
    <s v="Shipped"/>
    <x v="0"/>
    <s v="Shipped"/>
  </r>
  <r>
    <n v="6358.68"/>
    <s v="2/24/2003 0:2244"/>
    <s v="Shipped"/>
    <x v="0"/>
    <s v="Shipped"/>
  </r>
  <r>
    <n v="1329.4"/>
    <s v="2/24/2003 0:2245"/>
    <s v="Shipped"/>
    <x v="0"/>
    <s v="Shipped"/>
  </r>
  <r>
    <n v="1701.76"/>
    <s v="2/24/2003 0:2246"/>
    <s v="Shipped"/>
    <x v="0"/>
    <s v="Shipped"/>
  </r>
  <r>
    <n v="2259.7199999999998"/>
    <s v="2/24/2003 0:2247"/>
    <s v="Shipped"/>
    <x v="0"/>
    <s v="Shipped"/>
  </r>
  <r>
    <n v="925.3"/>
    <s v="2/24/2003 0:2248"/>
    <s v="Shipped"/>
    <x v="0"/>
    <s v="Shipped"/>
  </r>
  <r>
    <n v="482.13"/>
    <s v="2/24/2003 0:2249"/>
    <s v="In Process"/>
    <x v="1"/>
    <s v="In Process"/>
  </r>
  <r>
    <n v="3227.63"/>
    <s v="2/24/2003 0:2250"/>
    <s v="Shipped"/>
    <x v="0"/>
    <s v="Shipped"/>
  </r>
  <r>
    <n v="1711.26"/>
    <s v="2/24/2003 0:2251"/>
    <s v="Shipped"/>
    <x v="0"/>
    <s v="Shipped"/>
  </r>
  <r>
    <n v="2054.36"/>
    <s v="2/24/2003 0:2252"/>
    <s v="Shipped"/>
    <x v="0"/>
    <s v="Shipped"/>
  </r>
  <r>
    <n v="3131.94"/>
    <s v="2/24/2003 0:2253"/>
    <s v="Shipped"/>
    <x v="0"/>
    <s v="Shipped"/>
  </r>
  <r>
    <n v="1681.35"/>
    <s v="2/24/2003 0:2254"/>
    <s v="Shipped"/>
    <x v="0"/>
    <s v="Shipped"/>
  </r>
  <r>
    <n v="2351.36"/>
    <s v="2/24/2003 0:2255"/>
    <s v="Shipped"/>
    <x v="0"/>
    <s v="Shipped"/>
  </r>
  <r>
    <n v="1408"/>
    <s v="2/24/2003 0:2256"/>
    <s v="Shipped"/>
    <x v="0"/>
    <s v="Shipped"/>
  </r>
  <r>
    <n v="2445.6"/>
    <s v="2/24/2003 0:2257"/>
    <s v="Shipped"/>
    <x v="0"/>
    <s v="Shipped"/>
  </r>
  <r>
    <n v="1804.44"/>
    <s v="2/24/2003 0:2258"/>
    <s v="Shipped"/>
    <x v="0"/>
    <s v="Shipped"/>
  </r>
  <r>
    <n v="2544.75"/>
    <s v="2/24/2003 0:2259"/>
    <s v="Shipped"/>
    <x v="0"/>
    <s v="Shipped"/>
  </r>
  <r>
    <n v="1056.4000000000001"/>
    <s v="2/24/2003 0:2260"/>
    <s v="Shipped"/>
    <x v="0"/>
    <s v="Shipped"/>
  </r>
  <r>
    <n v="2801.4"/>
    <s v="2/24/2003 0:2261"/>
    <s v="Shipped"/>
    <x v="0"/>
    <s v="Shipped"/>
  </r>
  <r>
    <n v="1988.4"/>
    <s v="2/24/2003 0:2262"/>
    <s v="Shipped"/>
    <x v="0"/>
    <s v="Shipped"/>
  </r>
  <r>
    <n v="2908.35"/>
    <s v="2/24/2003 0:2263"/>
    <s v="Shipped"/>
    <x v="0"/>
    <s v="Shipped"/>
  </r>
  <r>
    <n v="2147.4"/>
    <s v="2/24/2003 0:2264"/>
    <s v="Shipped"/>
    <x v="0"/>
    <s v="Shipped"/>
  </r>
  <r>
    <n v="2099.63"/>
    <s v="2/24/2003 0:2265"/>
    <s v="Shipped"/>
    <x v="0"/>
    <s v="Shipped"/>
  </r>
  <r>
    <n v="2315.1799999999998"/>
    <s v="2/24/2003 0:2266"/>
    <s v="Shipped"/>
    <x v="0"/>
    <s v="Shipped"/>
  </r>
  <r>
    <n v="2327.15"/>
    <s v="2/24/2003 0:2267"/>
    <s v="Shipped"/>
    <x v="0"/>
    <s v="Shipped"/>
  </r>
  <r>
    <n v="5377.4"/>
    <s v="2/24/2003 0:2268"/>
    <s v="Shipped"/>
    <x v="0"/>
    <s v="Shipped"/>
  </r>
  <r>
    <n v="2626.01"/>
    <s v="2/24/2003 0:2269"/>
    <s v="Shipped"/>
    <x v="0"/>
    <s v="Shipped"/>
  </r>
  <r>
    <n v="4406.3999999999996"/>
    <s v="2/24/2003 0:2270"/>
    <s v="Shipped"/>
    <x v="0"/>
    <s v="Shipped"/>
  </r>
  <r>
    <n v="4301.22"/>
    <s v="2/24/2003 0:2271"/>
    <s v="Shipped"/>
    <x v="0"/>
    <s v="Shipped"/>
  </r>
  <r>
    <n v="2986.5"/>
    <s v="2/24/2003 0:2272"/>
    <s v="Shipped"/>
    <x v="0"/>
    <s v="Shipped"/>
  </r>
  <r>
    <n v="1587.08"/>
    <s v="2/24/2003 0:2273"/>
    <s v="Shipped"/>
    <x v="0"/>
    <s v="Shipped"/>
  </r>
  <r>
    <n v="1808.4"/>
    <s v="2/24/2003 0:2274"/>
    <s v="Shipped"/>
    <x v="0"/>
    <s v="Shipped"/>
  </r>
  <r>
    <n v="1193.04"/>
    <s v="2/24/2003 0:2275"/>
    <s v="Shipped"/>
    <x v="0"/>
    <s v="Shipped"/>
  </r>
  <r>
    <n v="3403.35"/>
    <s v="2/24/2003 0:2276"/>
    <s v="Shipped"/>
    <x v="0"/>
    <s v="Shipped"/>
  </r>
  <r>
    <n v="1575.96"/>
    <s v="2/24/2003 0:2277"/>
    <s v="Shipped"/>
    <x v="0"/>
    <s v="Shipped"/>
  </r>
  <r>
    <n v="1630.2"/>
    <s v="2/24/2003 0:2278"/>
    <s v="Shipped"/>
    <x v="0"/>
    <s v="Shipped"/>
  </r>
  <r>
    <n v="1701.28"/>
    <s v="2/24/2003 0:2279"/>
    <s v="Shipped"/>
    <x v="0"/>
    <s v="Shipped"/>
  </r>
  <r>
    <n v="2850.82"/>
    <s v="2/24/2003 0:2280"/>
    <s v="Shipped"/>
    <x v="0"/>
    <s v="Shipped"/>
  </r>
  <r>
    <n v="2692.06"/>
    <s v="2/24/2003 0:2281"/>
    <s v="Resolved"/>
    <x v="1"/>
    <s v="Resolved"/>
  </r>
  <r>
    <n v="2174.42"/>
    <s v="2/24/2003 0:2282"/>
    <s v="Shipped"/>
    <x v="0"/>
    <s v="Shipped"/>
  </r>
  <r>
    <n v="3167.36"/>
    <s v="2/24/2003 0:2283"/>
    <s v="Shipped"/>
    <x v="0"/>
    <s v="Shipped"/>
  </r>
  <r>
    <n v="2142.66"/>
    <s v="2/24/2003 0:2284"/>
    <s v="Shipped"/>
    <x v="0"/>
    <s v="Shipped"/>
  </r>
  <r>
    <n v="2117.52"/>
    <s v="2/24/2003 0:2285"/>
    <s v="Shipped"/>
    <x v="0"/>
    <s v="Shipped"/>
  </r>
  <r>
    <n v="2419.9499999999998"/>
    <s v="2/24/2003 0:2286"/>
    <s v="Shipped"/>
    <x v="0"/>
    <s v="Shipped"/>
  </r>
  <r>
    <n v="2191.1999999999998"/>
    <s v="2/24/2003 0:2287"/>
    <s v="Shipped"/>
    <x v="0"/>
    <s v="Shipped"/>
  </r>
  <r>
    <n v="3043.04"/>
    <s v="2/24/2003 0:2288"/>
    <s v="Shipped"/>
    <x v="0"/>
    <s v="Shipped"/>
  </r>
  <r>
    <n v="1228.2"/>
    <s v="2/24/2003 0:2289"/>
    <s v="Shipped"/>
    <x v="0"/>
    <s v="Shipped"/>
  </r>
  <r>
    <n v="1330.35"/>
    <s v="2/24/2003 0:2290"/>
    <s v="Shipped"/>
    <x v="0"/>
    <s v="Shipped"/>
  </r>
  <r>
    <n v="2792.52"/>
    <s v="2/24/2003 0:2291"/>
    <s v="Shipped"/>
    <x v="0"/>
    <s v="Shipped"/>
  </r>
  <r>
    <n v="2296"/>
    <s v="2/24/2003 0:2292"/>
    <s v="Shipped"/>
    <x v="0"/>
    <s v="Shipped"/>
  </r>
  <r>
    <n v="2629.44"/>
    <s v="2/24/2003 0:2293"/>
    <s v="Shipped"/>
    <x v="0"/>
    <s v="Shipped"/>
  </r>
  <r>
    <n v="1912.16"/>
    <s v="2/24/2003 0:2294"/>
    <s v="Shipped"/>
    <x v="0"/>
    <s v="Shipped"/>
  </r>
  <r>
    <n v="8209.44"/>
    <s v="2/24/2003 0:2295"/>
    <s v="Shipped"/>
    <x v="0"/>
    <s v="Shipped"/>
  </r>
  <r>
    <n v="2431.77"/>
    <s v="2/24/2003 0:2296"/>
    <s v="Shipped"/>
    <x v="0"/>
    <s v="Shipped"/>
  </r>
  <r>
    <n v="3139.99"/>
    <s v="2/24/2003 0:2297"/>
    <s v="Shipped"/>
    <x v="0"/>
    <s v="Shipped"/>
  </r>
  <r>
    <n v="5669.64"/>
    <s v="2/24/2003 0:2298"/>
    <s v="Shipped"/>
    <x v="0"/>
    <s v="Shipped"/>
  </r>
  <r>
    <n v="3160.25"/>
    <s v="2/24/2003 0:2299"/>
    <s v="Shipped"/>
    <x v="0"/>
    <s v="Shipped"/>
  </r>
  <r>
    <n v="6799.68"/>
    <s v="2/24/2003 0:2300"/>
    <s v="Shipped"/>
    <x v="0"/>
    <s v="Shipped"/>
  </r>
  <r>
    <n v="1867.32"/>
    <s v="2/24/2003 0:2301"/>
    <s v="Shipped"/>
    <x v="0"/>
    <s v="Shipped"/>
  </r>
  <r>
    <n v="2702.04"/>
    <s v="2/24/2003 0:2302"/>
    <s v="In Process"/>
    <x v="1"/>
    <s v="In Process"/>
  </r>
  <r>
    <n v="2406.36"/>
    <s v="2/24/2003 0:2303"/>
    <s v="Shipped"/>
    <x v="0"/>
    <s v="Shipped"/>
  </r>
  <r>
    <n v="2094.67"/>
    <s v="2/24/2003 0:2304"/>
    <s v="Shipped"/>
    <x v="0"/>
    <s v="Shipped"/>
  </r>
  <r>
    <n v="2797.9"/>
    <s v="2/24/2003 0:2305"/>
    <s v="Shipped"/>
    <x v="0"/>
    <s v="Shipped"/>
  </r>
  <r>
    <n v="1637.2"/>
    <s v="2/24/2003 0:2306"/>
    <s v="Shipped"/>
    <x v="0"/>
    <s v="Shipped"/>
  </r>
  <r>
    <n v="2281.91"/>
    <s v="2/24/2003 0:2307"/>
    <s v="Shipped"/>
    <x v="0"/>
    <s v="Shipped"/>
  </r>
  <r>
    <n v="2307.2399999999998"/>
    <s v="2/24/2003 0:2308"/>
    <s v="Shipped"/>
    <x v="0"/>
    <s v="Shipped"/>
  </r>
  <r>
    <n v="1320.8"/>
    <s v="2/24/2003 0:2309"/>
    <s v="Shipped"/>
    <x v="0"/>
    <s v="Shipped"/>
  </r>
  <r>
    <n v="2642.82"/>
    <s v="2/24/2003 0:2310"/>
    <s v="Shipped"/>
    <x v="0"/>
    <s v="Shipped"/>
  </r>
  <r>
    <n v="3061"/>
    <s v="2/24/2003 0:2311"/>
    <s v="Shipped"/>
    <x v="0"/>
    <s v="Shipped"/>
  </r>
  <r>
    <n v="3164.4"/>
    <s v="2/24/2003 0:2312"/>
    <s v="Cancelled"/>
    <x v="1"/>
    <s v="Cancelled"/>
  </r>
  <r>
    <n v="1791.16"/>
    <s v="2/24/2003 0:2313"/>
    <s v="Shipped"/>
    <x v="0"/>
    <s v="Shipped"/>
  </r>
  <r>
    <n v="4093"/>
    <s v="2/24/2003 0:2314"/>
    <s v="Shipped"/>
    <x v="0"/>
    <s v="Shipped"/>
  </r>
  <r>
    <n v="2234.4"/>
    <s v="2/24/2003 0:2315"/>
    <s v="Shipped"/>
    <x v="0"/>
    <s v="Shipped"/>
  </r>
  <r>
    <n v="3037.84"/>
    <s v="2/24/2003 0:2316"/>
    <s v="Shipped"/>
    <x v="0"/>
    <s v="Shipped"/>
  </r>
  <r>
    <n v="1419.84"/>
    <s v="2/24/2003 0:2317"/>
    <s v="Shipped"/>
    <x v="0"/>
    <s v="Shipped"/>
  </r>
  <r>
    <n v="1948.08"/>
    <s v="2/24/2003 0:2318"/>
    <s v="Shipped"/>
    <x v="0"/>
    <s v="Shipped"/>
  </r>
  <r>
    <n v="2307.2399999999998"/>
    <s v="2/24/2003 0:2319"/>
    <s v="Shipped"/>
    <x v="0"/>
    <s v="Shipped"/>
  </r>
  <r>
    <n v="1780.4"/>
    <s v="2/24/2003 0:2320"/>
    <s v="Shipped"/>
    <x v="0"/>
    <s v="Shipped"/>
  </r>
  <r>
    <n v="3544.17"/>
    <s v="2/24/2003 0:2321"/>
    <s v="Shipped"/>
    <x v="0"/>
    <s v="Shipped"/>
  </r>
  <r>
    <n v="3619.44"/>
    <s v="2/24/2003 0:2322"/>
    <s v="Shipped"/>
    <x v="0"/>
    <s v="Shipped"/>
  </r>
  <r>
    <n v="3918.95"/>
    <s v="2/24/2003 0:2323"/>
    <s v="Shipped"/>
    <x v="0"/>
    <s v="Shipped"/>
  </r>
  <r>
    <n v="1483.02"/>
    <s v="2/24/2003 0:2324"/>
    <s v="Shipped"/>
    <x v="0"/>
    <s v="Shipped"/>
  </r>
  <r>
    <n v="4819.26"/>
    <s v="2/24/2003 0:2325"/>
    <s v="On Hold"/>
    <x v="1"/>
    <s v="On Hold"/>
  </r>
  <r>
    <n v="1591.72"/>
    <s v="2/24/2003 0:2326"/>
    <s v="Shipped"/>
    <x v="0"/>
    <s v="Shipped"/>
  </r>
  <r>
    <n v="3669.78"/>
    <s v="2/24/2003 0:2327"/>
    <s v="Shipped"/>
    <x v="0"/>
    <s v="Shipped"/>
  </r>
  <r>
    <n v="2168.5"/>
    <s v="2/24/2003 0:2328"/>
    <s v="Shipped"/>
    <x v="0"/>
    <s v="Shipped"/>
  </r>
  <r>
    <n v="2694"/>
    <s v="2/24/2003 0:2329"/>
    <s v="Shipped"/>
    <x v="0"/>
    <s v="Shipped"/>
  </r>
  <r>
    <n v="3251.34"/>
    <s v="2/24/2003 0:2330"/>
    <s v="Shipped"/>
    <x v="0"/>
    <s v="Shipped"/>
  </r>
  <r>
    <n v="2347.15"/>
    <s v="2/24/2003 0:2331"/>
    <s v="Shipped"/>
    <x v="0"/>
    <s v="Shipped"/>
  </r>
  <r>
    <n v="3920.88"/>
    <s v="2/24/2003 0:2332"/>
    <s v="Shipped"/>
    <x v="0"/>
    <s v="Shipped"/>
  </r>
  <r>
    <n v="2514.6"/>
    <s v="2/24/2003 0:2333"/>
    <s v="Shipped"/>
    <x v="0"/>
    <s v="Shipped"/>
  </r>
  <r>
    <n v="3600.24"/>
    <s v="2/24/2003 0:2334"/>
    <s v="Shipped"/>
    <x v="0"/>
    <s v="Shipped"/>
  </r>
  <r>
    <n v="4040.03"/>
    <s v="2/24/2003 0:2335"/>
    <s v="Shipped"/>
    <x v="0"/>
    <s v="Shipped"/>
  </r>
  <r>
    <n v="3336.9"/>
    <s v="2/24/2003 0:2336"/>
    <s v="Shipped"/>
    <x v="0"/>
    <s v="Shipped"/>
  </r>
  <r>
    <n v="3113.64"/>
    <s v="2/24/2003 0:2337"/>
    <s v="Shipped"/>
    <x v="0"/>
    <s v="Shipped"/>
  </r>
  <r>
    <n v="2832"/>
    <s v="2/24/2003 0:2338"/>
    <s v="Shipped"/>
    <x v="0"/>
    <s v="Shipped"/>
  </r>
  <r>
    <n v="3330.98"/>
    <s v="2/24/2003 0:2339"/>
    <s v="Shipped"/>
    <x v="0"/>
    <s v="Shipped"/>
  </r>
  <r>
    <n v="4304.6400000000003"/>
    <s v="2/24/2003 0:2340"/>
    <s v="Shipped"/>
    <x v="0"/>
    <s v="Shipped"/>
  </r>
  <r>
    <n v="2600.2600000000002"/>
    <s v="2/24/2003 0:2341"/>
    <s v="Shipped"/>
    <x v="0"/>
    <s v="Shipped"/>
  </r>
  <r>
    <n v="4382.16"/>
    <s v="2/24/2003 0:2342"/>
    <s v="Shipped"/>
    <x v="0"/>
    <s v="Shipped"/>
  </r>
  <r>
    <n v="4235"/>
    <s v="2/24/2003 0:2343"/>
    <s v="Shipped"/>
    <x v="0"/>
    <s v="Shipped"/>
  </r>
  <r>
    <n v="2626.8"/>
    <s v="2/24/2003 0:2344"/>
    <s v="Shipped"/>
    <x v="0"/>
    <s v="Shipped"/>
  </r>
  <r>
    <n v="5026.5600000000004"/>
    <s v="2/24/2003 0:2345"/>
    <s v="Shipped"/>
    <x v="0"/>
    <s v="Shipped"/>
  </r>
  <r>
    <n v="2201.62"/>
    <s v="2/24/2003 0:2346"/>
    <s v="Shipped"/>
    <x v="0"/>
    <s v="Shipped"/>
  </r>
  <r>
    <n v="4326.8"/>
    <s v="2/24/2003 0:2347"/>
    <s v="Shipped"/>
    <x v="0"/>
    <s v="Shipped"/>
  </r>
  <r>
    <n v="3425.18"/>
    <s v="2/24/2003 0:2348"/>
    <s v="Shipped"/>
    <x v="0"/>
    <s v="Shipped"/>
  </r>
  <r>
    <n v="4701.88"/>
    <s v="2/24/2003 0:2349"/>
    <s v="Shipped"/>
    <x v="0"/>
    <s v="Shipped"/>
  </r>
  <r>
    <n v="2204.1"/>
    <s v="2/24/2003 0:2350"/>
    <s v="Shipped"/>
    <x v="0"/>
    <s v="Shipped"/>
  </r>
  <r>
    <n v="5189.3999999999996"/>
    <s v="2/24/2003 0:2351"/>
    <s v="Shipped"/>
    <x v="0"/>
    <s v="Shipped"/>
  </r>
  <r>
    <n v="1565.85"/>
    <s v="2/24/2003 0:2352"/>
    <s v="Shipped"/>
    <x v="0"/>
    <s v="Shipped"/>
  </r>
  <r>
    <n v="2480.38"/>
    <s v="2/24/2003 0:2353"/>
    <s v="Shipped"/>
    <x v="0"/>
    <s v="Shipped"/>
  </r>
  <r>
    <n v="1355.13"/>
    <s v="2/24/2003 0:2354"/>
    <s v="Shipped"/>
    <x v="0"/>
    <s v="Shipped"/>
  </r>
  <r>
    <n v="1246.44"/>
    <s v="2/24/2003 0:2355"/>
    <s v="Shipped"/>
    <x v="0"/>
    <s v="Shipped"/>
  </r>
  <r>
    <n v="820.4"/>
    <s v="2/24/2003 0:2356"/>
    <s v="Shipped"/>
    <x v="0"/>
    <s v="Shipped"/>
  </r>
  <r>
    <n v="2492.64"/>
    <s v="2/24/2003 0:2357"/>
    <s v="Shipped"/>
    <x v="0"/>
    <s v="Shipped"/>
  </r>
  <r>
    <n v="1113.5999999999999"/>
    <s v="2/24/2003 0:2358"/>
    <s v="Shipped"/>
    <x v="0"/>
    <s v="Shipped"/>
  </r>
  <r>
    <n v="1763.86"/>
    <s v="2/24/2003 0:2359"/>
    <s v="Shipped"/>
    <x v="0"/>
    <s v="Shipped"/>
  </r>
  <r>
    <n v="1896.66"/>
    <s v="2/24/2003 0:2360"/>
    <s v="Shipped"/>
    <x v="0"/>
    <s v="Shipped"/>
  </r>
  <r>
    <n v="1449.35"/>
    <s v="2/24/2003 0:2361"/>
    <s v="Shipped"/>
    <x v="0"/>
    <s v="Shipped"/>
  </r>
  <r>
    <n v="1869.48"/>
    <s v="2/24/2003 0:2362"/>
    <s v="Shipped"/>
    <x v="0"/>
    <s v="Shipped"/>
  </r>
  <r>
    <n v="1860.53"/>
    <s v="2/24/2003 0:2363"/>
    <s v="Cancelled"/>
    <x v="1"/>
    <s v="Cancelled"/>
  </r>
  <r>
    <n v="1724.82"/>
    <s v="2/24/2003 0:2364"/>
    <s v="Shipped"/>
    <x v="0"/>
    <s v="Shipped"/>
  </r>
  <r>
    <n v="1713.69"/>
    <s v="2/24/2003 0:2365"/>
    <s v="Shipped"/>
    <x v="0"/>
    <s v="Shipped"/>
  </r>
  <r>
    <n v="1259.44"/>
    <s v="2/24/2003 0:2366"/>
    <s v="Shipped"/>
    <x v="0"/>
    <s v="Shipped"/>
  </r>
  <r>
    <n v="2051.08"/>
    <s v="2/24/2003 0:2367"/>
    <s v="Shipped"/>
    <x v="0"/>
    <s v="Shipped"/>
  </r>
  <r>
    <n v="1617.38"/>
    <s v="2/24/2003 0:2368"/>
    <s v="Shipped"/>
    <x v="0"/>
    <s v="Shipped"/>
  </r>
  <r>
    <n v="1765.62"/>
    <s v="2/24/2003 0:2369"/>
    <s v="Shipped"/>
    <x v="0"/>
    <s v="Shipped"/>
  </r>
  <r>
    <n v="2024.8"/>
    <s v="2/24/2003 0:2370"/>
    <s v="Shipped"/>
    <x v="0"/>
    <s v="Shipped"/>
  </r>
  <r>
    <n v="3288.4"/>
    <s v="2/24/2003 0:2371"/>
    <s v="Shipped"/>
    <x v="0"/>
    <s v="Shipped"/>
  </r>
  <r>
    <n v="2725.47"/>
    <s v="2/24/2003 0:2372"/>
    <s v="Shipped"/>
    <x v="0"/>
    <s v="Shipped"/>
  </r>
  <r>
    <n v="3224.2"/>
    <s v="2/24/2003 0:2373"/>
    <s v="Shipped"/>
    <x v="0"/>
    <s v="Shipped"/>
  </r>
  <r>
    <n v="3211.38"/>
    <s v="2/24/2003 0:2374"/>
    <s v="Shipped"/>
    <x v="0"/>
    <s v="Shipped"/>
  </r>
  <r>
    <n v="1796.34"/>
    <s v="2/24/2003 0:2375"/>
    <s v="Shipped"/>
    <x v="0"/>
    <s v="Shipped"/>
  </r>
  <r>
    <n v="1979.6"/>
    <s v="2/24/2003 0:2376"/>
    <s v="On Hold"/>
    <x v="1"/>
    <s v="On Hold"/>
  </r>
  <r>
    <n v="1921.41"/>
    <s v="2/24/2003 0:2377"/>
    <s v="Shipped"/>
    <x v="0"/>
    <s v="Shipped"/>
  </r>
  <r>
    <n v="3705.24"/>
    <s v="2/24/2003 0:2378"/>
    <s v="Shipped"/>
    <x v="0"/>
    <s v="Shipped"/>
  </r>
  <r>
    <n v="2843.91"/>
    <s v="2/24/2003 0:2379"/>
    <s v="Shipped"/>
    <x v="0"/>
    <s v="Shipped"/>
  </r>
  <r>
    <n v="6176.42"/>
    <s v="2/24/2003 0:2380"/>
    <s v="Shipped"/>
    <x v="0"/>
    <s v="Shipped"/>
  </r>
  <r>
    <n v="5500.44"/>
    <s v="2/24/2003 0:2381"/>
    <s v="Shipped"/>
    <x v="0"/>
    <s v="Shipped"/>
  </r>
  <r>
    <n v="3220.1"/>
    <s v="2/24/2003 0:2382"/>
    <s v="Shipped"/>
    <x v="0"/>
    <s v="Shipped"/>
  </r>
  <r>
    <n v="4556.16"/>
    <s v="2/24/2003 0:2383"/>
    <s v="Shipped"/>
    <x v="0"/>
    <s v="Shipped"/>
  </r>
  <r>
    <n v="3114.89"/>
    <s v="2/24/2003 0:2384"/>
    <s v="Shipped"/>
    <x v="0"/>
    <s v="Shipped"/>
  </r>
  <r>
    <n v="4948.2"/>
    <s v="2/24/2003 0:2385"/>
    <s v="Shipped"/>
    <x v="0"/>
    <s v="Shipped"/>
  </r>
  <r>
    <n v="5161.17"/>
    <s v="2/24/2003 0:2386"/>
    <s v="Shipped"/>
    <x v="0"/>
    <s v="Shipped"/>
  </r>
  <r>
    <n v="2657.76"/>
    <s v="2/24/2003 0:2387"/>
    <s v="Shipped"/>
    <x v="0"/>
    <s v="Shipped"/>
  </r>
  <r>
    <n v="3983.05"/>
    <s v="2/24/2003 0:2388"/>
    <s v="Shipped"/>
    <x v="0"/>
    <s v="Shipped"/>
  </r>
  <r>
    <n v="3974.94"/>
    <s v="2/24/2003 0:2389"/>
    <s v="Shipped"/>
    <x v="0"/>
    <s v="Shipped"/>
  </r>
  <r>
    <n v="2928.42"/>
    <s v="2/24/2003 0:2390"/>
    <s v="Shipped"/>
    <x v="0"/>
    <s v="Shipped"/>
  </r>
  <r>
    <n v="3054.57"/>
    <s v="2/24/2003 0:2391"/>
    <s v="Shipped"/>
    <x v="0"/>
    <s v="Shipped"/>
  </r>
  <r>
    <n v="3345.26"/>
    <s v="2/24/2003 0:2392"/>
    <s v="Shipped"/>
    <x v="0"/>
    <s v="Shipped"/>
  </r>
  <r>
    <n v="4310.72"/>
    <s v="2/24/2003 0:2393"/>
    <s v="Shipped"/>
    <x v="0"/>
    <s v="Shipped"/>
  </r>
  <r>
    <n v="4983.1400000000003"/>
    <s v="2/24/2003 0:2394"/>
    <s v="Shipped"/>
    <x v="0"/>
    <s v="Shipped"/>
  </r>
  <r>
    <n v="4618.32"/>
    <s v="2/24/2003 0:2395"/>
    <s v="Shipped"/>
    <x v="0"/>
    <s v="Shipped"/>
  </r>
  <r>
    <n v="3403.12"/>
    <s v="2/24/2003 0:2396"/>
    <s v="Shipped"/>
    <x v="0"/>
    <s v="Shipped"/>
  </r>
  <r>
    <n v="5190.42"/>
    <s v="2/24/2003 0:2397"/>
    <s v="Shipped"/>
    <x v="0"/>
    <s v="Shipped"/>
  </r>
  <r>
    <n v="3141.57"/>
    <s v="2/24/2003 0:2398"/>
    <s v="Shipped"/>
    <x v="0"/>
    <s v="Shipped"/>
  </r>
  <r>
    <n v="2213.4"/>
    <s v="2/24/2003 0:2399"/>
    <s v="Shipped"/>
    <x v="0"/>
    <s v="Shipped"/>
  </r>
  <r>
    <n v="4896.7"/>
    <s v="2/24/2003 0:2400"/>
    <s v="Shipped"/>
    <x v="0"/>
    <s v="Shipped"/>
  </r>
  <r>
    <n v="2714.4"/>
    <s v="2/24/2003 0:2401"/>
    <s v="Shipped"/>
    <x v="0"/>
    <s v="Shipped"/>
  </r>
  <r>
    <n v="3087.05"/>
    <s v="2/24/2003 0:2402"/>
    <s v="Shipped"/>
    <x v="0"/>
    <s v="Shipped"/>
  </r>
  <r>
    <n v="5692.96"/>
    <s v="2/24/2003 0:2403"/>
    <s v="Shipped"/>
    <x v="0"/>
    <s v="Shipped"/>
  </r>
  <r>
    <n v="3460.86"/>
    <s v="2/24/2003 0:2404"/>
    <s v="Shipped"/>
    <x v="0"/>
    <s v="Shipped"/>
  </r>
  <r>
    <n v="1895.94"/>
    <s v="2/24/2003 0:2405"/>
    <s v="In Process"/>
    <x v="1"/>
    <s v="In Process"/>
  </r>
  <r>
    <n v="1705.92"/>
    <s v="2/24/2003 0:2406"/>
    <s v="Shipped"/>
    <x v="0"/>
    <s v="Shipped"/>
  </r>
  <r>
    <n v="1033.4100000000001"/>
    <s v="2/24/2003 0:2407"/>
    <s v="Shipped"/>
    <x v="0"/>
    <s v="Shipped"/>
  </r>
  <r>
    <n v="3179.52"/>
    <s v="2/24/2003 0:2408"/>
    <s v="Shipped"/>
    <x v="0"/>
    <s v="Shipped"/>
  </r>
  <r>
    <n v="2091.1799999999998"/>
    <s v="2/24/2003 0:2409"/>
    <s v="Shipped"/>
    <x v="0"/>
    <s v="Shipped"/>
  </r>
  <r>
    <n v="1779.71"/>
    <s v="2/24/2003 0:2410"/>
    <s v="Shipped"/>
    <x v="0"/>
    <s v="Shipped"/>
  </r>
  <r>
    <n v="2537.64"/>
    <s v="2/24/2003 0:2411"/>
    <s v="Shipped"/>
    <x v="0"/>
    <s v="Shipped"/>
  </r>
  <r>
    <n v="2448.7199999999998"/>
    <s v="2/24/2003 0:2412"/>
    <s v="Shipped"/>
    <x v="0"/>
    <s v="Shipped"/>
  </r>
  <r>
    <n v="972.4"/>
    <s v="2/24/2003 0:2413"/>
    <s v="Shipped"/>
    <x v="0"/>
    <s v="Shipped"/>
  </r>
  <r>
    <n v="2856.14"/>
    <s v="2/24/2003 0:2414"/>
    <s v="Shipped"/>
    <x v="0"/>
    <s v="Shipped"/>
  </r>
  <r>
    <n v="1968.3"/>
    <s v="2/24/2003 0:2415"/>
    <s v="Shipped"/>
    <x v="0"/>
    <s v="Shipped"/>
  </r>
  <r>
    <n v="2056.1999999999998"/>
    <s v="2/24/2003 0:2416"/>
    <s v="Shipped"/>
    <x v="0"/>
    <s v="Shipped"/>
  </r>
  <r>
    <n v="2242.02"/>
    <s v="2/24/2003 0:2417"/>
    <s v="Shipped"/>
    <x v="0"/>
    <s v="Shipped"/>
  </r>
  <r>
    <n v="3128.65"/>
    <s v="2/24/2003 0:2418"/>
    <s v="Shipped"/>
    <x v="0"/>
    <s v="Shipped"/>
  </r>
  <r>
    <n v="2443.2600000000002"/>
    <s v="2/24/2003 0:2419"/>
    <s v="Shipped"/>
    <x v="0"/>
    <s v="Shipped"/>
  </r>
  <r>
    <n v="2470.86"/>
    <s v="2/24/2003 0:2420"/>
    <s v="Shipped"/>
    <x v="0"/>
    <s v="Shipped"/>
  </r>
  <r>
    <n v="1927.45"/>
    <s v="2/24/2003 0:2421"/>
    <s v="Shipped"/>
    <x v="0"/>
    <s v="Shipped"/>
  </r>
  <r>
    <n v="2051.56"/>
    <s v="2/24/2003 0:2422"/>
    <s v="Shipped"/>
    <x v="0"/>
    <s v="Shipped"/>
  </r>
  <r>
    <n v="2337.38"/>
    <s v="2/24/2003 0:2423"/>
    <s v="Shipped"/>
    <x v="0"/>
    <s v="Shipped"/>
  </r>
  <r>
    <n v="5932.96"/>
    <s v="2/24/2003 0:2424"/>
    <s v="Shipped"/>
    <x v="0"/>
    <s v="Shipped"/>
  </r>
  <r>
    <n v="2296.77"/>
    <s v="2/24/2003 0:2425"/>
    <s v="Shipped"/>
    <x v="0"/>
    <s v="Shipped"/>
  </r>
  <r>
    <n v="6490.88"/>
    <s v="2/24/2003 0:2426"/>
    <s v="Shipped"/>
    <x v="0"/>
    <s v="Shipped"/>
  </r>
  <r>
    <n v="1623.25"/>
    <s v="2/24/2003 0:2427"/>
    <s v="Shipped"/>
    <x v="0"/>
    <s v="Shipped"/>
  </r>
  <r>
    <n v="1405.92"/>
    <s v="2/24/2003 0:2428"/>
    <s v="Shipped"/>
    <x v="0"/>
    <s v="Shipped"/>
  </r>
  <r>
    <n v="2282.2800000000002"/>
    <s v="2/24/2003 0:2429"/>
    <s v="Shipped"/>
    <x v="0"/>
    <s v="Shipped"/>
  </r>
  <r>
    <n v="8977.0499999999993"/>
    <s v="2/24/2003 0:2430"/>
    <s v="Shipped"/>
    <x v="0"/>
    <s v="Shipped"/>
  </r>
  <r>
    <n v="3256.35"/>
    <s v="2/24/2003 0:2431"/>
    <s v="Shipped"/>
    <x v="0"/>
    <s v="Shipped"/>
  </r>
  <r>
    <n v="2821.66"/>
    <s v="2/24/2003 0:2432"/>
    <s v="Shipped"/>
    <x v="0"/>
    <s v="Shipped"/>
  </r>
  <r>
    <n v="3293.4"/>
    <s v="2/24/2003 0:2433"/>
    <s v="Shipped"/>
    <x v="0"/>
    <s v="Shipped"/>
  </r>
  <r>
    <n v="4224"/>
    <s v="2/24/2003 0:2434"/>
    <s v="Shipped"/>
    <x v="0"/>
    <s v="Shipped"/>
  </r>
  <r>
    <n v="3091.68"/>
    <s v="2/24/2003 0:2435"/>
    <s v="Shipped"/>
    <x v="0"/>
    <s v="Shipped"/>
  </r>
  <r>
    <n v="2219.6"/>
    <s v="2/24/2003 0:2436"/>
    <s v="Shipped"/>
    <x v="0"/>
    <s v="Shipped"/>
  </r>
  <r>
    <n v="3866.4"/>
    <s v="2/24/2003 0:2437"/>
    <s v="Shipped"/>
    <x v="0"/>
    <s v="Shipped"/>
  </r>
  <r>
    <n v="1964.76"/>
    <s v="2/24/2003 0:2438"/>
    <s v="Shipped"/>
    <x v="0"/>
    <s v="Shipped"/>
  </r>
  <r>
    <n v="2668.8"/>
    <s v="2/24/2003 0:2439"/>
    <s v="Shipped"/>
    <x v="0"/>
    <s v="Shipped"/>
  </r>
  <r>
    <n v="3222"/>
    <s v="2/24/2003 0:2440"/>
    <s v="Shipped"/>
    <x v="0"/>
    <s v="Shipped"/>
  </r>
  <r>
    <n v="3864.5"/>
    <s v="2/24/2003 0:2441"/>
    <s v="Shipped"/>
    <x v="0"/>
    <s v="Shipped"/>
  </r>
  <r>
    <n v="1366.8"/>
    <s v="2/24/2003 0:2442"/>
    <s v="Shipped"/>
    <x v="0"/>
    <s v="Shipped"/>
  </r>
  <r>
    <n v="3475.68"/>
    <s v="2/24/2003 0:2443"/>
    <s v="Shipped"/>
    <x v="0"/>
    <s v="Shipped"/>
  </r>
  <r>
    <n v="4206.5"/>
    <s v="2/24/2003 0:2444"/>
    <s v="Shipped"/>
    <x v="0"/>
    <s v="Shipped"/>
  </r>
  <r>
    <n v="1486.38"/>
    <s v="2/24/2003 0:2445"/>
    <s v="Shipped"/>
    <x v="0"/>
    <s v="Shipped"/>
  </r>
  <r>
    <n v="3077.88"/>
    <s v="2/24/2003 0:2446"/>
    <s v="Shipped"/>
    <x v="0"/>
    <s v="Shipped"/>
  </r>
  <r>
    <n v="3544.2"/>
    <s v="2/24/2003 0:2447"/>
    <s v="Shipped"/>
    <x v="0"/>
    <s v="Shipped"/>
  </r>
  <r>
    <n v="2483.04"/>
    <s v="2/24/2003 0:2448"/>
    <s v="Shipped"/>
    <x v="0"/>
    <s v="Shipped"/>
  </r>
  <r>
    <n v="3478.05"/>
    <s v="2/24/2003 0:2449"/>
    <s v="Shipped"/>
    <x v="0"/>
    <s v="Shipped"/>
  </r>
  <r>
    <n v="3657.8"/>
    <s v="2/24/2003 0:2450"/>
    <s v="Shipped"/>
    <x v="0"/>
    <s v="Shipped"/>
  </r>
  <r>
    <n v="4682.3599999999997"/>
    <s v="2/24/2003 0:2451"/>
    <s v="Shipped"/>
    <x v="0"/>
    <s v="Shipped"/>
  </r>
  <r>
    <n v="3937.7"/>
    <s v="2/24/2003 0:2452"/>
    <s v="Shipped"/>
    <x v="0"/>
    <s v="Shipped"/>
  </r>
  <r>
    <n v="4984.32"/>
    <s v="2/24/2003 0:2453"/>
    <s v="Shipped"/>
    <x v="0"/>
    <s v="Shipped"/>
  </r>
  <r>
    <n v="5406.66"/>
    <s v="2/24/2003 0:2454"/>
    <s v="Shipped"/>
    <x v="0"/>
    <s v="Shipped"/>
  </r>
  <r>
    <n v="3491.18"/>
    <s v="2/24/2003 0:2455"/>
    <s v="Shipped"/>
    <x v="0"/>
    <s v="Shipped"/>
  </r>
  <r>
    <n v="2118.54"/>
    <s v="2/24/2003 0:2456"/>
    <s v="Shipped"/>
    <x v="0"/>
    <s v="Shipped"/>
  </r>
  <r>
    <n v="2897.47"/>
    <s v="2/24/2003 0:2457"/>
    <s v="Shipped"/>
    <x v="0"/>
    <s v="Shipped"/>
  </r>
  <r>
    <n v="1916.75"/>
    <s v="2/24/2003 0:2458"/>
    <s v="Shipped"/>
    <x v="0"/>
    <s v="Shipped"/>
  </r>
  <r>
    <n v="1860"/>
    <s v="2/24/2003 0:2459"/>
    <s v="Shipped"/>
    <x v="0"/>
    <s v="Shipped"/>
  </r>
  <r>
    <n v="2624"/>
    <s v="2/24/2003 0:2460"/>
    <s v="Shipped"/>
    <x v="0"/>
    <s v="Shipped"/>
  </r>
  <r>
    <n v="2780.81"/>
    <s v="2/24/2003 0:2461"/>
    <s v="Shipped"/>
    <x v="0"/>
    <s v="Shipped"/>
  </r>
  <r>
    <n v="3239.62"/>
    <s v="2/24/2003 0:2462"/>
    <s v="Cancelled"/>
    <x v="1"/>
    <s v="Cancelled"/>
  </r>
  <r>
    <n v="1824"/>
    <s v="2/24/2003 0:2463"/>
    <s v="Shipped"/>
    <x v="0"/>
    <s v="Shipped"/>
  </r>
  <r>
    <n v="1134"/>
    <s v="2/24/2003 0:2464"/>
    <s v="Shipped"/>
    <x v="0"/>
    <s v="Shipped"/>
  </r>
  <r>
    <n v="1487.41"/>
    <s v="2/24/2003 0:2465"/>
    <s v="Shipped"/>
    <x v="0"/>
    <s v="Shipped"/>
  </r>
  <r>
    <n v="2837.46"/>
    <s v="2/24/2003 0:2466"/>
    <s v="Shipped"/>
    <x v="0"/>
    <s v="Shipped"/>
  </r>
  <r>
    <n v="1942.77"/>
    <s v="2/24/2003 0:2467"/>
    <s v="Shipped"/>
    <x v="0"/>
    <s v="Shipped"/>
  </r>
  <r>
    <n v="2544.12"/>
    <s v="2/24/2003 0:2468"/>
    <s v="Shipped"/>
    <x v="0"/>
    <s v="Shipped"/>
  </r>
  <r>
    <n v="2568.2399999999998"/>
    <s v="2/24/2003 0:2469"/>
    <s v="Cancelled"/>
    <x v="1"/>
    <s v="Cancelled"/>
  </r>
  <r>
    <n v="2108"/>
    <s v="2/24/2003 0:2470"/>
    <s v="Shipped"/>
    <x v="0"/>
    <s v="Shipped"/>
  </r>
  <r>
    <n v="1372.14"/>
    <s v="2/24/2003 0:2471"/>
    <s v="Shipped"/>
    <x v="0"/>
    <s v="Shipped"/>
  </r>
  <r>
    <n v="3540.15"/>
    <s v="2/24/2003 0:2472"/>
    <s v="Shipped"/>
    <x v="0"/>
    <s v="Shipped"/>
  </r>
  <r>
    <n v="1958.84"/>
    <s v="2/24/2003 0:2473"/>
    <s v="Shipped"/>
    <x v="0"/>
    <s v="Shipped"/>
  </r>
  <r>
    <n v="2700"/>
    <s v="2/24/2003 0:2474"/>
    <s v="Shipped"/>
    <x v="0"/>
    <s v="Shipped"/>
  </r>
  <r>
    <n v="2542"/>
    <s v="2/24/2003 0:2475"/>
    <s v="Shipped"/>
    <x v="0"/>
    <s v="Shipped"/>
  </r>
  <r>
    <n v="2340"/>
    <s v="2/24/2003 0:2476"/>
    <s v="Shipped"/>
    <x v="0"/>
    <s v="Shipped"/>
  </r>
  <r>
    <n v="2816.44"/>
    <s v="2/24/2003 0:2477"/>
    <s v="Shipped"/>
    <x v="0"/>
    <s v="Shipped"/>
  </r>
  <r>
    <n v="3526.82"/>
    <s v="2/24/2003 0:2478"/>
    <s v="Shipped"/>
    <x v="0"/>
    <s v="Shipped"/>
  </r>
  <r>
    <n v="4627.92"/>
    <s v="2/24/2003 0:2479"/>
    <s v="Shipped"/>
    <x v="0"/>
    <s v="Shipped"/>
  </r>
  <r>
    <n v="1933.5"/>
    <s v="2/24/2003 0:2480"/>
    <s v="Shipped"/>
    <x v="0"/>
    <s v="Shipped"/>
  </r>
  <r>
    <n v="2600.13"/>
    <s v="2/24/2003 0:2481"/>
    <s v="Shipped"/>
    <x v="0"/>
    <s v="Shipped"/>
  </r>
  <r>
    <n v="2639.58"/>
    <s v="2/24/2003 0:2482"/>
    <s v="On Hold"/>
    <x v="1"/>
    <s v="On Hold"/>
  </r>
  <r>
    <n v="3312.97"/>
    <s v="2/24/2003 0:2483"/>
    <s v="Shipped"/>
    <x v="0"/>
    <s v="Shipped"/>
  </r>
  <r>
    <n v="3863.87"/>
    <s v="2/24/2003 0:2484"/>
    <s v="Shipped"/>
    <x v="0"/>
    <s v="Shipped"/>
  </r>
  <r>
    <n v="1863.36"/>
    <s v="2/24/2003 0:2485"/>
    <s v="Shipped"/>
    <x v="0"/>
    <s v="Shipped"/>
  </r>
  <r>
    <n v="3945.96"/>
    <s v="2/24/2003 0:2486"/>
    <s v="Shipped"/>
    <x v="0"/>
    <s v="Shipped"/>
  </r>
  <r>
    <n v="4954.08"/>
    <s v="2/24/2003 0:2487"/>
    <s v="Shipped"/>
    <x v="0"/>
    <s v="Shipped"/>
  </r>
  <r>
    <n v="2762.2"/>
    <s v="2/24/2003 0:2488"/>
    <s v="Shipped"/>
    <x v="0"/>
    <s v="Shipped"/>
  </r>
  <r>
    <n v="3989.76"/>
    <s v="2/24/2003 0:2489"/>
    <s v="Shipped"/>
    <x v="0"/>
    <s v="Shipped"/>
  </r>
  <r>
    <n v="1649.55"/>
    <s v="2/24/2003 0:2490"/>
    <s v="Shipped"/>
    <x v="0"/>
    <s v="Shipped"/>
  </r>
  <r>
    <n v="2534.75"/>
    <s v="2/24/2003 0:2491"/>
    <s v="Shipped"/>
    <x v="0"/>
    <s v="Shipped"/>
  </r>
  <r>
    <n v="2580.25"/>
    <s v="2/24/2003 0:2492"/>
    <s v="Shipped"/>
    <x v="0"/>
    <s v="Shipped"/>
  </r>
  <r>
    <n v="2831.54"/>
    <s v="2/24/2003 0:2493"/>
    <s v="Shipped"/>
    <x v="0"/>
    <s v="Shipped"/>
  </r>
  <r>
    <n v="3361.2"/>
    <s v="2/24/2003 0:2494"/>
    <s v="Cancelled"/>
    <x v="1"/>
    <s v="Cancelled"/>
  </r>
  <r>
    <n v="2864.32"/>
    <s v="2/24/2003 0:2495"/>
    <s v="Shipped"/>
    <x v="0"/>
    <s v="Shipped"/>
  </r>
  <r>
    <n v="1994.88"/>
    <s v="2/24/2003 0:2496"/>
    <s v="Shipped"/>
    <x v="0"/>
    <s v="Shipped"/>
  </r>
  <r>
    <n v="4296.6000000000004"/>
    <s v="2/24/2003 0:2497"/>
    <s v="Shipped"/>
    <x v="0"/>
    <s v="Shipped"/>
  </r>
  <r>
    <n v="2224.9499999999998"/>
    <s v="2/24/2003 0:2498"/>
    <s v="Shipped"/>
    <x v="0"/>
    <s v="Shipped"/>
  </r>
  <r>
    <n v="2795.14"/>
    <s v="2/24/2003 0:2499"/>
    <s v="Shipped"/>
    <x v="0"/>
    <s v="Shipped"/>
  </r>
  <r>
    <n v="2762.1"/>
    <s v="2/24/2003 0:2500"/>
    <s v="Shipped"/>
    <x v="0"/>
    <s v="Shipped"/>
  </r>
  <r>
    <n v="2658"/>
    <s v="2/24/2003 0:2501"/>
    <s v="Shipped"/>
    <x v="0"/>
    <s v="Shipped"/>
  </r>
  <r>
    <n v="5043.87"/>
    <s v="2/24/2003 0:2502"/>
    <s v="Shipped"/>
    <x v="0"/>
    <s v="Shipped"/>
  </r>
  <r>
    <n v="1210.8"/>
    <s v="2/24/2003 0:2503"/>
    <s v="Shipped"/>
    <x v="0"/>
    <s v="Shipped"/>
  </r>
  <r>
    <n v="3029.19"/>
    <s v="2/24/2003 0:2504"/>
    <s v="Shipped"/>
    <x v="0"/>
    <s v="Shipped"/>
  </r>
  <r>
    <n v="10066.6"/>
    <s v="2/24/2003 0:2505"/>
    <s v="Shipped"/>
    <x v="0"/>
    <s v="Shipped"/>
  </r>
  <r>
    <n v="4121.43"/>
    <s v="2/24/2003 0:2506"/>
    <s v="Shipped"/>
    <x v="0"/>
    <s v="Shipped"/>
  </r>
  <r>
    <n v="1135.31"/>
    <s v="2/24/2003 0:2507"/>
    <s v="On Hold"/>
    <x v="1"/>
    <s v="On Hold"/>
  </r>
  <r>
    <n v="2100.8200000000002"/>
    <s v="2/24/2003 0:2508"/>
    <s v="Shipped"/>
    <x v="0"/>
    <s v="Shipped"/>
  </r>
  <r>
    <n v="2034.35"/>
    <s v="2/24/2003 0:2509"/>
    <s v="Shipped"/>
    <x v="0"/>
    <s v="Shipped"/>
  </r>
  <r>
    <n v="3027.84"/>
    <s v="2/24/2003 0:2510"/>
    <s v="Shipped"/>
    <x v="0"/>
    <s v="Shipped"/>
  </r>
  <r>
    <n v="3104"/>
    <s v="2/24/2003 0:2511"/>
    <s v="Shipped"/>
    <x v="0"/>
    <s v="Shipped"/>
  </r>
  <r>
    <n v="3612.43"/>
    <s v="2/24/2003 0:2512"/>
    <s v="Shipped"/>
    <x v="0"/>
    <s v="Shipped"/>
  </r>
  <r>
    <n v="2711.88"/>
    <s v="2/24/2003 0:2513"/>
    <s v="Shipped"/>
    <x v="0"/>
    <s v="Shipped"/>
  </r>
  <r>
    <n v="3013.97"/>
    <s v="2/24/2003 0:2514"/>
    <s v="Shipped"/>
    <x v="0"/>
    <s v="Shipped"/>
  </r>
  <r>
    <n v="2738.54"/>
    <s v="2/24/2003 0:2515"/>
    <s v="Shipped"/>
    <x v="0"/>
    <s v="Shipped"/>
  </r>
  <r>
    <n v="2832"/>
    <s v="2/24/2003 0:2516"/>
    <s v="Shipped"/>
    <x v="0"/>
    <s v="Shipped"/>
  </r>
  <r>
    <n v="4720"/>
    <s v="2/24/2003 0:2517"/>
    <s v="Shipped"/>
    <x v="0"/>
    <s v="Shipped"/>
  </r>
  <r>
    <n v="3222"/>
    <s v="2/24/2003 0:2518"/>
    <s v="Shipped"/>
    <x v="0"/>
    <s v="Shipped"/>
  </r>
  <r>
    <n v="2231"/>
    <s v="2/24/2003 0:2519"/>
    <s v="Shipped"/>
    <x v="0"/>
    <s v="Shipped"/>
  </r>
  <r>
    <n v="2296.84"/>
    <s v="2/24/2003 0:2520"/>
    <s v="Shipped"/>
    <x v="0"/>
    <s v="Shipped"/>
  </r>
  <r>
    <n v="4157.2"/>
    <s v="2/24/2003 0:2521"/>
    <s v="Cancelled"/>
    <x v="1"/>
    <s v="Cancelled"/>
  </r>
  <r>
    <n v="2146.1999999999998"/>
    <s v="2/24/2003 0:2522"/>
    <s v="Shipped"/>
    <x v="0"/>
    <s v="Shipped"/>
  </r>
  <r>
    <n v="3724.23"/>
    <s v="2/24/2003 0:2523"/>
    <s v="Shipped"/>
    <x v="0"/>
    <s v="Shipped"/>
  </r>
  <r>
    <n v="2084.81"/>
    <s v="2/24/2003 0:2524"/>
    <s v="Shipped"/>
    <x v="0"/>
    <s v="Shipped"/>
  </r>
  <r>
    <n v="3488.78"/>
    <s v="2/24/2003 0:2525"/>
    <s v="Shipped"/>
    <x v="0"/>
    <s v="Shipped"/>
  </r>
  <r>
    <n v="1753.06"/>
    <s v="2/24/2003 0:2526"/>
    <s v="Shipped"/>
    <x v="0"/>
    <s v="Shipped"/>
  </r>
  <r>
    <n v="3469.2"/>
    <s v="2/24/2003 0:2527"/>
    <s v="Resolved"/>
    <x v="1"/>
    <s v="Resolved"/>
  </r>
  <r>
    <n v="2530.8000000000002"/>
    <s v="2/24/2003 0:2528"/>
    <s v="Shipped"/>
    <x v="0"/>
    <s v="Shipped"/>
  </r>
  <r>
    <n v="2924.32"/>
    <s v="2/24/2003 0:2529"/>
    <s v="Shipped"/>
    <x v="0"/>
    <s v="Shipped"/>
  </r>
  <r>
    <n v="4496.8"/>
    <s v="2/24/2003 0:2530"/>
    <s v="Shipped"/>
    <x v="0"/>
    <s v="Shipped"/>
  </r>
  <r>
    <n v="6397.44"/>
    <s v="2/24/2003 0:2531"/>
    <s v="Shipped"/>
    <x v="0"/>
    <s v="Shipped"/>
  </r>
  <r>
    <n v="2577.6"/>
    <s v="2/24/2003 0:2532"/>
    <s v="Shipped"/>
    <x v="0"/>
    <s v="Shipped"/>
  </r>
  <r>
    <n v="3533.62"/>
    <s v="2/24/2003 0:2533"/>
    <s v="On Hold"/>
    <x v="1"/>
    <s v="On Hold"/>
  </r>
  <r>
    <n v="3177.3"/>
    <s v="2/24/2003 0:2534"/>
    <s v="Shipped"/>
    <x v="0"/>
    <s v="Shipped"/>
  </r>
  <r>
    <n v="2730.06"/>
    <s v="2/24/2003 0:2535"/>
    <s v="Shipped"/>
    <x v="0"/>
    <s v="Shipped"/>
  </r>
  <r>
    <n v="1891.78"/>
    <s v="2/24/2003 0:2536"/>
    <s v="Shipped"/>
    <x v="0"/>
    <s v="Shipped"/>
  </r>
  <r>
    <n v="2612.48"/>
    <s v="2/24/2003 0:2537"/>
    <s v="Shipped"/>
    <x v="0"/>
    <s v="Shipped"/>
  </r>
  <r>
    <n v="2925.76"/>
    <s v="2/24/2003 0:2538"/>
    <s v="Shipped"/>
    <x v="0"/>
    <s v="Shipped"/>
  </r>
  <r>
    <n v="2940.02"/>
    <s v="2/24/2003 0:2539"/>
    <s v="Cancelled"/>
    <x v="1"/>
    <s v="Cancelled"/>
  </r>
  <r>
    <n v="3293.24"/>
    <s v="2/24/2003 0:2540"/>
    <s v="Shipped"/>
    <x v="0"/>
    <s v="Shipped"/>
  </r>
  <r>
    <n v="2389.6799999999998"/>
    <s v="2/24/2003 0:2541"/>
    <s v="Shipped"/>
    <x v="0"/>
    <s v="Shipped"/>
  </r>
  <r>
    <n v="2172.48"/>
    <s v="2/24/2003 0:2542"/>
    <s v="Shipped"/>
    <x v="0"/>
    <s v="Shipped"/>
  </r>
  <r>
    <n v="2927.43"/>
    <s v="2/24/2003 0:2543"/>
    <s v="Shipped"/>
    <x v="0"/>
    <s v="Shipped"/>
  </r>
  <r>
    <n v="2659.54"/>
    <s v="2/24/2003 0:2544"/>
    <s v="Shipped"/>
    <x v="0"/>
    <s v="Shipped"/>
  </r>
  <r>
    <n v="3838"/>
    <s v="2/24/2003 0:2545"/>
    <s v="Shipped"/>
    <x v="0"/>
    <s v="Shipped"/>
  </r>
  <r>
    <n v="4142.16"/>
    <s v="2/24/2003 0:2546"/>
    <s v="Cancelled"/>
    <x v="1"/>
    <s v="Cancelled"/>
  </r>
  <r>
    <n v="2172.48"/>
    <s v="2/24/2003 0:2547"/>
    <s v="Shipped"/>
    <x v="0"/>
    <s v="Shipped"/>
  </r>
  <r>
    <n v="1882.8"/>
    <s v="2/24/2003 0:2548"/>
    <s v="Shipped"/>
    <x v="0"/>
    <s v="Shipped"/>
  </r>
  <r>
    <n v="3477.86"/>
    <s v="2/24/2003 0:2549"/>
    <s v="Shipped"/>
    <x v="0"/>
    <s v="Shipped"/>
  </r>
  <r>
    <n v="3323.84"/>
    <s v="2/24/2003 0:2550"/>
    <s v="Shipped"/>
    <x v="0"/>
    <s v="Shipped"/>
  </r>
  <r>
    <n v="4195.8"/>
    <s v="2/24/2003 0:2551"/>
    <s v="Shipped"/>
    <x v="0"/>
    <s v="Shipped"/>
  </r>
  <r>
    <n v="4156.58"/>
    <s v="2/24/2003 0:2552"/>
    <s v="Shipped"/>
    <x v="0"/>
    <s v="Shipped"/>
  </r>
  <r>
    <n v="3918.75"/>
    <s v="2/24/2003 0:2553"/>
    <s v="Shipped"/>
    <x v="0"/>
    <s v="Shipped"/>
  </r>
  <r>
    <n v="2352.67"/>
    <s v="2/24/2003 0:2554"/>
    <s v="Shipped"/>
    <x v="0"/>
    <s v="Shipped"/>
  </r>
  <r>
    <n v="1089.3599999999999"/>
    <s v="2/24/2003 0:2555"/>
    <s v="Shipped"/>
    <x v="0"/>
    <s v="Shipped"/>
  </r>
  <r>
    <n v="2701.12"/>
    <s v="2/24/2003 0:2556"/>
    <s v="Shipped"/>
    <x v="0"/>
    <s v="Shipped"/>
  </r>
  <r>
    <n v="2487.04"/>
    <s v="2/24/2003 0:2557"/>
    <s v="Resolved"/>
    <x v="1"/>
    <s v="Resolved"/>
  </r>
  <r>
    <n v="3910.32"/>
    <s v="2/24/2003 0:2558"/>
    <s v="Shipped"/>
    <x v="0"/>
    <s v="Shipped"/>
  </r>
  <r>
    <n v="4038.8"/>
    <s v="2/24/2003 0:2559"/>
    <s v="Shipped"/>
    <x v="0"/>
    <s v="Shipped"/>
  </r>
  <r>
    <n v="3070.4"/>
    <s v="2/24/2003 0:2560"/>
    <s v="Disputed"/>
    <x v="1"/>
    <s v="Disputed"/>
  </r>
  <r>
    <n v="3763.46"/>
    <s v="2/24/2003 0:2561"/>
    <s v="Shipped"/>
    <x v="0"/>
    <s v="Shipped"/>
  </r>
  <r>
    <n v="2584.8000000000002"/>
    <s v="2/24/2003 0:2562"/>
    <s v="Shipped"/>
    <x v="0"/>
    <s v="Shipped"/>
  </r>
  <r>
    <n v="4427.6000000000004"/>
    <s v="2/24/2003 0:2563"/>
    <s v="Shipped"/>
    <x v="0"/>
    <s v="Shipped"/>
  </r>
  <r>
    <n v="2152.02"/>
    <s v="2/24/2003 0:2564"/>
    <s v="Shipped"/>
    <x v="0"/>
    <s v="Shipped"/>
  </r>
  <r>
    <n v="2353.4"/>
    <s v="2/24/2003 0:2565"/>
    <s v="Shipped"/>
    <x v="0"/>
    <s v="Shipped"/>
  </r>
  <r>
    <n v="3431.39"/>
    <s v="2/24/2003 0:2566"/>
    <s v="Shipped"/>
    <x v="0"/>
    <s v="Shipped"/>
  </r>
  <r>
    <n v="1930.5"/>
    <s v="2/24/2003 0:2567"/>
    <s v="Shipped"/>
    <x v="0"/>
    <s v="Shipped"/>
  </r>
  <r>
    <n v="4774.5600000000004"/>
    <s v="2/24/2003 0:2568"/>
    <s v="Shipped"/>
    <x v="0"/>
    <s v="Shipped"/>
  </r>
  <r>
    <n v="2592.7199999999998"/>
    <s v="2/24/2003 0:2569"/>
    <s v="Shipped"/>
    <x v="0"/>
    <s v="Shipped"/>
  </r>
  <r>
    <n v="3246.75"/>
    <s v="2/24/2003 0:2570"/>
    <s v="Shipped"/>
    <x v="0"/>
    <s v="Shipped"/>
  </r>
  <r>
    <n v="3372.5"/>
    <s v="2/24/2003 0:2571"/>
    <s v="Shipped"/>
    <x v="0"/>
    <s v="Shipped"/>
  </r>
  <r>
    <n v="3909.15"/>
    <s v="2/24/2003 0:2572"/>
    <s v="Shipped"/>
    <x v="0"/>
    <s v="Shipped"/>
  </r>
  <r>
    <n v="2994.75"/>
    <s v="2/24/2003 0:2573"/>
    <s v="Cancelled"/>
    <x v="1"/>
    <s v="Cancelled"/>
  </r>
  <r>
    <n v="4472.5200000000004"/>
    <s v="2/24/2003 0:2574"/>
    <s v="Shipped"/>
    <x v="0"/>
    <s v="Shipped"/>
  </r>
  <r>
    <n v="4576.95"/>
    <s v="2/24/2003 0:2575"/>
    <s v="Shipped"/>
    <x v="0"/>
    <s v="Shipped"/>
  </r>
  <r>
    <n v="2441.04"/>
    <s v="2/24/2003 0:2576"/>
    <s v="Shipped"/>
    <x v="0"/>
    <s v="Shipped"/>
  </r>
  <r>
    <n v="3106.25"/>
    <s v="2/24/2003 0:2577"/>
    <s v="Shipped"/>
    <x v="0"/>
    <s v="Shipped"/>
  </r>
  <r>
    <n v="2706.41"/>
    <s v="2/24/2003 0:2578"/>
    <s v="Shipped"/>
    <x v="0"/>
    <s v="Shipped"/>
  </r>
  <r>
    <n v="4021.53"/>
    <s v="2/24/2003 0:2579"/>
    <s v="Shipped"/>
    <x v="0"/>
    <s v="Shipped"/>
  </r>
  <r>
    <n v="4826.25"/>
    <s v="2/24/2003 0:2580"/>
    <s v="Shipped"/>
    <x v="0"/>
    <s v="Shipped"/>
  </r>
  <r>
    <n v="4935.28"/>
    <s v="2/24/2003 0:2581"/>
    <s v="Shipped"/>
    <x v="0"/>
    <s v="Shipped"/>
  </r>
  <r>
    <n v="2754.7"/>
    <s v="2/24/2003 0:2582"/>
    <s v="Shipped"/>
    <x v="0"/>
    <s v="Shipped"/>
  </r>
  <r>
    <n v="3856.71"/>
    <s v="2/24/2003 0:2583"/>
    <s v="Shipped"/>
    <x v="0"/>
    <s v="Shipped"/>
  </r>
  <r>
    <n v="3102.08"/>
    <s v="2/24/2003 0:2584"/>
    <s v="Resolved"/>
    <x v="1"/>
    <s v="Resolved"/>
  </r>
  <r>
    <n v="1908.72"/>
    <s v="2/24/2003 0:2585"/>
    <s v="Shipped"/>
    <x v="0"/>
    <s v="Shipped"/>
  </r>
  <r>
    <n v="7543.75"/>
    <s v="2/24/2003 0:2586"/>
    <s v="On Hold"/>
    <x v="1"/>
    <s v="On Hold"/>
  </r>
  <r>
    <n v="2457.1799999999998"/>
    <s v="2/24/2003 0:2587"/>
    <s v="Shipped"/>
    <x v="0"/>
    <s v="Shipped"/>
  </r>
  <r>
    <n v="2038.87"/>
    <s v="2/24/2003 0:2588"/>
    <s v="Shipped"/>
    <x v="0"/>
    <s v="Shipped"/>
  </r>
  <r>
    <n v="2499.2600000000002"/>
    <s v="2/24/2003 0:2589"/>
    <s v="Shipped"/>
    <x v="0"/>
    <s v="Shipped"/>
  </r>
  <r>
    <n v="3838.05"/>
    <s v="2/24/2003 0:2590"/>
    <s v="Shipped"/>
    <x v="0"/>
    <s v="Shipped"/>
  </r>
  <r>
    <n v="2643.99"/>
    <s v="2/24/2003 0:2591"/>
    <s v="Shipped"/>
    <x v="0"/>
    <s v="Shipped"/>
  </r>
  <r>
    <n v="2315.88"/>
    <s v="2/24/2003 0:2592"/>
    <s v="Shipped"/>
    <x v="0"/>
    <s v="Shipped"/>
  </r>
  <r>
    <n v="3225.06"/>
    <s v="2/24/2003 0:2593"/>
    <s v="Cancelled"/>
    <x v="1"/>
    <s v="Cancelled"/>
  </r>
  <r>
    <n v="2451.84"/>
    <s v="2/24/2003 0:2594"/>
    <s v="Shipped"/>
    <x v="0"/>
    <s v="Shipped"/>
  </r>
  <r>
    <n v="2254.98"/>
    <s v="2/24/2003 0:2595"/>
    <s v="Shipped"/>
    <x v="0"/>
    <s v="Shipped"/>
  </r>
  <r>
    <n v="3939.5"/>
    <s v="2/24/2003 0:2596"/>
    <s v="Shipped"/>
    <x v="0"/>
    <s v="Shipped"/>
  </r>
  <r>
    <n v="3424.7"/>
    <s v="2/24/2003 0:2597"/>
    <s v="Shipped"/>
    <x v="0"/>
    <s v="Shipped"/>
  </r>
  <r>
    <n v="2914.2"/>
    <s v="2/24/2003 0:2598"/>
    <s v="Shipped"/>
    <x v="0"/>
    <s v="Shipped"/>
  </r>
  <r>
    <n v="2389.6"/>
    <s v="2/24/2003 0:2599"/>
    <s v="Shipped"/>
    <x v="0"/>
    <s v="Shipped"/>
  </r>
  <r>
    <n v="2428.48"/>
    <s v="2/24/2003 0:2600"/>
    <s v="Cancelled"/>
    <x v="1"/>
    <s v="Cancelled"/>
  </r>
  <r>
    <n v="3021.48"/>
    <s v="2/24/2003 0:2601"/>
    <s v="Shipped"/>
    <x v="0"/>
    <s v="Shipped"/>
  </r>
  <r>
    <n v="2610.7199999999998"/>
    <s v="2/24/2003 0:2602"/>
    <s v="Shipped"/>
    <x v="0"/>
    <s v="Shipped"/>
  </r>
  <r>
    <n v="3091.19"/>
    <s v="2/24/2003 0:2603"/>
    <s v="Shipped"/>
    <x v="0"/>
    <s v="Shipped"/>
  </r>
  <r>
    <n v="2576.1999999999998"/>
    <s v="2/24/2003 0:2604"/>
    <s v="Shipped"/>
    <x v="0"/>
    <s v="Shipped"/>
  </r>
  <r>
    <n v="3232.31"/>
    <s v="2/24/2003 0:2605"/>
    <s v="Shipped"/>
    <x v="0"/>
    <s v="Shipped"/>
  </r>
  <r>
    <n v="3573.6"/>
    <s v="2/24/2003 0:2606"/>
    <s v="Shipped"/>
    <x v="0"/>
    <s v="Shipped"/>
  </r>
  <r>
    <n v="2022.51"/>
    <s v="2/24/2003 0:2607"/>
    <s v="Resolved"/>
    <x v="1"/>
    <s v="Resolved"/>
  </r>
  <r>
    <n v="3717.5"/>
    <s v="2/24/2003 0:2608"/>
    <s v="Shipped"/>
    <x v="0"/>
    <s v="Shipped"/>
  </r>
  <r>
    <n v="2185.15"/>
    <s v="2/24/2003 0:2609"/>
    <s v="Shipped"/>
    <x v="0"/>
    <s v="Shipped"/>
  </r>
  <r>
    <n v="2883.53"/>
    <s v="2/24/2003 0:2610"/>
    <s v="Shipped"/>
    <x v="0"/>
    <s v="Shipped"/>
  </r>
  <r>
    <n v="5017.57"/>
    <s v="2/24/2003 0:2611"/>
    <s v="Resolved"/>
    <x v="1"/>
    <s v="Resolved"/>
  </r>
  <r>
    <n v="1463"/>
    <s v="2/24/2003 0:2612"/>
    <s v="Shipped"/>
    <x v="0"/>
    <s v="Shipped"/>
  </r>
  <r>
    <n v="2352.59"/>
    <s v="2/24/2003 0:2613"/>
    <s v="On Hold"/>
    <x v="1"/>
    <s v="On Hold"/>
  </r>
  <r>
    <n v="4460.82"/>
    <s v="2/24/2003 0:2614"/>
    <s v="Shipped"/>
    <x v="0"/>
    <s v="Shipped"/>
  </r>
  <r>
    <n v="4758.18"/>
    <s v="2/24/2003 0:2615"/>
    <s v="Shipped"/>
    <x v="0"/>
    <s v="Shipped"/>
  </r>
  <r>
    <n v="4597.2"/>
    <s v="2/24/2003 0:2616"/>
    <s v="Shipped"/>
    <x v="0"/>
    <s v="Shipped"/>
  </r>
  <r>
    <n v="4114.8"/>
    <s v="2/24/2003 0:2617"/>
    <s v="Shipped"/>
    <x v="0"/>
    <s v="Shipped"/>
  </r>
  <r>
    <n v="2104"/>
    <s v="2/24/2003 0:2618"/>
    <s v="Shipped"/>
    <x v="0"/>
    <s v="Shipped"/>
  </r>
  <r>
    <n v="3195.27"/>
    <s v="2/24/2003 0:2619"/>
    <s v="Resolved"/>
    <x v="1"/>
    <s v="Resolved"/>
  </r>
  <r>
    <n v="3611.16"/>
    <s v="2/24/2003 0:2620"/>
    <s v="Shipped"/>
    <x v="0"/>
    <s v="Shipped"/>
  </r>
  <r>
    <n v="2000.77"/>
    <s v="2/24/2003 0:2621"/>
    <s v="Shipped"/>
    <x v="0"/>
    <s v="Shipped"/>
  </r>
  <r>
    <n v="2314.2600000000002"/>
    <s v="2/24/2003 0:2622"/>
    <s v="Shipped"/>
    <x v="0"/>
    <s v="Shipped"/>
  </r>
  <r>
    <n v="3871.89"/>
    <s v="2/24/2003 0:2623"/>
    <s v="Shipped"/>
    <x v="0"/>
    <s v="Shipped"/>
  </r>
  <r>
    <n v="2728"/>
    <s v="2/24/2003 0:2624"/>
    <s v="Shipped"/>
    <x v="0"/>
    <s v="Shipped"/>
  </r>
  <r>
    <n v="5614"/>
    <s v="2/24/2003 0:2625"/>
    <s v="Shipped"/>
    <x v="0"/>
    <s v="Shipped"/>
  </r>
  <r>
    <n v="4628.8"/>
    <s v="2/24/2003 0:2626"/>
    <s v="Shipped"/>
    <x v="0"/>
    <s v="Shipped"/>
  </r>
  <r>
    <n v="3641.4"/>
    <s v="2/24/2003 0:2627"/>
    <s v="Shipped"/>
    <x v="0"/>
    <s v="Shipped"/>
  </r>
  <r>
    <n v="4048"/>
    <s v="2/24/2003 0:2628"/>
    <s v="Shipped"/>
    <x v="0"/>
    <s v="Shipped"/>
  </r>
  <r>
    <n v="2321.46"/>
    <s v="2/24/2003 0:2629"/>
    <s v="Shipped"/>
    <x v="0"/>
    <s v="Shipped"/>
  </r>
  <r>
    <n v="3256.96"/>
    <s v="2/24/2003 0:2630"/>
    <s v="Shipped"/>
    <x v="0"/>
    <s v="Shipped"/>
  </r>
  <r>
    <n v="4208"/>
    <s v="2/24/2003 0:2631"/>
    <s v="Shipped"/>
    <x v="0"/>
    <s v="Shipped"/>
  </r>
  <r>
    <n v="2973.9"/>
    <s v="2/24/2003 0:2632"/>
    <s v="Shipped"/>
    <x v="0"/>
    <s v="Shipped"/>
  </r>
  <r>
    <n v="4248.3"/>
    <s v="2/24/2003 0:2633"/>
    <s v="Shipped"/>
    <x v="0"/>
    <s v="Shipped"/>
  </r>
  <r>
    <n v="9558.7999999999993"/>
    <s v="2/24/2003 0:2634"/>
    <s v="Shipped"/>
    <x v="0"/>
    <s v="Shipped"/>
  </r>
  <r>
    <n v="2650.56"/>
    <s v="2/24/2003 0:2635"/>
    <s v="Shipped"/>
    <x v="0"/>
    <s v="Shipped"/>
  </r>
  <r>
    <n v="3761.37"/>
    <s v="2/24/2003 0:2636"/>
    <s v="Shipped"/>
    <x v="0"/>
    <s v="Shipped"/>
  </r>
  <r>
    <n v="4301.34"/>
    <s v="2/24/2003 0:2637"/>
    <s v="Shipped"/>
    <x v="0"/>
    <s v="Shipped"/>
  </r>
  <r>
    <n v="1864.56"/>
    <s v="2/24/2003 0:2638"/>
    <s v="Shipped"/>
    <x v="0"/>
    <s v="Shipped"/>
  </r>
  <r>
    <n v="3576.8"/>
    <s v="2/24/2003 0:2639"/>
    <s v="Shipped"/>
    <x v="0"/>
    <s v="Shipped"/>
  </r>
  <r>
    <n v="3722.32"/>
    <s v="2/24/2003 0:2640"/>
    <s v="In Process"/>
    <x v="1"/>
    <s v="In Process"/>
  </r>
  <r>
    <n v="3986.56"/>
    <s v="2/24/2003 0:2641"/>
    <s v="Shipped"/>
    <x v="0"/>
    <s v="Shipped"/>
  </r>
  <r>
    <n v="3417.12"/>
    <s v="2/24/2003 0:2642"/>
    <s v="Shipped"/>
    <x v="0"/>
    <s v="Shipped"/>
  </r>
  <r>
    <n v="2691.09"/>
    <s v="2/24/2003 0:2643"/>
    <s v="Shipped"/>
    <x v="0"/>
    <s v="Shipped"/>
  </r>
  <r>
    <n v="2752.6"/>
    <s v="2/24/2003 0:2644"/>
    <s v="Shipped"/>
    <x v="0"/>
    <s v="Shipped"/>
  </r>
  <r>
    <n v="4527.72"/>
    <s v="2/24/2003 0:2645"/>
    <s v="Shipped"/>
    <x v="0"/>
    <s v="Shipped"/>
  </r>
  <r>
    <n v="3957.05"/>
    <s v="2/24/2003 0:2646"/>
    <s v="Shipped"/>
    <x v="0"/>
    <s v="Shipped"/>
  </r>
  <r>
    <n v="2818"/>
    <s v="2/24/2003 0:2647"/>
    <s v="Shipped"/>
    <x v="0"/>
    <s v="Shipped"/>
  </r>
  <r>
    <n v="3199.86"/>
    <s v="2/24/2003 0:2648"/>
    <s v="Shipped"/>
    <x v="0"/>
    <s v="Shipped"/>
  </r>
  <r>
    <n v="2402.75"/>
    <s v="2/24/2003 0:2649"/>
    <s v="Shipped"/>
    <x v="0"/>
    <s v="Shipped"/>
  </r>
  <r>
    <n v="6055.72"/>
    <s v="2/24/2003 0:2650"/>
    <s v="Shipped"/>
    <x v="0"/>
    <s v="Shipped"/>
  </r>
  <r>
    <n v="5465.16"/>
    <s v="2/24/2003 0:2651"/>
    <s v="Shipped"/>
    <x v="0"/>
    <s v="Shipped"/>
  </r>
  <r>
    <n v="6378.72"/>
    <s v="2/24/2003 0:2652"/>
    <s v="Shipped"/>
    <x v="0"/>
    <s v="Shipped"/>
  </r>
  <r>
    <n v="5392.8"/>
    <s v="2/24/2003 0:2653"/>
    <s v="Shipped"/>
    <x v="0"/>
    <s v="Shipped"/>
  </r>
  <r>
    <n v="3986.5"/>
    <s v="2/24/2003 0:2654"/>
    <s v="Shipped"/>
    <x v="0"/>
    <s v="Shipped"/>
  </r>
  <r>
    <n v="4009.23"/>
    <s v="2/24/2003 0:2655"/>
    <s v="Shipped"/>
    <x v="0"/>
    <s v="Shipped"/>
  </r>
  <r>
    <n v="7119"/>
    <s v="2/24/2003 0:2656"/>
    <s v="Shipped"/>
    <x v="0"/>
    <s v="Shipped"/>
  </r>
  <r>
    <n v="4072.2"/>
    <s v="2/24/2003 0:2657"/>
    <s v="Shipped"/>
    <x v="0"/>
    <s v="Shipped"/>
  </r>
  <r>
    <n v="4094.51"/>
    <s v="2/24/2003 0:2658"/>
    <s v="Shipped"/>
    <x v="0"/>
    <s v="Shipped"/>
  </r>
  <r>
    <n v="3302.4"/>
    <s v="2/24/2003 0:2659"/>
    <s v="Shipped"/>
    <x v="0"/>
    <s v="Shipped"/>
  </r>
  <r>
    <n v="3186.48"/>
    <s v="2/24/2003 0:2660"/>
    <s v="Shipped"/>
    <x v="0"/>
    <s v="Shipped"/>
  </r>
  <r>
    <n v="1668.25"/>
    <s v="2/24/2003 0:2661"/>
    <s v="Shipped"/>
    <x v="0"/>
    <s v="Shipped"/>
  </r>
  <r>
    <n v="7154.5"/>
    <s v="2/24/2003 0:2662"/>
    <s v="Shipped"/>
    <x v="0"/>
    <s v="Shipped"/>
  </r>
  <r>
    <n v="2810.83"/>
    <s v="2/24/2003 0:2663"/>
    <s v="Shipped"/>
    <x v="0"/>
    <s v="Shipped"/>
  </r>
  <r>
    <n v="2018.31"/>
    <s v="2/24/2003 0:2664"/>
    <s v="On Hold"/>
    <x v="1"/>
    <s v="On Hold"/>
  </r>
  <r>
    <n v="5642.83"/>
    <s v="2/24/2003 0:2665"/>
    <s v="Shipped"/>
    <x v="0"/>
    <s v="Shipped"/>
  </r>
  <r>
    <n v="3273.6"/>
    <s v="2/24/2003 0:2666"/>
    <s v="Shipped"/>
    <x v="0"/>
    <s v="Shipped"/>
  </r>
  <r>
    <n v="3268"/>
    <s v="2/24/2003 0:2667"/>
    <s v="Shipped"/>
    <x v="0"/>
    <s v="Shipped"/>
  </r>
  <r>
    <n v="2688"/>
    <s v="2/24/2003 0:2668"/>
    <s v="Shipped"/>
    <x v="0"/>
    <s v="Shipped"/>
  </r>
  <r>
    <n v="3715.2"/>
    <s v="2/24/2003 0:2669"/>
    <s v="Shipped"/>
    <x v="0"/>
    <s v="Shipped"/>
  </r>
  <r>
    <n v="4608"/>
    <s v="2/24/2003 0:2670"/>
    <s v="Shipped"/>
    <x v="0"/>
    <s v="Shipped"/>
  </r>
  <r>
    <n v="3131.2"/>
    <s v="2/24/2003 0:2671"/>
    <s v="Shipped"/>
    <x v="0"/>
    <s v="Shipped"/>
  </r>
  <r>
    <n v="2678.4"/>
    <s v="2/24/2003 0:2672"/>
    <s v="Shipped"/>
    <x v="0"/>
    <s v="Shipped"/>
  </r>
  <r>
    <n v="1747.2"/>
    <s v="2/24/2003 0:2673"/>
    <s v="Shipped"/>
    <x v="0"/>
    <s v="Shipped"/>
  </r>
  <r>
    <n v="2944"/>
    <s v="2/24/2003 0:2674"/>
    <s v="Shipped"/>
    <x v="0"/>
    <s v="Shipped"/>
  </r>
  <r>
    <n v="2956.8"/>
    <s v="2/24/2003 0:2675"/>
    <s v="Shipped"/>
    <x v="0"/>
    <s v="Shipped"/>
  </r>
  <r>
    <n v="2052"/>
    <s v="2/24/2003 0:2676"/>
    <s v="Cancelled"/>
    <x v="1"/>
    <s v="Cancelled"/>
  </r>
  <r>
    <n v="3164.8"/>
    <s v="2/24/2003 0:2677"/>
    <s v="Shipped"/>
    <x v="0"/>
    <s v="Shipped"/>
  </r>
  <r>
    <n v="1740"/>
    <s v="2/24/2003 0:2678"/>
    <s v="Shipped"/>
    <x v="0"/>
    <s v="Shipped"/>
  </r>
  <r>
    <n v="1777.6"/>
    <s v="2/24/2003 0:2679"/>
    <s v="Shipped"/>
    <x v="0"/>
    <s v="Shipped"/>
  </r>
  <r>
    <n v="1831.2"/>
    <s v="2/24/2003 0:2680"/>
    <s v="Shipped"/>
    <x v="0"/>
    <s v="Shipped"/>
  </r>
  <r>
    <n v="3609.6"/>
    <s v="2/24/2003 0:2681"/>
    <s v="Shipped"/>
    <x v="0"/>
    <s v="Shipped"/>
  </r>
  <r>
    <n v="2112"/>
    <s v="2/24/2003 0:2682"/>
    <s v="Shipped"/>
    <x v="0"/>
    <s v="Shipped"/>
  </r>
  <r>
    <n v="3644.12"/>
    <s v="2/24/2003 0:2683"/>
    <s v="Shipped"/>
    <x v="0"/>
    <s v="Shipped"/>
  </r>
  <r>
    <n v="3523.85"/>
    <s v="2/24/2003 0:2684"/>
    <s v="Shipped"/>
    <x v="0"/>
    <s v="Shipped"/>
  </r>
  <r>
    <n v="5001.92"/>
    <s v="2/24/2003 0:2685"/>
    <s v="Shipped"/>
    <x v="0"/>
    <s v="Shipped"/>
  </r>
  <r>
    <n v="5208.72"/>
    <s v="2/24/2003 0:2686"/>
    <s v="Shipped"/>
    <x v="0"/>
    <s v="Shipped"/>
  </r>
  <r>
    <n v="3018.88"/>
    <s v="2/24/2003 0:2687"/>
    <s v="Resolved"/>
    <x v="1"/>
    <s v="Resolved"/>
  </r>
  <r>
    <n v="1902.4"/>
    <s v="2/24/2003 0:2688"/>
    <s v="Shipped"/>
    <x v="0"/>
    <s v="Shipped"/>
  </r>
  <r>
    <n v="7084"/>
    <s v="2/24/2003 0:2689"/>
    <s v="On Hold"/>
    <x v="1"/>
    <s v="On Hold"/>
  </r>
  <r>
    <n v="2620.8000000000002"/>
    <s v="2/24/2003 0:2690"/>
    <s v="Shipped"/>
    <x v="0"/>
    <s v="Shipped"/>
  </r>
  <r>
    <n v="3164.46"/>
    <s v="2/24/2003 0:2691"/>
    <s v="Shipped"/>
    <x v="0"/>
    <s v="Shipped"/>
  </r>
  <r>
    <n v="4219.2"/>
    <s v="2/24/2003 0:2692"/>
    <s v="Shipped"/>
    <x v="0"/>
    <s v="Shipped"/>
  </r>
  <r>
    <n v="3828.3"/>
    <s v="2/24/2003 0:2693"/>
    <s v="Shipped"/>
    <x v="0"/>
    <s v="Shipped"/>
  </r>
  <r>
    <n v="2334.9899999999998"/>
    <s v="2/24/2003 0:2694"/>
    <s v="Shipped"/>
    <x v="0"/>
    <s v="Shipped"/>
  </r>
  <r>
    <n v="4407.5"/>
    <s v="2/24/2003 0:2695"/>
    <s v="Shipped"/>
    <x v="0"/>
    <s v="Shipped"/>
  </r>
  <r>
    <n v="2812.8"/>
    <s v="2/24/2003 0:2696"/>
    <s v="Cancelled"/>
    <x v="1"/>
    <s v="Cancelled"/>
  </r>
  <r>
    <n v="4055.04"/>
    <s v="2/24/2003 0:2697"/>
    <s v="Shipped"/>
    <x v="0"/>
    <s v="Shipped"/>
  </r>
  <r>
    <n v="3891.66"/>
    <s v="2/24/2003 0:2698"/>
    <s v="Shipped"/>
    <x v="0"/>
    <s v="Shipped"/>
  </r>
  <r>
    <n v="2488.3200000000002"/>
    <s v="2/24/2003 0:2699"/>
    <s v="Shipped"/>
    <x v="0"/>
    <s v="Shipped"/>
  </r>
  <r>
    <n v="4447.3999999999996"/>
    <s v="2/24/2003 0:2700"/>
    <s v="Shipped"/>
    <x v="0"/>
    <s v="Shipped"/>
  </r>
  <r>
    <n v="4187.22"/>
    <s v="2/24/2003 0:2701"/>
    <s v="Shipped"/>
    <x v="0"/>
    <s v="Shipped"/>
  </r>
  <r>
    <n v="4615.68"/>
    <s v="2/24/2003 0:2702"/>
    <s v="Shipped"/>
    <x v="0"/>
    <s v="Shipped"/>
  </r>
  <r>
    <n v="3245.4"/>
    <s v="2/24/2003 0:2703"/>
    <s v="Cancelled"/>
    <x v="1"/>
    <s v="Cancelled"/>
  </r>
  <r>
    <n v="2203.75"/>
    <s v="2/24/2003 0:2704"/>
    <s v="Shipped"/>
    <x v="0"/>
    <s v="Shipped"/>
  </r>
  <r>
    <n v="3446"/>
    <s v="2/24/2003 0:2705"/>
    <s v="Shipped"/>
    <x v="0"/>
    <s v="Shipped"/>
  </r>
  <r>
    <n v="1939.3"/>
    <s v="2/24/2003 0:2706"/>
    <s v="Shipped"/>
    <x v="0"/>
    <s v="Shipped"/>
  </r>
  <r>
    <n v="3473.78"/>
    <s v="2/24/2003 0:2707"/>
    <s v="Shipped"/>
    <x v="0"/>
    <s v="Shipped"/>
  </r>
  <r>
    <n v="2884.8"/>
    <s v="2/24/2003 0:2708"/>
    <s v="Shipped"/>
    <x v="0"/>
    <s v="Shipped"/>
  </r>
  <r>
    <n v="2670.65"/>
    <s v="2/24/2003 0:2709"/>
    <s v="Shipped"/>
    <x v="0"/>
    <s v="Shipped"/>
  </r>
  <r>
    <n v="3440"/>
    <s v="2/24/2003 0:2710"/>
    <s v="Resolved"/>
    <x v="1"/>
    <s v="Resolved"/>
  </r>
  <r>
    <n v="2770.78"/>
    <s v="2/24/2003 0:2711"/>
    <s v="Shipped"/>
    <x v="0"/>
    <s v="Shipped"/>
  </r>
  <r>
    <n v="2397.54"/>
    <s v="2/24/2003 0:2712"/>
    <s v="Shipped"/>
    <x v="0"/>
    <s v="Shipped"/>
  </r>
  <r>
    <n v="3275.56"/>
    <s v="2/24/2003 0:2713"/>
    <s v="Shipped"/>
    <x v="0"/>
    <s v="Shipped"/>
  </r>
  <r>
    <n v="4143.6000000000004"/>
    <s v="2/24/2003 0:2714"/>
    <s v="Resolved"/>
    <x v="1"/>
    <s v="Resolved"/>
  </r>
  <r>
    <n v="5192.6400000000003"/>
    <s v="2/24/2003 0:2715"/>
    <s v="Shipped"/>
    <x v="0"/>
    <s v="Shipped"/>
  </r>
  <r>
    <n v="3029.04"/>
    <s v="2/24/2003 0:2716"/>
    <s v="On Hold"/>
    <x v="1"/>
    <s v="On Hold"/>
  </r>
  <r>
    <n v="2556.1799999999998"/>
    <s v="2/24/2003 0:2717"/>
    <s v="Shipped"/>
    <x v="0"/>
    <s v="Shipped"/>
  </r>
  <r>
    <n v="3753.9"/>
    <s v="2/24/2003 0:2718"/>
    <s v="Shipped"/>
    <x v="0"/>
    <s v="Shipped"/>
  </r>
  <r>
    <n v="2562.3000000000002"/>
    <s v="2/24/2003 0:2719"/>
    <s v="Shipped"/>
    <x v="0"/>
    <s v="Shipped"/>
  </r>
  <r>
    <n v="3245.58"/>
    <s v="2/24/2003 0:2720"/>
    <s v="Shipped"/>
    <x v="0"/>
    <s v="Shipped"/>
  </r>
  <r>
    <n v="2204.6"/>
    <s v="2/24/2003 0:2721"/>
    <s v="Shipped"/>
    <x v="0"/>
    <s v="Shipped"/>
  </r>
  <r>
    <n v="3003"/>
    <s v="2/24/2003 0:2722"/>
    <s v="Cancelled"/>
    <x v="1"/>
    <s v="Cancelled"/>
  </r>
  <r>
    <n v="2526.48"/>
    <s v="2/24/2003 0:2723"/>
    <s v="Shipped"/>
    <x v="0"/>
    <s v="Shipped"/>
  </r>
  <r>
    <n v="1747.9"/>
    <s v="2/24/2003 0:2724"/>
    <s v="Shipped"/>
    <x v="0"/>
    <s v="Shipped"/>
  </r>
  <r>
    <n v="3267.25"/>
    <s v="2/24/2003 0:2725"/>
    <s v="Shipped"/>
    <x v="0"/>
    <s v="Shipped"/>
  </r>
  <r>
    <n v="2818.53"/>
    <s v="2/24/2003 0:2726"/>
    <s v="Shipped"/>
    <x v="0"/>
    <s v="Shipped"/>
  </r>
  <r>
    <n v="2955.54"/>
    <s v="2/24/2003 0:2727"/>
    <s v="Shipped"/>
    <x v="0"/>
    <s v="Shipped"/>
  </r>
  <r>
    <n v="2885.05"/>
    <s v="2/24/2003 0:2728"/>
    <s v="Shipped"/>
    <x v="0"/>
    <s v="Shipped"/>
  </r>
  <r>
    <n v="3162.95"/>
    <s v="2/24/2003 0:2729"/>
    <s v="Cancelled"/>
    <x v="1"/>
    <s v="Cancelled"/>
  </r>
  <r>
    <n v="4071.5"/>
    <s v="2/24/2003 0:2730"/>
    <s v="Shipped"/>
    <x v="0"/>
    <s v="Shipped"/>
  </r>
  <r>
    <n v="2969.46"/>
    <s v="2/24/2003 0:2731"/>
    <s v="Shipped"/>
    <x v="0"/>
    <s v="Shipped"/>
  </r>
  <r>
    <n v="3396.44"/>
    <s v="2/24/2003 0:2732"/>
    <s v="Shipped"/>
    <x v="0"/>
    <s v="Shipped"/>
  </r>
  <r>
    <n v="4692.6000000000004"/>
    <s v="2/24/2003 0:2733"/>
    <s v="Shipped"/>
    <x v="0"/>
    <s v="Shipped"/>
  </r>
  <r>
    <n v="3515.7"/>
    <s v="2/24/2003 0:2734"/>
    <s v="Shipped"/>
    <x v="0"/>
    <s v="Shipped"/>
  </r>
  <r>
    <n v="3380.69"/>
    <s v="2/24/2003 0:2735"/>
    <s v="Shipped"/>
    <x v="0"/>
    <s v="Shipped"/>
  </r>
  <r>
    <n v="3204.57"/>
    <s v="2/24/2003 0:2736"/>
    <s v="Resolved"/>
    <x v="1"/>
    <s v="Resolved"/>
  </r>
  <r>
    <n v="2588.04"/>
    <s v="2/24/2003 0:2737"/>
    <s v="Shipped"/>
    <x v="0"/>
    <s v="Shipped"/>
  </r>
  <r>
    <n v="2854.75"/>
    <s v="2/24/2003 0:2738"/>
    <s v="Shipped"/>
    <x v="0"/>
    <s v="Shipped"/>
  </r>
  <r>
    <n v="4025.6"/>
    <s v="2/24/2003 0:2739"/>
    <s v="Shipped"/>
    <x v="0"/>
    <s v="Shipped"/>
  </r>
  <r>
    <n v="2864.4"/>
    <s v="2/24/2003 0:2740"/>
    <s v="Resolved"/>
    <x v="1"/>
    <s v="Resolved"/>
  </r>
  <r>
    <n v="3789.72"/>
    <s v="2/24/2003 0:2741"/>
    <s v="Shipped"/>
    <x v="0"/>
    <s v="Shipped"/>
  </r>
  <r>
    <n v="2439.9899999999998"/>
    <s v="2/24/2003 0:2742"/>
    <s v="On Hold"/>
    <x v="1"/>
    <s v="On Hold"/>
  </r>
  <r>
    <n v="2949.12"/>
    <s v="2/24/2003 0:2743"/>
    <s v="Shipped"/>
    <x v="0"/>
    <s v="Shipped"/>
  </r>
  <r>
    <n v="1539.72"/>
    <s v="2/24/2003 0:2744"/>
    <s v="Shipped"/>
    <x v="0"/>
    <s v="Shipped"/>
  </r>
  <r>
    <n v="2213.38"/>
    <s v="2/24/2003 0:2745"/>
    <s v="Shipped"/>
    <x v="0"/>
    <s v="Shipped"/>
  </r>
  <r>
    <n v="2919.58"/>
    <s v="2/24/2003 0:2746"/>
    <s v="Shipped"/>
    <x v="0"/>
    <s v="Shipped"/>
  </r>
  <r>
    <n v="3778.28"/>
    <s v="2/24/2003 0:2747"/>
    <s v="Shipped"/>
    <x v="0"/>
    <s v="Shipped"/>
  </r>
  <r>
    <n v="3233.49"/>
    <s v="2/24/2003 0:2748"/>
    <s v="Shipped"/>
    <x v="0"/>
    <s v="Shipped"/>
  </r>
  <r>
    <n v="3431.25"/>
    <s v="2/24/2003 0:2749"/>
    <s v="Shipped"/>
    <x v="0"/>
    <s v="Shipped"/>
  </r>
  <r>
    <n v="2546.8000000000002"/>
    <s v="2/24/2003 0:2750"/>
    <s v="Shipped"/>
    <x v="0"/>
    <s v="Shipped"/>
  </r>
  <r>
    <n v="2953.86"/>
    <s v="2/24/2003 0:2751"/>
    <s v="Shipped"/>
    <x v="0"/>
    <s v="Shipped"/>
  </r>
  <r>
    <n v="3183.29"/>
    <s v="2/24/2003 0:2752"/>
    <s v="Shipped"/>
    <x v="0"/>
    <s v="Shipped"/>
  </r>
  <r>
    <n v="2466.6999999999998"/>
    <s v="2/24/2003 0:2753"/>
    <s v="Shipped"/>
    <x v="0"/>
    <s v="Shipped"/>
  </r>
  <r>
    <n v="2363.2199999999998"/>
    <s v="2/24/2003 0:2754"/>
    <s v="Shipped"/>
    <x v="0"/>
    <s v="Shipped"/>
  </r>
  <r>
    <n v="2487.4499999999998"/>
    <s v="2/24/2003 0:2755"/>
    <s v="Cancelled"/>
    <x v="1"/>
    <s v="Cancelled"/>
  </r>
  <r>
    <n v="2249.0500000000002"/>
    <s v="2/24/2003 0:2756"/>
    <s v="Shipped"/>
    <x v="0"/>
    <s v="Shipped"/>
  </r>
  <r>
    <n v="2061.12"/>
    <s v="2/24/2003 0:2757"/>
    <s v="Shipped"/>
    <x v="0"/>
    <s v="Shipped"/>
  </r>
  <r>
    <n v="4071.14"/>
    <s v="2/24/2003 0:2758"/>
    <s v="Shipped"/>
    <x v="0"/>
    <s v="Shipped"/>
  </r>
  <r>
    <n v="2656.29"/>
    <s v="2/24/2003 0:2759"/>
    <s v="Shipped"/>
    <x v="0"/>
    <s v="Shipped"/>
  </r>
  <r>
    <n v="2736.36"/>
    <s v="2/24/2003 0:2760"/>
    <s v="Shipped"/>
    <x v="0"/>
    <s v="Shipped"/>
  </r>
  <r>
    <n v="3348.93"/>
    <s v="2/24/2003 0:2761"/>
    <s v="Shipped"/>
    <x v="0"/>
    <s v="Shipped"/>
  </r>
  <r>
    <n v="2893"/>
    <s v="2/24/2003 0:2762"/>
    <s v="Shipped"/>
    <x v="0"/>
    <s v="Shipped"/>
  </r>
  <r>
    <n v="1661.22"/>
    <s v="2/24/2003 0:2763"/>
    <s v="Shipped"/>
    <x v="0"/>
    <s v="Shipped"/>
  </r>
  <r>
    <n v="4277.3500000000004"/>
    <s v="2/24/2003 0:2764"/>
    <s v="Shipped"/>
    <x v="0"/>
    <s v="Shipped"/>
  </r>
  <r>
    <n v="2502.9"/>
    <s v="2/24/2003 0:2765"/>
    <s v="Shipped"/>
    <x v="0"/>
    <s v="Shipped"/>
  </r>
  <r>
    <n v="3801.6"/>
    <s v="2/24/2003 0:2766"/>
    <s v="Resolved"/>
    <x v="1"/>
    <s v="Resolved"/>
  </r>
  <r>
    <n v="3144.96"/>
    <s v="2/24/2003 0:2767"/>
    <s v="Shipped"/>
    <x v="0"/>
    <s v="Shipped"/>
  </r>
  <r>
    <n v="2031.4"/>
    <s v="2/24/2003 0:2768"/>
    <s v="On Hold"/>
    <x v="1"/>
    <s v="On Hold"/>
  </r>
  <r>
    <n v="2674.17"/>
    <s v="2/24/2003 0:2769"/>
    <s v="Shipped"/>
    <x v="0"/>
    <s v="Shipped"/>
  </r>
  <r>
    <n v="2526.7199999999998"/>
    <s v="2/24/2003 0:2770"/>
    <s v="Shipped"/>
    <x v="0"/>
    <s v="Shipped"/>
  </r>
  <r>
    <n v="1348.76"/>
    <s v="2/24/2003 0:2771"/>
    <s v="Shipped"/>
    <x v="0"/>
    <s v="Shipped"/>
  </r>
  <r>
    <n v="875.91"/>
    <s v="2/24/2003 0:2772"/>
    <s v="Shipped"/>
    <x v="0"/>
    <s v="Shipped"/>
  </r>
  <r>
    <n v="1874.05"/>
    <s v="2/24/2003 0:2773"/>
    <s v="Shipped"/>
    <x v="0"/>
    <s v="Shipped"/>
  </r>
  <r>
    <n v="1671.44"/>
    <s v="2/24/2003 0:2774"/>
    <s v="Shipped"/>
    <x v="0"/>
    <s v="Shipped"/>
  </r>
  <r>
    <n v="1668.4"/>
    <s v="2/24/2003 0:2775"/>
    <s v="Cancelled"/>
    <x v="1"/>
    <s v="Cancelled"/>
  </r>
  <r>
    <n v="2301.75"/>
    <s v="2/24/2003 0:2776"/>
    <s v="Shipped"/>
    <x v="0"/>
    <s v="Shipped"/>
  </r>
  <r>
    <n v="1459.92"/>
    <s v="2/24/2003 0:2777"/>
    <s v="Shipped"/>
    <x v="0"/>
    <s v="Shipped"/>
  </r>
  <r>
    <n v="1209.5899999999999"/>
    <s v="2/24/2003 0:2778"/>
    <s v="Shipped"/>
    <x v="0"/>
    <s v="Shipped"/>
  </r>
  <r>
    <n v="2145.12"/>
    <s v="2/24/2003 0:2779"/>
    <s v="Shipped"/>
    <x v="0"/>
    <s v="Shipped"/>
  </r>
  <r>
    <n v="1416.39"/>
    <s v="2/24/2003 0:2780"/>
    <s v="Shipped"/>
    <x v="0"/>
    <s v="Shipped"/>
  </r>
  <r>
    <n v="1843.52"/>
    <s v="2/24/2003 0:2781"/>
    <s v="Shipped"/>
    <x v="0"/>
    <s v="Shipped"/>
  </r>
  <r>
    <n v="1199.31"/>
    <s v="2/24/2003 0:2782"/>
    <s v="Cancelled"/>
    <x v="1"/>
    <s v="Cancelled"/>
  </r>
  <r>
    <n v="1875.2"/>
    <s v="2/24/2003 0:2783"/>
    <s v="Shipped"/>
    <x v="0"/>
    <s v="Shipped"/>
  </r>
  <r>
    <n v="2477.23"/>
    <s v="2/24/2003 0:2784"/>
    <s v="Shipped"/>
    <x v="0"/>
    <s v="Shipped"/>
  </r>
  <r>
    <n v="948.99"/>
    <s v="2/24/2003 0:2785"/>
    <s v="Shipped"/>
    <x v="0"/>
    <s v="Shipped"/>
  </r>
  <r>
    <n v="1823.42"/>
    <s v="2/24/2003 0:2786"/>
    <s v="Shipped"/>
    <x v="0"/>
    <s v="Shipped"/>
  </r>
  <r>
    <n v="1485.8"/>
    <s v="2/24/2003 0:2787"/>
    <s v="Shipped"/>
    <x v="0"/>
    <s v="Shipped"/>
  </r>
  <r>
    <n v="3789.72"/>
    <s v="2/24/2003 0:2788"/>
    <s v="Shipped"/>
    <x v="0"/>
    <s v="Shipped"/>
  </r>
  <r>
    <n v="2060.37"/>
    <s v="2/24/2003 0:2789"/>
    <s v="Shipped"/>
    <x v="0"/>
    <s v="Shipped"/>
  </r>
  <r>
    <n v="2579.36"/>
    <s v="2/24/2003 0:2790"/>
    <s v="Shipped"/>
    <x v="0"/>
    <s v="Shipped"/>
  </r>
  <r>
    <n v="2189.6"/>
    <s v="2/24/2003 0:2791"/>
    <s v="Shipped"/>
    <x v="0"/>
    <s v="Shipped"/>
  </r>
  <r>
    <n v="1624.25"/>
    <s v="2/24/2003 0:2792"/>
    <s v="Shipped"/>
    <x v="0"/>
    <s v="Shipped"/>
  </r>
  <r>
    <n v="4357.5"/>
    <s v="2/24/2003 0:2793"/>
    <s v="Resolved"/>
    <x v="1"/>
    <s v="Resolved"/>
  </r>
  <r>
    <n v="1367.48"/>
    <s v="2/24/2003 0:2794"/>
    <s v="Shipped"/>
    <x v="0"/>
    <s v="Shipped"/>
  </r>
  <r>
    <n v="1122.4000000000001"/>
    <s v="2/24/2003 0:2795"/>
    <s v="Shipped"/>
    <x v="0"/>
    <s v="Shipped"/>
  </r>
  <r>
    <n v="2419.62"/>
    <s v="2/24/2003 0:2796"/>
    <s v="Disputed"/>
    <x v="1"/>
    <s v="Disputed"/>
  </r>
  <r>
    <n v="1419.5"/>
    <s v="2/24/2003 0:2797"/>
    <s v="Shipped"/>
    <x v="0"/>
    <s v="Shipped"/>
  </r>
  <r>
    <n v="2184"/>
    <s v="2/24/2003 0:2798"/>
    <s v="Shipped"/>
    <x v="0"/>
    <s v="Shipped"/>
  </r>
  <r>
    <n v="2079.04"/>
    <s v="2/24/2003 0:2799"/>
    <s v="Shipped"/>
    <x v="0"/>
    <s v="Shipped"/>
  </r>
  <r>
    <n v="1724.97"/>
    <s v="2/24/2003 0:2800"/>
    <s v="Shipped"/>
    <x v="0"/>
    <s v="Shipped"/>
  </r>
  <r>
    <n v="3003"/>
    <s v="2/24/2003 0:2801"/>
    <s v="Shipped"/>
    <x v="0"/>
    <s v="Shipped"/>
  </r>
  <r>
    <n v="1846.42"/>
    <s v="2/24/2003 0:2802"/>
    <s v="Cancelled"/>
    <x v="1"/>
    <s v="Cancelled"/>
  </r>
  <r>
    <n v="2009.2"/>
    <s v="2/24/2003 0:2803"/>
    <s v="Shipped"/>
    <x v="0"/>
    <s v="Shipped"/>
  </r>
  <r>
    <n v="1804.04"/>
    <s v="2/24/2003 0:2804"/>
    <s v="Shipped"/>
    <x v="0"/>
    <s v="Shipped"/>
  </r>
  <r>
    <n v="2109.66"/>
    <s v="2/24/2003 0:2805"/>
    <s v="Shipped"/>
    <x v="0"/>
    <s v="Shipped"/>
  </r>
  <r>
    <n v="2682.96"/>
    <s v="2/24/2003 0:2806"/>
    <s v="Shipped"/>
    <x v="0"/>
    <s v="Shipped"/>
  </r>
  <r>
    <n v="2280.2399999999998"/>
    <s v="2/24/2003 0:2807"/>
    <s v="Shipped"/>
    <x v="0"/>
    <s v="Shipped"/>
  </r>
  <r>
    <n v="1192.56"/>
    <s v="2/24/2003 0:2808"/>
    <s v="Shipped"/>
    <x v="0"/>
    <s v="Shipped"/>
  </r>
  <r>
    <n v="1506.96"/>
    <s v="2/24/2003 0:2809"/>
    <s v="Cancelled"/>
    <x v="1"/>
    <s v="Cancelled"/>
  </r>
  <r>
    <n v="1472.62"/>
    <s v="2/24/2003 0:2810"/>
    <s v="Shipped"/>
    <x v="0"/>
    <s v="Shipped"/>
  </r>
  <r>
    <n v="1696.82"/>
    <s v="2/24/2003 0:2811"/>
    <s v="Shipped"/>
    <x v="0"/>
    <s v="Shipped"/>
  </r>
  <r>
    <n v="1693.56"/>
    <s v="2/24/2003 0:2812"/>
    <s v="Shipped"/>
    <x v="0"/>
    <s v="Shipped"/>
  </r>
  <r>
    <n v="1921.92"/>
    <s v="2/24/2003 0:2813"/>
    <s v="Shipped"/>
    <x v="0"/>
    <s v="Shipped"/>
  </r>
  <r>
    <n v="2082.85"/>
    <s v="2/24/2003 0:2814"/>
    <s v="Shipped"/>
    <x v="0"/>
    <s v="Shipped"/>
  </r>
  <r>
    <n v="2227.6"/>
    <s v="2/24/2003 0:2815"/>
    <s v="Shipped"/>
    <x v="0"/>
    <s v="Shipped"/>
  </r>
  <r>
    <n v="3209.38"/>
    <s v="2/24/2003 0:2816"/>
    <s v="Resolved"/>
    <x v="1"/>
    <s v="Resolved"/>
  </r>
  <r>
    <n v="4080.72"/>
    <s v="2/24/2003 0:2817"/>
    <s v="Shipped"/>
    <x v="0"/>
    <s v="Shipped"/>
  </r>
  <r>
    <n v="2244.4"/>
    <s v="2/24/2003 0:2818"/>
    <s v="Shipped"/>
    <x v="0"/>
    <s v="Shipped"/>
  </r>
  <r>
    <n v="3978.51"/>
    <s v="2/24/2003 0:2819"/>
    <s v="Shipped"/>
    <x v="0"/>
    <s v="Shipped"/>
  </r>
  <r>
    <n v="5417.57"/>
    <s v="2/24/2003 0:2820"/>
    <s v="Resolved"/>
    <x v="1"/>
    <s v="Resolved"/>
  </r>
  <r>
    <n v="2116.16"/>
    <s v="2/24/2003 0:2821"/>
    <s v="Shipped"/>
    <x v="0"/>
    <s v="Shipped"/>
  </r>
  <r>
    <n v="3079.44"/>
    <s v="2/24/2003 0:2822"/>
    <s v="On Hold"/>
    <x v="1"/>
    <s v="On Hold"/>
  </r>
  <r>
    <m/>
    <m/>
    <m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4">
  <r>
    <n v="10107"/>
    <x v="0"/>
    <n v="95.7"/>
    <n v="2"/>
    <x v="0"/>
    <x v="0"/>
    <s v="2/24/2003 0:00"/>
    <x v="0"/>
    <x v="0"/>
    <s v="Shipped"/>
    <x v="0"/>
    <x v="0"/>
    <x v="0"/>
    <x v="0"/>
    <n v="95"/>
    <s v="S10_1678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121"/>
    <x v="1"/>
    <n v="81.349999999999994"/>
    <n v="5"/>
    <x v="0"/>
    <x v="1"/>
    <s v="2/24/2003 0:01"/>
    <x v="0"/>
    <x v="0"/>
    <s v="Shipped"/>
    <x v="1"/>
    <x v="1"/>
    <x v="0"/>
    <x v="0"/>
    <n v="95"/>
    <s v="S10_1678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134"/>
    <x v="2"/>
    <n v="94.74"/>
    <n v="2"/>
    <x v="0"/>
    <x v="2"/>
    <s v="2/24/2003 0:02"/>
    <x v="0"/>
    <x v="0"/>
    <s v="Shipped"/>
    <x v="2"/>
    <x v="2"/>
    <x v="0"/>
    <x v="0"/>
    <n v="95"/>
    <s v="S10_1678"/>
    <s v="Lyon Souveniers"/>
    <s v="+33 1 46 62 7555"/>
    <s v="27 rue du Colonel Pierre Avia"/>
    <m/>
    <s v="Paris"/>
    <x v="2"/>
    <m/>
    <n v="75508"/>
    <x v="1"/>
    <x v="1"/>
    <s v="EMEA"/>
    <s v="Da Cunha"/>
    <s v="Daniel"/>
    <x v="1"/>
  </r>
  <r>
    <n v="10145"/>
    <x v="3"/>
    <n v="83.26"/>
    <n v="6"/>
    <x v="0"/>
    <x v="3"/>
    <s v="2/24/2003 0:03"/>
    <x v="0"/>
    <x v="0"/>
    <s v="Shipped"/>
    <x v="2"/>
    <x v="3"/>
    <x v="0"/>
    <x v="0"/>
    <n v="95"/>
    <s v="S10_1678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159"/>
    <x v="4"/>
    <n v="100"/>
    <n v="14"/>
    <x v="1"/>
    <x v="4"/>
    <s v="2/24/2003 0:04"/>
    <x v="0"/>
    <x v="0"/>
    <s v="Shipped"/>
    <x v="3"/>
    <x v="4"/>
    <x v="0"/>
    <x v="0"/>
    <n v="95"/>
    <s v="S10_1678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168"/>
    <x v="5"/>
    <n v="96.66"/>
    <n v="1"/>
    <x v="0"/>
    <x v="5"/>
    <s v="2/24/2003 0:05"/>
    <x v="0"/>
    <x v="0"/>
    <s v="Shipped"/>
    <x v="3"/>
    <x v="4"/>
    <x v="0"/>
    <x v="0"/>
    <n v="95"/>
    <s v="S10_1678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80"/>
    <x v="6"/>
    <n v="86.13"/>
    <n v="9"/>
    <x v="0"/>
    <x v="6"/>
    <s v="2/24/2003 0:06"/>
    <x v="0"/>
    <x v="0"/>
    <s v="Shipped"/>
    <x v="3"/>
    <x v="5"/>
    <x v="0"/>
    <x v="0"/>
    <n v="95"/>
    <s v="S10_1678"/>
    <s v="Daedalus Designs Imports"/>
    <s v="20.16.1555"/>
    <s v="184, chausse de Tournai"/>
    <m/>
    <s v="Lille"/>
    <x v="6"/>
    <m/>
    <n v="59000"/>
    <x v="1"/>
    <x v="1"/>
    <s v="EMEA"/>
    <s v="Rance"/>
    <s v="Martine"/>
    <x v="0"/>
  </r>
  <r>
    <n v="10188"/>
    <x v="7"/>
    <n v="100"/>
    <n v="1"/>
    <x v="1"/>
    <x v="7"/>
    <s v="2/24/2003 0:07"/>
    <x v="0"/>
    <x v="0"/>
    <s v="Shipped"/>
    <x v="3"/>
    <x v="5"/>
    <x v="0"/>
    <x v="0"/>
    <n v="95"/>
    <s v="S10_1678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201"/>
    <x v="8"/>
    <n v="98.57"/>
    <n v="2"/>
    <x v="0"/>
    <x v="8"/>
    <s v="2/24/2003 0:08"/>
    <x v="0"/>
    <x v="0"/>
    <s v="Shipped"/>
    <x v="3"/>
    <x v="6"/>
    <x v="0"/>
    <x v="0"/>
    <n v="95"/>
    <s v="S10_1678"/>
    <s v="Mini Wheels Co."/>
    <n v="6505555787"/>
    <s v="5557 North Pendale Street"/>
    <m/>
    <s v="San Francisco"/>
    <x v="4"/>
    <s v="CA"/>
    <m/>
    <x v="0"/>
    <x v="0"/>
    <s v="NA"/>
    <s v="Murphy"/>
    <s v="Julie"/>
    <x v="0"/>
  </r>
  <r>
    <n v="10211"/>
    <x v="2"/>
    <n v="100"/>
    <n v="14"/>
    <x v="1"/>
    <x v="9"/>
    <s v="2/24/2003 0:09"/>
    <x v="0"/>
    <x v="0"/>
    <s v="Shipped"/>
    <x v="0"/>
    <x v="7"/>
    <x v="1"/>
    <x v="0"/>
    <n v="95"/>
    <s v="S10_1678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223"/>
    <x v="9"/>
    <n v="100"/>
    <n v="1"/>
    <x v="0"/>
    <x v="10"/>
    <s v="2/24/2003 0:10"/>
    <x v="0"/>
    <x v="0"/>
    <s v="Shipped"/>
    <x v="0"/>
    <x v="0"/>
    <x v="1"/>
    <x v="0"/>
    <n v="95"/>
    <s v="S10_1678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237"/>
    <x v="10"/>
    <n v="100"/>
    <n v="7"/>
    <x v="0"/>
    <x v="11"/>
    <s v="2/24/2003 0:11"/>
    <x v="0"/>
    <x v="0"/>
    <s v="Shipped"/>
    <x v="1"/>
    <x v="8"/>
    <x v="1"/>
    <x v="0"/>
    <n v="95"/>
    <s v="S10_1678"/>
    <s v="Vitachrome Inc."/>
    <n v="2125551500"/>
    <s v="2678 Kingston Rd."/>
    <s v="Suite 101"/>
    <s v="Nyc"/>
    <x v="0"/>
    <s v="NY"/>
    <n v="10022"/>
    <x v="0"/>
    <x v="0"/>
    <s v="NA"/>
    <s v="Frick"/>
    <s v="Michael"/>
    <x v="0"/>
  </r>
  <r>
    <n v="10251"/>
    <x v="11"/>
    <n v="100"/>
    <n v="2"/>
    <x v="0"/>
    <x v="12"/>
    <s v="2/24/2003 0:12"/>
    <x v="0"/>
    <x v="0"/>
    <s v="Shipped"/>
    <x v="1"/>
    <x v="1"/>
    <x v="1"/>
    <x v="0"/>
    <n v="95"/>
    <s v="S10_1678"/>
    <s v="Tekni Collectables Inc."/>
    <n v="2015559350"/>
    <s v="7476 Moss Rd."/>
    <m/>
    <s v="Newark"/>
    <x v="9"/>
    <s v="NJ"/>
    <n v="94019"/>
    <x v="0"/>
    <x v="0"/>
    <s v="NA"/>
    <s v="Brown"/>
    <s v="William"/>
    <x v="1"/>
  </r>
  <r>
    <n v="10263"/>
    <x v="1"/>
    <n v="100"/>
    <n v="2"/>
    <x v="0"/>
    <x v="13"/>
    <s v="2/24/2003 0:13"/>
    <x v="0"/>
    <x v="0"/>
    <s v="Shipped"/>
    <x v="1"/>
    <x v="9"/>
    <x v="1"/>
    <x v="0"/>
    <n v="95"/>
    <s v="S10_1678"/>
    <s v="Gift Depot Inc."/>
    <n v="2035552570"/>
    <s v="25593 South Bay Ln."/>
    <m/>
    <s v="Bridgewater"/>
    <x v="10"/>
    <s v="CT"/>
    <n v="97562"/>
    <x v="0"/>
    <x v="0"/>
    <s v="NA"/>
    <s v="King"/>
    <s v="Julie"/>
    <x v="1"/>
  </r>
  <r>
    <n v="10275"/>
    <x v="3"/>
    <n v="92.83"/>
    <n v="1"/>
    <x v="1"/>
    <x v="14"/>
    <s v="2/24/2003 0:14"/>
    <x v="0"/>
    <x v="0"/>
    <s v="Shipped"/>
    <x v="2"/>
    <x v="2"/>
    <x v="1"/>
    <x v="0"/>
    <n v="95"/>
    <s v="S10_1678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285"/>
    <x v="5"/>
    <n v="100"/>
    <n v="6"/>
    <x v="1"/>
    <x v="15"/>
    <s v="2/24/2003 0:15"/>
    <x v="0"/>
    <x v="0"/>
    <s v="Shipped"/>
    <x v="2"/>
    <x v="3"/>
    <x v="1"/>
    <x v="0"/>
    <n v="95"/>
    <s v="S10_1678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299"/>
    <x v="10"/>
    <n v="100"/>
    <n v="9"/>
    <x v="0"/>
    <x v="16"/>
    <s v="2/24/2003 0:16"/>
    <x v="0"/>
    <x v="0"/>
    <s v="Shipped"/>
    <x v="2"/>
    <x v="10"/>
    <x v="1"/>
    <x v="0"/>
    <n v="95"/>
    <s v="S10_1678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309"/>
    <x v="2"/>
    <n v="100"/>
    <n v="5"/>
    <x v="1"/>
    <x v="17"/>
    <s v="2/24/2003 0:17"/>
    <x v="0"/>
    <x v="0"/>
    <s v="Shipped"/>
    <x v="3"/>
    <x v="4"/>
    <x v="1"/>
    <x v="0"/>
    <n v="95"/>
    <s v="S10_1678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318"/>
    <x v="12"/>
    <n v="94.74"/>
    <n v="1"/>
    <x v="1"/>
    <x v="18"/>
    <s v="2/24/2003 0:18"/>
    <x v="0"/>
    <x v="0"/>
    <s v="Shipped"/>
    <x v="3"/>
    <x v="5"/>
    <x v="1"/>
    <x v="0"/>
    <n v="95"/>
    <s v="S10_1678"/>
    <s v="Diecast Classics Inc."/>
    <n v="2155551555"/>
    <s v="7586 Pompton St."/>
    <m/>
    <s v="Allentown"/>
    <x v="15"/>
    <s v="PA"/>
    <n v="70267"/>
    <x v="0"/>
    <x v="0"/>
    <s v="NA"/>
    <s v="Yu"/>
    <s v="Kyung"/>
    <x v="1"/>
  </r>
  <r>
    <n v="10329"/>
    <x v="13"/>
    <n v="100"/>
    <n v="1"/>
    <x v="1"/>
    <x v="19"/>
    <s v="2/24/2003 0:19"/>
    <x v="0"/>
    <x v="0"/>
    <s v="Shipped"/>
    <x v="3"/>
    <x v="5"/>
    <x v="1"/>
    <x v="0"/>
    <n v="95"/>
    <s v="S10_1678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41"/>
    <x v="2"/>
    <n v="100"/>
    <n v="9"/>
    <x v="1"/>
    <x v="20"/>
    <s v="2/24/2003 0:20"/>
    <x v="0"/>
    <x v="0"/>
    <s v="Shipped"/>
    <x v="3"/>
    <x v="5"/>
    <x v="1"/>
    <x v="0"/>
    <n v="95"/>
    <s v="S10_1678"/>
    <s v="Salzburg Collectables"/>
    <s v="6562-9555"/>
    <s v="Geislweg 14"/>
    <m/>
    <s v="Salzburg"/>
    <x v="16"/>
    <m/>
    <n v="5020"/>
    <x v="5"/>
    <x v="5"/>
    <s v="EMEA"/>
    <s v="Pipps"/>
    <s v="Georg"/>
    <x v="2"/>
  </r>
  <r>
    <n v="10361"/>
    <x v="14"/>
    <n v="72.55"/>
    <n v="13"/>
    <x v="0"/>
    <x v="21"/>
    <s v="2/24/2003 0:21"/>
    <x v="0"/>
    <x v="0"/>
    <s v="Shipped"/>
    <x v="3"/>
    <x v="6"/>
    <x v="1"/>
    <x v="0"/>
    <n v="95"/>
    <s v="S10_1678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375"/>
    <x v="15"/>
    <n v="34.909999999999997"/>
    <n v="12"/>
    <x v="0"/>
    <x v="22"/>
    <s v="2/24/2003 0:22"/>
    <x v="0"/>
    <x v="0"/>
    <s v="Shipped"/>
    <x v="0"/>
    <x v="0"/>
    <x v="2"/>
    <x v="0"/>
    <n v="95"/>
    <s v="S10_1678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388"/>
    <x v="13"/>
    <n v="76.36"/>
    <n v="4"/>
    <x v="0"/>
    <x v="23"/>
    <s v="2/24/2003 0:23"/>
    <x v="0"/>
    <x v="0"/>
    <s v="Shipped"/>
    <x v="0"/>
    <x v="11"/>
    <x v="2"/>
    <x v="0"/>
    <n v="95"/>
    <s v="S10_1678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403"/>
    <x v="16"/>
    <n v="100"/>
    <n v="7"/>
    <x v="0"/>
    <x v="24"/>
    <s v="2/24/2003 0:24"/>
    <x v="0"/>
    <x v="0"/>
    <s v="Shipped"/>
    <x v="1"/>
    <x v="8"/>
    <x v="2"/>
    <x v="0"/>
    <n v="95"/>
    <s v="S10_1678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0"/>
  </r>
  <r>
    <n v="10417"/>
    <x v="17"/>
    <n v="100"/>
    <n v="2"/>
    <x v="1"/>
    <x v="25"/>
    <s v="2/24/2003 0:25"/>
    <x v="1"/>
    <x v="1"/>
    <s v="Disputed"/>
    <x v="1"/>
    <x v="1"/>
    <x v="2"/>
    <x v="0"/>
    <n v="95"/>
    <s v="S10_1678"/>
    <s v="Euro Shopping Channel"/>
    <s v="(91) 555 94 44"/>
    <s v="C/ Moralzarzal, 86"/>
    <m/>
    <s v="Madrid"/>
    <x v="20"/>
    <m/>
    <n v="28034"/>
    <x v="7"/>
    <x v="7"/>
    <s v="EMEA"/>
    <s v="Freyre"/>
    <s v="Diego"/>
    <x v="2"/>
  </r>
  <r>
    <n v="10103"/>
    <x v="18"/>
    <n v="100"/>
    <n v="11"/>
    <x v="1"/>
    <x v="26"/>
    <s v="2/24/2003 0:26"/>
    <x v="0"/>
    <x v="0"/>
    <s v="Shipped"/>
    <x v="0"/>
    <x v="7"/>
    <x v="0"/>
    <x v="1"/>
    <n v="214"/>
    <s v="S10_1949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112"/>
    <x v="6"/>
    <n v="100"/>
    <n v="1"/>
    <x v="1"/>
    <x v="27"/>
    <s v="2/24/2003 0:27"/>
    <x v="0"/>
    <x v="0"/>
    <s v="Shipped"/>
    <x v="0"/>
    <x v="11"/>
    <x v="0"/>
    <x v="1"/>
    <n v="214"/>
    <s v="S10_1949"/>
    <s v="Volvo Model Replicas, Co"/>
    <s v="0921-12 3555"/>
    <s v="Berguvsv„gen  8"/>
    <m/>
    <s v="Lule"/>
    <x v="21"/>
    <m/>
    <s v="S-958 22"/>
    <x v="8"/>
    <x v="8"/>
    <s v="EMEA"/>
    <s v="Berglund"/>
    <s v="Christina"/>
    <x v="2"/>
  </r>
  <r>
    <n v="10126"/>
    <x v="19"/>
    <n v="100"/>
    <n v="11"/>
    <x v="1"/>
    <x v="28"/>
    <s v="2/24/2003 0:28"/>
    <x v="0"/>
    <x v="0"/>
    <s v="Shipped"/>
    <x v="1"/>
    <x v="1"/>
    <x v="0"/>
    <x v="1"/>
    <n v="214"/>
    <s v="S10_1949"/>
    <s v="Corrida Auto Replicas, Ltd"/>
    <s v="(91) 555 22 82"/>
    <s v="C/ Araquil, 67"/>
    <m/>
    <s v="Madrid"/>
    <x v="20"/>
    <m/>
    <n v="28023"/>
    <x v="7"/>
    <x v="7"/>
    <s v="EMEA"/>
    <s v="Sommer"/>
    <s v="Mart¡n"/>
    <x v="2"/>
  </r>
  <r>
    <n v="10140"/>
    <x v="9"/>
    <n v="100"/>
    <n v="11"/>
    <x v="1"/>
    <x v="29"/>
    <s v="2/24/2003 0:29"/>
    <x v="0"/>
    <x v="0"/>
    <s v="Shipped"/>
    <x v="2"/>
    <x v="2"/>
    <x v="0"/>
    <x v="1"/>
    <n v="214"/>
    <s v="S10_1949"/>
    <s v="Technics Stores Inc."/>
    <n v="6505556809"/>
    <s v="9408 Furth Circle"/>
    <m/>
    <s v="Burlingame"/>
    <x v="5"/>
    <s v="CA"/>
    <n v="94217"/>
    <x v="0"/>
    <x v="0"/>
    <s v="NA"/>
    <s v="Hirano"/>
    <s v="Juri"/>
    <x v="2"/>
  </r>
  <r>
    <n v="10150"/>
    <x v="3"/>
    <n v="100"/>
    <n v="8"/>
    <x v="1"/>
    <x v="30"/>
    <s v="2/24/2003 0:30"/>
    <x v="0"/>
    <x v="0"/>
    <s v="Shipped"/>
    <x v="2"/>
    <x v="10"/>
    <x v="0"/>
    <x v="1"/>
    <n v="214"/>
    <s v="S10_1949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2"/>
  </r>
  <r>
    <n v="10163"/>
    <x v="15"/>
    <n v="100"/>
    <n v="1"/>
    <x v="1"/>
    <x v="31"/>
    <s v="2/24/2003 0:31"/>
    <x v="0"/>
    <x v="0"/>
    <s v="Shipped"/>
    <x v="3"/>
    <x v="4"/>
    <x v="0"/>
    <x v="1"/>
    <n v="214"/>
    <s v="S10_1949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1"/>
  </r>
  <r>
    <n v="10174"/>
    <x v="1"/>
    <n v="100"/>
    <n v="4"/>
    <x v="1"/>
    <x v="32"/>
    <s v="2/24/2003 0:32"/>
    <x v="0"/>
    <x v="0"/>
    <s v="Shipped"/>
    <x v="3"/>
    <x v="5"/>
    <x v="0"/>
    <x v="1"/>
    <n v="214"/>
    <s v="S10_1949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2"/>
  </r>
  <r>
    <n v="10183"/>
    <x v="10"/>
    <n v="100"/>
    <n v="8"/>
    <x v="1"/>
    <x v="33"/>
    <s v="2/24/2003 0:33"/>
    <x v="0"/>
    <x v="0"/>
    <s v="Shipped"/>
    <x v="3"/>
    <x v="5"/>
    <x v="0"/>
    <x v="1"/>
    <n v="214"/>
    <s v="S10_1949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1"/>
  </r>
  <r>
    <n v="10194"/>
    <x v="13"/>
    <n v="100"/>
    <n v="11"/>
    <x v="1"/>
    <x v="34"/>
    <s v="2/24/2003 0:34"/>
    <x v="0"/>
    <x v="0"/>
    <s v="Shipped"/>
    <x v="3"/>
    <x v="5"/>
    <x v="0"/>
    <x v="1"/>
    <n v="214"/>
    <s v="S10_1949"/>
    <s v="Saveley &amp; Henriot, Co."/>
    <s v="78.32.5555"/>
    <s v="2, rue du Commerce"/>
    <m/>
    <s v="Lyon"/>
    <x v="25"/>
    <m/>
    <n v="69004"/>
    <x v="1"/>
    <x v="1"/>
    <s v="EMEA"/>
    <s v="Saveley"/>
    <s v="Mary"/>
    <x v="2"/>
  </r>
  <r>
    <n v="10206"/>
    <x v="20"/>
    <n v="100"/>
    <n v="6"/>
    <x v="1"/>
    <x v="35"/>
    <s v="2/24/2003 0:35"/>
    <x v="0"/>
    <x v="0"/>
    <s v="Shipped"/>
    <x v="3"/>
    <x v="6"/>
    <x v="0"/>
    <x v="1"/>
    <n v="214"/>
    <s v="S10_1949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2"/>
  </r>
  <r>
    <n v="10215"/>
    <x v="21"/>
    <n v="100"/>
    <n v="3"/>
    <x v="1"/>
    <x v="36"/>
    <s v="2/24/2003 0:36"/>
    <x v="0"/>
    <x v="0"/>
    <s v="Shipped"/>
    <x v="0"/>
    <x v="7"/>
    <x v="1"/>
    <x v="1"/>
    <n v="214"/>
    <s v="S10_1949"/>
    <s v="West Coast Collectables Co."/>
    <n v="3105553722"/>
    <s v="3675 Furth Circle"/>
    <m/>
    <s v="Burbank"/>
    <x v="27"/>
    <s v="CA"/>
    <n v="94019"/>
    <x v="0"/>
    <x v="0"/>
    <s v="NA"/>
    <s v="Thompson"/>
    <s v="Steve"/>
    <x v="1"/>
  </r>
  <r>
    <n v="10228"/>
    <x v="6"/>
    <n v="100"/>
    <n v="2"/>
    <x v="1"/>
    <x v="37"/>
    <s v="2/24/2003 0:37"/>
    <x v="0"/>
    <x v="0"/>
    <s v="Shipped"/>
    <x v="0"/>
    <x v="11"/>
    <x v="1"/>
    <x v="1"/>
    <n v="214"/>
    <s v="S10_1949"/>
    <s v="Cambridge Collectables Co."/>
    <n v="6175555555"/>
    <s v="4658 Baden Av."/>
    <m/>
    <s v="Cambridge"/>
    <x v="12"/>
    <s v="MA"/>
    <n v="51247"/>
    <x v="0"/>
    <x v="0"/>
    <s v="NA"/>
    <s v="Tseng"/>
    <s v="Kyung"/>
    <x v="1"/>
  </r>
  <r>
    <n v="10245"/>
    <x v="1"/>
    <n v="100"/>
    <n v="9"/>
    <x v="1"/>
    <x v="38"/>
    <s v="2/24/2003 0:38"/>
    <x v="0"/>
    <x v="0"/>
    <s v="Shipped"/>
    <x v="1"/>
    <x v="1"/>
    <x v="1"/>
    <x v="1"/>
    <n v="214"/>
    <s v="S10_1949"/>
    <s v="Super Scale Inc."/>
    <n v="2035559545"/>
    <s v="567 North Pendale Street"/>
    <m/>
    <s v="New Haven"/>
    <x v="28"/>
    <s v="CT"/>
    <n v="97823"/>
    <x v="0"/>
    <x v="0"/>
    <s v="NA"/>
    <s v="Murphy"/>
    <s v="Leslie"/>
    <x v="1"/>
  </r>
  <r>
    <n v="10258"/>
    <x v="22"/>
    <n v="100"/>
    <n v="6"/>
    <x v="1"/>
    <x v="39"/>
    <s v="2/24/2003 0:39"/>
    <x v="0"/>
    <x v="0"/>
    <s v="Shipped"/>
    <x v="1"/>
    <x v="9"/>
    <x v="1"/>
    <x v="1"/>
    <n v="214"/>
    <s v="S10_1949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2"/>
  </r>
  <r>
    <n v="10270"/>
    <x v="15"/>
    <n v="100"/>
    <n v="9"/>
    <x v="1"/>
    <x v="40"/>
    <s v="2/24/2003 0:40"/>
    <x v="0"/>
    <x v="0"/>
    <s v="Shipped"/>
    <x v="2"/>
    <x v="2"/>
    <x v="1"/>
    <x v="1"/>
    <n v="214"/>
    <s v="S10_1949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280"/>
    <x v="1"/>
    <n v="100"/>
    <n v="2"/>
    <x v="1"/>
    <x v="32"/>
    <s v="2/24/2003 0:41"/>
    <x v="0"/>
    <x v="0"/>
    <s v="Shipped"/>
    <x v="2"/>
    <x v="3"/>
    <x v="1"/>
    <x v="1"/>
    <n v="214"/>
    <s v="S10_1949"/>
    <s v="Amica Models &amp; Co."/>
    <s v="011-4988555"/>
    <s v="Via Monte Bianco 34"/>
    <m/>
    <s v="Torino"/>
    <x v="30"/>
    <m/>
    <n v="10100"/>
    <x v="12"/>
    <x v="12"/>
    <s v="EMEA"/>
    <s v="Accorti"/>
    <s v="Paolo"/>
    <x v="2"/>
  </r>
  <r>
    <n v="10291"/>
    <x v="9"/>
    <n v="100"/>
    <n v="11"/>
    <x v="1"/>
    <x v="41"/>
    <s v="2/24/2003 0:42"/>
    <x v="0"/>
    <x v="0"/>
    <s v="Shipped"/>
    <x v="2"/>
    <x v="10"/>
    <x v="1"/>
    <x v="1"/>
    <n v="214"/>
    <s v="S10_1949"/>
    <s v="Scandinavian Gift Ideas"/>
    <s v="0695-34 6555"/>
    <s v="?kergatan 24"/>
    <m/>
    <s v="Boras"/>
    <x v="31"/>
    <m/>
    <s v="S-844 67"/>
    <x v="8"/>
    <x v="8"/>
    <s v="EMEA"/>
    <s v="Larsson"/>
    <s v="Maria"/>
    <x v="2"/>
  </r>
  <r>
    <n v="10304"/>
    <x v="20"/>
    <n v="100"/>
    <n v="6"/>
    <x v="1"/>
    <x v="42"/>
    <s v="2/24/2003 0:43"/>
    <x v="0"/>
    <x v="0"/>
    <s v="Shipped"/>
    <x v="3"/>
    <x v="4"/>
    <x v="1"/>
    <x v="1"/>
    <n v="214"/>
    <s v="S10_1949"/>
    <s v="Auto Assoc. &amp; Cie."/>
    <s v="30.59.8555"/>
    <s v="67, avenue de l'Europe"/>
    <m/>
    <s v="Versailles"/>
    <x v="32"/>
    <m/>
    <n v="78000"/>
    <x v="1"/>
    <x v="1"/>
    <s v="EMEA"/>
    <s v="Tonini"/>
    <s v="Daniel"/>
    <x v="2"/>
  </r>
  <r>
    <n v="10312"/>
    <x v="7"/>
    <n v="100"/>
    <n v="3"/>
    <x v="1"/>
    <x v="43"/>
    <s v="2/24/2003 0:44"/>
    <x v="0"/>
    <x v="0"/>
    <s v="Shipped"/>
    <x v="3"/>
    <x v="4"/>
    <x v="1"/>
    <x v="1"/>
    <n v="214"/>
    <s v="S10_194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2"/>
  </r>
  <r>
    <n v="10322"/>
    <x v="23"/>
    <n v="100"/>
    <n v="1"/>
    <x v="1"/>
    <x v="44"/>
    <s v="2/24/2003 0:45"/>
    <x v="0"/>
    <x v="0"/>
    <s v="Shipped"/>
    <x v="3"/>
    <x v="5"/>
    <x v="1"/>
    <x v="1"/>
    <n v="214"/>
    <s v="S10_1949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333"/>
    <x v="18"/>
    <n v="100"/>
    <n v="3"/>
    <x v="0"/>
    <x v="45"/>
    <s v="2/24/2003 0:46"/>
    <x v="0"/>
    <x v="0"/>
    <s v="Shipped"/>
    <x v="3"/>
    <x v="5"/>
    <x v="1"/>
    <x v="1"/>
    <n v="214"/>
    <s v="S10_1949"/>
    <s v="Mini Wheels Co."/>
    <n v="6505555787"/>
    <s v="5557 North Pendale Street"/>
    <m/>
    <s v="San Francisco"/>
    <x v="4"/>
    <s v="CA"/>
    <m/>
    <x v="0"/>
    <x v="0"/>
    <s v="NA"/>
    <s v="Murphy"/>
    <s v="Julie"/>
    <x v="1"/>
  </r>
  <r>
    <n v="10347"/>
    <x v="0"/>
    <n v="100"/>
    <n v="1"/>
    <x v="0"/>
    <x v="46"/>
    <s v="2/24/2003 0:47"/>
    <x v="0"/>
    <x v="0"/>
    <s v="Shipped"/>
    <x v="3"/>
    <x v="5"/>
    <x v="1"/>
    <x v="1"/>
    <n v="214"/>
    <s v="S10_1949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7"/>
    <x v="22"/>
    <n v="100"/>
    <n v="10"/>
    <x v="1"/>
    <x v="47"/>
    <s v="2/24/2003 0:48"/>
    <x v="0"/>
    <x v="0"/>
    <s v="Shipped"/>
    <x v="3"/>
    <x v="6"/>
    <x v="1"/>
    <x v="1"/>
    <n v="214"/>
    <s v="S10_194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69"/>
    <x v="2"/>
    <n v="100"/>
    <n v="2"/>
    <x v="1"/>
    <x v="48"/>
    <s v="2/24/2003 0:49"/>
    <x v="0"/>
    <x v="0"/>
    <s v="Shipped"/>
    <x v="0"/>
    <x v="7"/>
    <x v="2"/>
    <x v="1"/>
    <n v="214"/>
    <s v="S10_1949"/>
    <s v="Collectables For Less Inc."/>
    <n v="6175558555"/>
    <s v="7825 Douglas Av."/>
    <m/>
    <s v="Brickhaven"/>
    <x v="35"/>
    <s v="MA"/>
    <n v="58339"/>
    <x v="0"/>
    <x v="0"/>
    <s v="NA"/>
    <s v="Nelson"/>
    <s v="Allen"/>
    <x v="1"/>
  </r>
  <r>
    <n v="10381"/>
    <x v="5"/>
    <n v="100"/>
    <n v="3"/>
    <x v="1"/>
    <x v="49"/>
    <s v="2/24/2003 0:50"/>
    <x v="0"/>
    <x v="0"/>
    <s v="Shipped"/>
    <x v="0"/>
    <x v="0"/>
    <x v="2"/>
    <x v="1"/>
    <n v="214"/>
    <s v="S10_1949"/>
    <s v="Corporate Gift Ideas Co."/>
    <n v="6505551386"/>
    <s v="7734 Strong St."/>
    <m/>
    <s v="San Francisco"/>
    <x v="4"/>
    <s v="CA"/>
    <m/>
    <x v="0"/>
    <x v="0"/>
    <s v="NA"/>
    <s v="Brown"/>
    <s v="Julie"/>
    <x v="2"/>
  </r>
  <r>
    <n v="10391"/>
    <x v="16"/>
    <n v="100"/>
    <n v="4"/>
    <x v="0"/>
    <x v="50"/>
    <s v="2/24/2003 0:51"/>
    <x v="0"/>
    <x v="0"/>
    <s v="Shipped"/>
    <x v="0"/>
    <x v="11"/>
    <x v="2"/>
    <x v="1"/>
    <n v="214"/>
    <s v="S10_1949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411"/>
    <x v="10"/>
    <n v="100"/>
    <n v="9"/>
    <x v="1"/>
    <x v="51"/>
    <s v="2/24/2003 0:52"/>
    <x v="0"/>
    <x v="0"/>
    <s v="Shipped"/>
    <x v="1"/>
    <x v="1"/>
    <x v="2"/>
    <x v="1"/>
    <n v="214"/>
    <s v="S10_1949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424"/>
    <x v="24"/>
    <n v="100"/>
    <n v="6"/>
    <x v="1"/>
    <x v="52"/>
    <s v="2/24/2003 0:53"/>
    <x v="2"/>
    <x v="1"/>
    <s v="In Process"/>
    <x v="1"/>
    <x v="1"/>
    <x v="2"/>
    <x v="1"/>
    <n v="214"/>
    <s v="S10_1949"/>
    <s v="Euro Shopping Channel"/>
    <s v="(91) 555 94 44"/>
    <s v="C/ Moralzarzal, 86"/>
    <m/>
    <s v="Madrid"/>
    <x v="20"/>
    <m/>
    <n v="28034"/>
    <x v="7"/>
    <x v="7"/>
    <s v="EMEA"/>
    <s v="Freyre"/>
    <s v="Diego"/>
    <x v="2"/>
  </r>
  <r>
    <n v="10107"/>
    <x v="25"/>
    <n v="99.91"/>
    <n v="5"/>
    <x v="0"/>
    <x v="53"/>
    <s v="2/24/2003 0:54"/>
    <x v="0"/>
    <x v="0"/>
    <s v="Shipped"/>
    <x v="0"/>
    <x v="0"/>
    <x v="0"/>
    <x v="0"/>
    <n v="118"/>
    <s v="S10_2016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120"/>
    <x v="6"/>
    <n v="96.34"/>
    <n v="3"/>
    <x v="0"/>
    <x v="54"/>
    <s v="2/24/2003 0:55"/>
    <x v="0"/>
    <x v="0"/>
    <s v="Shipped"/>
    <x v="1"/>
    <x v="8"/>
    <x v="0"/>
    <x v="0"/>
    <n v="118"/>
    <s v="S10_2016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134"/>
    <x v="26"/>
    <n v="100"/>
    <n v="5"/>
    <x v="0"/>
    <x v="55"/>
    <s v="2/24/2003 0:56"/>
    <x v="0"/>
    <x v="0"/>
    <s v="Shipped"/>
    <x v="2"/>
    <x v="2"/>
    <x v="0"/>
    <x v="0"/>
    <n v="118"/>
    <s v="S10_2016"/>
    <s v="Lyon Souveniers"/>
    <s v="+33 1 46 62 7555"/>
    <s v="27 rue du Colonel Pierre Avia"/>
    <m/>
    <s v="Paris"/>
    <x v="2"/>
    <m/>
    <n v="75508"/>
    <x v="1"/>
    <x v="1"/>
    <s v="EMEA"/>
    <s v="Da Cunha"/>
    <s v="Daniel"/>
    <x v="1"/>
  </r>
  <r>
    <n v="10145"/>
    <x v="9"/>
    <n v="100"/>
    <n v="9"/>
    <x v="1"/>
    <x v="56"/>
    <s v="2/24/2003 0:57"/>
    <x v="0"/>
    <x v="0"/>
    <s v="Shipped"/>
    <x v="2"/>
    <x v="3"/>
    <x v="0"/>
    <x v="0"/>
    <n v="118"/>
    <s v="S10_2016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159"/>
    <x v="9"/>
    <n v="100"/>
    <n v="17"/>
    <x v="1"/>
    <x v="57"/>
    <s v="2/24/2003 0:58"/>
    <x v="0"/>
    <x v="0"/>
    <s v="Shipped"/>
    <x v="3"/>
    <x v="4"/>
    <x v="0"/>
    <x v="0"/>
    <n v="118"/>
    <s v="S10_2016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168"/>
    <x v="26"/>
    <n v="100"/>
    <n v="4"/>
    <x v="0"/>
    <x v="58"/>
    <s v="2/24/2003 0:59"/>
    <x v="0"/>
    <x v="0"/>
    <s v="Shipped"/>
    <x v="3"/>
    <x v="4"/>
    <x v="0"/>
    <x v="0"/>
    <n v="118"/>
    <s v="S10_2016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80"/>
    <x v="13"/>
    <n v="100"/>
    <n v="12"/>
    <x v="1"/>
    <x v="59"/>
    <s v="2/24/2003 0:60"/>
    <x v="0"/>
    <x v="0"/>
    <s v="Shipped"/>
    <x v="3"/>
    <x v="5"/>
    <x v="0"/>
    <x v="0"/>
    <n v="118"/>
    <s v="S10_2016"/>
    <s v="Daedalus Designs Imports"/>
    <s v="20.16.1555"/>
    <s v="184, chausse de Tournai"/>
    <m/>
    <s v="Lille"/>
    <x v="6"/>
    <m/>
    <n v="59000"/>
    <x v="1"/>
    <x v="1"/>
    <s v="EMEA"/>
    <s v="Rance"/>
    <s v="Martine"/>
    <x v="1"/>
  </r>
  <r>
    <n v="10188"/>
    <x v="19"/>
    <n v="96.34"/>
    <n v="4"/>
    <x v="0"/>
    <x v="60"/>
    <s v="2/24/2003 0:61"/>
    <x v="0"/>
    <x v="0"/>
    <s v="Shipped"/>
    <x v="3"/>
    <x v="5"/>
    <x v="0"/>
    <x v="0"/>
    <n v="118"/>
    <s v="S10_2016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201"/>
    <x v="16"/>
    <n v="100"/>
    <n v="5"/>
    <x v="0"/>
    <x v="61"/>
    <s v="2/24/2003 0:62"/>
    <x v="0"/>
    <x v="0"/>
    <s v="Shipped"/>
    <x v="3"/>
    <x v="6"/>
    <x v="0"/>
    <x v="0"/>
    <n v="118"/>
    <s v="S10_2016"/>
    <s v="Mini Wheels Co."/>
    <n v="6505555787"/>
    <s v="5557 North Pendale Street"/>
    <m/>
    <s v="San Francisco"/>
    <x v="4"/>
    <s v="CA"/>
    <m/>
    <x v="0"/>
    <x v="0"/>
    <s v="NA"/>
    <s v="Murphy"/>
    <s v="Julie"/>
    <x v="1"/>
  </r>
  <r>
    <n v="10210"/>
    <x v="10"/>
    <n v="100"/>
    <n v="2"/>
    <x v="0"/>
    <x v="62"/>
    <s v="2/24/2003 0:63"/>
    <x v="0"/>
    <x v="0"/>
    <s v="Shipped"/>
    <x v="0"/>
    <x v="7"/>
    <x v="1"/>
    <x v="0"/>
    <n v="118"/>
    <s v="S10_2016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1"/>
  </r>
  <r>
    <n v="10223"/>
    <x v="20"/>
    <n v="100"/>
    <n v="4"/>
    <x v="1"/>
    <x v="63"/>
    <s v="2/24/2003 0:64"/>
    <x v="0"/>
    <x v="0"/>
    <s v="Shipped"/>
    <x v="0"/>
    <x v="0"/>
    <x v="1"/>
    <x v="0"/>
    <n v="118"/>
    <s v="S10_2016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236"/>
    <x v="8"/>
    <n v="100"/>
    <n v="1"/>
    <x v="0"/>
    <x v="64"/>
    <s v="2/24/2003 0:65"/>
    <x v="0"/>
    <x v="0"/>
    <s v="Shipped"/>
    <x v="1"/>
    <x v="8"/>
    <x v="1"/>
    <x v="0"/>
    <n v="118"/>
    <s v="S10_2016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0"/>
  </r>
  <r>
    <n v="10251"/>
    <x v="27"/>
    <n v="100"/>
    <n v="5"/>
    <x v="1"/>
    <x v="65"/>
    <s v="2/24/2003 0:66"/>
    <x v="0"/>
    <x v="0"/>
    <s v="Shipped"/>
    <x v="1"/>
    <x v="1"/>
    <x v="1"/>
    <x v="0"/>
    <n v="118"/>
    <s v="S10_2016"/>
    <s v="Tekni Collectables Inc."/>
    <n v="2015559350"/>
    <s v="7476 Moss Rd."/>
    <m/>
    <s v="Newark"/>
    <x v="9"/>
    <s v="NJ"/>
    <n v="94019"/>
    <x v="0"/>
    <x v="0"/>
    <s v="NA"/>
    <s v="Brown"/>
    <s v="William"/>
    <x v="1"/>
  </r>
  <r>
    <n v="10263"/>
    <x v="23"/>
    <n v="100"/>
    <n v="5"/>
    <x v="1"/>
    <x v="66"/>
    <s v="2/24/2003 0:67"/>
    <x v="0"/>
    <x v="0"/>
    <s v="Shipped"/>
    <x v="1"/>
    <x v="9"/>
    <x v="1"/>
    <x v="0"/>
    <n v="118"/>
    <s v="S10_2016"/>
    <s v="Gift Depot Inc."/>
    <n v="2035552570"/>
    <s v="25593 South Bay Ln."/>
    <m/>
    <s v="Bridgewater"/>
    <x v="10"/>
    <s v="CT"/>
    <n v="97562"/>
    <x v="0"/>
    <x v="0"/>
    <s v="NA"/>
    <s v="King"/>
    <s v="Julie"/>
    <x v="1"/>
  </r>
  <r>
    <n v="10275"/>
    <x v="8"/>
    <n v="100"/>
    <n v="4"/>
    <x v="0"/>
    <x v="67"/>
    <s v="2/24/2003 0:68"/>
    <x v="0"/>
    <x v="0"/>
    <s v="Shipped"/>
    <x v="2"/>
    <x v="2"/>
    <x v="1"/>
    <x v="0"/>
    <n v="118"/>
    <s v="S10_2016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285"/>
    <x v="20"/>
    <n v="100"/>
    <n v="9"/>
    <x v="1"/>
    <x v="68"/>
    <s v="2/24/2003 0:69"/>
    <x v="0"/>
    <x v="0"/>
    <s v="Shipped"/>
    <x v="2"/>
    <x v="3"/>
    <x v="1"/>
    <x v="0"/>
    <n v="118"/>
    <s v="S10_2016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298"/>
    <x v="25"/>
    <n v="96.34"/>
    <n v="1"/>
    <x v="0"/>
    <x v="69"/>
    <s v="2/24/2003 0:70"/>
    <x v="0"/>
    <x v="0"/>
    <s v="Shipped"/>
    <x v="2"/>
    <x v="10"/>
    <x v="1"/>
    <x v="0"/>
    <n v="118"/>
    <s v="S10_2016"/>
    <s v="Atelier graphique"/>
    <s v="40.32.2555"/>
    <s v="54, rue Royale"/>
    <m/>
    <s v="Nantes"/>
    <x v="11"/>
    <m/>
    <n v="44000"/>
    <x v="1"/>
    <x v="1"/>
    <s v="EMEA"/>
    <s v="Schmitt"/>
    <s v="Carine"/>
    <x v="1"/>
  </r>
  <r>
    <n v="10308"/>
    <x v="1"/>
    <n v="100"/>
    <n v="2"/>
    <x v="1"/>
    <x v="70"/>
    <s v="2/24/2003 0:71"/>
    <x v="0"/>
    <x v="0"/>
    <s v="Shipped"/>
    <x v="3"/>
    <x v="4"/>
    <x v="1"/>
    <x v="0"/>
    <n v="118"/>
    <s v="S10_2016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318"/>
    <x v="3"/>
    <n v="100"/>
    <n v="4"/>
    <x v="1"/>
    <x v="71"/>
    <s v="2/24/2003 0:72"/>
    <x v="0"/>
    <x v="0"/>
    <s v="Shipped"/>
    <x v="3"/>
    <x v="5"/>
    <x v="1"/>
    <x v="0"/>
    <n v="118"/>
    <s v="S10_2016"/>
    <s v="Diecast Classics Inc."/>
    <n v="2155551555"/>
    <s v="7586 Pompton St."/>
    <m/>
    <s v="Allentown"/>
    <x v="15"/>
    <s v="PA"/>
    <n v="70267"/>
    <x v="0"/>
    <x v="0"/>
    <s v="NA"/>
    <s v="Yu"/>
    <s v="Kyung"/>
    <x v="1"/>
  </r>
  <r>
    <n v="10329"/>
    <x v="14"/>
    <n v="100"/>
    <n v="2"/>
    <x v="0"/>
    <x v="72"/>
    <s v="2/24/2003 0:73"/>
    <x v="0"/>
    <x v="0"/>
    <s v="Shipped"/>
    <x v="3"/>
    <x v="5"/>
    <x v="1"/>
    <x v="0"/>
    <n v="118"/>
    <s v="S10_2016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39"/>
    <x v="23"/>
    <n v="68.92"/>
    <n v="4"/>
    <x v="0"/>
    <x v="73"/>
    <s v="2/24/2003 0:74"/>
    <x v="0"/>
    <x v="0"/>
    <s v="Shipped"/>
    <x v="3"/>
    <x v="5"/>
    <x v="1"/>
    <x v="0"/>
    <n v="118"/>
    <s v="S10_2016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61"/>
    <x v="18"/>
    <n v="51.15"/>
    <n v="8"/>
    <x v="0"/>
    <x v="74"/>
    <s v="2/24/2003 0:75"/>
    <x v="0"/>
    <x v="0"/>
    <s v="Shipped"/>
    <x v="3"/>
    <x v="6"/>
    <x v="1"/>
    <x v="0"/>
    <n v="118"/>
    <s v="S10_2016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374"/>
    <x v="25"/>
    <n v="100"/>
    <n v="5"/>
    <x v="1"/>
    <x v="75"/>
    <s v="2/24/2003 0:76"/>
    <x v="0"/>
    <x v="0"/>
    <s v="Shipped"/>
    <x v="0"/>
    <x v="0"/>
    <x v="2"/>
    <x v="0"/>
    <n v="118"/>
    <s v="S10_2016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1"/>
  </r>
  <r>
    <n v="10388"/>
    <x v="24"/>
    <n v="44.51"/>
    <n v="5"/>
    <x v="0"/>
    <x v="76"/>
    <s v="2/24/2003 0:77"/>
    <x v="0"/>
    <x v="0"/>
    <s v="Shipped"/>
    <x v="0"/>
    <x v="11"/>
    <x v="2"/>
    <x v="0"/>
    <n v="118"/>
    <s v="S10_2016"/>
    <s v="FunGiftIdeas.com"/>
    <n v="5085552555"/>
    <s v="1785 First Street"/>
    <m/>
    <s v="New Bedford"/>
    <x v="18"/>
    <s v="MA"/>
    <n v="50553"/>
    <x v="0"/>
    <x v="0"/>
    <s v="NA"/>
    <s v="Benitez"/>
    <s v="Violeta"/>
    <x v="0"/>
  </r>
  <r>
    <n v="10402"/>
    <x v="3"/>
    <n v="100"/>
    <n v="1"/>
    <x v="1"/>
    <x v="77"/>
    <s v="2/24/2003 0:78"/>
    <x v="0"/>
    <x v="0"/>
    <s v="Shipped"/>
    <x v="1"/>
    <x v="8"/>
    <x v="2"/>
    <x v="0"/>
    <n v="118"/>
    <s v="S10_2016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417"/>
    <x v="3"/>
    <n v="100"/>
    <n v="5"/>
    <x v="1"/>
    <x v="78"/>
    <s v="2/24/2003 0:79"/>
    <x v="1"/>
    <x v="1"/>
    <s v="Disputed"/>
    <x v="1"/>
    <x v="1"/>
    <x v="2"/>
    <x v="0"/>
    <n v="118"/>
    <s v="S10_201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07"/>
    <x v="26"/>
    <n v="100"/>
    <n v="4"/>
    <x v="1"/>
    <x v="79"/>
    <s v="2/24/2003 0:80"/>
    <x v="0"/>
    <x v="0"/>
    <s v="Shipped"/>
    <x v="0"/>
    <x v="0"/>
    <x v="0"/>
    <x v="0"/>
    <n v="193"/>
    <s v="S10_4698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120"/>
    <x v="12"/>
    <n v="100"/>
    <n v="2"/>
    <x v="1"/>
    <x v="80"/>
    <s v="2/24/2003 0:81"/>
    <x v="0"/>
    <x v="0"/>
    <s v="Shipped"/>
    <x v="1"/>
    <x v="8"/>
    <x v="0"/>
    <x v="0"/>
    <n v="193"/>
    <s v="S10_4698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2"/>
  </r>
  <r>
    <n v="10134"/>
    <x v="28"/>
    <n v="100"/>
    <n v="4"/>
    <x v="1"/>
    <x v="81"/>
    <s v="2/24/2003 0:82"/>
    <x v="0"/>
    <x v="0"/>
    <s v="Shipped"/>
    <x v="2"/>
    <x v="2"/>
    <x v="0"/>
    <x v="0"/>
    <n v="193"/>
    <s v="S10_4698"/>
    <s v="Lyon Souveniers"/>
    <s v="+33 1 46 62 7555"/>
    <s v="27 rue du Colonel Pierre Avia"/>
    <m/>
    <s v="Paris"/>
    <x v="2"/>
    <m/>
    <n v="75508"/>
    <x v="1"/>
    <x v="1"/>
    <s v="EMEA"/>
    <s v="Da Cunha"/>
    <s v="Daniel"/>
    <x v="2"/>
  </r>
  <r>
    <n v="10145"/>
    <x v="29"/>
    <n v="100"/>
    <n v="8"/>
    <x v="1"/>
    <x v="82"/>
    <s v="2/24/2003 0:83"/>
    <x v="0"/>
    <x v="0"/>
    <s v="Shipped"/>
    <x v="2"/>
    <x v="3"/>
    <x v="0"/>
    <x v="0"/>
    <n v="193"/>
    <s v="S10_4698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159"/>
    <x v="8"/>
    <n v="100"/>
    <n v="16"/>
    <x v="1"/>
    <x v="83"/>
    <s v="2/24/2003 0:84"/>
    <x v="0"/>
    <x v="0"/>
    <s v="Shipped"/>
    <x v="3"/>
    <x v="4"/>
    <x v="0"/>
    <x v="0"/>
    <n v="193"/>
    <s v="S10_4698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168"/>
    <x v="14"/>
    <n v="100"/>
    <n v="3"/>
    <x v="1"/>
    <x v="84"/>
    <s v="2/24/2003 0:85"/>
    <x v="0"/>
    <x v="0"/>
    <s v="Shipped"/>
    <x v="3"/>
    <x v="4"/>
    <x v="0"/>
    <x v="0"/>
    <n v="193"/>
    <s v="S10_4698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80"/>
    <x v="2"/>
    <n v="100"/>
    <n v="11"/>
    <x v="1"/>
    <x v="85"/>
    <s v="2/24/2003 0:86"/>
    <x v="0"/>
    <x v="0"/>
    <s v="Shipped"/>
    <x v="3"/>
    <x v="5"/>
    <x v="0"/>
    <x v="0"/>
    <n v="193"/>
    <s v="S10_4698"/>
    <s v="Daedalus Designs Imports"/>
    <s v="20.16.1555"/>
    <s v="184, chausse de Tournai"/>
    <m/>
    <s v="Lille"/>
    <x v="6"/>
    <m/>
    <n v="59000"/>
    <x v="1"/>
    <x v="1"/>
    <s v="EMEA"/>
    <s v="Rance"/>
    <s v="Martine"/>
    <x v="2"/>
  </r>
  <r>
    <n v="10188"/>
    <x v="3"/>
    <n v="100"/>
    <n v="3"/>
    <x v="1"/>
    <x v="86"/>
    <s v="2/24/2003 0:87"/>
    <x v="0"/>
    <x v="0"/>
    <s v="Shipped"/>
    <x v="3"/>
    <x v="5"/>
    <x v="0"/>
    <x v="0"/>
    <n v="193"/>
    <s v="S10_4698"/>
    <s v="Herkku Gifts"/>
    <s v="+47 2267 3215"/>
    <s v="Drammen 121, PR 744 Sentrum"/>
    <m/>
    <s v="Bergen"/>
    <x v="7"/>
    <m/>
    <s v="N 5804"/>
    <x v="2"/>
    <x v="2"/>
    <s v="EMEA"/>
    <s v="Oeztan"/>
    <s v="Veysel"/>
    <x v="2"/>
  </r>
  <r>
    <n v="10201"/>
    <x v="4"/>
    <n v="100"/>
    <n v="4"/>
    <x v="1"/>
    <x v="87"/>
    <s v="2/24/2003 0:88"/>
    <x v="0"/>
    <x v="0"/>
    <s v="Shipped"/>
    <x v="3"/>
    <x v="6"/>
    <x v="0"/>
    <x v="0"/>
    <n v="193"/>
    <s v="S10_4698"/>
    <s v="Mini Wheels Co."/>
    <n v="6505555787"/>
    <s v="5557 North Pendale Street"/>
    <m/>
    <s v="San Francisco"/>
    <x v="4"/>
    <s v="CA"/>
    <m/>
    <x v="0"/>
    <x v="0"/>
    <s v="NA"/>
    <s v="Murphy"/>
    <s v="Julie"/>
    <x v="2"/>
  </r>
  <r>
    <n v="10210"/>
    <x v="1"/>
    <n v="100"/>
    <n v="1"/>
    <x v="1"/>
    <x v="88"/>
    <s v="2/24/2003 0:89"/>
    <x v="0"/>
    <x v="0"/>
    <s v="Shipped"/>
    <x v="0"/>
    <x v="7"/>
    <x v="1"/>
    <x v="0"/>
    <n v="193"/>
    <s v="S10_4698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1"/>
  </r>
  <r>
    <n v="10223"/>
    <x v="4"/>
    <n v="100"/>
    <n v="3"/>
    <x v="1"/>
    <x v="89"/>
    <s v="2/24/2003 0:90"/>
    <x v="0"/>
    <x v="0"/>
    <s v="Shipped"/>
    <x v="0"/>
    <x v="0"/>
    <x v="1"/>
    <x v="0"/>
    <n v="193"/>
    <s v="S10_4698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2"/>
  </r>
  <r>
    <n v="10237"/>
    <x v="25"/>
    <n v="100"/>
    <n v="9"/>
    <x v="1"/>
    <x v="90"/>
    <s v="2/24/2003 0:91"/>
    <x v="0"/>
    <x v="0"/>
    <s v="Shipped"/>
    <x v="1"/>
    <x v="8"/>
    <x v="1"/>
    <x v="0"/>
    <n v="193"/>
    <s v="S10_4698"/>
    <s v="Vitachrome Inc."/>
    <n v="2125551500"/>
    <s v="2678 Kingston Rd."/>
    <s v="Suite 101"/>
    <s v="Nyc"/>
    <x v="0"/>
    <s v="NY"/>
    <n v="10022"/>
    <x v="0"/>
    <x v="0"/>
    <s v="NA"/>
    <s v="Frick"/>
    <s v="Michael"/>
    <x v="2"/>
  </r>
  <r>
    <n v="10251"/>
    <x v="30"/>
    <n v="100"/>
    <n v="4"/>
    <x v="1"/>
    <x v="91"/>
    <s v="2/24/2003 0:92"/>
    <x v="0"/>
    <x v="0"/>
    <s v="Shipped"/>
    <x v="1"/>
    <x v="1"/>
    <x v="1"/>
    <x v="0"/>
    <n v="193"/>
    <s v="S10_4698"/>
    <s v="Tekni Collectables Inc."/>
    <n v="2015559350"/>
    <s v="7476 Moss Rd."/>
    <m/>
    <s v="Newark"/>
    <x v="9"/>
    <s v="NJ"/>
    <n v="94019"/>
    <x v="0"/>
    <x v="0"/>
    <s v="NA"/>
    <s v="Brown"/>
    <s v="William"/>
    <x v="2"/>
  </r>
  <r>
    <n v="10263"/>
    <x v="2"/>
    <n v="100"/>
    <n v="4"/>
    <x v="1"/>
    <x v="92"/>
    <s v="2/24/2003 0:93"/>
    <x v="0"/>
    <x v="0"/>
    <s v="Shipped"/>
    <x v="1"/>
    <x v="9"/>
    <x v="1"/>
    <x v="0"/>
    <n v="193"/>
    <s v="S10_4698"/>
    <s v="Gift Depot Inc."/>
    <n v="2035552570"/>
    <s v="25593 South Bay Ln."/>
    <m/>
    <s v="Bridgewater"/>
    <x v="10"/>
    <s v="CT"/>
    <n v="97562"/>
    <x v="0"/>
    <x v="0"/>
    <s v="NA"/>
    <s v="King"/>
    <s v="Julie"/>
    <x v="2"/>
  </r>
  <r>
    <n v="10275"/>
    <x v="5"/>
    <n v="100"/>
    <n v="3"/>
    <x v="1"/>
    <x v="93"/>
    <s v="2/24/2003 0:94"/>
    <x v="0"/>
    <x v="0"/>
    <s v="Shipped"/>
    <x v="2"/>
    <x v="2"/>
    <x v="1"/>
    <x v="0"/>
    <n v="193"/>
    <s v="S10_4698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285"/>
    <x v="26"/>
    <n v="100"/>
    <n v="8"/>
    <x v="1"/>
    <x v="94"/>
    <s v="2/24/2003 0:95"/>
    <x v="0"/>
    <x v="0"/>
    <s v="Shipped"/>
    <x v="2"/>
    <x v="3"/>
    <x v="1"/>
    <x v="0"/>
    <n v="193"/>
    <s v="S10_4698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299"/>
    <x v="6"/>
    <n v="100"/>
    <n v="11"/>
    <x v="1"/>
    <x v="95"/>
    <s v="2/24/2003 0:96"/>
    <x v="0"/>
    <x v="0"/>
    <s v="Shipped"/>
    <x v="2"/>
    <x v="10"/>
    <x v="1"/>
    <x v="0"/>
    <n v="193"/>
    <s v="S10_4698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308"/>
    <x v="14"/>
    <n v="100"/>
    <n v="1"/>
    <x v="1"/>
    <x v="96"/>
    <s v="2/24/2003 0:97"/>
    <x v="0"/>
    <x v="0"/>
    <s v="Shipped"/>
    <x v="3"/>
    <x v="4"/>
    <x v="1"/>
    <x v="0"/>
    <n v="193"/>
    <s v="S10_4698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318"/>
    <x v="9"/>
    <n v="100"/>
    <n v="3"/>
    <x v="1"/>
    <x v="97"/>
    <s v="2/24/2003 0:98"/>
    <x v="0"/>
    <x v="0"/>
    <s v="Shipped"/>
    <x v="3"/>
    <x v="5"/>
    <x v="1"/>
    <x v="0"/>
    <n v="193"/>
    <s v="S10_4698"/>
    <s v="Diecast Classics Inc."/>
    <n v="2155551555"/>
    <s v="7586 Pompton St."/>
    <m/>
    <s v="Allentown"/>
    <x v="15"/>
    <s v="PA"/>
    <n v="70267"/>
    <x v="0"/>
    <x v="0"/>
    <s v="NA"/>
    <s v="Yu"/>
    <s v="Kyung"/>
    <x v="2"/>
  </r>
  <r>
    <n v="10329"/>
    <x v="18"/>
    <n v="100"/>
    <n v="3"/>
    <x v="1"/>
    <x v="98"/>
    <s v="2/24/2003 0:99"/>
    <x v="0"/>
    <x v="0"/>
    <s v="Shipped"/>
    <x v="3"/>
    <x v="5"/>
    <x v="1"/>
    <x v="0"/>
    <n v="193"/>
    <s v="S10_4698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39"/>
    <x v="25"/>
    <n v="76.67"/>
    <n v="3"/>
    <x v="0"/>
    <x v="99"/>
    <s v="2/24/2003 0:100"/>
    <x v="0"/>
    <x v="0"/>
    <s v="Shipped"/>
    <x v="3"/>
    <x v="5"/>
    <x v="1"/>
    <x v="0"/>
    <n v="193"/>
    <s v="S10_4698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62"/>
    <x v="8"/>
    <n v="100"/>
    <n v="4"/>
    <x v="0"/>
    <x v="100"/>
    <s v="2/24/2003 0:101"/>
    <x v="0"/>
    <x v="0"/>
    <s v="Shipped"/>
    <x v="0"/>
    <x v="7"/>
    <x v="2"/>
    <x v="0"/>
    <n v="193"/>
    <s v="S10_4698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374"/>
    <x v="8"/>
    <n v="100"/>
    <n v="1"/>
    <x v="0"/>
    <x v="101"/>
    <s v="2/24/2003 0:102"/>
    <x v="0"/>
    <x v="0"/>
    <s v="Shipped"/>
    <x v="0"/>
    <x v="0"/>
    <x v="2"/>
    <x v="0"/>
    <n v="193"/>
    <s v="S10_4698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1"/>
  </r>
  <r>
    <n v="10388"/>
    <x v="15"/>
    <n v="86.77"/>
    <n v="7"/>
    <x v="0"/>
    <x v="102"/>
    <s v="2/24/2003 0:103"/>
    <x v="0"/>
    <x v="0"/>
    <s v="Shipped"/>
    <x v="0"/>
    <x v="11"/>
    <x v="2"/>
    <x v="0"/>
    <n v="193"/>
    <s v="S10_4698"/>
    <s v="FunGiftIdeas.com"/>
    <n v="5085552555"/>
    <s v="1785 First Street"/>
    <m/>
    <s v="New Bedford"/>
    <x v="18"/>
    <s v="MA"/>
    <n v="50553"/>
    <x v="0"/>
    <x v="0"/>
    <s v="NA"/>
    <s v="Benitez"/>
    <s v="Violeta"/>
    <x v="0"/>
  </r>
  <r>
    <n v="10403"/>
    <x v="17"/>
    <n v="100"/>
    <n v="9"/>
    <x v="1"/>
    <x v="103"/>
    <s v="2/24/2003 0:104"/>
    <x v="0"/>
    <x v="0"/>
    <s v="Shipped"/>
    <x v="1"/>
    <x v="8"/>
    <x v="2"/>
    <x v="0"/>
    <n v="193"/>
    <s v="S10_4698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2"/>
  </r>
  <r>
    <n v="10417"/>
    <x v="31"/>
    <n v="100"/>
    <n v="4"/>
    <x v="1"/>
    <x v="104"/>
    <s v="2/24/2003 0:105"/>
    <x v="1"/>
    <x v="1"/>
    <s v="Disputed"/>
    <x v="1"/>
    <x v="1"/>
    <x v="2"/>
    <x v="0"/>
    <n v="193"/>
    <s v="S10_4698"/>
    <s v="Euro Shopping Channel"/>
    <s v="(91) 555 94 44"/>
    <s v="C/ Moralzarzal, 86"/>
    <m/>
    <s v="Madrid"/>
    <x v="20"/>
    <m/>
    <n v="28034"/>
    <x v="7"/>
    <x v="7"/>
    <s v="EMEA"/>
    <s v="Freyre"/>
    <s v="Diego"/>
    <x v="2"/>
  </r>
  <r>
    <n v="10105"/>
    <x v="24"/>
    <n v="100"/>
    <n v="2"/>
    <x v="1"/>
    <x v="105"/>
    <s v="2/24/2003 0:106"/>
    <x v="0"/>
    <x v="0"/>
    <s v="Shipped"/>
    <x v="0"/>
    <x v="0"/>
    <x v="0"/>
    <x v="1"/>
    <n v="136"/>
    <s v="S10_4757"/>
    <s v="Danish Wholesale Imports"/>
    <s v="31 12 3555"/>
    <s v="Vinb'ltet 34"/>
    <m/>
    <s v="Kobenhavn"/>
    <x v="40"/>
    <m/>
    <n v="1734"/>
    <x v="13"/>
    <x v="13"/>
    <s v="EMEA"/>
    <s v="Petersen"/>
    <s v="Jytte"/>
    <x v="2"/>
  </r>
  <r>
    <n v="10119"/>
    <x v="12"/>
    <n v="100"/>
    <n v="11"/>
    <x v="1"/>
    <x v="106"/>
    <s v="2/24/2003 0:107"/>
    <x v="0"/>
    <x v="0"/>
    <s v="Shipped"/>
    <x v="1"/>
    <x v="8"/>
    <x v="0"/>
    <x v="1"/>
    <n v="136"/>
    <s v="S10_4757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129"/>
    <x v="29"/>
    <n v="100"/>
    <n v="2"/>
    <x v="1"/>
    <x v="107"/>
    <s v="2/24/2003 0:108"/>
    <x v="0"/>
    <x v="0"/>
    <s v="Shipped"/>
    <x v="1"/>
    <x v="9"/>
    <x v="0"/>
    <x v="1"/>
    <n v="136"/>
    <s v="S10_4757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43"/>
    <x v="4"/>
    <n v="100"/>
    <n v="15"/>
    <x v="1"/>
    <x v="108"/>
    <s v="2/24/2003 0:109"/>
    <x v="0"/>
    <x v="0"/>
    <s v="Shipped"/>
    <x v="2"/>
    <x v="3"/>
    <x v="0"/>
    <x v="1"/>
    <n v="136"/>
    <s v="S10_4757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55"/>
    <x v="22"/>
    <n v="100"/>
    <n v="13"/>
    <x v="1"/>
    <x v="109"/>
    <s v="2/24/2003 0:110"/>
    <x v="0"/>
    <x v="0"/>
    <s v="Shipped"/>
    <x v="3"/>
    <x v="4"/>
    <x v="0"/>
    <x v="1"/>
    <n v="136"/>
    <s v="S10_4757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167"/>
    <x v="27"/>
    <n v="100"/>
    <n v="9"/>
    <x v="1"/>
    <x v="110"/>
    <s v="2/24/2003 0:111"/>
    <x v="3"/>
    <x v="1"/>
    <s v="Cancelled"/>
    <x v="3"/>
    <x v="4"/>
    <x v="0"/>
    <x v="1"/>
    <n v="136"/>
    <s v="S10_4757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178"/>
    <x v="16"/>
    <n v="100"/>
    <n v="12"/>
    <x v="0"/>
    <x v="111"/>
    <s v="2/24/2003 0:112"/>
    <x v="0"/>
    <x v="0"/>
    <s v="Shipped"/>
    <x v="3"/>
    <x v="5"/>
    <x v="0"/>
    <x v="1"/>
    <n v="136"/>
    <s v="S10_4757"/>
    <s v="Alpha Cognac"/>
    <s v="61.77.6555"/>
    <s v="1 rue Alsace-Lorraine"/>
    <m/>
    <s v="Toulouse"/>
    <x v="42"/>
    <m/>
    <n v="31000"/>
    <x v="1"/>
    <x v="1"/>
    <s v="EMEA"/>
    <s v="Roulet"/>
    <s v="Annette"/>
    <x v="1"/>
  </r>
  <r>
    <n v="10186"/>
    <x v="18"/>
    <n v="100"/>
    <n v="9"/>
    <x v="0"/>
    <x v="112"/>
    <s v="2/24/2003 0:113"/>
    <x v="0"/>
    <x v="0"/>
    <s v="Shipped"/>
    <x v="3"/>
    <x v="5"/>
    <x v="0"/>
    <x v="1"/>
    <n v="136"/>
    <s v="S10_4757"/>
    <s v="Double Decker Gift Stores, Ltd"/>
    <s v="(171) 555-7555"/>
    <s v="120 Hanover Sq."/>
    <m/>
    <s v="London"/>
    <x v="41"/>
    <m/>
    <s v="WA1 1DP"/>
    <x v="6"/>
    <x v="6"/>
    <s v="EMEA"/>
    <s v="Hardy"/>
    <s v="Thomas"/>
    <x v="1"/>
  </r>
  <r>
    <n v="10197"/>
    <x v="3"/>
    <n v="100"/>
    <n v="6"/>
    <x v="1"/>
    <x v="113"/>
    <s v="2/24/2003 0:114"/>
    <x v="0"/>
    <x v="0"/>
    <s v="Shipped"/>
    <x v="3"/>
    <x v="5"/>
    <x v="0"/>
    <x v="1"/>
    <n v="136"/>
    <s v="S10_4757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209"/>
    <x v="25"/>
    <n v="100"/>
    <n v="8"/>
    <x v="1"/>
    <x v="114"/>
    <s v="2/24/2003 0:115"/>
    <x v="0"/>
    <x v="0"/>
    <s v="Shipped"/>
    <x v="0"/>
    <x v="7"/>
    <x v="1"/>
    <x v="1"/>
    <n v="136"/>
    <s v="S10_4757"/>
    <s v="Men 'R' US Retailers, Ltd."/>
    <n v="2155554369"/>
    <s v="6047 Douglas Av."/>
    <m/>
    <s v="Los Angeles"/>
    <x v="44"/>
    <s v="CA"/>
    <m/>
    <x v="0"/>
    <x v="0"/>
    <s v="NA"/>
    <s v="Chandler"/>
    <s v="Michael"/>
    <x v="1"/>
  </r>
  <r>
    <n v="10222"/>
    <x v="4"/>
    <n v="100"/>
    <n v="12"/>
    <x v="1"/>
    <x v="115"/>
    <s v="2/24/2003 0:116"/>
    <x v="0"/>
    <x v="0"/>
    <s v="Shipped"/>
    <x v="0"/>
    <x v="0"/>
    <x v="1"/>
    <x v="1"/>
    <n v="136"/>
    <s v="S10_4757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48"/>
    <x v="14"/>
    <n v="100"/>
    <n v="3"/>
    <x v="0"/>
    <x v="116"/>
    <s v="2/24/2003 0:117"/>
    <x v="3"/>
    <x v="1"/>
    <s v="Cancelled"/>
    <x v="1"/>
    <x v="1"/>
    <x v="1"/>
    <x v="1"/>
    <n v="136"/>
    <s v="S10_4757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261"/>
    <x v="26"/>
    <n v="100"/>
    <n v="1"/>
    <x v="0"/>
    <x v="117"/>
    <s v="2/24/2003 0:118"/>
    <x v="0"/>
    <x v="0"/>
    <s v="Shipped"/>
    <x v="1"/>
    <x v="9"/>
    <x v="1"/>
    <x v="1"/>
    <n v="136"/>
    <s v="S10_4757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273"/>
    <x v="0"/>
    <n v="100"/>
    <n v="4"/>
    <x v="0"/>
    <x v="118"/>
    <s v="2/24/2003 0:119"/>
    <x v="0"/>
    <x v="0"/>
    <s v="Shipped"/>
    <x v="2"/>
    <x v="2"/>
    <x v="1"/>
    <x v="1"/>
    <n v="136"/>
    <s v="S10_4757"/>
    <s v="Petit Auto"/>
    <s v="(02) 5554 67"/>
    <s v="Rue Joseph-Bens 532"/>
    <m/>
    <s v="Bruxelles"/>
    <x v="46"/>
    <m/>
    <s v="B-1180"/>
    <x v="14"/>
    <x v="14"/>
    <s v="EMEA"/>
    <s v="Dewey"/>
    <s v="Catherine"/>
    <x v="1"/>
  </r>
  <r>
    <n v="10283"/>
    <x v="32"/>
    <n v="100"/>
    <n v="6"/>
    <x v="0"/>
    <x v="119"/>
    <s v="2/24/2003 0:120"/>
    <x v="0"/>
    <x v="0"/>
    <s v="Shipped"/>
    <x v="2"/>
    <x v="3"/>
    <x v="1"/>
    <x v="1"/>
    <n v="136"/>
    <s v="S10_4757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95"/>
    <x v="16"/>
    <n v="100"/>
    <n v="1"/>
    <x v="0"/>
    <x v="120"/>
    <s v="2/24/2003 0:121"/>
    <x v="0"/>
    <x v="0"/>
    <s v="Shipped"/>
    <x v="2"/>
    <x v="10"/>
    <x v="1"/>
    <x v="1"/>
    <n v="136"/>
    <s v="S10_4757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307"/>
    <x v="8"/>
    <n v="100"/>
    <n v="9"/>
    <x v="0"/>
    <x v="121"/>
    <s v="2/24/2003 0:122"/>
    <x v="0"/>
    <x v="0"/>
    <s v="Shipped"/>
    <x v="3"/>
    <x v="4"/>
    <x v="1"/>
    <x v="1"/>
    <n v="136"/>
    <s v="S10_4757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0"/>
  </r>
  <r>
    <n v="10316"/>
    <x v="29"/>
    <n v="100"/>
    <n v="17"/>
    <x v="1"/>
    <x v="122"/>
    <s v="2/24/2003 0:123"/>
    <x v="0"/>
    <x v="0"/>
    <s v="Shipped"/>
    <x v="3"/>
    <x v="5"/>
    <x v="1"/>
    <x v="1"/>
    <n v="136"/>
    <s v="S10_4757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1"/>
  </r>
  <r>
    <n v="10325"/>
    <x v="20"/>
    <n v="64.930000000000007"/>
    <n v="6"/>
    <x v="0"/>
    <x v="123"/>
    <s v="2/24/2003 0:124"/>
    <x v="0"/>
    <x v="0"/>
    <s v="Shipped"/>
    <x v="3"/>
    <x v="5"/>
    <x v="1"/>
    <x v="1"/>
    <n v="136"/>
    <s v="S10_4757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337"/>
    <x v="32"/>
    <n v="48.05"/>
    <n v="8"/>
    <x v="0"/>
    <x v="124"/>
    <s v="2/24/2003 0:125"/>
    <x v="0"/>
    <x v="0"/>
    <s v="Shipped"/>
    <x v="3"/>
    <x v="5"/>
    <x v="1"/>
    <x v="1"/>
    <n v="136"/>
    <s v="S10_4757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0"/>
  </r>
  <r>
    <n v="10350"/>
    <x v="18"/>
    <n v="75.47"/>
    <n v="5"/>
    <x v="0"/>
    <x v="125"/>
    <s v="2/24/2003 0:126"/>
    <x v="0"/>
    <x v="0"/>
    <s v="Shipped"/>
    <x v="3"/>
    <x v="6"/>
    <x v="1"/>
    <x v="1"/>
    <n v="136"/>
    <s v="S10_4757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59"/>
    <x v="7"/>
    <n v="54.68"/>
    <n v="6"/>
    <x v="0"/>
    <x v="126"/>
    <s v="2/24/2003 0:127"/>
    <x v="0"/>
    <x v="0"/>
    <s v="Shipped"/>
    <x v="3"/>
    <x v="6"/>
    <x v="1"/>
    <x v="1"/>
    <n v="136"/>
    <s v="S10_4757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373"/>
    <x v="25"/>
    <n v="100"/>
    <n v="3"/>
    <x v="1"/>
    <x v="127"/>
    <s v="2/24/2003 0:128"/>
    <x v="0"/>
    <x v="0"/>
    <s v="Shipped"/>
    <x v="0"/>
    <x v="7"/>
    <x v="2"/>
    <x v="1"/>
    <n v="136"/>
    <s v="S10_4757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384"/>
    <x v="1"/>
    <n v="100"/>
    <n v="4"/>
    <x v="1"/>
    <x v="128"/>
    <s v="2/24/2003 0:129"/>
    <x v="0"/>
    <x v="0"/>
    <s v="Shipped"/>
    <x v="0"/>
    <x v="0"/>
    <x v="2"/>
    <x v="1"/>
    <n v="136"/>
    <s v="S10_4757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395"/>
    <x v="22"/>
    <n v="100"/>
    <n v="2"/>
    <x v="0"/>
    <x v="129"/>
    <s v="2/24/2003 0:130"/>
    <x v="0"/>
    <x v="0"/>
    <s v="Shipped"/>
    <x v="0"/>
    <x v="11"/>
    <x v="2"/>
    <x v="1"/>
    <n v="136"/>
    <s v="S10_4757"/>
    <s v="Lyon Souveniers"/>
    <s v="+33 1 46 62 7555"/>
    <s v="27 rue du Colonel Pierre Avia"/>
    <m/>
    <s v="Paris"/>
    <x v="2"/>
    <m/>
    <n v="75508"/>
    <x v="1"/>
    <x v="1"/>
    <s v="EMEA"/>
    <s v="Da Cunha"/>
    <s v="Daniel"/>
    <x v="1"/>
  </r>
  <r>
    <n v="10400"/>
    <x v="33"/>
    <n v="100"/>
    <n v="9"/>
    <x v="1"/>
    <x v="130"/>
    <s v="2/24/2003 0:131"/>
    <x v="0"/>
    <x v="0"/>
    <s v="Shipped"/>
    <x v="1"/>
    <x v="8"/>
    <x v="2"/>
    <x v="1"/>
    <n v="136"/>
    <s v="S10_4757"/>
    <s v="The Sharp Gifts Warehouse"/>
    <n v="4085553659"/>
    <s v="3086 Ingle Ln."/>
    <m/>
    <s v="San Jose"/>
    <x v="51"/>
    <s v="CA"/>
    <n v="94217"/>
    <x v="0"/>
    <x v="0"/>
    <s v="NA"/>
    <s v="Frick"/>
    <s v="Sue"/>
    <x v="2"/>
  </r>
  <r>
    <n v="10414"/>
    <x v="34"/>
    <n v="100"/>
    <n v="3"/>
    <x v="0"/>
    <x v="131"/>
    <s v="2/24/2003 0:132"/>
    <x v="4"/>
    <x v="1"/>
    <s v="On Hold"/>
    <x v="1"/>
    <x v="1"/>
    <x v="2"/>
    <x v="1"/>
    <n v="136"/>
    <s v="S10_4757"/>
    <s v="Gifts4AllAges.com"/>
    <n v="6175559555"/>
    <s v="8616 Spinnaker Dr."/>
    <m/>
    <s v="Boston"/>
    <x v="48"/>
    <s v="MA"/>
    <n v="51003"/>
    <x v="0"/>
    <x v="0"/>
    <s v="NA"/>
    <s v="Yoshido"/>
    <s v="Juri"/>
    <x v="0"/>
  </r>
  <r>
    <n v="10103"/>
    <x v="13"/>
    <n v="100"/>
    <n v="4"/>
    <x v="1"/>
    <x v="132"/>
    <s v="2/24/2003 0:133"/>
    <x v="0"/>
    <x v="0"/>
    <s v="Shipped"/>
    <x v="0"/>
    <x v="7"/>
    <x v="0"/>
    <x v="1"/>
    <n v="147"/>
    <s v="S10_4962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114"/>
    <x v="28"/>
    <n v="100"/>
    <n v="8"/>
    <x v="1"/>
    <x v="133"/>
    <s v="2/24/2003 0:134"/>
    <x v="0"/>
    <x v="0"/>
    <s v="Shipped"/>
    <x v="1"/>
    <x v="8"/>
    <x v="0"/>
    <x v="1"/>
    <n v="147"/>
    <s v="S10_4962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126"/>
    <x v="8"/>
    <n v="100"/>
    <n v="4"/>
    <x v="0"/>
    <x v="134"/>
    <s v="2/24/2003 0:135"/>
    <x v="0"/>
    <x v="0"/>
    <s v="Shipped"/>
    <x v="1"/>
    <x v="1"/>
    <x v="0"/>
    <x v="1"/>
    <n v="147"/>
    <s v="S10_4962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140"/>
    <x v="18"/>
    <n v="100"/>
    <n v="4"/>
    <x v="0"/>
    <x v="135"/>
    <s v="2/24/2003 0:136"/>
    <x v="0"/>
    <x v="0"/>
    <s v="Shipped"/>
    <x v="2"/>
    <x v="2"/>
    <x v="0"/>
    <x v="1"/>
    <n v="147"/>
    <s v="S10_4962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50"/>
    <x v="14"/>
    <n v="100"/>
    <n v="1"/>
    <x v="0"/>
    <x v="136"/>
    <s v="2/24/2003 0:137"/>
    <x v="0"/>
    <x v="0"/>
    <s v="Shipped"/>
    <x v="2"/>
    <x v="10"/>
    <x v="0"/>
    <x v="1"/>
    <n v="147"/>
    <s v="S10_4962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64"/>
    <x v="15"/>
    <n v="100"/>
    <n v="2"/>
    <x v="0"/>
    <x v="137"/>
    <s v="2/24/2003 0:138"/>
    <x v="5"/>
    <x v="1"/>
    <s v="Resolved"/>
    <x v="3"/>
    <x v="4"/>
    <x v="0"/>
    <x v="1"/>
    <n v="147"/>
    <s v="S10_4962"/>
    <s v="Mini Auto Werke"/>
    <s v="7675-3555"/>
    <s v="Kirchgasse 6"/>
    <m/>
    <s v="Graz"/>
    <x v="52"/>
    <m/>
    <n v="8010"/>
    <x v="5"/>
    <x v="5"/>
    <s v="EMEA"/>
    <s v="Mendel"/>
    <s v="Roland"/>
    <x v="1"/>
  </r>
  <r>
    <n v="10175"/>
    <x v="29"/>
    <n v="100"/>
    <n v="9"/>
    <x v="1"/>
    <x v="138"/>
    <s v="2/24/2003 0:139"/>
    <x v="0"/>
    <x v="0"/>
    <s v="Shipped"/>
    <x v="3"/>
    <x v="5"/>
    <x v="0"/>
    <x v="1"/>
    <n v="147"/>
    <s v="S10_4962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83"/>
    <x v="11"/>
    <n v="100"/>
    <n v="1"/>
    <x v="0"/>
    <x v="139"/>
    <s v="2/24/2003 0:140"/>
    <x v="0"/>
    <x v="0"/>
    <s v="Shipped"/>
    <x v="3"/>
    <x v="5"/>
    <x v="0"/>
    <x v="1"/>
    <n v="147"/>
    <s v="S10_4962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1"/>
  </r>
  <r>
    <n v="10194"/>
    <x v="18"/>
    <n v="100"/>
    <n v="4"/>
    <x v="1"/>
    <x v="140"/>
    <s v="2/24/2003 0:141"/>
    <x v="0"/>
    <x v="0"/>
    <s v="Shipped"/>
    <x v="3"/>
    <x v="5"/>
    <x v="0"/>
    <x v="1"/>
    <n v="147"/>
    <s v="S10_4962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07"/>
    <x v="28"/>
    <n v="100"/>
    <n v="15"/>
    <x v="1"/>
    <x v="141"/>
    <s v="2/24/2003 0:142"/>
    <x v="0"/>
    <x v="0"/>
    <s v="Shipped"/>
    <x v="3"/>
    <x v="6"/>
    <x v="0"/>
    <x v="1"/>
    <n v="147"/>
    <s v="S10_4962"/>
    <s v="Diecast Collectables"/>
    <n v="6175552555"/>
    <s v="6251 Ingle Ln."/>
    <m/>
    <s v="Boston"/>
    <x v="48"/>
    <s v="MA"/>
    <n v="51003"/>
    <x v="0"/>
    <x v="0"/>
    <s v="NA"/>
    <s v="Franco"/>
    <s v="Valarie"/>
    <x v="1"/>
  </r>
  <r>
    <n v="10217"/>
    <x v="7"/>
    <n v="100"/>
    <n v="4"/>
    <x v="1"/>
    <x v="142"/>
    <s v="2/24/2003 0:143"/>
    <x v="0"/>
    <x v="0"/>
    <s v="Shipped"/>
    <x v="0"/>
    <x v="0"/>
    <x v="1"/>
    <x v="1"/>
    <n v="147"/>
    <s v="S10_4962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2"/>
  </r>
  <r>
    <n v="10229"/>
    <x v="24"/>
    <n v="100"/>
    <n v="9"/>
    <x v="1"/>
    <x v="143"/>
    <s v="2/24/2003 0:144"/>
    <x v="0"/>
    <x v="0"/>
    <s v="Shipped"/>
    <x v="0"/>
    <x v="11"/>
    <x v="1"/>
    <x v="1"/>
    <n v="147"/>
    <s v="S10_496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45"/>
    <x v="11"/>
    <n v="100"/>
    <n v="2"/>
    <x v="1"/>
    <x v="144"/>
    <s v="2/24/2003 0:145"/>
    <x v="0"/>
    <x v="0"/>
    <s v="Shipped"/>
    <x v="1"/>
    <x v="1"/>
    <x v="1"/>
    <x v="1"/>
    <n v="147"/>
    <s v="S10_4962"/>
    <s v="Super Scale Inc."/>
    <n v="2035559545"/>
    <s v="567 North Pendale Street"/>
    <m/>
    <s v="New Haven"/>
    <x v="28"/>
    <s v="CT"/>
    <n v="97823"/>
    <x v="0"/>
    <x v="0"/>
    <s v="NA"/>
    <s v="Murphy"/>
    <s v="Leslie"/>
    <x v="1"/>
  </r>
  <r>
    <n v="10259"/>
    <x v="18"/>
    <n v="100"/>
    <n v="12"/>
    <x v="1"/>
    <x v="145"/>
    <s v="2/24/2003 0:146"/>
    <x v="0"/>
    <x v="0"/>
    <s v="Shipped"/>
    <x v="1"/>
    <x v="9"/>
    <x v="1"/>
    <x v="1"/>
    <n v="147"/>
    <s v="S10_4962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270"/>
    <x v="22"/>
    <n v="100"/>
    <n v="2"/>
    <x v="1"/>
    <x v="146"/>
    <s v="2/24/2003 0:147"/>
    <x v="0"/>
    <x v="0"/>
    <s v="Shipped"/>
    <x v="2"/>
    <x v="2"/>
    <x v="1"/>
    <x v="1"/>
    <n v="147"/>
    <s v="S10_4962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281"/>
    <x v="27"/>
    <n v="100"/>
    <n v="9"/>
    <x v="1"/>
    <x v="147"/>
    <s v="2/24/2003 0:148"/>
    <x v="0"/>
    <x v="0"/>
    <s v="Shipped"/>
    <x v="2"/>
    <x v="3"/>
    <x v="1"/>
    <x v="1"/>
    <n v="147"/>
    <s v="S10_4962"/>
    <s v="Diecast Classics Inc."/>
    <n v="2155551555"/>
    <s v="7586 Pompton St."/>
    <m/>
    <s v="Allentown"/>
    <x v="15"/>
    <s v="PA"/>
    <n v="70267"/>
    <x v="0"/>
    <x v="0"/>
    <s v="NA"/>
    <s v="Yu"/>
    <s v="Kyung"/>
    <x v="2"/>
  </r>
  <r>
    <n v="10291"/>
    <x v="0"/>
    <n v="100"/>
    <n v="4"/>
    <x v="0"/>
    <x v="148"/>
    <s v="2/24/2003 0:149"/>
    <x v="0"/>
    <x v="0"/>
    <s v="Shipped"/>
    <x v="2"/>
    <x v="10"/>
    <x v="1"/>
    <x v="1"/>
    <n v="147"/>
    <s v="S10_4962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305"/>
    <x v="19"/>
    <n v="100"/>
    <n v="13"/>
    <x v="1"/>
    <x v="149"/>
    <s v="2/24/2003 0:150"/>
    <x v="0"/>
    <x v="0"/>
    <s v="Shipped"/>
    <x v="3"/>
    <x v="4"/>
    <x v="1"/>
    <x v="1"/>
    <n v="147"/>
    <s v="S10_4962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313"/>
    <x v="23"/>
    <n v="100"/>
    <n v="7"/>
    <x v="1"/>
    <x v="150"/>
    <s v="2/24/2003 0:151"/>
    <x v="0"/>
    <x v="0"/>
    <s v="Shipped"/>
    <x v="3"/>
    <x v="4"/>
    <x v="1"/>
    <x v="1"/>
    <n v="147"/>
    <s v="S10_4962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1"/>
  </r>
  <r>
    <n v="10322"/>
    <x v="12"/>
    <n v="61.99"/>
    <n v="8"/>
    <x v="0"/>
    <x v="151"/>
    <s v="2/24/2003 0:152"/>
    <x v="0"/>
    <x v="0"/>
    <s v="Shipped"/>
    <x v="3"/>
    <x v="5"/>
    <x v="1"/>
    <x v="1"/>
    <n v="147"/>
    <s v="S10_4962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334"/>
    <x v="18"/>
    <n v="100"/>
    <n v="2"/>
    <x v="0"/>
    <x v="135"/>
    <s v="2/24/2003 0:153"/>
    <x v="4"/>
    <x v="1"/>
    <s v="On Hold"/>
    <x v="3"/>
    <x v="5"/>
    <x v="1"/>
    <x v="1"/>
    <n v="147"/>
    <s v="S10_4962"/>
    <s v="Volvo Model Replicas, Co"/>
    <s v="0921-12 3555"/>
    <s v="Berguvsv„gen  8"/>
    <m/>
    <s v="Lule"/>
    <x v="21"/>
    <m/>
    <s v="S-958 22"/>
    <x v="8"/>
    <x v="8"/>
    <s v="EMEA"/>
    <s v="Berglund"/>
    <s v="Christina"/>
    <x v="1"/>
  </r>
  <r>
    <n v="10347"/>
    <x v="26"/>
    <n v="100"/>
    <n v="2"/>
    <x v="1"/>
    <x v="152"/>
    <s v="2/24/2003 0:154"/>
    <x v="0"/>
    <x v="0"/>
    <s v="Shipped"/>
    <x v="3"/>
    <x v="5"/>
    <x v="1"/>
    <x v="1"/>
    <n v="147"/>
    <s v="S10_4962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7"/>
    <x v="30"/>
    <n v="100"/>
    <n v="9"/>
    <x v="1"/>
    <x v="153"/>
    <s v="2/24/2003 0:155"/>
    <x v="0"/>
    <x v="0"/>
    <s v="Shipped"/>
    <x v="3"/>
    <x v="6"/>
    <x v="1"/>
    <x v="1"/>
    <n v="147"/>
    <s v="S10_496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70"/>
    <x v="21"/>
    <n v="65.63"/>
    <n v="4"/>
    <x v="0"/>
    <x v="154"/>
    <s v="2/24/2003 0:156"/>
    <x v="0"/>
    <x v="0"/>
    <s v="Shipped"/>
    <x v="0"/>
    <x v="7"/>
    <x v="2"/>
    <x v="1"/>
    <n v="147"/>
    <s v="S10_4962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381"/>
    <x v="9"/>
    <n v="100"/>
    <n v="6"/>
    <x v="1"/>
    <x v="155"/>
    <s v="2/24/2003 0:157"/>
    <x v="0"/>
    <x v="0"/>
    <s v="Shipped"/>
    <x v="0"/>
    <x v="0"/>
    <x v="2"/>
    <x v="1"/>
    <n v="147"/>
    <s v="S10_4962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391"/>
    <x v="9"/>
    <n v="46.9"/>
    <n v="7"/>
    <x v="0"/>
    <x v="156"/>
    <s v="2/24/2003 0:158"/>
    <x v="0"/>
    <x v="0"/>
    <s v="Shipped"/>
    <x v="0"/>
    <x v="11"/>
    <x v="2"/>
    <x v="1"/>
    <n v="147"/>
    <s v="S10_4962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411"/>
    <x v="26"/>
    <n v="100"/>
    <n v="2"/>
    <x v="1"/>
    <x v="157"/>
    <s v="2/24/2003 0:159"/>
    <x v="0"/>
    <x v="0"/>
    <s v="Shipped"/>
    <x v="1"/>
    <x v="1"/>
    <x v="2"/>
    <x v="1"/>
    <n v="147"/>
    <s v="S10_4962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425"/>
    <x v="19"/>
    <n v="100"/>
    <n v="12"/>
    <x v="1"/>
    <x v="158"/>
    <s v="2/24/2003 0:160"/>
    <x v="2"/>
    <x v="1"/>
    <s v="In Process"/>
    <x v="1"/>
    <x v="1"/>
    <x v="2"/>
    <x v="1"/>
    <n v="147"/>
    <s v="S10_4962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108"/>
    <x v="29"/>
    <n v="100"/>
    <n v="6"/>
    <x v="1"/>
    <x v="159"/>
    <s v="2/24/2003 0:161"/>
    <x v="0"/>
    <x v="0"/>
    <s v="Shipped"/>
    <x v="0"/>
    <x v="11"/>
    <x v="0"/>
    <x v="1"/>
    <n v="194"/>
    <s v="S12_1099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122"/>
    <x v="13"/>
    <n v="100"/>
    <n v="10"/>
    <x v="1"/>
    <x v="160"/>
    <s v="2/24/2003 0:162"/>
    <x v="0"/>
    <x v="0"/>
    <s v="Shipped"/>
    <x v="1"/>
    <x v="1"/>
    <x v="0"/>
    <x v="1"/>
    <n v="194"/>
    <s v="S12_1099"/>
    <s v="Marseille Mini Autos"/>
    <s v="91.24.4555"/>
    <s v="12, rue des Bouchers"/>
    <m/>
    <s v="Marseille"/>
    <x v="54"/>
    <m/>
    <n v="13008"/>
    <x v="1"/>
    <x v="1"/>
    <s v="EMEA"/>
    <s v="Lebihan"/>
    <s v="Laurence"/>
    <x v="2"/>
  </r>
  <r>
    <n v="10135"/>
    <x v="13"/>
    <n v="100"/>
    <n v="7"/>
    <x v="1"/>
    <x v="161"/>
    <s v="2/24/2003 0:163"/>
    <x v="0"/>
    <x v="0"/>
    <s v="Shipped"/>
    <x v="2"/>
    <x v="2"/>
    <x v="0"/>
    <x v="1"/>
    <n v="194"/>
    <s v="S12_109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2"/>
  </r>
  <r>
    <n v="10147"/>
    <x v="7"/>
    <n v="100"/>
    <n v="7"/>
    <x v="1"/>
    <x v="162"/>
    <s v="2/24/2003 0:164"/>
    <x v="0"/>
    <x v="0"/>
    <s v="Shipped"/>
    <x v="2"/>
    <x v="10"/>
    <x v="0"/>
    <x v="1"/>
    <n v="194"/>
    <s v="S12_1099"/>
    <s v="Collectables For Less Inc."/>
    <n v="6175558555"/>
    <s v="7825 Douglas Av."/>
    <m/>
    <s v="Brickhaven"/>
    <x v="35"/>
    <s v="MA"/>
    <n v="58339"/>
    <x v="0"/>
    <x v="0"/>
    <s v="NA"/>
    <s v="Nelson"/>
    <s v="Allen"/>
    <x v="2"/>
  </r>
  <r>
    <n v="10159"/>
    <x v="2"/>
    <n v="100"/>
    <n v="2"/>
    <x v="1"/>
    <x v="163"/>
    <s v="2/24/2003 0:165"/>
    <x v="0"/>
    <x v="0"/>
    <s v="Shipped"/>
    <x v="3"/>
    <x v="4"/>
    <x v="0"/>
    <x v="1"/>
    <n v="194"/>
    <s v="S12_1099"/>
    <s v="Corporate Gift Ideas Co."/>
    <n v="6505551386"/>
    <s v="7734 Strong St."/>
    <m/>
    <s v="San Francisco"/>
    <x v="4"/>
    <s v="CA"/>
    <m/>
    <x v="0"/>
    <x v="0"/>
    <s v="NA"/>
    <s v="Brown"/>
    <s v="Julie"/>
    <x v="2"/>
  </r>
  <r>
    <n v="10169"/>
    <x v="0"/>
    <n v="100"/>
    <n v="2"/>
    <x v="1"/>
    <x v="164"/>
    <s v="2/24/2003 0:166"/>
    <x v="0"/>
    <x v="0"/>
    <s v="Shipped"/>
    <x v="3"/>
    <x v="5"/>
    <x v="0"/>
    <x v="1"/>
    <n v="194"/>
    <s v="S12_1099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81"/>
    <x v="26"/>
    <n v="100"/>
    <n v="14"/>
    <x v="1"/>
    <x v="165"/>
    <s v="2/24/2003 0:167"/>
    <x v="0"/>
    <x v="0"/>
    <s v="Shipped"/>
    <x v="3"/>
    <x v="5"/>
    <x v="0"/>
    <x v="1"/>
    <n v="194"/>
    <s v="S12_1099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191"/>
    <x v="15"/>
    <n v="100"/>
    <n v="3"/>
    <x v="0"/>
    <x v="166"/>
    <s v="2/24/2003 0:168"/>
    <x v="0"/>
    <x v="0"/>
    <s v="Shipped"/>
    <x v="3"/>
    <x v="5"/>
    <x v="0"/>
    <x v="1"/>
    <n v="194"/>
    <s v="S12_1099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203"/>
    <x v="14"/>
    <n v="100"/>
    <n v="8"/>
    <x v="0"/>
    <x v="167"/>
    <s v="2/24/2003 0:169"/>
    <x v="0"/>
    <x v="0"/>
    <s v="Shipped"/>
    <x v="3"/>
    <x v="6"/>
    <x v="0"/>
    <x v="1"/>
    <n v="194"/>
    <s v="S12_109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11"/>
    <x v="2"/>
    <n v="100"/>
    <n v="2"/>
    <x v="1"/>
    <x v="168"/>
    <s v="2/24/2003 0:170"/>
    <x v="0"/>
    <x v="0"/>
    <s v="Shipped"/>
    <x v="0"/>
    <x v="7"/>
    <x v="1"/>
    <x v="1"/>
    <n v="194"/>
    <s v="S12_1099"/>
    <s v="Auto Canal Petit"/>
    <s v="(1) 47.55.6555"/>
    <s v="25, rue Lauriston"/>
    <m/>
    <s v="Paris"/>
    <x v="2"/>
    <m/>
    <n v="75016"/>
    <x v="1"/>
    <x v="1"/>
    <s v="EMEA"/>
    <s v="Perrier"/>
    <s v="Dominique"/>
    <x v="2"/>
  </r>
  <r>
    <n v="10225"/>
    <x v="26"/>
    <n v="100"/>
    <n v="9"/>
    <x v="1"/>
    <x v="169"/>
    <s v="2/24/2003 0:171"/>
    <x v="0"/>
    <x v="0"/>
    <s v="Shipped"/>
    <x v="0"/>
    <x v="0"/>
    <x v="1"/>
    <x v="1"/>
    <n v="194"/>
    <s v="S12_1099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238"/>
    <x v="11"/>
    <n v="100"/>
    <n v="3"/>
    <x v="1"/>
    <x v="170"/>
    <s v="2/24/2003 0:172"/>
    <x v="0"/>
    <x v="0"/>
    <s v="Shipped"/>
    <x v="1"/>
    <x v="8"/>
    <x v="1"/>
    <x v="1"/>
    <n v="194"/>
    <s v="S12_1099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253"/>
    <x v="16"/>
    <n v="100"/>
    <n v="13"/>
    <x v="0"/>
    <x v="171"/>
    <s v="2/24/2003 0:173"/>
    <x v="3"/>
    <x v="1"/>
    <s v="Cancelled"/>
    <x v="1"/>
    <x v="9"/>
    <x v="1"/>
    <x v="1"/>
    <n v="194"/>
    <s v="S12_1099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266"/>
    <x v="27"/>
    <n v="100"/>
    <n v="14"/>
    <x v="1"/>
    <x v="172"/>
    <s v="2/24/2003 0:174"/>
    <x v="0"/>
    <x v="0"/>
    <s v="Shipped"/>
    <x v="2"/>
    <x v="2"/>
    <x v="1"/>
    <x v="1"/>
    <n v="194"/>
    <s v="S12_1099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2"/>
  </r>
  <r>
    <n v="10276"/>
    <x v="24"/>
    <n v="100"/>
    <n v="3"/>
    <x v="1"/>
    <x v="173"/>
    <s v="2/24/2003 0:175"/>
    <x v="0"/>
    <x v="0"/>
    <s v="Shipped"/>
    <x v="2"/>
    <x v="3"/>
    <x v="1"/>
    <x v="1"/>
    <n v="194"/>
    <s v="S12_1099"/>
    <s v="Online Mini Collectables"/>
    <n v="6175557555"/>
    <s v="7635 Spinnaker Dr."/>
    <m/>
    <s v="Brickhaven"/>
    <x v="35"/>
    <s v="MA"/>
    <n v="58339"/>
    <x v="0"/>
    <x v="0"/>
    <s v="NA"/>
    <s v="Barajas"/>
    <s v="Miguel"/>
    <x v="2"/>
  </r>
  <r>
    <n v="10287"/>
    <x v="15"/>
    <n v="100"/>
    <n v="12"/>
    <x v="0"/>
    <x v="174"/>
    <s v="2/24/2003 0:176"/>
    <x v="0"/>
    <x v="0"/>
    <s v="Shipped"/>
    <x v="2"/>
    <x v="3"/>
    <x v="1"/>
    <x v="1"/>
    <n v="194"/>
    <s v="S12_1099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300"/>
    <x v="29"/>
    <n v="100"/>
    <n v="5"/>
    <x v="1"/>
    <x v="175"/>
    <s v="2/24/2003 0:177"/>
    <x v="0"/>
    <x v="0"/>
    <s v="Shipped"/>
    <x v="3"/>
    <x v="4"/>
    <x v="0"/>
    <x v="1"/>
    <n v="194"/>
    <s v="S12_1099"/>
    <s v="Blauer See Auto, Co."/>
    <s v="+49 69 66 90 2555"/>
    <s v="Lyonerstr. 34"/>
    <m/>
    <s v="Frankfurt"/>
    <x v="58"/>
    <m/>
    <n v="60528"/>
    <x v="16"/>
    <x v="16"/>
    <s v="EMEA"/>
    <s v="Keitel"/>
    <s v="Roland"/>
    <x v="1"/>
  </r>
  <r>
    <n v="10310"/>
    <x v="29"/>
    <n v="100"/>
    <n v="10"/>
    <x v="1"/>
    <x v="176"/>
    <s v="2/24/2003 0:178"/>
    <x v="0"/>
    <x v="0"/>
    <s v="Shipped"/>
    <x v="3"/>
    <x v="4"/>
    <x v="1"/>
    <x v="1"/>
    <n v="194"/>
    <s v="S12_1099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320"/>
    <x v="28"/>
    <n v="100"/>
    <n v="3"/>
    <x v="1"/>
    <x v="177"/>
    <s v="2/24/2003 0:179"/>
    <x v="0"/>
    <x v="0"/>
    <s v="Shipped"/>
    <x v="3"/>
    <x v="5"/>
    <x v="1"/>
    <x v="1"/>
    <n v="194"/>
    <s v="S12_1099"/>
    <s v="Volvo Model Replicas, Co"/>
    <s v="0921-12 3555"/>
    <s v="Berguvsv„gen  8"/>
    <m/>
    <s v="Lule"/>
    <x v="21"/>
    <m/>
    <s v="S-958 22"/>
    <x v="8"/>
    <x v="8"/>
    <s v="EMEA"/>
    <s v="Berglund"/>
    <s v="Christina"/>
    <x v="1"/>
  </r>
  <r>
    <n v="10329"/>
    <x v="2"/>
    <n v="71.47"/>
    <n v="5"/>
    <x v="0"/>
    <x v="178"/>
    <s v="2/24/2003 0:180"/>
    <x v="0"/>
    <x v="0"/>
    <s v="Shipped"/>
    <x v="3"/>
    <x v="5"/>
    <x v="1"/>
    <x v="1"/>
    <n v="194"/>
    <s v="S12_1099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41"/>
    <x v="3"/>
    <n v="79.650000000000006"/>
    <n v="2"/>
    <x v="0"/>
    <x v="179"/>
    <s v="2/24/2003 0:181"/>
    <x v="0"/>
    <x v="0"/>
    <s v="Shipped"/>
    <x v="3"/>
    <x v="5"/>
    <x v="1"/>
    <x v="1"/>
    <n v="194"/>
    <s v="S12_1099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363"/>
    <x v="29"/>
    <n v="85.39"/>
    <n v="3"/>
    <x v="0"/>
    <x v="180"/>
    <s v="2/24/2003 0:182"/>
    <x v="0"/>
    <x v="0"/>
    <s v="Shipped"/>
    <x v="0"/>
    <x v="7"/>
    <x v="2"/>
    <x v="1"/>
    <n v="194"/>
    <s v="S12_1099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375"/>
    <x v="3"/>
    <n v="76"/>
    <n v="7"/>
    <x v="0"/>
    <x v="181"/>
    <s v="2/24/2003 0:183"/>
    <x v="0"/>
    <x v="0"/>
    <s v="Shipped"/>
    <x v="0"/>
    <x v="0"/>
    <x v="2"/>
    <x v="1"/>
    <n v="194"/>
    <s v="S12_1099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89"/>
    <x v="18"/>
    <n v="99.04"/>
    <n v="4"/>
    <x v="0"/>
    <x v="182"/>
    <s v="2/24/2003 0:184"/>
    <x v="0"/>
    <x v="0"/>
    <s v="Shipped"/>
    <x v="0"/>
    <x v="11"/>
    <x v="2"/>
    <x v="1"/>
    <n v="194"/>
    <s v="S12_1099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419"/>
    <x v="35"/>
    <n v="100"/>
    <n v="13"/>
    <x v="0"/>
    <x v="183"/>
    <s v="2/24/2003 0:185"/>
    <x v="0"/>
    <x v="0"/>
    <s v="Shipped"/>
    <x v="1"/>
    <x v="1"/>
    <x v="2"/>
    <x v="1"/>
    <n v="194"/>
    <s v="S12_1099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05"/>
    <x v="2"/>
    <n v="100"/>
    <n v="15"/>
    <x v="1"/>
    <x v="184"/>
    <s v="2/24/2003 0:186"/>
    <x v="0"/>
    <x v="0"/>
    <s v="Shipped"/>
    <x v="0"/>
    <x v="0"/>
    <x v="0"/>
    <x v="1"/>
    <n v="207"/>
    <s v="S12_1108"/>
    <s v="Danish Wholesale Imports"/>
    <s v="31 12 3555"/>
    <s v="Vinb'ltet 34"/>
    <m/>
    <s v="Kobenhavn"/>
    <x v="40"/>
    <m/>
    <n v="1734"/>
    <x v="13"/>
    <x v="13"/>
    <s v="EMEA"/>
    <s v="Petersen"/>
    <s v="Jytte"/>
    <x v="2"/>
  </r>
  <r>
    <n v="10117"/>
    <x v="29"/>
    <n v="100"/>
    <n v="9"/>
    <x v="1"/>
    <x v="185"/>
    <s v="2/24/2003 0:187"/>
    <x v="0"/>
    <x v="0"/>
    <s v="Shipped"/>
    <x v="1"/>
    <x v="8"/>
    <x v="0"/>
    <x v="1"/>
    <n v="207"/>
    <s v="S12_1108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27"/>
    <x v="12"/>
    <n v="100"/>
    <n v="2"/>
    <x v="1"/>
    <x v="186"/>
    <s v="2/24/2003 0:188"/>
    <x v="0"/>
    <x v="0"/>
    <s v="Shipped"/>
    <x v="1"/>
    <x v="9"/>
    <x v="0"/>
    <x v="1"/>
    <n v="207"/>
    <s v="S12_1108"/>
    <s v="Muscle Machine Inc"/>
    <n v="2125557413"/>
    <s v="4092 Furth Circle"/>
    <s v="Suite 400"/>
    <s v="Nyc"/>
    <x v="0"/>
    <s v="NY"/>
    <n v="10022"/>
    <x v="0"/>
    <x v="0"/>
    <s v="NA"/>
    <s v="Young"/>
    <s v="Jeff"/>
    <x v="2"/>
  </r>
  <r>
    <n v="10142"/>
    <x v="29"/>
    <n v="100"/>
    <n v="12"/>
    <x v="1"/>
    <x v="187"/>
    <s v="2/24/2003 0:189"/>
    <x v="0"/>
    <x v="0"/>
    <s v="Shipped"/>
    <x v="2"/>
    <x v="3"/>
    <x v="0"/>
    <x v="1"/>
    <n v="207"/>
    <s v="S12_110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2"/>
  </r>
  <r>
    <n v="10153"/>
    <x v="14"/>
    <n v="100"/>
    <n v="11"/>
    <x v="1"/>
    <x v="188"/>
    <s v="2/24/2003 0:190"/>
    <x v="0"/>
    <x v="0"/>
    <s v="Shipped"/>
    <x v="2"/>
    <x v="10"/>
    <x v="0"/>
    <x v="1"/>
    <n v="207"/>
    <s v="S12_110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65"/>
    <x v="27"/>
    <n v="100"/>
    <n v="3"/>
    <x v="1"/>
    <x v="189"/>
    <s v="2/24/2003 0:191"/>
    <x v="0"/>
    <x v="0"/>
    <s v="Shipped"/>
    <x v="3"/>
    <x v="4"/>
    <x v="0"/>
    <x v="1"/>
    <n v="207"/>
    <s v="S12_1108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2"/>
  </r>
  <r>
    <n v="10176"/>
    <x v="29"/>
    <n v="100"/>
    <n v="2"/>
    <x v="1"/>
    <x v="190"/>
    <s v="2/24/2003 0:192"/>
    <x v="0"/>
    <x v="0"/>
    <s v="Shipped"/>
    <x v="3"/>
    <x v="5"/>
    <x v="0"/>
    <x v="1"/>
    <n v="207"/>
    <s v="S12_1108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2"/>
  </r>
  <r>
    <n v="10185"/>
    <x v="15"/>
    <n v="100"/>
    <n v="13"/>
    <x v="0"/>
    <x v="191"/>
    <s v="2/24/2003 0:193"/>
    <x v="0"/>
    <x v="0"/>
    <s v="Shipped"/>
    <x v="3"/>
    <x v="5"/>
    <x v="0"/>
    <x v="1"/>
    <n v="207"/>
    <s v="S12_1108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96"/>
    <x v="20"/>
    <n v="100"/>
    <n v="5"/>
    <x v="1"/>
    <x v="192"/>
    <s v="2/24/2003 0:194"/>
    <x v="0"/>
    <x v="0"/>
    <s v="Shipped"/>
    <x v="3"/>
    <x v="5"/>
    <x v="0"/>
    <x v="1"/>
    <n v="207"/>
    <s v="S12_1108"/>
    <s v="Super Scale Inc."/>
    <n v="2035559545"/>
    <s v="567 North Pendale Street"/>
    <m/>
    <s v="New Haven"/>
    <x v="28"/>
    <s v="CT"/>
    <n v="97823"/>
    <x v="0"/>
    <x v="0"/>
    <s v="NA"/>
    <s v="Murphy"/>
    <s v="Leslie"/>
    <x v="2"/>
  </r>
  <r>
    <n v="10208"/>
    <x v="12"/>
    <n v="100"/>
    <n v="13"/>
    <x v="1"/>
    <x v="193"/>
    <s v="2/24/2003 0:195"/>
    <x v="0"/>
    <x v="0"/>
    <s v="Shipped"/>
    <x v="0"/>
    <x v="7"/>
    <x v="1"/>
    <x v="1"/>
    <n v="207"/>
    <s v="S12_1108"/>
    <s v="Saveley &amp; Henriot, Co."/>
    <s v="78.32.5555"/>
    <s v="2, rue du Commerce"/>
    <m/>
    <s v="Lyon"/>
    <x v="25"/>
    <m/>
    <n v="69004"/>
    <x v="1"/>
    <x v="1"/>
    <s v="EMEA"/>
    <s v="Saveley"/>
    <s v="Mary"/>
    <x v="2"/>
  </r>
  <r>
    <n v="10220"/>
    <x v="22"/>
    <n v="100"/>
    <n v="2"/>
    <x v="1"/>
    <x v="194"/>
    <s v="2/24/2003 0:196"/>
    <x v="0"/>
    <x v="0"/>
    <s v="Shipped"/>
    <x v="0"/>
    <x v="0"/>
    <x v="1"/>
    <x v="1"/>
    <n v="207"/>
    <s v="S12_1108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2"/>
  </r>
  <r>
    <n v="10231"/>
    <x v="13"/>
    <n v="100"/>
    <n v="2"/>
    <x v="1"/>
    <x v="195"/>
    <s v="2/24/2003 0:197"/>
    <x v="0"/>
    <x v="0"/>
    <s v="Shipped"/>
    <x v="0"/>
    <x v="11"/>
    <x v="1"/>
    <x v="1"/>
    <n v="207"/>
    <s v="S12_1108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2"/>
  </r>
  <r>
    <n v="10247"/>
    <x v="27"/>
    <n v="100"/>
    <n v="2"/>
    <x v="1"/>
    <x v="196"/>
    <s v="2/24/2003 0:198"/>
    <x v="0"/>
    <x v="0"/>
    <s v="Shipped"/>
    <x v="1"/>
    <x v="1"/>
    <x v="1"/>
    <x v="1"/>
    <n v="207"/>
    <s v="S12_1108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2"/>
  </r>
  <r>
    <n v="10272"/>
    <x v="21"/>
    <n v="100"/>
    <n v="2"/>
    <x v="1"/>
    <x v="197"/>
    <s v="2/24/2003 0:199"/>
    <x v="0"/>
    <x v="0"/>
    <s v="Shipped"/>
    <x v="2"/>
    <x v="2"/>
    <x v="1"/>
    <x v="1"/>
    <n v="207"/>
    <s v="S12_1108"/>
    <s v="Diecast Classics Inc."/>
    <n v="2155551555"/>
    <s v="7586 Pompton St."/>
    <m/>
    <s v="Allentown"/>
    <x v="15"/>
    <s v="PA"/>
    <n v="70267"/>
    <x v="0"/>
    <x v="0"/>
    <s v="NA"/>
    <s v="Yu"/>
    <s v="Kyung"/>
    <x v="1"/>
  </r>
  <r>
    <n v="10282"/>
    <x v="2"/>
    <n v="100"/>
    <n v="5"/>
    <x v="1"/>
    <x v="198"/>
    <s v="2/24/2003 0:200"/>
    <x v="0"/>
    <x v="0"/>
    <s v="Shipped"/>
    <x v="2"/>
    <x v="3"/>
    <x v="1"/>
    <x v="1"/>
    <n v="207"/>
    <s v="S12_110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2"/>
  </r>
  <r>
    <n v="10293"/>
    <x v="12"/>
    <n v="100"/>
    <n v="8"/>
    <x v="1"/>
    <x v="199"/>
    <s v="2/24/2003 0:201"/>
    <x v="0"/>
    <x v="0"/>
    <s v="Shipped"/>
    <x v="2"/>
    <x v="10"/>
    <x v="1"/>
    <x v="1"/>
    <n v="207"/>
    <s v="S12_1108"/>
    <s v="Amica Models &amp; Co."/>
    <s v="011-4988555"/>
    <s v="Via Monte Bianco 34"/>
    <m/>
    <s v="Torino"/>
    <x v="30"/>
    <m/>
    <n v="10100"/>
    <x v="12"/>
    <x v="12"/>
    <s v="EMEA"/>
    <s v="Accorti"/>
    <s v="Paolo"/>
    <x v="2"/>
  </r>
  <r>
    <n v="10306"/>
    <x v="28"/>
    <n v="100"/>
    <n v="13"/>
    <x v="1"/>
    <x v="200"/>
    <s v="2/24/2003 0:202"/>
    <x v="0"/>
    <x v="0"/>
    <s v="Shipped"/>
    <x v="3"/>
    <x v="4"/>
    <x v="1"/>
    <x v="1"/>
    <n v="207"/>
    <s v="S12_1108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14"/>
    <x v="19"/>
    <n v="100"/>
    <n v="5"/>
    <x v="1"/>
    <x v="201"/>
    <s v="2/24/2003 0:203"/>
    <x v="0"/>
    <x v="0"/>
    <s v="Shipped"/>
    <x v="3"/>
    <x v="4"/>
    <x v="1"/>
    <x v="1"/>
    <n v="207"/>
    <s v="S12_1108"/>
    <s v="Heintze Collectables"/>
    <s v="86 21 3555"/>
    <s v="Smagsloget 45"/>
    <m/>
    <s v="Aaarhus"/>
    <x v="62"/>
    <m/>
    <n v="8200"/>
    <x v="13"/>
    <x v="13"/>
    <s v="EMEA"/>
    <s v="Ibsen"/>
    <s v="Palle"/>
    <x v="2"/>
  </r>
  <r>
    <n v="10325"/>
    <x v="13"/>
    <n v="64"/>
    <n v="8"/>
    <x v="0"/>
    <x v="202"/>
    <s v="2/24/2003 0:204"/>
    <x v="0"/>
    <x v="0"/>
    <s v="Shipped"/>
    <x v="3"/>
    <x v="5"/>
    <x v="1"/>
    <x v="1"/>
    <n v="207"/>
    <s v="S12_1108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336"/>
    <x v="29"/>
    <n v="57.22"/>
    <n v="10"/>
    <x v="0"/>
    <x v="203"/>
    <s v="2/24/2003 0:205"/>
    <x v="0"/>
    <x v="0"/>
    <s v="Shipped"/>
    <x v="3"/>
    <x v="5"/>
    <x v="1"/>
    <x v="1"/>
    <n v="207"/>
    <s v="S12_1108"/>
    <s v="La Corne D'abondance, Co."/>
    <s v="(1) 42.34.2555"/>
    <s v="265, boulevard Charonne"/>
    <m/>
    <s v="Paris"/>
    <x v="2"/>
    <m/>
    <n v="75012"/>
    <x v="1"/>
    <x v="1"/>
    <s v="EMEA"/>
    <s v="Bertrand"/>
    <s v="Marie"/>
    <x v="0"/>
  </r>
  <r>
    <n v="10348"/>
    <x v="7"/>
    <n v="52.36"/>
    <n v="8"/>
    <x v="0"/>
    <x v="204"/>
    <s v="2/24/2003 0:206"/>
    <x v="0"/>
    <x v="0"/>
    <s v="Shipped"/>
    <x v="3"/>
    <x v="5"/>
    <x v="1"/>
    <x v="1"/>
    <n v="207"/>
    <s v="S12_1108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359"/>
    <x v="13"/>
    <n v="100"/>
    <n v="8"/>
    <x v="1"/>
    <x v="205"/>
    <s v="2/24/2003 0:207"/>
    <x v="0"/>
    <x v="0"/>
    <s v="Shipped"/>
    <x v="3"/>
    <x v="6"/>
    <x v="1"/>
    <x v="1"/>
    <n v="207"/>
    <s v="S12_1108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371"/>
    <x v="22"/>
    <n v="100"/>
    <n v="6"/>
    <x v="0"/>
    <x v="206"/>
    <s v="2/24/2003 0:208"/>
    <x v="0"/>
    <x v="0"/>
    <s v="Shipped"/>
    <x v="0"/>
    <x v="7"/>
    <x v="2"/>
    <x v="1"/>
    <n v="207"/>
    <s v="S12_110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82"/>
    <x v="1"/>
    <n v="100"/>
    <n v="10"/>
    <x v="0"/>
    <x v="207"/>
    <s v="2/24/2003 0:209"/>
    <x v="0"/>
    <x v="0"/>
    <s v="Shipped"/>
    <x v="0"/>
    <x v="0"/>
    <x v="2"/>
    <x v="1"/>
    <n v="207"/>
    <s v="S12_110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95"/>
    <x v="29"/>
    <n v="69.12"/>
    <n v="1"/>
    <x v="0"/>
    <x v="208"/>
    <s v="2/24/2003 0:210"/>
    <x v="0"/>
    <x v="0"/>
    <s v="Shipped"/>
    <x v="0"/>
    <x v="11"/>
    <x v="2"/>
    <x v="1"/>
    <n v="207"/>
    <s v="S12_1108"/>
    <s v="Lyon Souveniers"/>
    <s v="+33 1 46 62 7555"/>
    <s v="27 rue du Colonel Pierre Avia"/>
    <m/>
    <s v="Paris"/>
    <x v="2"/>
    <m/>
    <n v="75508"/>
    <x v="1"/>
    <x v="1"/>
    <s v="EMEA"/>
    <s v="Da Cunha"/>
    <s v="Daniel"/>
    <x v="0"/>
  </r>
  <r>
    <n v="10413"/>
    <x v="5"/>
    <n v="100"/>
    <n v="2"/>
    <x v="1"/>
    <x v="209"/>
    <s v="2/24/2003 0:211"/>
    <x v="0"/>
    <x v="0"/>
    <s v="Shipped"/>
    <x v="1"/>
    <x v="1"/>
    <x v="2"/>
    <x v="1"/>
    <n v="207"/>
    <s v="S12_1108"/>
    <s v="Gift Depot Inc."/>
    <n v="2035552570"/>
    <s v="25593 South Bay Ln."/>
    <m/>
    <s v="Bridgewater"/>
    <x v="10"/>
    <s v="CT"/>
    <n v="97562"/>
    <x v="0"/>
    <x v="0"/>
    <s v="NA"/>
    <s v="King"/>
    <s v="Julie"/>
    <x v="2"/>
  </r>
  <r>
    <n v="10103"/>
    <x v="26"/>
    <n v="100"/>
    <n v="8"/>
    <x v="0"/>
    <x v="210"/>
    <s v="2/24/2003 0:212"/>
    <x v="0"/>
    <x v="0"/>
    <s v="Shipped"/>
    <x v="0"/>
    <x v="7"/>
    <x v="0"/>
    <x v="2"/>
    <n v="136"/>
    <s v="S12_1666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113"/>
    <x v="15"/>
    <n v="100"/>
    <n v="2"/>
    <x v="0"/>
    <x v="211"/>
    <s v="2/24/2003 0:213"/>
    <x v="0"/>
    <x v="0"/>
    <s v="Shipped"/>
    <x v="0"/>
    <x v="11"/>
    <x v="0"/>
    <x v="2"/>
    <n v="136"/>
    <s v="S12_166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26"/>
    <x v="15"/>
    <n v="100"/>
    <n v="8"/>
    <x v="0"/>
    <x v="212"/>
    <s v="2/24/2003 0:214"/>
    <x v="0"/>
    <x v="0"/>
    <s v="Shipped"/>
    <x v="1"/>
    <x v="1"/>
    <x v="0"/>
    <x v="2"/>
    <n v="136"/>
    <s v="S12_1666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140"/>
    <x v="19"/>
    <n v="100"/>
    <n v="8"/>
    <x v="1"/>
    <x v="213"/>
    <s v="2/24/2003 0:215"/>
    <x v="0"/>
    <x v="0"/>
    <s v="Shipped"/>
    <x v="2"/>
    <x v="2"/>
    <x v="0"/>
    <x v="2"/>
    <n v="136"/>
    <s v="S12_1666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50"/>
    <x v="0"/>
    <n v="100"/>
    <n v="5"/>
    <x v="1"/>
    <x v="214"/>
    <s v="2/24/2003 0:216"/>
    <x v="0"/>
    <x v="0"/>
    <s v="Shipped"/>
    <x v="2"/>
    <x v="10"/>
    <x v="0"/>
    <x v="2"/>
    <n v="136"/>
    <s v="S12_1666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64"/>
    <x v="4"/>
    <n v="100"/>
    <n v="6"/>
    <x v="1"/>
    <x v="215"/>
    <s v="2/24/2003 0:217"/>
    <x v="5"/>
    <x v="1"/>
    <s v="Resolved"/>
    <x v="3"/>
    <x v="4"/>
    <x v="0"/>
    <x v="2"/>
    <n v="136"/>
    <s v="S12_1666"/>
    <s v="Mini Auto Werke"/>
    <s v="7675-3555"/>
    <s v="Kirchgasse 6"/>
    <m/>
    <s v="Graz"/>
    <x v="52"/>
    <m/>
    <n v="8010"/>
    <x v="5"/>
    <x v="5"/>
    <s v="EMEA"/>
    <s v="Mendel"/>
    <s v="Roland"/>
    <x v="1"/>
  </r>
  <r>
    <n v="10174"/>
    <x v="30"/>
    <n v="100"/>
    <n v="1"/>
    <x v="1"/>
    <x v="216"/>
    <s v="2/24/2003 0:218"/>
    <x v="0"/>
    <x v="0"/>
    <s v="Shipped"/>
    <x v="3"/>
    <x v="5"/>
    <x v="0"/>
    <x v="2"/>
    <n v="136"/>
    <s v="S12_1666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1"/>
  </r>
  <r>
    <n v="10183"/>
    <x v="2"/>
    <n v="100"/>
    <n v="5"/>
    <x v="1"/>
    <x v="217"/>
    <s v="2/24/2003 0:219"/>
    <x v="0"/>
    <x v="0"/>
    <s v="Shipped"/>
    <x v="3"/>
    <x v="5"/>
    <x v="0"/>
    <x v="2"/>
    <n v="136"/>
    <s v="S12_1666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1"/>
  </r>
  <r>
    <n v="10194"/>
    <x v="19"/>
    <n v="100"/>
    <n v="8"/>
    <x v="1"/>
    <x v="218"/>
    <s v="2/24/2003 0:220"/>
    <x v="0"/>
    <x v="0"/>
    <s v="Shipped"/>
    <x v="3"/>
    <x v="5"/>
    <x v="0"/>
    <x v="2"/>
    <n v="136"/>
    <s v="S12_1666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06"/>
    <x v="11"/>
    <n v="100"/>
    <n v="3"/>
    <x v="1"/>
    <x v="219"/>
    <s v="2/24/2003 0:221"/>
    <x v="0"/>
    <x v="0"/>
    <s v="Shipped"/>
    <x v="3"/>
    <x v="6"/>
    <x v="0"/>
    <x v="2"/>
    <n v="136"/>
    <s v="S12_1666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1"/>
  </r>
  <r>
    <n v="10216"/>
    <x v="30"/>
    <n v="100"/>
    <n v="1"/>
    <x v="1"/>
    <x v="220"/>
    <s v="2/24/2003 0:222"/>
    <x v="0"/>
    <x v="0"/>
    <s v="Shipped"/>
    <x v="0"/>
    <x v="0"/>
    <x v="1"/>
    <x v="2"/>
    <n v="136"/>
    <s v="S12_1666"/>
    <s v="Auto Assoc. &amp; Cie."/>
    <s v="30.59.8555"/>
    <s v="67, avenue de l'Europe"/>
    <m/>
    <s v="Versailles"/>
    <x v="32"/>
    <m/>
    <n v="78000"/>
    <x v="1"/>
    <x v="1"/>
    <s v="EMEA"/>
    <s v="Tonini"/>
    <s v="Daniel"/>
    <x v="1"/>
  </r>
  <r>
    <n v="10229"/>
    <x v="32"/>
    <n v="100"/>
    <n v="13"/>
    <x v="0"/>
    <x v="221"/>
    <s v="2/24/2003 0:223"/>
    <x v="0"/>
    <x v="0"/>
    <s v="Shipped"/>
    <x v="0"/>
    <x v="11"/>
    <x v="1"/>
    <x v="2"/>
    <n v="136"/>
    <s v="S12_166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45"/>
    <x v="19"/>
    <n v="100"/>
    <n v="6"/>
    <x v="1"/>
    <x v="222"/>
    <s v="2/24/2003 0:224"/>
    <x v="0"/>
    <x v="0"/>
    <s v="Shipped"/>
    <x v="1"/>
    <x v="1"/>
    <x v="1"/>
    <x v="2"/>
    <n v="136"/>
    <s v="S12_1666"/>
    <s v="Super Scale Inc."/>
    <n v="2035559545"/>
    <s v="567 North Pendale Street"/>
    <m/>
    <s v="New Haven"/>
    <x v="28"/>
    <s v="CT"/>
    <n v="97823"/>
    <x v="0"/>
    <x v="0"/>
    <s v="NA"/>
    <s v="Murphy"/>
    <s v="Leslie"/>
    <x v="1"/>
  </r>
  <r>
    <n v="10258"/>
    <x v="2"/>
    <n v="100"/>
    <n v="3"/>
    <x v="1"/>
    <x v="223"/>
    <s v="2/24/2003 0:225"/>
    <x v="0"/>
    <x v="0"/>
    <s v="Shipped"/>
    <x v="1"/>
    <x v="9"/>
    <x v="1"/>
    <x v="2"/>
    <n v="136"/>
    <s v="S12_1666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270"/>
    <x v="11"/>
    <n v="100"/>
    <n v="6"/>
    <x v="1"/>
    <x v="224"/>
    <s v="2/24/2003 0:226"/>
    <x v="0"/>
    <x v="0"/>
    <s v="Shipped"/>
    <x v="2"/>
    <x v="2"/>
    <x v="1"/>
    <x v="2"/>
    <n v="136"/>
    <s v="S12_1666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281"/>
    <x v="32"/>
    <n v="100"/>
    <n v="13"/>
    <x v="0"/>
    <x v="225"/>
    <s v="2/24/2003 0:227"/>
    <x v="0"/>
    <x v="0"/>
    <s v="Shipped"/>
    <x v="2"/>
    <x v="3"/>
    <x v="1"/>
    <x v="2"/>
    <n v="136"/>
    <s v="S12_1666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291"/>
    <x v="2"/>
    <n v="100"/>
    <n v="8"/>
    <x v="1"/>
    <x v="226"/>
    <s v="2/24/2003 0:228"/>
    <x v="0"/>
    <x v="0"/>
    <s v="Shipped"/>
    <x v="2"/>
    <x v="10"/>
    <x v="1"/>
    <x v="2"/>
    <n v="136"/>
    <s v="S12_1666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304"/>
    <x v="25"/>
    <n v="100"/>
    <n v="3"/>
    <x v="1"/>
    <x v="227"/>
    <s v="2/24/2003 0:229"/>
    <x v="0"/>
    <x v="0"/>
    <s v="Shipped"/>
    <x v="3"/>
    <x v="4"/>
    <x v="1"/>
    <x v="2"/>
    <n v="136"/>
    <s v="S12_1666"/>
    <s v="Auto Assoc. &amp; Cie."/>
    <s v="30.59.8555"/>
    <s v="67, avenue de l'Europe"/>
    <m/>
    <s v="Versailles"/>
    <x v="32"/>
    <m/>
    <n v="78000"/>
    <x v="1"/>
    <x v="1"/>
    <s v="EMEA"/>
    <s v="Tonini"/>
    <s v="Daniel"/>
    <x v="1"/>
  </r>
  <r>
    <n v="10313"/>
    <x v="15"/>
    <n v="100"/>
    <n v="11"/>
    <x v="0"/>
    <x v="228"/>
    <s v="2/24/2003 0:230"/>
    <x v="0"/>
    <x v="0"/>
    <s v="Shipped"/>
    <x v="3"/>
    <x v="4"/>
    <x v="1"/>
    <x v="2"/>
    <n v="136"/>
    <s v="S12_1666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0"/>
  </r>
  <r>
    <n v="10322"/>
    <x v="26"/>
    <n v="100"/>
    <n v="9"/>
    <x v="1"/>
    <x v="229"/>
    <s v="2/24/2003 0:231"/>
    <x v="0"/>
    <x v="0"/>
    <s v="Shipped"/>
    <x v="3"/>
    <x v="5"/>
    <x v="1"/>
    <x v="2"/>
    <n v="136"/>
    <s v="S12_1666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333"/>
    <x v="29"/>
    <n v="99.21"/>
    <n v="6"/>
    <x v="0"/>
    <x v="230"/>
    <s v="2/24/2003 0:232"/>
    <x v="0"/>
    <x v="0"/>
    <s v="Shipped"/>
    <x v="3"/>
    <x v="5"/>
    <x v="1"/>
    <x v="2"/>
    <n v="136"/>
    <s v="S12_1666"/>
    <s v="Mini Wheels Co."/>
    <n v="6505555787"/>
    <s v="5557 North Pendale Street"/>
    <m/>
    <s v="San Francisco"/>
    <x v="4"/>
    <s v="CA"/>
    <m/>
    <x v="0"/>
    <x v="0"/>
    <s v="NA"/>
    <s v="Murphy"/>
    <s v="Julie"/>
    <x v="1"/>
  </r>
  <r>
    <n v="10347"/>
    <x v="6"/>
    <n v="100"/>
    <n v="3"/>
    <x v="0"/>
    <x v="231"/>
    <s v="2/24/2003 0:233"/>
    <x v="0"/>
    <x v="0"/>
    <s v="Shipped"/>
    <x v="3"/>
    <x v="5"/>
    <x v="1"/>
    <x v="2"/>
    <n v="136"/>
    <s v="S12_1666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7"/>
    <x v="4"/>
    <n v="100"/>
    <n v="8"/>
    <x v="1"/>
    <x v="232"/>
    <s v="2/24/2003 0:234"/>
    <x v="0"/>
    <x v="0"/>
    <s v="Shipped"/>
    <x v="3"/>
    <x v="6"/>
    <x v="1"/>
    <x v="2"/>
    <n v="136"/>
    <s v="S12_166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70"/>
    <x v="4"/>
    <n v="100"/>
    <n v="8"/>
    <x v="1"/>
    <x v="233"/>
    <s v="2/24/2003 0:235"/>
    <x v="0"/>
    <x v="0"/>
    <s v="Shipped"/>
    <x v="0"/>
    <x v="7"/>
    <x v="2"/>
    <x v="2"/>
    <n v="136"/>
    <s v="S12_1666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2"/>
  </r>
  <r>
    <n v="10381"/>
    <x v="14"/>
    <n v="100"/>
    <n v="1"/>
    <x v="0"/>
    <x v="234"/>
    <s v="2/24/2003 0:236"/>
    <x v="0"/>
    <x v="0"/>
    <s v="Shipped"/>
    <x v="0"/>
    <x v="0"/>
    <x v="2"/>
    <x v="2"/>
    <n v="136"/>
    <s v="S12_1666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391"/>
    <x v="25"/>
    <n v="63.2"/>
    <n v="9"/>
    <x v="0"/>
    <x v="235"/>
    <s v="2/24/2003 0:237"/>
    <x v="0"/>
    <x v="0"/>
    <s v="Shipped"/>
    <x v="0"/>
    <x v="11"/>
    <x v="2"/>
    <x v="2"/>
    <n v="136"/>
    <s v="S12_1666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411"/>
    <x v="23"/>
    <n v="100"/>
    <n v="6"/>
    <x v="1"/>
    <x v="236"/>
    <s v="2/24/2003 0:238"/>
    <x v="0"/>
    <x v="0"/>
    <s v="Shipped"/>
    <x v="1"/>
    <x v="1"/>
    <x v="2"/>
    <x v="2"/>
    <n v="136"/>
    <s v="S12_1666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424"/>
    <x v="4"/>
    <n v="100"/>
    <n v="3"/>
    <x v="1"/>
    <x v="237"/>
    <s v="2/24/2003 0:239"/>
    <x v="2"/>
    <x v="1"/>
    <s v="In Process"/>
    <x v="1"/>
    <x v="1"/>
    <x v="2"/>
    <x v="2"/>
    <n v="136"/>
    <s v="S12_1666"/>
    <s v="Euro Shopping Channel"/>
    <s v="(91) 555 94 44"/>
    <s v="C/ Moralzarzal, 86"/>
    <m/>
    <s v="Madrid"/>
    <x v="20"/>
    <m/>
    <n v="28034"/>
    <x v="7"/>
    <x v="7"/>
    <s v="EMEA"/>
    <s v="Freyre"/>
    <s v="Diego"/>
    <x v="2"/>
  </r>
  <r>
    <n v="10107"/>
    <x v="15"/>
    <n v="100"/>
    <n v="1"/>
    <x v="0"/>
    <x v="238"/>
    <s v="2/24/2003 0:240"/>
    <x v="0"/>
    <x v="0"/>
    <s v="Shipped"/>
    <x v="0"/>
    <x v="0"/>
    <x v="0"/>
    <x v="0"/>
    <n v="150"/>
    <s v="S12_2823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121"/>
    <x v="24"/>
    <n v="100"/>
    <n v="4"/>
    <x v="1"/>
    <x v="239"/>
    <s v="2/24/2003 0:241"/>
    <x v="0"/>
    <x v="0"/>
    <s v="Shipped"/>
    <x v="1"/>
    <x v="1"/>
    <x v="0"/>
    <x v="0"/>
    <n v="150"/>
    <s v="S12_2823"/>
    <s v="Reims Collectables"/>
    <s v="26.47.1555"/>
    <s v="59 rue de l'Abbaye"/>
    <m/>
    <s v="Reims"/>
    <x v="1"/>
    <m/>
    <n v="51100"/>
    <x v="1"/>
    <x v="1"/>
    <s v="EMEA"/>
    <s v="Henriot"/>
    <s v="Paul"/>
    <x v="2"/>
  </r>
  <r>
    <n v="10134"/>
    <x v="14"/>
    <n v="100"/>
    <n v="1"/>
    <x v="0"/>
    <x v="240"/>
    <s v="2/24/2003 0:242"/>
    <x v="0"/>
    <x v="0"/>
    <s v="Shipped"/>
    <x v="2"/>
    <x v="2"/>
    <x v="0"/>
    <x v="0"/>
    <n v="150"/>
    <s v="S12_2823"/>
    <s v="Lyon Souveniers"/>
    <s v="+33 1 46 62 7555"/>
    <s v="27 rue du Colonel Pierre Avia"/>
    <m/>
    <s v="Paris"/>
    <x v="2"/>
    <m/>
    <n v="75508"/>
    <x v="1"/>
    <x v="1"/>
    <s v="EMEA"/>
    <s v="Da Cunha"/>
    <s v="Daniel"/>
    <x v="0"/>
  </r>
  <r>
    <n v="10145"/>
    <x v="4"/>
    <n v="100"/>
    <n v="5"/>
    <x v="1"/>
    <x v="241"/>
    <s v="2/24/2003 0:243"/>
    <x v="0"/>
    <x v="0"/>
    <s v="Shipped"/>
    <x v="2"/>
    <x v="3"/>
    <x v="0"/>
    <x v="0"/>
    <n v="150"/>
    <s v="S12_2823"/>
    <s v="Toys4GrownUps.com"/>
    <n v="6265557265"/>
    <s v="78934 Hillside Dr."/>
    <m/>
    <s v="Pasadena"/>
    <x v="3"/>
    <s v="CA"/>
    <n v="90003"/>
    <x v="0"/>
    <x v="0"/>
    <s v="NA"/>
    <s v="Young"/>
    <s v="Julie"/>
    <x v="2"/>
  </r>
  <r>
    <n v="10159"/>
    <x v="19"/>
    <n v="100"/>
    <n v="13"/>
    <x v="1"/>
    <x v="242"/>
    <s v="2/24/2003 0:244"/>
    <x v="0"/>
    <x v="0"/>
    <s v="Shipped"/>
    <x v="3"/>
    <x v="4"/>
    <x v="0"/>
    <x v="0"/>
    <n v="150"/>
    <s v="S12_2823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169"/>
    <x v="21"/>
    <n v="100"/>
    <n v="13"/>
    <x v="1"/>
    <x v="243"/>
    <s v="2/24/2003 0:245"/>
    <x v="0"/>
    <x v="0"/>
    <s v="Shipped"/>
    <x v="3"/>
    <x v="5"/>
    <x v="0"/>
    <x v="0"/>
    <n v="150"/>
    <s v="S12_2823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80"/>
    <x v="23"/>
    <n v="100"/>
    <n v="8"/>
    <x v="1"/>
    <x v="244"/>
    <s v="2/24/2003 0:246"/>
    <x v="0"/>
    <x v="0"/>
    <s v="Shipped"/>
    <x v="3"/>
    <x v="5"/>
    <x v="0"/>
    <x v="0"/>
    <n v="150"/>
    <s v="S12_2823"/>
    <s v="Daedalus Designs Imports"/>
    <s v="20.16.1555"/>
    <s v="184, chausse de Tournai"/>
    <m/>
    <s v="Lille"/>
    <x v="6"/>
    <m/>
    <n v="59000"/>
    <x v="1"/>
    <x v="1"/>
    <s v="EMEA"/>
    <s v="Rance"/>
    <s v="Martine"/>
    <x v="1"/>
  </r>
  <r>
    <n v="10189"/>
    <x v="11"/>
    <n v="100"/>
    <n v="1"/>
    <x v="1"/>
    <x v="245"/>
    <s v="2/24/2003 0:247"/>
    <x v="0"/>
    <x v="0"/>
    <s v="Shipped"/>
    <x v="3"/>
    <x v="5"/>
    <x v="0"/>
    <x v="0"/>
    <n v="150"/>
    <s v="S12_2823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201"/>
    <x v="32"/>
    <n v="100"/>
    <n v="1"/>
    <x v="1"/>
    <x v="246"/>
    <s v="2/24/2003 0:248"/>
    <x v="0"/>
    <x v="0"/>
    <s v="Shipped"/>
    <x v="3"/>
    <x v="6"/>
    <x v="0"/>
    <x v="0"/>
    <n v="150"/>
    <s v="S12_2823"/>
    <s v="Mini Wheels Co."/>
    <n v="6505555787"/>
    <s v="5557 North Pendale Street"/>
    <m/>
    <s v="San Francisco"/>
    <x v="4"/>
    <s v="CA"/>
    <m/>
    <x v="0"/>
    <x v="0"/>
    <s v="NA"/>
    <s v="Murphy"/>
    <s v="Julie"/>
    <x v="1"/>
  </r>
  <r>
    <n v="10211"/>
    <x v="5"/>
    <n v="100"/>
    <n v="13"/>
    <x v="1"/>
    <x v="247"/>
    <s v="2/24/2003 0:249"/>
    <x v="0"/>
    <x v="0"/>
    <s v="Shipped"/>
    <x v="0"/>
    <x v="7"/>
    <x v="1"/>
    <x v="0"/>
    <n v="150"/>
    <s v="S12_2823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224"/>
    <x v="30"/>
    <n v="100"/>
    <n v="6"/>
    <x v="1"/>
    <x v="248"/>
    <s v="2/24/2003 0:250"/>
    <x v="0"/>
    <x v="0"/>
    <s v="Shipped"/>
    <x v="0"/>
    <x v="0"/>
    <x v="1"/>
    <x v="0"/>
    <n v="150"/>
    <s v="S12_2823"/>
    <s v="Daedalus Designs Imports"/>
    <s v="20.16.1555"/>
    <s v="184, chausse de Tournai"/>
    <m/>
    <s v="Lille"/>
    <x v="6"/>
    <m/>
    <n v="59000"/>
    <x v="1"/>
    <x v="1"/>
    <s v="EMEA"/>
    <s v="Rance"/>
    <s v="Martine"/>
    <x v="1"/>
  </r>
  <r>
    <n v="10237"/>
    <x v="22"/>
    <n v="100"/>
    <n v="6"/>
    <x v="1"/>
    <x v="249"/>
    <s v="2/24/2003 0:251"/>
    <x v="0"/>
    <x v="0"/>
    <s v="Shipped"/>
    <x v="1"/>
    <x v="8"/>
    <x v="1"/>
    <x v="0"/>
    <n v="150"/>
    <s v="S12_2823"/>
    <s v="Vitachrome Inc."/>
    <n v="2125551500"/>
    <s v="2678 Kingston Rd."/>
    <s v="Suite 101"/>
    <s v="Nyc"/>
    <x v="0"/>
    <s v="NY"/>
    <n v="10022"/>
    <x v="0"/>
    <x v="0"/>
    <s v="NA"/>
    <s v="Frick"/>
    <s v="Michael"/>
    <x v="1"/>
  </r>
  <r>
    <n v="10251"/>
    <x v="12"/>
    <n v="100"/>
    <n v="1"/>
    <x v="1"/>
    <x v="250"/>
    <s v="2/24/2003 0:252"/>
    <x v="0"/>
    <x v="0"/>
    <s v="Shipped"/>
    <x v="1"/>
    <x v="1"/>
    <x v="1"/>
    <x v="0"/>
    <n v="150"/>
    <s v="S12_2823"/>
    <s v="Tekni Collectables Inc."/>
    <n v="2015559350"/>
    <s v="7476 Moss Rd."/>
    <m/>
    <s v="Newark"/>
    <x v="9"/>
    <s v="NJ"/>
    <n v="94019"/>
    <x v="0"/>
    <x v="0"/>
    <s v="NA"/>
    <s v="Brown"/>
    <s v="William"/>
    <x v="2"/>
  </r>
  <r>
    <n v="10263"/>
    <x v="7"/>
    <n v="100"/>
    <n v="1"/>
    <x v="1"/>
    <x v="251"/>
    <s v="2/24/2003 0:253"/>
    <x v="0"/>
    <x v="0"/>
    <s v="Shipped"/>
    <x v="1"/>
    <x v="9"/>
    <x v="1"/>
    <x v="0"/>
    <n v="150"/>
    <s v="S12_2823"/>
    <s v="Gift Depot Inc."/>
    <n v="2035552570"/>
    <s v="25593 South Bay Ln."/>
    <m/>
    <s v="Bridgewater"/>
    <x v="10"/>
    <s v="CT"/>
    <n v="97562"/>
    <x v="0"/>
    <x v="0"/>
    <s v="NA"/>
    <s v="King"/>
    <s v="Julie"/>
    <x v="1"/>
  </r>
  <r>
    <n v="10276"/>
    <x v="30"/>
    <n v="100"/>
    <n v="14"/>
    <x v="1"/>
    <x v="252"/>
    <s v="2/24/2003 0:254"/>
    <x v="0"/>
    <x v="0"/>
    <s v="Shipped"/>
    <x v="2"/>
    <x v="3"/>
    <x v="1"/>
    <x v="0"/>
    <n v="150"/>
    <s v="S12_2823"/>
    <s v="Online Mini Collectables"/>
    <n v="6175557555"/>
    <s v="7635 Spinnaker Dr."/>
    <m/>
    <s v="Brickhaven"/>
    <x v="35"/>
    <s v="MA"/>
    <n v="58339"/>
    <x v="0"/>
    <x v="0"/>
    <s v="NA"/>
    <s v="Barajas"/>
    <s v="Miguel"/>
    <x v="1"/>
  </r>
  <r>
    <n v="10285"/>
    <x v="4"/>
    <n v="100"/>
    <n v="5"/>
    <x v="1"/>
    <x v="253"/>
    <s v="2/24/2003 0:255"/>
    <x v="0"/>
    <x v="0"/>
    <s v="Shipped"/>
    <x v="2"/>
    <x v="3"/>
    <x v="1"/>
    <x v="0"/>
    <n v="150"/>
    <s v="S12_2823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299"/>
    <x v="16"/>
    <n v="100"/>
    <n v="8"/>
    <x v="1"/>
    <x v="254"/>
    <s v="2/24/2003 0:256"/>
    <x v="0"/>
    <x v="0"/>
    <s v="Shipped"/>
    <x v="2"/>
    <x v="10"/>
    <x v="1"/>
    <x v="0"/>
    <n v="150"/>
    <s v="S12_2823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309"/>
    <x v="18"/>
    <n v="100"/>
    <n v="4"/>
    <x v="1"/>
    <x v="255"/>
    <s v="2/24/2003 0:257"/>
    <x v="0"/>
    <x v="0"/>
    <s v="Shipped"/>
    <x v="3"/>
    <x v="4"/>
    <x v="1"/>
    <x v="0"/>
    <n v="150"/>
    <s v="S12_2823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319"/>
    <x v="0"/>
    <n v="100"/>
    <n v="9"/>
    <x v="1"/>
    <x v="256"/>
    <s v="2/24/2003 0:258"/>
    <x v="0"/>
    <x v="0"/>
    <s v="Shipped"/>
    <x v="3"/>
    <x v="5"/>
    <x v="1"/>
    <x v="0"/>
    <n v="150"/>
    <s v="S12_2823"/>
    <s v="Microscale Inc."/>
    <n v="2125551957"/>
    <s v="5290 North Pendale Street"/>
    <s v="Suite 200"/>
    <s v="Nyc"/>
    <x v="0"/>
    <s v="NY"/>
    <n v="10022"/>
    <x v="0"/>
    <x v="0"/>
    <s v="NA"/>
    <s v="Kuo"/>
    <s v="Kee"/>
    <x v="1"/>
  </r>
  <r>
    <n v="10329"/>
    <x v="16"/>
    <n v="100"/>
    <n v="6"/>
    <x v="0"/>
    <x v="257"/>
    <s v="2/24/2003 0:259"/>
    <x v="0"/>
    <x v="0"/>
    <s v="Shipped"/>
    <x v="3"/>
    <x v="5"/>
    <x v="1"/>
    <x v="0"/>
    <n v="150"/>
    <s v="S12_2823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41"/>
    <x v="36"/>
    <n v="100"/>
    <n v="8"/>
    <x v="1"/>
    <x v="258"/>
    <s v="2/24/2003 0:260"/>
    <x v="0"/>
    <x v="0"/>
    <s v="Shipped"/>
    <x v="3"/>
    <x v="5"/>
    <x v="1"/>
    <x v="0"/>
    <n v="150"/>
    <s v="S12_2823"/>
    <s v="Salzburg Collectables"/>
    <s v="6562-9555"/>
    <s v="Geislweg 14"/>
    <m/>
    <s v="Salzburg"/>
    <x v="16"/>
    <m/>
    <n v="5020"/>
    <x v="5"/>
    <x v="5"/>
    <s v="EMEA"/>
    <s v="Pipps"/>
    <s v="Georg"/>
    <x v="2"/>
  </r>
  <r>
    <n v="10362"/>
    <x v="8"/>
    <n v="100"/>
    <n v="1"/>
    <x v="0"/>
    <x v="259"/>
    <s v="2/24/2003 0:261"/>
    <x v="0"/>
    <x v="0"/>
    <s v="Shipped"/>
    <x v="0"/>
    <x v="7"/>
    <x v="2"/>
    <x v="0"/>
    <n v="150"/>
    <s v="S12_2823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375"/>
    <x v="4"/>
    <n v="78.92"/>
    <n v="13"/>
    <x v="0"/>
    <x v="260"/>
    <s v="2/24/2003 0:262"/>
    <x v="0"/>
    <x v="0"/>
    <s v="Shipped"/>
    <x v="0"/>
    <x v="0"/>
    <x v="2"/>
    <x v="0"/>
    <n v="150"/>
    <s v="S12_2823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88"/>
    <x v="27"/>
    <n v="100"/>
    <n v="6"/>
    <x v="1"/>
    <x v="261"/>
    <s v="2/24/2003 0:263"/>
    <x v="0"/>
    <x v="0"/>
    <s v="Shipped"/>
    <x v="0"/>
    <x v="11"/>
    <x v="2"/>
    <x v="0"/>
    <n v="150"/>
    <s v="S12_2823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403"/>
    <x v="17"/>
    <n v="100"/>
    <n v="6"/>
    <x v="1"/>
    <x v="262"/>
    <s v="2/24/2003 0:264"/>
    <x v="0"/>
    <x v="0"/>
    <s v="Shipped"/>
    <x v="1"/>
    <x v="8"/>
    <x v="2"/>
    <x v="0"/>
    <n v="150"/>
    <s v="S12_2823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2"/>
  </r>
  <r>
    <n v="10417"/>
    <x v="15"/>
    <n v="100"/>
    <n v="1"/>
    <x v="0"/>
    <x v="263"/>
    <s v="2/24/2003 0:265"/>
    <x v="1"/>
    <x v="1"/>
    <s v="Disputed"/>
    <x v="1"/>
    <x v="1"/>
    <x v="2"/>
    <x v="0"/>
    <n v="150"/>
    <s v="S12_2823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04"/>
    <x v="1"/>
    <n v="100"/>
    <n v="1"/>
    <x v="1"/>
    <x v="264"/>
    <s v="2/24/2003 0:266"/>
    <x v="0"/>
    <x v="0"/>
    <s v="Shipped"/>
    <x v="0"/>
    <x v="7"/>
    <x v="0"/>
    <x v="1"/>
    <n v="151"/>
    <s v="S12_314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17"/>
    <x v="30"/>
    <n v="100"/>
    <n v="10"/>
    <x v="1"/>
    <x v="265"/>
    <s v="2/24/2003 0:267"/>
    <x v="0"/>
    <x v="0"/>
    <s v="Shipped"/>
    <x v="1"/>
    <x v="8"/>
    <x v="0"/>
    <x v="1"/>
    <n v="151"/>
    <s v="S12_3148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27"/>
    <x v="12"/>
    <n v="100"/>
    <n v="3"/>
    <x v="1"/>
    <x v="266"/>
    <s v="2/24/2003 0:268"/>
    <x v="0"/>
    <x v="0"/>
    <s v="Shipped"/>
    <x v="1"/>
    <x v="9"/>
    <x v="0"/>
    <x v="1"/>
    <n v="151"/>
    <s v="S12_3148"/>
    <s v="Muscle Machine Inc"/>
    <n v="2125557413"/>
    <s v="4092 Furth Circle"/>
    <s v="Suite 400"/>
    <s v="Nyc"/>
    <x v="0"/>
    <s v="NY"/>
    <n v="10022"/>
    <x v="0"/>
    <x v="0"/>
    <s v="NA"/>
    <s v="Young"/>
    <s v="Jeff"/>
    <x v="2"/>
  </r>
  <r>
    <n v="10142"/>
    <x v="29"/>
    <n v="100"/>
    <n v="13"/>
    <x v="1"/>
    <x v="267"/>
    <s v="2/24/2003 0:269"/>
    <x v="0"/>
    <x v="0"/>
    <s v="Shipped"/>
    <x v="2"/>
    <x v="3"/>
    <x v="0"/>
    <x v="1"/>
    <n v="151"/>
    <s v="S12_314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53"/>
    <x v="13"/>
    <n v="100"/>
    <n v="12"/>
    <x v="1"/>
    <x v="268"/>
    <s v="2/24/2003 0:270"/>
    <x v="0"/>
    <x v="0"/>
    <s v="Shipped"/>
    <x v="2"/>
    <x v="10"/>
    <x v="0"/>
    <x v="1"/>
    <n v="151"/>
    <s v="S12_314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65"/>
    <x v="1"/>
    <n v="100"/>
    <n v="4"/>
    <x v="1"/>
    <x v="269"/>
    <s v="2/24/2003 0:271"/>
    <x v="0"/>
    <x v="0"/>
    <s v="Shipped"/>
    <x v="3"/>
    <x v="4"/>
    <x v="0"/>
    <x v="1"/>
    <n v="151"/>
    <s v="S12_3148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76"/>
    <x v="20"/>
    <n v="100"/>
    <n v="3"/>
    <x v="1"/>
    <x v="270"/>
    <s v="2/24/2003 0:272"/>
    <x v="0"/>
    <x v="0"/>
    <s v="Shipped"/>
    <x v="3"/>
    <x v="5"/>
    <x v="0"/>
    <x v="1"/>
    <n v="151"/>
    <s v="S12_3148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2"/>
  </r>
  <r>
    <n v="10185"/>
    <x v="29"/>
    <n v="100"/>
    <n v="14"/>
    <x v="1"/>
    <x v="271"/>
    <s v="2/24/2003 0:273"/>
    <x v="0"/>
    <x v="0"/>
    <s v="Shipped"/>
    <x v="3"/>
    <x v="5"/>
    <x v="0"/>
    <x v="1"/>
    <n v="151"/>
    <s v="S12_3148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96"/>
    <x v="16"/>
    <n v="100"/>
    <n v="6"/>
    <x v="0"/>
    <x v="272"/>
    <s v="2/24/2003 0:274"/>
    <x v="0"/>
    <x v="0"/>
    <s v="Shipped"/>
    <x v="3"/>
    <x v="5"/>
    <x v="0"/>
    <x v="1"/>
    <n v="151"/>
    <s v="S12_3148"/>
    <s v="Super Scale Inc."/>
    <n v="2035559545"/>
    <s v="567 North Pendale Street"/>
    <m/>
    <s v="New Haven"/>
    <x v="28"/>
    <s v="CT"/>
    <n v="97823"/>
    <x v="0"/>
    <x v="0"/>
    <s v="NA"/>
    <s v="Murphy"/>
    <s v="Leslie"/>
    <x v="1"/>
  </r>
  <r>
    <n v="10208"/>
    <x v="18"/>
    <n v="100"/>
    <n v="14"/>
    <x v="0"/>
    <x v="273"/>
    <s v="2/24/2003 0:275"/>
    <x v="0"/>
    <x v="0"/>
    <s v="Shipped"/>
    <x v="0"/>
    <x v="7"/>
    <x v="1"/>
    <x v="1"/>
    <n v="151"/>
    <s v="S12_3148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20"/>
    <x v="0"/>
    <n v="100"/>
    <n v="3"/>
    <x v="1"/>
    <x v="274"/>
    <s v="2/24/2003 0:276"/>
    <x v="0"/>
    <x v="0"/>
    <s v="Shipped"/>
    <x v="0"/>
    <x v="0"/>
    <x v="1"/>
    <x v="1"/>
    <n v="151"/>
    <s v="S12_3148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1"/>
  </r>
  <r>
    <n v="10230"/>
    <x v="30"/>
    <n v="100"/>
    <n v="1"/>
    <x v="1"/>
    <x v="275"/>
    <s v="2/24/2003 0:277"/>
    <x v="0"/>
    <x v="0"/>
    <s v="Shipped"/>
    <x v="0"/>
    <x v="11"/>
    <x v="1"/>
    <x v="1"/>
    <n v="151"/>
    <s v="S12_3148"/>
    <s v="Blauer See Auto, Co."/>
    <s v="+49 69 66 90 2555"/>
    <s v="Lyonerstr. 34"/>
    <m/>
    <s v="Frankfurt"/>
    <x v="58"/>
    <m/>
    <n v="60528"/>
    <x v="16"/>
    <x v="16"/>
    <s v="EMEA"/>
    <s v="Keitel"/>
    <s v="Roland"/>
    <x v="2"/>
  </r>
  <r>
    <n v="10247"/>
    <x v="32"/>
    <n v="100"/>
    <n v="3"/>
    <x v="1"/>
    <x v="276"/>
    <s v="2/24/2003 0:278"/>
    <x v="0"/>
    <x v="0"/>
    <s v="Shipped"/>
    <x v="1"/>
    <x v="1"/>
    <x v="1"/>
    <x v="1"/>
    <n v="151"/>
    <s v="S12_3148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272"/>
    <x v="26"/>
    <n v="100"/>
    <n v="3"/>
    <x v="1"/>
    <x v="277"/>
    <s v="2/24/2003 0:279"/>
    <x v="0"/>
    <x v="0"/>
    <s v="Shipped"/>
    <x v="2"/>
    <x v="2"/>
    <x v="1"/>
    <x v="1"/>
    <n v="151"/>
    <s v="S12_3148"/>
    <s v="Diecast Classics Inc."/>
    <n v="2155551555"/>
    <s v="7586 Pompton St."/>
    <m/>
    <s v="Allentown"/>
    <x v="15"/>
    <s v="PA"/>
    <n v="70267"/>
    <x v="0"/>
    <x v="0"/>
    <s v="NA"/>
    <s v="Yu"/>
    <s v="Kyung"/>
    <x v="1"/>
  </r>
  <r>
    <n v="10282"/>
    <x v="26"/>
    <n v="100"/>
    <n v="6"/>
    <x v="1"/>
    <x v="278"/>
    <s v="2/24/2003 0:280"/>
    <x v="0"/>
    <x v="0"/>
    <s v="Shipped"/>
    <x v="2"/>
    <x v="3"/>
    <x v="1"/>
    <x v="1"/>
    <n v="151"/>
    <s v="S12_314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93"/>
    <x v="16"/>
    <n v="100"/>
    <n v="9"/>
    <x v="1"/>
    <x v="279"/>
    <s v="2/24/2003 0:281"/>
    <x v="0"/>
    <x v="0"/>
    <s v="Shipped"/>
    <x v="2"/>
    <x v="10"/>
    <x v="1"/>
    <x v="1"/>
    <n v="151"/>
    <s v="S12_3148"/>
    <s v="Amica Models &amp; Co."/>
    <s v="011-4988555"/>
    <s v="Via Monte Bianco 34"/>
    <m/>
    <s v="Torino"/>
    <x v="30"/>
    <m/>
    <n v="10100"/>
    <x v="12"/>
    <x v="12"/>
    <s v="EMEA"/>
    <s v="Accorti"/>
    <s v="Paolo"/>
    <x v="1"/>
  </r>
  <r>
    <n v="10306"/>
    <x v="1"/>
    <n v="100"/>
    <n v="14"/>
    <x v="1"/>
    <x v="280"/>
    <s v="2/24/2003 0:282"/>
    <x v="0"/>
    <x v="0"/>
    <s v="Shipped"/>
    <x v="3"/>
    <x v="4"/>
    <x v="1"/>
    <x v="1"/>
    <n v="151"/>
    <s v="S12_3148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14"/>
    <x v="12"/>
    <n v="100"/>
    <n v="6"/>
    <x v="1"/>
    <x v="281"/>
    <s v="2/24/2003 0:283"/>
    <x v="0"/>
    <x v="0"/>
    <s v="Shipped"/>
    <x v="3"/>
    <x v="4"/>
    <x v="1"/>
    <x v="1"/>
    <n v="151"/>
    <s v="S12_3148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324"/>
    <x v="26"/>
    <n v="54.33"/>
    <n v="1"/>
    <x v="0"/>
    <x v="282"/>
    <s v="2/24/2003 0:284"/>
    <x v="0"/>
    <x v="0"/>
    <s v="Shipped"/>
    <x v="3"/>
    <x v="5"/>
    <x v="1"/>
    <x v="1"/>
    <n v="151"/>
    <s v="S12_3148"/>
    <s v="Vitachrome Inc."/>
    <n v="2125551500"/>
    <s v="2678 Kingston Rd."/>
    <s v="Suite 101"/>
    <s v="Nyc"/>
    <x v="0"/>
    <s v="NY"/>
    <n v="10022"/>
    <x v="0"/>
    <x v="0"/>
    <s v="NA"/>
    <s v="Frick"/>
    <s v="Michael"/>
    <x v="0"/>
  </r>
  <r>
    <n v="10336"/>
    <x v="29"/>
    <n v="100"/>
    <n v="11"/>
    <x v="1"/>
    <x v="283"/>
    <s v="2/24/2003 0:285"/>
    <x v="0"/>
    <x v="0"/>
    <s v="Shipped"/>
    <x v="3"/>
    <x v="5"/>
    <x v="1"/>
    <x v="1"/>
    <n v="151"/>
    <s v="S12_3148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348"/>
    <x v="20"/>
    <n v="100"/>
    <n v="4"/>
    <x v="1"/>
    <x v="284"/>
    <s v="2/24/2003 0:286"/>
    <x v="0"/>
    <x v="0"/>
    <s v="Shipped"/>
    <x v="3"/>
    <x v="5"/>
    <x v="1"/>
    <x v="1"/>
    <n v="151"/>
    <s v="S12_3148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358"/>
    <x v="4"/>
    <n v="55.34"/>
    <n v="5"/>
    <x v="0"/>
    <x v="285"/>
    <s v="2/24/2003 0:287"/>
    <x v="0"/>
    <x v="0"/>
    <s v="Shipped"/>
    <x v="3"/>
    <x v="6"/>
    <x v="1"/>
    <x v="1"/>
    <n v="151"/>
    <s v="S12_314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2"/>
    <x v="23"/>
    <n v="100"/>
    <n v="4"/>
    <x v="1"/>
    <x v="286"/>
    <s v="2/24/2003 0:288"/>
    <x v="0"/>
    <x v="0"/>
    <s v="Shipped"/>
    <x v="0"/>
    <x v="7"/>
    <x v="2"/>
    <x v="1"/>
    <n v="151"/>
    <s v="S12_3148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382"/>
    <x v="9"/>
    <n v="100"/>
    <n v="11"/>
    <x v="1"/>
    <x v="287"/>
    <s v="2/24/2003 0:289"/>
    <x v="0"/>
    <x v="0"/>
    <s v="Shipped"/>
    <x v="0"/>
    <x v="0"/>
    <x v="2"/>
    <x v="1"/>
    <n v="151"/>
    <s v="S12_314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13"/>
    <x v="20"/>
    <n v="100"/>
    <n v="3"/>
    <x v="1"/>
    <x v="288"/>
    <s v="2/24/2003 0:290"/>
    <x v="0"/>
    <x v="0"/>
    <s v="Shipped"/>
    <x v="1"/>
    <x v="1"/>
    <x v="2"/>
    <x v="1"/>
    <n v="151"/>
    <s v="S12_3148"/>
    <s v="Gift Depot Inc."/>
    <n v="2035552570"/>
    <s v="25593 South Bay Ln."/>
    <m/>
    <s v="Bridgewater"/>
    <x v="10"/>
    <s v="CT"/>
    <n v="97562"/>
    <x v="0"/>
    <x v="0"/>
    <s v="NA"/>
    <s v="King"/>
    <s v="Julie"/>
    <x v="2"/>
  </r>
  <r>
    <n v="10108"/>
    <x v="3"/>
    <n v="100"/>
    <n v="4"/>
    <x v="1"/>
    <x v="289"/>
    <s v="2/24/2003 0:291"/>
    <x v="0"/>
    <x v="0"/>
    <s v="Shipped"/>
    <x v="0"/>
    <x v="11"/>
    <x v="0"/>
    <x v="1"/>
    <n v="117"/>
    <s v="S12_3380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122"/>
    <x v="9"/>
    <n v="99.82"/>
    <n v="8"/>
    <x v="0"/>
    <x v="290"/>
    <s v="2/24/2003 0:292"/>
    <x v="0"/>
    <x v="0"/>
    <s v="Shipped"/>
    <x v="1"/>
    <x v="1"/>
    <x v="0"/>
    <x v="1"/>
    <n v="117"/>
    <s v="S12_3380"/>
    <s v="Marseille Mini Autos"/>
    <s v="91.24.4555"/>
    <s v="12, rue des Bouchers"/>
    <m/>
    <s v="Marseille"/>
    <x v="54"/>
    <m/>
    <n v="13008"/>
    <x v="1"/>
    <x v="1"/>
    <s v="EMEA"/>
    <s v="Lebihan"/>
    <s v="Laurence"/>
    <x v="1"/>
  </r>
  <r>
    <n v="10135"/>
    <x v="7"/>
    <n v="100"/>
    <n v="5"/>
    <x v="1"/>
    <x v="291"/>
    <s v="2/24/2003 0:293"/>
    <x v="0"/>
    <x v="0"/>
    <s v="Shipped"/>
    <x v="2"/>
    <x v="2"/>
    <x v="0"/>
    <x v="1"/>
    <n v="117"/>
    <s v="S12_338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47"/>
    <x v="28"/>
    <n v="100"/>
    <n v="5"/>
    <x v="0"/>
    <x v="292"/>
    <s v="2/24/2003 0:294"/>
    <x v="0"/>
    <x v="0"/>
    <s v="Shipped"/>
    <x v="2"/>
    <x v="10"/>
    <x v="0"/>
    <x v="1"/>
    <n v="117"/>
    <s v="S12_3380"/>
    <s v="Collectables For Less Inc."/>
    <n v="6175558555"/>
    <s v="7825 Douglas Av."/>
    <m/>
    <s v="Brickhaven"/>
    <x v="35"/>
    <s v="MA"/>
    <n v="58339"/>
    <x v="0"/>
    <x v="0"/>
    <s v="NA"/>
    <s v="Nelson"/>
    <s v="Allen"/>
    <x v="1"/>
  </r>
  <r>
    <n v="10160"/>
    <x v="12"/>
    <n v="100"/>
    <n v="6"/>
    <x v="1"/>
    <x v="293"/>
    <s v="2/24/2003 0:295"/>
    <x v="0"/>
    <x v="0"/>
    <s v="Shipped"/>
    <x v="3"/>
    <x v="4"/>
    <x v="0"/>
    <x v="1"/>
    <n v="117"/>
    <s v="S12_3380"/>
    <s v="Men 'R' US Retailers, Ltd."/>
    <n v="2155554369"/>
    <s v="6047 Douglas Av."/>
    <m/>
    <s v="Los Angeles"/>
    <x v="44"/>
    <s v="CA"/>
    <m/>
    <x v="0"/>
    <x v="0"/>
    <s v="NA"/>
    <s v="Chandler"/>
    <s v="Michael"/>
    <x v="1"/>
  </r>
  <r>
    <n v="10170"/>
    <x v="20"/>
    <n v="100"/>
    <n v="4"/>
    <x v="1"/>
    <x v="294"/>
    <s v="2/24/2003 0:296"/>
    <x v="0"/>
    <x v="0"/>
    <s v="Shipped"/>
    <x v="3"/>
    <x v="5"/>
    <x v="0"/>
    <x v="1"/>
    <n v="117"/>
    <s v="S12_3380"/>
    <s v="Mini Auto Werke"/>
    <s v="7675-3555"/>
    <s v="Kirchgasse 6"/>
    <m/>
    <s v="Graz"/>
    <x v="52"/>
    <m/>
    <n v="8010"/>
    <x v="5"/>
    <x v="5"/>
    <s v="EMEA"/>
    <s v="Mendel"/>
    <s v="Roland"/>
    <x v="1"/>
  </r>
  <r>
    <n v="10181"/>
    <x v="11"/>
    <n v="100"/>
    <n v="12"/>
    <x v="0"/>
    <x v="295"/>
    <s v="2/24/2003 0:297"/>
    <x v="0"/>
    <x v="0"/>
    <s v="Shipped"/>
    <x v="3"/>
    <x v="5"/>
    <x v="0"/>
    <x v="1"/>
    <n v="117"/>
    <s v="S12_3380"/>
    <s v="Herkku Gifts"/>
    <s v="+47 2267 3215"/>
    <s v="Drammen 121, PR 744 Sentrum"/>
    <m/>
    <s v="Bergen"/>
    <x v="7"/>
    <m/>
    <s v="N 5804"/>
    <x v="2"/>
    <x v="2"/>
    <s v="EMEA"/>
    <s v="Oeztan"/>
    <s v="Veysel"/>
    <x v="0"/>
  </r>
  <r>
    <n v="10191"/>
    <x v="23"/>
    <n v="100"/>
    <n v="1"/>
    <x v="1"/>
    <x v="296"/>
    <s v="2/24/2003 0:298"/>
    <x v="0"/>
    <x v="0"/>
    <s v="Shipped"/>
    <x v="3"/>
    <x v="5"/>
    <x v="0"/>
    <x v="1"/>
    <n v="117"/>
    <s v="S12_3380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203"/>
    <x v="14"/>
    <n v="100"/>
    <n v="6"/>
    <x v="0"/>
    <x v="297"/>
    <s v="2/24/2003 0:299"/>
    <x v="0"/>
    <x v="0"/>
    <s v="Shipped"/>
    <x v="3"/>
    <x v="6"/>
    <x v="0"/>
    <x v="1"/>
    <n v="117"/>
    <s v="S12_3380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12"/>
    <x v="25"/>
    <n v="100"/>
    <n v="16"/>
    <x v="1"/>
    <x v="298"/>
    <s v="2/24/2003 0:300"/>
    <x v="0"/>
    <x v="0"/>
    <s v="Shipped"/>
    <x v="0"/>
    <x v="7"/>
    <x v="1"/>
    <x v="1"/>
    <n v="117"/>
    <s v="S12_338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25"/>
    <x v="32"/>
    <n v="99.82"/>
    <n v="7"/>
    <x v="0"/>
    <x v="299"/>
    <s v="2/24/2003 0:301"/>
    <x v="0"/>
    <x v="0"/>
    <s v="Shipped"/>
    <x v="0"/>
    <x v="0"/>
    <x v="1"/>
    <x v="1"/>
    <n v="117"/>
    <s v="S12_3380"/>
    <s v="Vida Sport, Ltd"/>
    <s v="0897-034555"/>
    <s v="Grenzacherweg 237"/>
    <m/>
    <s v="Gensve"/>
    <x v="56"/>
    <m/>
    <n v="1203"/>
    <x v="17"/>
    <x v="17"/>
    <s v="EMEA"/>
    <s v="Holz"/>
    <s v="Michael"/>
    <x v="0"/>
  </r>
  <r>
    <n v="10238"/>
    <x v="6"/>
    <n v="100"/>
    <n v="1"/>
    <x v="0"/>
    <x v="300"/>
    <s v="2/24/2003 0:302"/>
    <x v="0"/>
    <x v="0"/>
    <s v="Shipped"/>
    <x v="1"/>
    <x v="8"/>
    <x v="1"/>
    <x v="1"/>
    <n v="117"/>
    <s v="S12_3380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253"/>
    <x v="8"/>
    <n v="100"/>
    <n v="11"/>
    <x v="0"/>
    <x v="301"/>
    <s v="2/24/2003 0:303"/>
    <x v="3"/>
    <x v="1"/>
    <s v="Cancelled"/>
    <x v="1"/>
    <x v="9"/>
    <x v="1"/>
    <x v="1"/>
    <n v="117"/>
    <s v="S12_3380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0"/>
  </r>
  <r>
    <n v="10266"/>
    <x v="8"/>
    <n v="100"/>
    <n v="12"/>
    <x v="0"/>
    <x v="302"/>
    <s v="2/24/2003 0:304"/>
    <x v="0"/>
    <x v="0"/>
    <s v="Shipped"/>
    <x v="2"/>
    <x v="2"/>
    <x v="1"/>
    <x v="1"/>
    <n v="117"/>
    <s v="S12_3380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276"/>
    <x v="20"/>
    <n v="100"/>
    <n v="1"/>
    <x v="1"/>
    <x v="294"/>
    <s v="2/24/2003 0:305"/>
    <x v="0"/>
    <x v="0"/>
    <s v="Shipped"/>
    <x v="2"/>
    <x v="3"/>
    <x v="1"/>
    <x v="1"/>
    <n v="117"/>
    <s v="S12_3380"/>
    <s v="Online Mini Collectables"/>
    <n v="6175557555"/>
    <s v="7635 Spinnaker Dr."/>
    <m/>
    <s v="Brickhaven"/>
    <x v="35"/>
    <s v="MA"/>
    <n v="58339"/>
    <x v="0"/>
    <x v="0"/>
    <s v="NA"/>
    <s v="Barajas"/>
    <s v="Miguel"/>
    <x v="1"/>
  </r>
  <r>
    <n v="10287"/>
    <x v="3"/>
    <n v="100"/>
    <n v="10"/>
    <x v="1"/>
    <x v="303"/>
    <s v="2/24/2003 0:306"/>
    <x v="0"/>
    <x v="0"/>
    <s v="Shipped"/>
    <x v="2"/>
    <x v="3"/>
    <x v="1"/>
    <x v="1"/>
    <n v="117"/>
    <s v="S12_3380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300"/>
    <x v="6"/>
    <n v="100"/>
    <n v="3"/>
    <x v="0"/>
    <x v="304"/>
    <s v="2/24/2003 0:307"/>
    <x v="0"/>
    <x v="0"/>
    <s v="Shipped"/>
    <x v="3"/>
    <x v="4"/>
    <x v="0"/>
    <x v="1"/>
    <n v="117"/>
    <s v="S12_3380"/>
    <s v="Blauer See Auto, Co."/>
    <s v="+49 69 66 90 2555"/>
    <s v="Lyonerstr. 34"/>
    <m/>
    <s v="Frankfurt"/>
    <x v="58"/>
    <m/>
    <n v="60528"/>
    <x v="16"/>
    <x v="16"/>
    <s v="EMEA"/>
    <s v="Keitel"/>
    <s v="Roland"/>
    <x v="1"/>
  </r>
  <r>
    <n v="10310"/>
    <x v="16"/>
    <n v="100"/>
    <n v="8"/>
    <x v="0"/>
    <x v="305"/>
    <s v="2/24/2003 0:308"/>
    <x v="0"/>
    <x v="0"/>
    <s v="Shipped"/>
    <x v="3"/>
    <x v="4"/>
    <x v="1"/>
    <x v="1"/>
    <n v="117"/>
    <s v="S12_3380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320"/>
    <x v="21"/>
    <n v="100"/>
    <n v="1"/>
    <x v="1"/>
    <x v="306"/>
    <s v="2/24/2003 0:309"/>
    <x v="0"/>
    <x v="0"/>
    <s v="Shipped"/>
    <x v="3"/>
    <x v="5"/>
    <x v="1"/>
    <x v="1"/>
    <n v="117"/>
    <s v="S12_3380"/>
    <s v="Volvo Model Replicas, Co"/>
    <s v="0921-12 3555"/>
    <s v="Berguvsv„gen  8"/>
    <m/>
    <s v="Lule"/>
    <x v="21"/>
    <m/>
    <s v="S-958 22"/>
    <x v="8"/>
    <x v="8"/>
    <s v="EMEA"/>
    <s v="Berglund"/>
    <s v="Christina"/>
    <x v="1"/>
  </r>
  <r>
    <n v="10329"/>
    <x v="12"/>
    <n v="83.63"/>
    <n v="13"/>
    <x v="0"/>
    <x v="307"/>
    <s v="2/24/2003 0:310"/>
    <x v="0"/>
    <x v="0"/>
    <s v="Shipped"/>
    <x v="3"/>
    <x v="5"/>
    <x v="1"/>
    <x v="1"/>
    <n v="117"/>
    <s v="S12_3380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41"/>
    <x v="27"/>
    <n v="95.93"/>
    <n v="1"/>
    <x v="1"/>
    <x v="308"/>
    <s v="2/24/2003 0:311"/>
    <x v="0"/>
    <x v="0"/>
    <s v="Shipped"/>
    <x v="3"/>
    <x v="5"/>
    <x v="1"/>
    <x v="1"/>
    <n v="117"/>
    <s v="S12_3380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363"/>
    <x v="1"/>
    <n v="96.73"/>
    <n v="4"/>
    <x v="0"/>
    <x v="309"/>
    <s v="2/24/2003 0:312"/>
    <x v="0"/>
    <x v="0"/>
    <s v="Shipped"/>
    <x v="0"/>
    <x v="7"/>
    <x v="2"/>
    <x v="1"/>
    <n v="117"/>
    <s v="S12_3380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376"/>
    <x v="21"/>
    <n v="100"/>
    <n v="1"/>
    <x v="0"/>
    <x v="310"/>
    <s v="2/24/2003 0:313"/>
    <x v="0"/>
    <x v="0"/>
    <s v="Shipped"/>
    <x v="0"/>
    <x v="0"/>
    <x v="2"/>
    <x v="1"/>
    <n v="117"/>
    <s v="S12_3380"/>
    <s v="Boards &amp; Toys Co."/>
    <n v="3105552373"/>
    <s v="4097 Douglas Av."/>
    <m/>
    <s v="Glendale"/>
    <x v="63"/>
    <s v="CA"/>
    <n v="92561"/>
    <x v="0"/>
    <x v="0"/>
    <s v="NA"/>
    <s v="Young"/>
    <s v="Leslie"/>
    <x v="1"/>
  </r>
  <r>
    <n v="10389"/>
    <x v="32"/>
    <n v="72.38"/>
    <n v="6"/>
    <x v="0"/>
    <x v="311"/>
    <s v="2/24/2003 0:314"/>
    <x v="0"/>
    <x v="0"/>
    <s v="Shipped"/>
    <x v="0"/>
    <x v="11"/>
    <x v="2"/>
    <x v="1"/>
    <n v="117"/>
    <s v="S12_3380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419"/>
    <x v="37"/>
    <n v="100"/>
    <n v="11"/>
    <x v="0"/>
    <x v="312"/>
    <s v="2/24/2003 0:315"/>
    <x v="0"/>
    <x v="0"/>
    <s v="Shipped"/>
    <x v="1"/>
    <x v="1"/>
    <x v="2"/>
    <x v="1"/>
    <n v="117"/>
    <s v="S12_3380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05"/>
    <x v="6"/>
    <n v="100"/>
    <n v="14"/>
    <x v="1"/>
    <x v="313"/>
    <s v="2/24/2003 0:316"/>
    <x v="0"/>
    <x v="0"/>
    <s v="Shipped"/>
    <x v="0"/>
    <x v="0"/>
    <x v="0"/>
    <x v="1"/>
    <n v="173"/>
    <s v="S12_3891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117"/>
    <x v="25"/>
    <n v="100"/>
    <n v="8"/>
    <x v="1"/>
    <x v="314"/>
    <s v="2/24/2003 0:317"/>
    <x v="0"/>
    <x v="0"/>
    <s v="Shipped"/>
    <x v="1"/>
    <x v="8"/>
    <x v="0"/>
    <x v="1"/>
    <n v="173"/>
    <s v="S12_3891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27"/>
    <x v="13"/>
    <n v="100"/>
    <n v="1"/>
    <x v="1"/>
    <x v="315"/>
    <s v="2/24/2003 0:318"/>
    <x v="0"/>
    <x v="0"/>
    <s v="Shipped"/>
    <x v="1"/>
    <x v="9"/>
    <x v="0"/>
    <x v="1"/>
    <n v="173"/>
    <s v="S12_3891"/>
    <s v="Muscle Machine Inc"/>
    <n v="2125557413"/>
    <s v="4092 Furth Circle"/>
    <s v="Suite 400"/>
    <s v="Nyc"/>
    <x v="0"/>
    <s v="NY"/>
    <n v="10022"/>
    <x v="0"/>
    <x v="0"/>
    <s v="NA"/>
    <s v="Young"/>
    <s v="Jeff"/>
    <x v="2"/>
  </r>
  <r>
    <n v="10142"/>
    <x v="12"/>
    <n v="100"/>
    <n v="11"/>
    <x v="1"/>
    <x v="316"/>
    <s v="2/24/2003 0:319"/>
    <x v="0"/>
    <x v="0"/>
    <s v="Shipped"/>
    <x v="2"/>
    <x v="3"/>
    <x v="0"/>
    <x v="1"/>
    <n v="173"/>
    <s v="S12_389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2"/>
  </r>
  <r>
    <n v="10153"/>
    <x v="4"/>
    <n v="100"/>
    <n v="10"/>
    <x v="1"/>
    <x v="317"/>
    <s v="2/24/2003 0:320"/>
    <x v="0"/>
    <x v="0"/>
    <s v="Shipped"/>
    <x v="2"/>
    <x v="10"/>
    <x v="0"/>
    <x v="1"/>
    <n v="173"/>
    <s v="S12_3891"/>
    <s v="Euro Shopping Channel"/>
    <s v="(91) 555 94 44"/>
    <s v="C/ Moralzarzal, 86"/>
    <m/>
    <s v="Madrid"/>
    <x v="20"/>
    <m/>
    <n v="28034"/>
    <x v="7"/>
    <x v="7"/>
    <s v="EMEA"/>
    <s v="Freyre"/>
    <s v="Diego"/>
    <x v="2"/>
  </r>
  <r>
    <n v="10165"/>
    <x v="26"/>
    <n v="100"/>
    <n v="2"/>
    <x v="1"/>
    <x v="318"/>
    <s v="2/24/2003 0:321"/>
    <x v="0"/>
    <x v="0"/>
    <s v="Shipped"/>
    <x v="3"/>
    <x v="4"/>
    <x v="0"/>
    <x v="1"/>
    <n v="173"/>
    <s v="S12_3891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76"/>
    <x v="24"/>
    <n v="100"/>
    <n v="1"/>
    <x v="1"/>
    <x v="319"/>
    <s v="2/24/2003 0:322"/>
    <x v="0"/>
    <x v="0"/>
    <s v="Shipped"/>
    <x v="3"/>
    <x v="5"/>
    <x v="0"/>
    <x v="1"/>
    <n v="173"/>
    <s v="S12_3891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2"/>
  </r>
  <r>
    <n v="10185"/>
    <x v="30"/>
    <n v="100"/>
    <n v="12"/>
    <x v="1"/>
    <x v="320"/>
    <s v="2/24/2003 0:323"/>
    <x v="0"/>
    <x v="0"/>
    <s v="Shipped"/>
    <x v="3"/>
    <x v="5"/>
    <x v="0"/>
    <x v="1"/>
    <n v="173"/>
    <s v="S12_3891"/>
    <s v="Mini Creations Ltd."/>
    <n v="5085559555"/>
    <s v="4575 Hillside Dr."/>
    <m/>
    <s v="New Bedford"/>
    <x v="18"/>
    <s v="MA"/>
    <n v="50553"/>
    <x v="0"/>
    <x v="0"/>
    <s v="NA"/>
    <s v="Tam"/>
    <s v="Wing C"/>
    <x v="2"/>
  </r>
  <r>
    <n v="10196"/>
    <x v="19"/>
    <n v="100"/>
    <n v="4"/>
    <x v="1"/>
    <x v="321"/>
    <s v="2/24/2003 0:324"/>
    <x v="0"/>
    <x v="0"/>
    <s v="Shipped"/>
    <x v="3"/>
    <x v="5"/>
    <x v="0"/>
    <x v="1"/>
    <n v="173"/>
    <s v="S12_3891"/>
    <s v="Super Scale Inc."/>
    <n v="2035559545"/>
    <s v="567 North Pendale Street"/>
    <m/>
    <s v="New Haven"/>
    <x v="28"/>
    <s v="CT"/>
    <n v="97823"/>
    <x v="0"/>
    <x v="0"/>
    <s v="NA"/>
    <s v="Murphy"/>
    <s v="Leslie"/>
    <x v="2"/>
  </r>
  <r>
    <n v="10208"/>
    <x v="14"/>
    <n v="100"/>
    <n v="12"/>
    <x v="0"/>
    <x v="322"/>
    <s v="2/24/2003 0:325"/>
    <x v="0"/>
    <x v="0"/>
    <s v="Shipped"/>
    <x v="0"/>
    <x v="7"/>
    <x v="1"/>
    <x v="1"/>
    <n v="173"/>
    <s v="S12_3891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20"/>
    <x v="26"/>
    <n v="100"/>
    <n v="1"/>
    <x v="1"/>
    <x v="323"/>
    <s v="2/24/2003 0:326"/>
    <x v="0"/>
    <x v="0"/>
    <s v="Shipped"/>
    <x v="0"/>
    <x v="0"/>
    <x v="1"/>
    <x v="1"/>
    <n v="173"/>
    <s v="S12_3891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1"/>
  </r>
  <r>
    <n v="10231"/>
    <x v="4"/>
    <n v="100"/>
    <n v="1"/>
    <x v="1"/>
    <x v="324"/>
    <s v="2/24/2003 0:327"/>
    <x v="0"/>
    <x v="0"/>
    <s v="Shipped"/>
    <x v="0"/>
    <x v="11"/>
    <x v="1"/>
    <x v="1"/>
    <n v="173"/>
    <s v="S12_3891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1"/>
  </r>
  <r>
    <n v="10247"/>
    <x v="26"/>
    <n v="100"/>
    <n v="1"/>
    <x v="1"/>
    <x v="325"/>
    <s v="2/24/2003 0:328"/>
    <x v="0"/>
    <x v="0"/>
    <s v="Shipped"/>
    <x v="1"/>
    <x v="1"/>
    <x v="1"/>
    <x v="1"/>
    <n v="173"/>
    <s v="S12_3891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272"/>
    <x v="25"/>
    <n v="100"/>
    <n v="1"/>
    <x v="1"/>
    <x v="326"/>
    <s v="2/24/2003 0:329"/>
    <x v="0"/>
    <x v="0"/>
    <s v="Shipped"/>
    <x v="2"/>
    <x v="2"/>
    <x v="1"/>
    <x v="1"/>
    <n v="173"/>
    <s v="S12_3891"/>
    <s v="Diecast Classics Inc."/>
    <n v="2155551555"/>
    <s v="7586 Pompton St."/>
    <m/>
    <s v="Allentown"/>
    <x v="15"/>
    <s v="PA"/>
    <n v="70267"/>
    <x v="0"/>
    <x v="0"/>
    <s v="NA"/>
    <s v="Yu"/>
    <s v="Kyung"/>
    <x v="2"/>
  </r>
  <r>
    <n v="10282"/>
    <x v="16"/>
    <n v="100"/>
    <n v="4"/>
    <x v="0"/>
    <x v="327"/>
    <s v="2/24/2003 0:330"/>
    <x v="0"/>
    <x v="0"/>
    <s v="Shipped"/>
    <x v="2"/>
    <x v="3"/>
    <x v="1"/>
    <x v="1"/>
    <n v="173"/>
    <s v="S12_389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93"/>
    <x v="3"/>
    <n v="100"/>
    <n v="7"/>
    <x v="1"/>
    <x v="328"/>
    <s v="2/24/2003 0:331"/>
    <x v="0"/>
    <x v="0"/>
    <s v="Shipped"/>
    <x v="2"/>
    <x v="10"/>
    <x v="1"/>
    <x v="1"/>
    <n v="173"/>
    <s v="S12_3891"/>
    <s v="Amica Models &amp; Co."/>
    <s v="011-4988555"/>
    <s v="Via Monte Bianco 34"/>
    <m/>
    <s v="Torino"/>
    <x v="30"/>
    <m/>
    <n v="10100"/>
    <x v="12"/>
    <x v="12"/>
    <s v="EMEA"/>
    <s v="Accorti"/>
    <s v="Paolo"/>
    <x v="2"/>
  </r>
  <r>
    <n v="10306"/>
    <x v="14"/>
    <n v="100"/>
    <n v="12"/>
    <x v="0"/>
    <x v="329"/>
    <s v="2/24/2003 0:332"/>
    <x v="0"/>
    <x v="0"/>
    <s v="Shipped"/>
    <x v="3"/>
    <x v="4"/>
    <x v="1"/>
    <x v="1"/>
    <n v="173"/>
    <s v="S12_3891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14"/>
    <x v="5"/>
    <n v="100"/>
    <n v="4"/>
    <x v="1"/>
    <x v="330"/>
    <s v="2/24/2003 0:333"/>
    <x v="0"/>
    <x v="0"/>
    <s v="Shipped"/>
    <x v="3"/>
    <x v="4"/>
    <x v="1"/>
    <x v="1"/>
    <n v="173"/>
    <s v="S12_3891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325"/>
    <x v="16"/>
    <n v="100"/>
    <n v="1"/>
    <x v="0"/>
    <x v="331"/>
    <s v="2/24/2003 0:334"/>
    <x v="0"/>
    <x v="0"/>
    <s v="Shipped"/>
    <x v="3"/>
    <x v="5"/>
    <x v="1"/>
    <x v="1"/>
    <n v="173"/>
    <s v="S12_3891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336"/>
    <x v="4"/>
    <n v="63.38"/>
    <n v="1"/>
    <x v="0"/>
    <x v="332"/>
    <s v="2/24/2003 0:335"/>
    <x v="0"/>
    <x v="0"/>
    <s v="Shipped"/>
    <x v="3"/>
    <x v="5"/>
    <x v="1"/>
    <x v="1"/>
    <n v="173"/>
    <s v="S12_3891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349"/>
    <x v="18"/>
    <n v="100"/>
    <n v="10"/>
    <x v="1"/>
    <x v="333"/>
    <s v="2/24/2003 0:336"/>
    <x v="0"/>
    <x v="0"/>
    <s v="Shipped"/>
    <x v="3"/>
    <x v="6"/>
    <x v="1"/>
    <x v="1"/>
    <n v="173"/>
    <s v="S12_3891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359"/>
    <x v="4"/>
    <n v="62.09"/>
    <n v="5"/>
    <x v="0"/>
    <x v="334"/>
    <s v="2/24/2003 0:337"/>
    <x v="0"/>
    <x v="0"/>
    <s v="Shipped"/>
    <x v="3"/>
    <x v="6"/>
    <x v="1"/>
    <x v="1"/>
    <n v="173"/>
    <s v="S12_3891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372"/>
    <x v="1"/>
    <n v="100"/>
    <n v="1"/>
    <x v="1"/>
    <x v="335"/>
    <s v="2/24/2003 0:338"/>
    <x v="0"/>
    <x v="0"/>
    <s v="Shipped"/>
    <x v="0"/>
    <x v="7"/>
    <x v="2"/>
    <x v="1"/>
    <n v="173"/>
    <s v="S12_3891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382"/>
    <x v="1"/>
    <n v="95.35"/>
    <n v="12"/>
    <x v="0"/>
    <x v="336"/>
    <s v="2/24/2003 0:339"/>
    <x v="0"/>
    <x v="0"/>
    <s v="Shipped"/>
    <x v="0"/>
    <x v="0"/>
    <x v="2"/>
    <x v="1"/>
    <n v="173"/>
    <s v="S12_389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96"/>
    <x v="29"/>
    <n v="100"/>
    <n v="3"/>
    <x v="1"/>
    <x v="337"/>
    <s v="2/24/2003 0:340"/>
    <x v="0"/>
    <x v="0"/>
    <s v="Shipped"/>
    <x v="0"/>
    <x v="11"/>
    <x v="2"/>
    <x v="1"/>
    <n v="173"/>
    <s v="S12_389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13"/>
    <x v="8"/>
    <n v="100"/>
    <n v="1"/>
    <x v="0"/>
    <x v="338"/>
    <s v="2/24/2003 0:341"/>
    <x v="0"/>
    <x v="0"/>
    <s v="Shipped"/>
    <x v="1"/>
    <x v="1"/>
    <x v="2"/>
    <x v="1"/>
    <n v="173"/>
    <s v="S12_3891"/>
    <s v="Gift Depot Inc."/>
    <n v="2035552570"/>
    <s v="25593 South Bay Ln."/>
    <m/>
    <s v="Bridgewater"/>
    <x v="10"/>
    <s v="CT"/>
    <n v="97562"/>
    <x v="0"/>
    <x v="0"/>
    <s v="NA"/>
    <s v="King"/>
    <s v="Julie"/>
    <x v="1"/>
  </r>
  <r>
    <n v="10108"/>
    <x v="25"/>
    <n v="89.38"/>
    <n v="7"/>
    <x v="0"/>
    <x v="339"/>
    <s v="2/24/2003 0:342"/>
    <x v="0"/>
    <x v="0"/>
    <s v="Shipped"/>
    <x v="0"/>
    <x v="11"/>
    <x v="0"/>
    <x v="1"/>
    <n v="79"/>
    <s v="S12_3990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122"/>
    <x v="22"/>
    <n v="63.84"/>
    <n v="11"/>
    <x v="0"/>
    <x v="340"/>
    <s v="2/24/2003 0:343"/>
    <x v="0"/>
    <x v="0"/>
    <s v="Shipped"/>
    <x v="1"/>
    <x v="1"/>
    <x v="0"/>
    <x v="1"/>
    <n v="79"/>
    <s v="S12_3990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135"/>
    <x v="16"/>
    <n v="75.010000000000005"/>
    <n v="8"/>
    <x v="0"/>
    <x v="341"/>
    <s v="2/24/2003 0:344"/>
    <x v="0"/>
    <x v="0"/>
    <s v="Shipped"/>
    <x v="2"/>
    <x v="2"/>
    <x v="0"/>
    <x v="1"/>
    <n v="79"/>
    <s v="S12_399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47"/>
    <x v="15"/>
    <n v="63.84"/>
    <n v="8"/>
    <x v="0"/>
    <x v="342"/>
    <s v="2/24/2003 0:345"/>
    <x v="0"/>
    <x v="0"/>
    <s v="Shipped"/>
    <x v="2"/>
    <x v="10"/>
    <x v="0"/>
    <x v="1"/>
    <n v="79"/>
    <s v="S12_3990"/>
    <s v="Collectables For Less Inc."/>
    <n v="6175558555"/>
    <s v="7825 Douglas Av."/>
    <m/>
    <s v="Brickhaven"/>
    <x v="35"/>
    <s v="MA"/>
    <n v="58339"/>
    <x v="0"/>
    <x v="0"/>
    <s v="NA"/>
    <s v="Nelson"/>
    <s v="Allen"/>
    <x v="0"/>
  </r>
  <r>
    <n v="10159"/>
    <x v="16"/>
    <n v="73.42"/>
    <n v="3"/>
    <x v="0"/>
    <x v="343"/>
    <s v="2/24/2003 0:346"/>
    <x v="0"/>
    <x v="0"/>
    <s v="Shipped"/>
    <x v="3"/>
    <x v="4"/>
    <x v="0"/>
    <x v="1"/>
    <n v="79"/>
    <s v="S12_3990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69"/>
    <x v="5"/>
    <n v="63.84"/>
    <n v="3"/>
    <x v="0"/>
    <x v="344"/>
    <s v="2/24/2003 0:347"/>
    <x v="0"/>
    <x v="0"/>
    <s v="Shipped"/>
    <x v="3"/>
    <x v="5"/>
    <x v="0"/>
    <x v="1"/>
    <n v="79"/>
    <s v="S12_3990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81"/>
    <x v="14"/>
    <n v="81.400000000000006"/>
    <n v="15"/>
    <x v="0"/>
    <x v="345"/>
    <s v="2/24/2003 0:348"/>
    <x v="0"/>
    <x v="0"/>
    <s v="Shipped"/>
    <x v="3"/>
    <x v="5"/>
    <x v="0"/>
    <x v="1"/>
    <n v="79"/>
    <s v="S12_3990"/>
    <s v="Herkku Gifts"/>
    <s v="+47 2267 3215"/>
    <s v="Drammen 121, PR 744 Sentrum"/>
    <m/>
    <s v="Bergen"/>
    <x v="7"/>
    <m/>
    <s v="N 5804"/>
    <x v="2"/>
    <x v="2"/>
    <s v="EMEA"/>
    <s v="Oeztan"/>
    <s v="Veysel"/>
    <x v="0"/>
  </r>
  <r>
    <n v="10191"/>
    <x v="0"/>
    <n v="64.64"/>
    <n v="4"/>
    <x v="0"/>
    <x v="346"/>
    <s v="2/24/2003 0:349"/>
    <x v="0"/>
    <x v="0"/>
    <s v="Shipped"/>
    <x v="3"/>
    <x v="5"/>
    <x v="0"/>
    <x v="1"/>
    <n v="79"/>
    <s v="S12_3990"/>
    <s v="Toms Spezialitten, Ltd"/>
    <s v="0221-5554327"/>
    <s v="Mehrheimerstr. 369"/>
    <m/>
    <s v="Koln"/>
    <x v="55"/>
    <m/>
    <n v="50739"/>
    <x v="16"/>
    <x v="16"/>
    <s v="EMEA"/>
    <s v="Pfalzheim"/>
    <s v="Henriette"/>
    <x v="0"/>
  </r>
  <r>
    <n v="10203"/>
    <x v="27"/>
    <n v="82.99"/>
    <n v="9"/>
    <x v="0"/>
    <x v="347"/>
    <s v="2/24/2003 0:350"/>
    <x v="0"/>
    <x v="0"/>
    <s v="Shipped"/>
    <x v="3"/>
    <x v="6"/>
    <x v="0"/>
    <x v="1"/>
    <n v="79"/>
    <s v="S12_399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11"/>
    <x v="11"/>
    <n v="92.57"/>
    <n v="3"/>
    <x v="0"/>
    <x v="348"/>
    <s v="2/24/2003 0:351"/>
    <x v="0"/>
    <x v="0"/>
    <s v="Shipped"/>
    <x v="0"/>
    <x v="7"/>
    <x v="1"/>
    <x v="1"/>
    <n v="79"/>
    <s v="S12_3990"/>
    <s v="Auto Canal Petit"/>
    <s v="(1) 47.55.6555"/>
    <s v="25, rue Lauriston"/>
    <m/>
    <s v="Paris"/>
    <x v="2"/>
    <m/>
    <n v="75016"/>
    <x v="1"/>
    <x v="1"/>
    <s v="EMEA"/>
    <s v="Perrier"/>
    <s v="Dominique"/>
    <x v="0"/>
  </r>
  <r>
    <n v="10225"/>
    <x v="9"/>
    <n v="77.41"/>
    <n v="10"/>
    <x v="0"/>
    <x v="349"/>
    <s v="2/24/2003 0:352"/>
    <x v="0"/>
    <x v="0"/>
    <s v="Shipped"/>
    <x v="0"/>
    <x v="0"/>
    <x v="1"/>
    <x v="1"/>
    <n v="79"/>
    <s v="S12_3990"/>
    <s v="Vida Sport, Ltd"/>
    <s v="0897-034555"/>
    <s v="Grenzacherweg 237"/>
    <m/>
    <s v="Gensve"/>
    <x v="56"/>
    <m/>
    <n v="1203"/>
    <x v="17"/>
    <x v="17"/>
    <s v="EMEA"/>
    <s v="Holz"/>
    <s v="Michael"/>
    <x v="0"/>
  </r>
  <r>
    <n v="10238"/>
    <x v="14"/>
    <n v="74.209999999999994"/>
    <n v="4"/>
    <x v="0"/>
    <x v="350"/>
    <s v="2/24/2003 0:353"/>
    <x v="0"/>
    <x v="0"/>
    <s v="Shipped"/>
    <x v="1"/>
    <x v="8"/>
    <x v="1"/>
    <x v="1"/>
    <n v="79"/>
    <s v="S12_3990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253"/>
    <x v="32"/>
    <n v="90.17"/>
    <n v="14"/>
    <x v="0"/>
    <x v="351"/>
    <s v="2/24/2003 0:354"/>
    <x v="3"/>
    <x v="1"/>
    <s v="Cancelled"/>
    <x v="1"/>
    <x v="9"/>
    <x v="1"/>
    <x v="1"/>
    <n v="79"/>
    <s v="S12_3990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0"/>
  </r>
  <r>
    <n v="10266"/>
    <x v="21"/>
    <n v="76.61"/>
    <n v="15"/>
    <x v="0"/>
    <x v="352"/>
    <s v="2/24/2003 0:355"/>
    <x v="0"/>
    <x v="0"/>
    <s v="Shipped"/>
    <x v="2"/>
    <x v="2"/>
    <x v="1"/>
    <x v="1"/>
    <n v="79"/>
    <s v="S12_3990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276"/>
    <x v="19"/>
    <n v="83.79"/>
    <n v="4"/>
    <x v="0"/>
    <x v="353"/>
    <s v="2/24/2003 0:356"/>
    <x v="0"/>
    <x v="0"/>
    <s v="Shipped"/>
    <x v="2"/>
    <x v="3"/>
    <x v="1"/>
    <x v="1"/>
    <n v="79"/>
    <s v="S12_3990"/>
    <s v="Online Mini Collectables"/>
    <n v="6175557555"/>
    <s v="7635 Spinnaker Dr."/>
    <m/>
    <s v="Brickhaven"/>
    <x v="35"/>
    <s v="MA"/>
    <n v="58339"/>
    <x v="0"/>
    <x v="0"/>
    <s v="NA"/>
    <s v="Barajas"/>
    <s v="Miguel"/>
    <x v="1"/>
  </r>
  <r>
    <n v="10287"/>
    <x v="2"/>
    <n v="69.430000000000007"/>
    <n v="13"/>
    <x v="0"/>
    <x v="354"/>
    <s v="2/24/2003 0:357"/>
    <x v="0"/>
    <x v="0"/>
    <s v="Shipped"/>
    <x v="2"/>
    <x v="3"/>
    <x v="1"/>
    <x v="1"/>
    <n v="79"/>
    <s v="S12_3990"/>
    <s v="Vida Sport, Ltd"/>
    <s v="0897-034555"/>
    <s v="Grenzacherweg 237"/>
    <m/>
    <s v="Gensve"/>
    <x v="56"/>
    <m/>
    <n v="1203"/>
    <x v="17"/>
    <x v="17"/>
    <s v="EMEA"/>
    <s v="Holz"/>
    <s v="Michael"/>
    <x v="0"/>
  </r>
  <r>
    <n v="10300"/>
    <x v="8"/>
    <n v="76.61"/>
    <n v="6"/>
    <x v="0"/>
    <x v="355"/>
    <s v="2/24/2003 0:358"/>
    <x v="0"/>
    <x v="0"/>
    <s v="Shipped"/>
    <x v="3"/>
    <x v="4"/>
    <x v="0"/>
    <x v="1"/>
    <n v="79"/>
    <s v="S12_3990"/>
    <s v="Blauer See Auto, Co."/>
    <s v="+49 69 66 90 2555"/>
    <s v="Lyonerstr. 34"/>
    <m/>
    <s v="Frankfurt"/>
    <x v="58"/>
    <m/>
    <n v="60528"/>
    <x v="16"/>
    <x v="16"/>
    <s v="EMEA"/>
    <s v="Keitel"/>
    <s v="Roland"/>
    <x v="0"/>
  </r>
  <r>
    <n v="10310"/>
    <x v="4"/>
    <n v="81.400000000000006"/>
    <n v="11"/>
    <x v="0"/>
    <x v="356"/>
    <s v="2/24/2003 0:359"/>
    <x v="0"/>
    <x v="0"/>
    <s v="Shipped"/>
    <x v="3"/>
    <x v="4"/>
    <x v="1"/>
    <x v="1"/>
    <n v="79"/>
    <s v="S12_3990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320"/>
    <x v="19"/>
    <n v="73.42"/>
    <n v="4"/>
    <x v="0"/>
    <x v="357"/>
    <s v="2/24/2003 0:360"/>
    <x v="0"/>
    <x v="0"/>
    <s v="Shipped"/>
    <x v="3"/>
    <x v="5"/>
    <x v="1"/>
    <x v="1"/>
    <n v="79"/>
    <s v="S12_3990"/>
    <s v="Volvo Model Replicas, Co"/>
    <s v="0921-12 3555"/>
    <s v="Berguvsv„gen  8"/>
    <m/>
    <s v="Lule"/>
    <x v="21"/>
    <m/>
    <s v="S-958 22"/>
    <x v="8"/>
    <x v="8"/>
    <s v="EMEA"/>
    <s v="Berglund"/>
    <s v="Christina"/>
    <x v="0"/>
  </r>
  <r>
    <n v="10329"/>
    <x v="29"/>
    <n v="100"/>
    <n v="14"/>
    <x v="0"/>
    <x v="358"/>
    <s v="2/24/2003 0:361"/>
    <x v="0"/>
    <x v="0"/>
    <s v="Shipped"/>
    <x v="3"/>
    <x v="5"/>
    <x v="1"/>
    <x v="1"/>
    <n v="79"/>
    <s v="S12_3990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41"/>
    <x v="5"/>
    <n v="93.56"/>
    <n v="10"/>
    <x v="0"/>
    <x v="359"/>
    <s v="2/24/2003 0:362"/>
    <x v="0"/>
    <x v="0"/>
    <s v="Shipped"/>
    <x v="3"/>
    <x v="5"/>
    <x v="1"/>
    <x v="1"/>
    <n v="79"/>
    <s v="S12_3990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363"/>
    <x v="1"/>
    <n v="81.62"/>
    <n v="5"/>
    <x v="0"/>
    <x v="360"/>
    <s v="2/24/2003 0:363"/>
    <x v="0"/>
    <x v="0"/>
    <s v="Shipped"/>
    <x v="0"/>
    <x v="7"/>
    <x v="2"/>
    <x v="1"/>
    <n v="79"/>
    <s v="S12_3990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377"/>
    <x v="16"/>
    <n v="67.83"/>
    <n v="5"/>
    <x v="0"/>
    <x v="361"/>
    <s v="2/24/2003 0:364"/>
    <x v="0"/>
    <x v="0"/>
    <s v="Shipped"/>
    <x v="0"/>
    <x v="0"/>
    <x v="2"/>
    <x v="1"/>
    <n v="79"/>
    <s v="S12_3990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389"/>
    <x v="5"/>
    <n v="70.260000000000005"/>
    <n v="7"/>
    <x v="0"/>
    <x v="362"/>
    <s v="2/24/2003 0:365"/>
    <x v="0"/>
    <x v="0"/>
    <s v="Shipped"/>
    <x v="0"/>
    <x v="11"/>
    <x v="2"/>
    <x v="1"/>
    <n v="79"/>
    <s v="S12_3990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419"/>
    <x v="1"/>
    <n v="90.17"/>
    <n v="14"/>
    <x v="0"/>
    <x v="363"/>
    <s v="2/24/2003 0:366"/>
    <x v="0"/>
    <x v="0"/>
    <s v="Shipped"/>
    <x v="1"/>
    <x v="1"/>
    <x v="2"/>
    <x v="1"/>
    <n v="79"/>
    <s v="S12_3990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104"/>
    <x v="2"/>
    <n v="100"/>
    <n v="9"/>
    <x v="1"/>
    <x v="364"/>
    <s v="2/24/2003 0:367"/>
    <x v="0"/>
    <x v="0"/>
    <s v="Shipped"/>
    <x v="0"/>
    <x v="7"/>
    <x v="0"/>
    <x v="2"/>
    <n v="118"/>
    <s v="S12_4473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15"/>
    <x v="12"/>
    <n v="100"/>
    <n v="5"/>
    <x v="1"/>
    <x v="365"/>
    <s v="2/24/2003 0:368"/>
    <x v="0"/>
    <x v="0"/>
    <s v="Shipped"/>
    <x v="1"/>
    <x v="8"/>
    <x v="0"/>
    <x v="2"/>
    <n v="118"/>
    <s v="S12_4473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1"/>
  </r>
  <r>
    <n v="10127"/>
    <x v="16"/>
    <n v="100"/>
    <n v="11"/>
    <x v="0"/>
    <x v="366"/>
    <s v="2/24/2003 0:369"/>
    <x v="0"/>
    <x v="0"/>
    <s v="Shipped"/>
    <x v="1"/>
    <x v="9"/>
    <x v="0"/>
    <x v="2"/>
    <n v="118"/>
    <s v="S12_4473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141"/>
    <x v="15"/>
    <n v="100"/>
    <n v="5"/>
    <x v="0"/>
    <x v="367"/>
    <s v="2/24/2003 0:370"/>
    <x v="0"/>
    <x v="0"/>
    <s v="Shipped"/>
    <x v="2"/>
    <x v="3"/>
    <x v="0"/>
    <x v="2"/>
    <n v="118"/>
    <s v="S12_4473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151"/>
    <x v="16"/>
    <n v="100"/>
    <n v="3"/>
    <x v="0"/>
    <x v="368"/>
    <s v="2/24/2003 0:371"/>
    <x v="0"/>
    <x v="0"/>
    <s v="Shipped"/>
    <x v="2"/>
    <x v="10"/>
    <x v="0"/>
    <x v="2"/>
    <n v="118"/>
    <s v="S12_4473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165"/>
    <x v="7"/>
    <n v="100"/>
    <n v="12"/>
    <x v="1"/>
    <x v="369"/>
    <s v="2/24/2003 0:372"/>
    <x v="0"/>
    <x v="0"/>
    <s v="Shipped"/>
    <x v="3"/>
    <x v="4"/>
    <x v="0"/>
    <x v="2"/>
    <n v="118"/>
    <s v="S12_4473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75"/>
    <x v="18"/>
    <n v="100"/>
    <n v="1"/>
    <x v="0"/>
    <x v="370"/>
    <s v="2/24/2003 0:373"/>
    <x v="0"/>
    <x v="0"/>
    <s v="Shipped"/>
    <x v="3"/>
    <x v="5"/>
    <x v="0"/>
    <x v="2"/>
    <n v="118"/>
    <s v="S12_4473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84"/>
    <x v="9"/>
    <n v="100"/>
    <n v="6"/>
    <x v="1"/>
    <x v="371"/>
    <s v="2/24/2003 0:374"/>
    <x v="0"/>
    <x v="0"/>
    <s v="Shipped"/>
    <x v="3"/>
    <x v="5"/>
    <x v="0"/>
    <x v="2"/>
    <n v="118"/>
    <s v="S12_4473"/>
    <s v="Iberia Gift Imports, Corp."/>
    <s v="(95) 555 82 82"/>
    <s v="C/ Romero, 33"/>
    <m/>
    <s v="Sevilla"/>
    <x v="64"/>
    <m/>
    <n v="41101"/>
    <x v="7"/>
    <x v="7"/>
    <s v="EMEA"/>
    <s v="Roel"/>
    <s v="Jose Pedro"/>
    <x v="1"/>
  </r>
  <r>
    <n v="10195"/>
    <x v="4"/>
    <n v="100"/>
    <n v="6"/>
    <x v="1"/>
    <x v="372"/>
    <s v="2/24/2003 0:375"/>
    <x v="0"/>
    <x v="0"/>
    <s v="Shipped"/>
    <x v="3"/>
    <x v="5"/>
    <x v="0"/>
    <x v="2"/>
    <n v="118"/>
    <s v="S12_4473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207"/>
    <x v="1"/>
    <n v="99.54"/>
    <n v="7"/>
    <x v="0"/>
    <x v="373"/>
    <s v="2/24/2003 0:376"/>
    <x v="0"/>
    <x v="0"/>
    <s v="Shipped"/>
    <x v="3"/>
    <x v="6"/>
    <x v="0"/>
    <x v="2"/>
    <n v="118"/>
    <s v="S12_4473"/>
    <s v="Diecast Collectables"/>
    <n v="6175552555"/>
    <s v="6251 Ingle Ln."/>
    <m/>
    <s v="Boston"/>
    <x v="48"/>
    <s v="MA"/>
    <n v="51003"/>
    <x v="0"/>
    <x v="0"/>
    <s v="NA"/>
    <s v="Franco"/>
    <s v="Valarie"/>
    <x v="1"/>
  </r>
  <r>
    <n v="10219"/>
    <x v="7"/>
    <n v="100"/>
    <n v="2"/>
    <x v="1"/>
    <x v="374"/>
    <s v="2/24/2003 0:377"/>
    <x v="0"/>
    <x v="0"/>
    <s v="Shipped"/>
    <x v="0"/>
    <x v="0"/>
    <x v="1"/>
    <x v="2"/>
    <n v="118"/>
    <s v="S12_4473"/>
    <s v="Signal Collectibles Ltd."/>
    <n v="4155554312"/>
    <s v="2793 Furth Circle"/>
    <m/>
    <s v="Brisbane"/>
    <x v="65"/>
    <s v="CA"/>
    <n v="94217"/>
    <x v="0"/>
    <x v="0"/>
    <s v="NA"/>
    <s v="Taylor"/>
    <s v="Sue"/>
    <x v="1"/>
  </r>
  <r>
    <n v="10229"/>
    <x v="5"/>
    <n v="100"/>
    <n v="1"/>
    <x v="1"/>
    <x v="375"/>
    <s v="2/24/2003 0:378"/>
    <x v="0"/>
    <x v="0"/>
    <s v="Shipped"/>
    <x v="0"/>
    <x v="11"/>
    <x v="1"/>
    <x v="2"/>
    <n v="118"/>
    <s v="S12_4473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46"/>
    <x v="12"/>
    <n v="100"/>
    <n v="5"/>
    <x v="1"/>
    <x v="376"/>
    <s v="2/24/2003 0:379"/>
    <x v="0"/>
    <x v="0"/>
    <s v="Shipped"/>
    <x v="1"/>
    <x v="1"/>
    <x v="1"/>
    <x v="2"/>
    <n v="118"/>
    <s v="S12_4473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59"/>
    <x v="12"/>
    <n v="100"/>
    <n v="4"/>
    <x v="1"/>
    <x v="377"/>
    <s v="2/24/2003 0:380"/>
    <x v="0"/>
    <x v="0"/>
    <s v="Shipped"/>
    <x v="1"/>
    <x v="9"/>
    <x v="1"/>
    <x v="2"/>
    <n v="118"/>
    <s v="S12_4473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271"/>
    <x v="28"/>
    <n v="97.17"/>
    <n v="5"/>
    <x v="0"/>
    <x v="378"/>
    <s v="2/24/2003 0:381"/>
    <x v="0"/>
    <x v="0"/>
    <s v="Shipped"/>
    <x v="2"/>
    <x v="2"/>
    <x v="1"/>
    <x v="2"/>
    <n v="118"/>
    <s v="S12_4473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81"/>
    <x v="2"/>
    <n v="100"/>
    <n v="1"/>
    <x v="1"/>
    <x v="379"/>
    <s v="2/24/2003 0:382"/>
    <x v="0"/>
    <x v="0"/>
    <s v="Shipped"/>
    <x v="2"/>
    <x v="3"/>
    <x v="1"/>
    <x v="2"/>
    <n v="118"/>
    <s v="S12_4473"/>
    <s v="Diecast Classics Inc."/>
    <n v="2155551555"/>
    <s v="7586 Pompton St."/>
    <m/>
    <s v="Allentown"/>
    <x v="15"/>
    <s v="PA"/>
    <n v="70267"/>
    <x v="0"/>
    <x v="0"/>
    <s v="NA"/>
    <s v="Yu"/>
    <s v="Kyung"/>
    <x v="1"/>
  </r>
  <r>
    <n v="10292"/>
    <x v="15"/>
    <n v="100"/>
    <n v="8"/>
    <x v="0"/>
    <x v="380"/>
    <s v="2/24/2003 0:383"/>
    <x v="0"/>
    <x v="0"/>
    <s v="Shipped"/>
    <x v="2"/>
    <x v="10"/>
    <x v="1"/>
    <x v="2"/>
    <n v="118"/>
    <s v="S12_4473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05"/>
    <x v="19"/>
    <n v="100"/>
    <n v="5"/>
    <x v="1"/>
    <x v="381"/>
    <s v="2/24/2003 0:384"/>
    <x v="0"/>
    <x v="0"/>
    <s v="Shipped"/>
    <x v="3"/>
    <x v="4"/>
    <x v="1"/>
    <x v="2"/>
    <n v="118"/>
    <s v="S12_4473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314"/>
    <x v="3"/>
    <n v="100"/>
    <n v="14"/>
    <x v="1"/>
    <x v="382"/>
    <s v="2/24/2003 0:385"/>
    <x v="0"/>
    <x v="0"/>
    <s v="Shipped"/>
    <x v="3"/>
    <x v="4"/>
    <x v="1"/>
    <x v="2"/>
    <n v="118"/>
    <s v="S12_4473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324"/>
    <x v="18"/>
    <n v="58.38"/>
    <n v="7"/>
    <x v="0"/>
    <x v="383"/>
    <s v="2/24/2003 0:386"/>
    <x v="0"/>
    <x v="0"/>
    <s v="Shipped"/>
    <x v="3"/>
    <x v="5"/>
    <x v="1"/>
    <x v="2"/>
    <n v="118"/>
    <s v="S12_4473"/>
    <s v="Vitachrome Inc."/>
    <n v="2125551500"/>
    <s v="2678 Kingston Rd."/>
    <s v="Suite 101"/>
    <s v="Nyc"/>
    <x v="0"/>
    <s v="NY"/>
    <n v="10022"/>
    <x v="0"/>
    <x v="0"/>
    <s v="NA"/>
    <s v="Frick"/>
    <s v="Michael"/>
    <x v="0"/>
  </r>
  <r>
    <n v="10336"/>
    <x v="19"/>
    <n v="100"/>
    <n v="3"/>
    <x v="1"/>
    <x v="384"/>
    <s v="2/24/2003 0:387"/>
    <x v="0"/>
    <x v="0"/>
    <s v="Shipped"/>
    <x v="3"/>
    <x v="5"/>
    <x v="1"/>
    <x v="2"/>
    <n v="118"/>
    <s v="S12_4473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349"/>
    <x v="7"/>
    <n v="100"/>
    <n v="9"/>
    <x v="1"/>
    <x v="385"/>
    <s v="2/24/2003 0:388"/>
    <x v="0"/>
    <x v="0"/>
    <s v="Shipped"/>
    <x v="3"/>
    <x v="6"/>
    <x v="1"/>
    <x v="2"/>
    <n v="118"/>
    <s v="S12_4473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358"/>
    <x v="13"/>
    <n v="64.16"/>
    <n v="9"/>
    <x v="0"/>
    <x v="386"/>
    <s v="2/24/2003 0:389"/>
    <x v="0"/>
    <x v="0"/>
    <s v="Shipped"/>
    <x v="3"/>
    <x v="6"/>
    <x v="1"/>
    <x v="2"/>
    <n v="118"/>
    <s v="S12_4473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1"/>
    <x v="4"/>
    <n v="35.71"/>
    <n v="4"/>
    <x v="0"/>
    <x v="387"/>
    <s v="2/24/2003 0:390"/>
    <x v="0"/>
    <x v="0"/>
    <s v="Shipped"/>
    <x v="0"/>
    <x v="7"/>
    <x v="2"/>
    <x v="2"/>
    <n v="118"/>
    <s v="S12_4473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82"/>
    <x v="22"/>
    <n v="66.58"/>
    <n v="13"/>
    <x v="0"/>
    <x v="388"/>
    <s v="2/24/2003 0:391"/>
    <x v="0"/>
    <x v="0"/>
    <s v="Shipped"/>
    <x v="0"/>
    <x v="0"/>
    <x v="2"/>
    <x v="2"/>
    <n v="118"/>
    <s v="S12_4473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12"/>
    <x v="38"/>
    <n v="100"/>
    <n v="5"/>
    <x v="1"/>
    <x v="389"/>
    <s v="2/24/2003 0:392"/>
    <x v="0"/>
    <x v="0"/>
    <s v="Shipped"/>
    <x v="1"/>
    <x v="1"/>
    <x v="2"/>
    <x v="2"/>
    <n v="118"/>
    <s v="S12_4473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25"/>
    <x v="29"/>
    <n v="100"/>
    <n v="4"/>
    <x v="1"/>
    <x v="390"/>
    <s v="2/24/2003 0:393"/>
    <x v="2"/>
    <x v="1"/>
    <s v="In Process"/>
    <x v="1"/>
    <x v="1"/>
    <x v="2"/>
    <x v="2"/>
    <n v="118"/>
    <s v="S12_4473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108"/>
    <x v="5"/>
    <n v="100"/>
    <n v="3"/>
    <x v="0"/>
    <x v="391"/>
    <s v="2/24/2003 0:394"/>
    <x v="0"/>
    <x v="0"/>
    <s v="Shipped"/>
    <x v="0"/>
    <x v="11"/>
    <x v="0"/>
    <x v="1"/>
    <n v="115"/>
    <s v="S12_4675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122"/>
    <x v="14"/>
    <n v="100"/>
    <n v="7"/>
    <x v="0"/>
    <x v="392"/>
    <s v="2/24/2003 0:395"/>
    <x v="0"/>
    <x v="0"/>
    <s v="Shipped"/>
    <x v="1"/>
    <x v="1"/>
    <x v="0"/>
    <x v="1"/>
    <n v="115"/>
    <s v="S12_4675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135"/>
    <x v="6"/>
    <n v="97.89"/>
    <n v="4"/>
    <x v="0"/>
    <x v="393"/>
    <s v="2/24/2003 0:396"/>
    <x v="0"/>
    <x v="0"/>
    <s v="Shipped"/>
    <x v="2"/>
    <x v="2"/>
    <x v="0"/>
    <x v="1"/>
    <n v="115"/>
    <s v="S12_4675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47"/>
    <x v="29"/>
    <n v="97.89"/>
    <n v="4"/>
    <x v="0"/>
    <x v="394"/>
    <s v="2/24/2003 0:397"/>
    <x v="0"/>
    <x v="0"/>
    <s v="Shipped"/>
    <x v="2"/>
    <x v="10"/>
    <x v="0"/>
    <x v="1"/>
    <n v="115"/>
    <s v="S12_4675"/>
    <s v="Collectables For Less Inc."/>
    <n v="6175558555"/>
    <s v="7825 Douglas Av."/>
    <m/>
    <s v="Brickhaven"/>
    <x v="35"/>
    <s v="MA"/>
    <n v="58339"/>
    <x v="0"/>
    <x v="0"/>
    <s v="NA"/>
    <s v="Nelson"/>
    <s v="Allen"/>
    <x v="1"/>
  </r>
  <r>
    <n v="10160"/>
    <x v="24"/>
    <n v="100"/>
    <n v="5"/>
    <x v="1"/>
    <x v="395"/>
    <s v="2/24/2003 0:398"/>
    <x v="0"/>
    <x v="0"/>
    <s v="Shipped"/>
    <x v="3"/>
    <x v="4"/>
    <x v="0"/>
    <x v="1"/>
    <n v="115"/>
    <s v="S12_4675"/>
    <s v="Men 'R' US Retailers, Ltd."/>
    <n v="2155554369"/>
    <s v="6047 Douglas Av."/>
    <m/>
    <s v="Los Angeles"/>
    <x v="44"/>
    <s v="CA"/>
    <m/>
    <x v="0"/>
    <x v="0"/>
    <s v="NA"/>
    <s v="Chandler"/>
    <s v="Michael"/>
    <x v="1"/>
  </r>
  <r>
    <n v="10170"/>
    <x v="2"/>
    <n v="100"/>
    <n v="3"/>
    <x v="1"/>
    <x v="396"/>
    <s v="2/24/2003 0:399"/>
    <x v="0"/>
    <x v="0"/>
    <s v="Shipped"/>
    <x v="3"/>
    <x v="5"/>
    <x v="0"/>
    <x v="1"/>
    <n v="115"/>
    <s v="S12_4675"/>
    <s v="Mini Auto Werke"/>
    <s v="7675-3555"/>
    <s v="Kirchgasse 6"/>
    <m/>
    <s v="Graz"/>
    <x v="52"/>
    <m/>
    <n v="8010"/>
    <x v="5"/>
    <x v="5"/>
    <s v="EMEA"/>
    <s v="Mendel"/>
    <s v="Roland"/>
    <x v="1"/>
  </r>
  <r>
    <n v="10181"/>
    <x v="5"/>
    <n v="100"/>
    <n v="11"/>
    <x v="1"/>
    <x v="397"/>
    <s v="2/24/2003 0:400"/>
    <x v="0"/>
    <x v="0"/>
    <s v="Shipped"/>
    <x v="3"/>
    <x v="5"/>
    <x v="0"/>
    <x v="1"/>
    <n v="115"/>
    <s v="S12_4675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192"/>
    <x v="26"/>
    <n v="100"/>
    <n v="16"/>
    <x v="0"/>
    <x v="398"/>
    <s v="2/24/2003 0:401"/>
    <x v="0"/>
    <x v="0"/>
    <s v="Shipped"/>
    <x v="3"/>
    <x v="5"/>
    <x v="0"/>
    <x v="1"/>
    <n v="115"/>
    <s v="S12_4675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203"/>
    <x v="20"/>
    <n v="100"/>
    <n v="5"/>
    <x v="1"/>
    <x v="399"/>
    <s v="2/24/2003 0:402"/>
    <x v="0"/>
    <x v="0"/>
    <s v="Shipped"/>
    <x v="3"/>
    <x v="6"/>
    <x v="0"/>
    <x v="1"/>
    <n v="115"/>
    <s v="S12_4675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12"/>
    <x v="29"/>
    <n v="100"/>
    <n v="15"/>
    <x v="1"/>
    <x v="400"/>
    <s v="2/24/2003 0:403"/>
    <x v="0"/>
    <x v="0"/>
    <s v="Shipped"/>
    <x v="0"/>
    <x v="7"/>
    <x v="1"/>
    <x v="1"/>
    <n v="115"/>
    <s v="S12_4675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25"/>
    <x v="15"/>
    <n v="100"/>
    <n v="6"/>
    <x v="0"/>
    <x v="401"/>
    <s v="2/24/2003 0:404"/>
    <x v="0"/>
    <x v="0"/>
    <s v="Shipped"/>
    <x v="0"/>
    <x v="0"/>
    <x v="1"/>
    <x v="1"/>
    <n v="115"/>
    <s v="S12_4675"/>
    <s v="Vida Sport, Ltd"/>
    <s v="0897-034555"/>
    <s v="Grenzacherweg 237"/>
    <m/>
    <s v="Gensve"/>
    <x v="56"/>
    <m/>
    <n v="1203"/>
    <x v="17"/>
    <x v="17"/>
    <s v="EMEA"/>
    <s v="Holz"/>
    <s v="Michael"/>
    <x v="0"/>
  </r>
  <r>
    <n v="10239"/>
    <x v="15"/>
    <n v="93.28"/>
    <n v="5"/>
    <x v="0"/>
    <x v="402"/>
    <s v="2/24/2003 0:405"/>
    <x v="0"/>
    <x v="0"/>
    <s v="Shipped"/>
    <x v="1"/>
    <x v="8"/>
    <x v="1"/>
    <x v="1"/>
    <n v="115"/>
    <s v="S12_4675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253"/>
    <x v="2"/>
    <n v="100"/>
    <n v="10"/>
    <x v="1"/>
    <x v="403"/>
    <s v="2/24/2003 0:406"/>
    <x v="3"/>
    <x v="1"/>
    <s v="Cancelled"/>
    <x v="1"/>
    <x v="9"/>
    <x v="1"/>
    <x v="1"/>
    <n v="115"/>
    <s v="S12_4675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266"/>
    <x v="23"/>
    <n v="100"/>
    <n v="11"/>
    <x v="1"/>
    <x v="404"/>
    <s v="2/24/2003 0:407"/>
    <x v="0"/>
    <x v="0"/>
    <s v="Shipped"/>
    <x v="2"/>
    <x v="2"/>
    <x v="1"/>
    <x v="1"/>
    <n v="115"/>
    <s v="S12_4675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277"/>
    <x v="11"/>
    <n v="100"/>
    <n v="1"/>
    <x v="0"/>
    <x v="405"/>
    <s v="2/24/2003 0:408"/>
    <x v="0"/>
    <x v="0"/>
    <s v="Shipped"/>
    <x v="2"/>
    <x v="3"/>
    <x v="1"/>
    <x v="1"/>
    <n v="115"/>
    <s v="S12_4675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287"/>
    <x v="10"/>
    <n v="100"/>
    <n v="9"/>
    <x v="0"/>
    <x v="406"/>
    <s v="2/24/2003 0:409"/>
    <x v="0"/>
    <x v="0"/>
    <s v="Shipped"/>
    <x v="2"/>
    <x v="3"/>
    <x v="1"/>
    <x v="1"/>
    <n v="115"/>
    <s v="S12_4675"/>
    <s v="Vida Sport, Ltd"/>
    <s v="0897-034555"/>
    <s v="Grenzacherweg 237"/>
    <m/>
    <s v="Gensve"/>
    <x v="56"/>
    <m/>
    <n v="1203"/>
    <x v="17"/>
    <x v="17"/>
    <s v="EMEA"/>
    <s v="Holz"/>
    <s v="Michael"/>
    <x v="0"/>
  </r>
  <r>
    <n v="10300"/>
    <x v="10"/>
    <n v="100"/>
    <n v="2"/>
    <x v="0"/>
    <x v="407"/>
    <s v="2/24/2003 0:410"/>
    <x v="0"/>
    <x v="0"/>
    <s v="Shipped"/>
    <x v="3"/>
    <x v="4"/>
    <x v="0"/>
    <x v="1"/>
    <n v="115"/>
    <s v="S12_4675"/>
    <s v="Blauer See Auto, Co."/>
    <s v="+49 69 66 90 2555"/>
    <s v="Lyonerstr. 34"/>
    <m/>
    <s v="Frankfurt"/>
    <x v="58"/>
    <m/>
    <n v="60528"/>
    <x v="16"/>
    <x v="16"/>
    <s v="EMEA"/>
    <s v="Keitel"/>
    <s v="Roland"/>
    <x v="0"/>
  </r>
  <r>
    <n v="10310"/>
    <x v="32"/>
    <n v="100"/>
    <n v="7"/>
    <x v="0"/>
    <x v="408"/>
    <s v="2/24/2003 0:411"/>
    <x v="0"/>
    <x v="0"/>
    <s v="Shipped"/>
    <x v="3"/>
    <x v="4"/>
    <x v="1"/>
    <x v="1"/>
    <n v="115"/>
    <s v="S12_4675"/>
    <s v="Toms Spezialitten, Ltd"/>
    <s v="0221-5554327"/>
    <s v="Mehrheimerstr. 369"/>
    <m/>
    <s v="Koln"/>
    <x v="55"/>
    <m/>
    <n v="50739"/>
    <x v="16"/>
    <x v="16"/>
    <s v="EMEA"/>
    <s v="Pfalzheim"/>
    <s v="Henriette"/>
    <x v="0"/>
  </r>
  <r>
    <n v="10321"/>
    <x v="16"/>
    <n v="100"/>
    <n v="15"/>
    <x v="0"/>
    <x v="409"/>
    <s v="2/24/2003 0:412"/>
    <x v="0"/>
    <x v="0"/>
    <s v="Shipped"/>
    <x v="3"/>
    <x v="5"/>
    <x v="1"/>
    <x v="1"/>
    <n v="115"/>
    <s v="S12_4675"/>
    <s v="FunGiftIdeas.com"/>
    <n v="5085552555"/>
    <s v="1785 First Street"/>
    <m/>
    <s v="New Bedford"/>
    <x v="18"/>
    <s v="MA"/>
    <n v="50553"/>
    <x v="0"/>
    <x v="0"/>
    <s v="NA"/>
    <s v="Benitez"/>
    <s v="Violeta"/>
    <x v="0"/>
  </r>
  <r>
    <n v="10329"/>
    <x v="25"/>
    <n v="64.739999999999995"/>
    <n v="15"/>
    <x v="0"/>
    <x v="410"/>
    <s v="2/24/2003 0:413"/>
    <x v="0"/>
    <x v="0"/>
    <s v="Shipped"/>
    <x v="3"/>
    <x v="5"/>
    <x v="1"/>
    <x v="1"/>
    <n v="115"/>
    <s v="S12_4675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41"/>
    <x v="36"/>
    <n v="75.2"/>
    <n v="7"/>
    <x v="1"/>
    <x v="411"/>
    <s v="2/24/2003 0:414"/>
    <x v="0"/>
    <x v="0"/>
    <s v="Shipped"/>
    <x v="3"/>
    <x v="5"/>
    <x v="1"/>
    <x v="1"/>
    <n v="115"/>
    <s v="S12_4675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363"/>
    <x v="12"/>
    <n v="88.45"/>
    <n v="6"/>
    <x v="1"/>
    <x v="412"/>
    <s v="2/24/2003 0:415"/>
    <x v="0"/>
    <x v="0"/>
    <s v="Shipped"/>
    <x v="0"/>
    <x v="7"/>
    <x v="2"/>
    <x v="1"/>
    <n v="115"/>
    <s v="S12_4675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377"/>
    <x v="24"/>
    <n v="100"/>
    <n v="1"/>
    <x v="1"/>
    <x v="395"/>
    <s v="2/24/2003 0:416"/>
    <x v="0"/>
    <x v="0"/>
    <s v="Shipped"/>
    <x v="0"/>
    <x v="0"/>
    <x v="2"/>
    <x v="1"/>
    <n v="115"/>
    <s v="S12_4675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389"/>
    <x v="20"/>
    <n v="100"/>
    <n v="8"/>
    <x v="1"/>
    <x v="413"/>
    <s v="2/24/2003 0:417"/>
    <x v="0"/>
    <x v="0"/>
    <s v="Shipped"/>
    <x v="0"/>
    <x v="11"/>
    <x v="2"/>
    <x v="1"/>
    <n v="115"/>
    <s v="S12_4675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405"/>
    <x v="39"/>
    <n v="93.28"/>
    <n v="5"/>
    <x v="1"/>
    <x v="414"/>
    <s v="2/24/2003 0:418"/>
    <x v="0"/>
    <x v="0"/>
    <s v="Shipped"/>
    <x v="1"/>
    <x v="8"/>
    <x v="2"/>
    <x v="1"/>
    <n v="115"/>
    <s v="S12_4675"/>
    <s v="Mini Caravy"/>
    <s v="88.60.1555"/>
    <s v="24, place Kluber"/>
    <m/>
    <s v="Strasbourg"/>
    <x v="66"/>
    <m/>
    <n v="67000"/>
    <x v="1"/>
    <x v="1"/>
    <s v="EMEA"/>
    <s v="Citeaux"/>
    <s v="Frederique"/>
    <x v="2"/>
  </r>
  <r>
    <n v="10419"/>
    <x v="22"/>
    <n v="100"/>
    <n v="10"/>
    <x v="0"/>
    <x v="415"/>
    <s v="2/24/2003 0:419"/>
    <x v="0"/>
    <x v="0"/>
    <s v="Shipped"/>
    <x v="1"/>
    <x v="1"/>
    <x v="2"/>
    <x v="1"/>
    <n v="115"/>
    <s v="S12_4675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103"/>
    <x v="21"/>
    <n v="100"/>
    <n v="10"/>
    <x v="0"/>
    <x v="416"/>
    <s v="2/24/2003 0:420"/>
    <x v="0"/>
    <x v="0"/>
    <s v="Shipped"/>
    <x v="0"/>
    <x v="7"/>
    <x v="0"/>
    <x v="2"/>
    <n v="116"/>
    <s v="S18_1097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113"/>
    <x v="4"/>
    <n v="100"/>
    <n v="4"/>
    <x v="1"/>
    <x v="417"/>
    <s v="2/24/2003 0:421"/>
    <x v="0"/>
    <x v="0"/>
    <s v="Shipped"/>
    <x v="0"/>
    <x v="11"/>
    <x v="0"/>
    <x v="2"/>
    <n v="116"/>
    <s v="S18_109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26"/>
    <x v="19"/>
    <n v="100"/>
    <n v="10"/>
    <x v="0"/>
    <x v="418"/>
    <s v="2/24/2003 0:422"/>
    <x v="0"/>
    <x v="0"/>
    <s v="Shipped"/>
    <x v="1"/>
    <x v="1"/>
    <x v="0"/>
    <x v="2"/>
    <n v="116"/>
    <s v="S18_1097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140"/>
    <x v="22"/>
    <n v="100"/>
    <n v="10"/>
    <x v="1"/>
    <x v="419"/>
    <s v="2/24/2003 0:423"/>
    <x v="0"/>
    <x v="0"/>
    <s v="Shipped"/>
    <x v="2"/>
    <x v="2"/>
    <x v="0"/>
    <x v="2"/>
    <n v="116"/>
    <s v="S18_1097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50"/>
    <x v="1"/>
    <n v="100"/>
    <n v="7"/>
    <x v="1"/>
    <x v="420"/>
    <s v="2/24/2003 0:424"/>
    <x v="0"/>
    <x v="0"/>
    <s v="Shipped"/>
    <x v="2"/>
    <x v="10"/>
    <x v="0"/>
    <x v="2"/>
    <n v="116"/>
    <s v="S18_1097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64"/>
    <x v="5"/>
    <n v="99.17"/>
    <n v="8"/>
    <x v="0"/>
    <x v="421"/>
    <s v="2/24/2003 0:425"/>
    <x v="5"/>
    <x v="1"/>
    <s v="Resolved"/>
    <x v="3"/>
    <x v="4"/>
    <x v="0"/>
    <x v="2"/>
    <n v="116"/>
    <s v="S18_1097"/>
    <s v="Mini Auto Werke"/>
    <s v="7675-3555"/>
    <s v="Kirchgasse 6"/>
    <m/>
    <s v="Graz"/>
    <x v="52"/>
    <m/>
    <n v="8010"/>
    <x v="5"/>
    <x v="5"/>
    <s v="EMEA"/>
    <s v="Mendel"/>
    <s v="Roland"/>
    <x v="1"/>
  </r>
  <r>
    <n v="10174"/>
    <x v="7"/>
    <n v="93.34"/>
    <n v="3"/>
    <x v="1"/>
    <x v="422"/>
    <s v="2/24/2003 0:426"/>
    <x v="0"/>
    <x v="0"/>
    <s v="Shipped"/>
    <x v="3"/>
    <x v="5"/>
    <x v="0"/>
    <x v="2"/>
    <n v="116"/>
    <s v="S18_1097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1"/>
  </r>
  <r>
    <n v="10183"/>
    <x v="15"/>
    <n v="96.84"/>
    <n v="7"/>
    <x v="0"/>
    <x v="423"/>
    <s v="2/24/2003 0:427"/>
    <x v="0"/>
    <x v="0"/>
    <s v="Shipped"/>
    <x v="3"/>
    <x v="5"/>
    <x v="0"/>
    <x v="2"/>
    <n v="116"/>
    <s v="S18_1097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0"/>
  </r>
  <r>
    <n v="10194"/>
    <x v="15"/>
    <n v="93.34"/>
    <n v="10"/>
    <x v="0"/>
    <x v="424"/>
    <s v="2/24/2003 0:428"/>
    <x v="0"/>
    <x v="0"/>
    <s v="Shipped"/>
    <x v="3"/>
    <x v="5"/>
    <x v="0"/>
    <x v="2"/>
    <n v="116"/>
    <s v="S18_1097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06"/>
    <x v="1"/>
    <n v="100"/>
    <n v="5"/>
    <x v="0"/>
    <x v="425"/>
    <s v="2/24/2003 0:429"/>
    <x v="0"/>
    <x v="0"/>
    <s v="Shipped"/>
    <x v="3"/>
    <x v="6"/>
    <x v="0"/>
    <x v="2"/>
    <n v="116"/>
    <s v="S18_1097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1"/>
  </r>
  <r>
    <n v="10215"/>
    <x v="12"/>
    <n v="100"/>
    <n v="2"/>
    <x v="1"/>
    <x v="426"/>
    <s v="2/24/2003 0:430"/>
    <x v="0"/>
    <x v="0"/>
    <s v="Shipped"/>
    <x v="0"/>
    <x v="7"/>
    <x v="1"/>
    <x v="2"/>
    <n v="116"/>
    <s v="S18_1097"/>
    <s v="West Coast Collectables Co."/>
    <n v="3105553722"/>
    <s v="3675 Furth Circle"/>
    <m/>
    <s v="Burbank"/>
    <x v="27"/>
    <s v="CA"/>
    <n v="94019"/>
    <x v="0"/>
    <x v="0"/>
    <s v="NA"/>
    <s v="Thompson"/>
    <s v="Steve"/>
    <x v="1"/>
  </r>
  <r>
    <n v="10228"/>
    <x v="22"/>
    <n v="100"/>
    <n v="1"/>
    <x v="0"/>
    <x v="427"/>
    <s v="2/24/2003 0:431"/>
    <x v="0"/>
    <x v="0"/>
    <s v="Shipped"/>
    <x v="0"/>
    <x v="11"/>
    <x v="1"/>
    <x v="2"/>
    <n v="116"/>
    <s v="S18_1097"/>
    <s v="Cambridge Collectables Co."/>
    <n v="6175555555"/>
    <s v="4658 Baden Av."/>
    <m/>
    <s v="Cambridge"/>
    <x v="12"/>
    <s v="MA"/>
    <n v="51247"/>
    <x v="0"/>
    <x v="0"/>
    <s v="NA"/>
    <s v="Tseng"/>
    <s v="Kyung"/>
    <x v="1"/>
  </r>
  <r>
    <n v="10245"/>
    <x v="6"/>
    <n v="100"/>
    <n v="8"/>
    <x v="0"/>
    <x v="221"/>
    <s v="2/24/2003 0:432"/>
    <x v="0"/>
    <x v="0"/>
    <s v="Shipped"/>
    <x v="1"/>
    <x v="1"/>
    <x v="1"/>
    <x v="2"/>
    <n v="116"/>
    <s v="S18_1097"/>
    <s v="Super Scale Inc."/>
    <n v="2035559545"/>
    <s v="567 North Pendale Street"/>
    <m/>
    <s v="New Haven"/>
    <x v="28"/>
    <s v="CT"/>
    <n v="97823"/>
    <x v="0"/>
    <x v="0"/>
    <s v="NA"/>
    <s v="Murphy"/>
    <s v="Leslie"/>
    <x v="1"/>
  </r>
  <r>
    <n v="10258"/>
    <x v="2"/>
    <n v="100"/>
    <n v="5"/>
    <x v="1"/>
    <x v="428"/>
    <s v="2/24/2003 0:433"/>
    <x v="0"/>
    <x v="0"/>
    <s v="Shipped"/>
    <x v="1"/>
    <x v="9"/>
    <x v="1"/>
    <x v="2"/>
    <n v="116"/>
    <s v="S18_1097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270"/>
    <x v="30"/>
    <n v="96.84"/>
    <n v="8"/>
    <x v="1"/>
    <x v="429"/>
    <s v="2/24/2003 0:434"/>
    <x v="0"/>
    <x v="0"/>
    <s v="Shipped"/>
    <x v="2"/>
    <x v="2"/>
    <x v="1"/>
    <x v="2"/>
    <n v="116"/>
    <s v="S18_1097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280"/>
    <x v="16"/>
    <n v="100"/>
    <n v="1"/>
    <x v="0"/>
    <x v="430"/>
    <s v="2/24/2003 0:435"/>
    <x v="0"/>
    <x v="0"/>
    <s v="Shipped"/>
    <x v="2"/>
    <x v="3"/>
    <x v="1"/>
    <x v="2"/>
    <n v="116"/>
    <s v="S18_1097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291"/>
    <x v="2"/>
    <n v="100"/>
    <n v="10"/>
    <x v="1"/>
    <x v="431"/>
    <s v="2/24/2003 0:436"/>
    <x v="0"/>
    <x v="0"/>
    <s v="Shipped"/>
    <x v="2"/>
    <x v="10"/>
    <x v="1"/>
    <x v="2"/>
    <n v="116"/>
    <s v="S18_1097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304"/>
    <x v="12"/>
    <n v="98"/>
    <n v="5"/>
    <x v="1"/>
    <x v="432"/>
    <s v="2/24/2003 0:437"/>
    <x v="0"/>
    <x v="0"/>
    <s v="Shipped"/>
    <x v="3"/>
    <x v="4"/>
    <x v="1"/>
    <x v="2"/>
    <n v="116"/>
    <s v="S18_1097"/>
    <s v="Auto Assoc. &amp; Cie."/>
    <s v="30.59.8555"/>
    <s v="67, avenue de l'Europe"/>
    <m/>
    <s v="Versailles"/>
    <x v="32"/>
    <m/>
    <n v="78000"/>
    <x v="1"/>
    <x v="1"/>
    <s v="EMEA"/>
    <s v="Tonini"/>
    <s v="Daniel"/>
    <x v="1"/>
  </r>
  <r>
    <n v="10312"/>
    <x v="22"/>
    <n v="100"/>
    <n v="2"/>
    <x v="1"/>
    <x v="419"/>
    <s v="2/24/2003 0:438"/>
    <x v="0"/>
    <x v="0"/>
    <s v="Shipped"/>
    <x v="3"/>
    <x v="4"/>
    <x v="1"/>
    <x v="2"/>
    <n v="116"/>
    <s v="S18_109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22"/>
    <x v="8"/>
    <n v="100"/>
    <n v="10"/>
    <x v="0"/>
    <x v="433"/>
    <s v="2/24/2003 0:439"/>
    <x v="0"/>
    <x v="0"/>
    <s v="Shipped"/>
    <x v="3"/>
    <x v="5"/>
    <x v="1"/>
    <x v="2"/>
    <n v="116"/>
    <s v="S18_1097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333"/>
    <x v="6"/>
    <n v="40.25"/>
    <n v="7"/>
    <x v="0"/>
    <x v="434"/>
    <s v="2/24/2003 0:440"/>
    <x v="0"/>
    <x v="0"/>
    <s v="Shipped"/>
    <x v="3"/>
    <x v="5"/>
    <x v="1"/>
    <x v="2"/>
    <n v="116"/>
    <s v="S18_1097"/>
    <s v="Mini Wheels Co."/>
    <n v="6505555787"/>
    <s v="5557 North Pendale Street"/>
    <m/>
    <s v="San Francisco"/>
    <x v="4"/>
    <s v="CA"/>
    <m/>
    <x v="0"/>
    <x v="0"/>
    <s v="NA"/>
    <s v="Murphy"/>
    <s v="Julie"/>
    <x v="0"/>
  </r>
  <r>
    <n v="10347"/>
    <x v="13"/>
    <n v="49.6"/>
    <n v="5"/>
    <x v="0"/>
    <x v="435"/>
    <s v="2/24/2003 0:441"/>
    <x v="0"/>
    <x v="0"/>
    <s v="Shipped"/>
    <x v="3"/>
    <x v="5"/>
    <x v="1"/>
    <x v="2"/>
    <n v="116"/>
    <s v="S18_1097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357"/>
    <x v="25"/>
    <n v="98"/>
    <n v="1"/>
    <x v="0"/>
    <x v="436"/>
    <s v="2/24/2003 0:442"/>
    <x v="0"/>
    <x v="0"/>
    <s v="Shipped"/>
    <x v="3"/>
    <x v="6"/>
    <x v="1"/>
    <x v="2"/>
    <n v="116"/>
    <s v="S18_109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70"/>
    <x v="26"/>
    <n v="100"/>
    <n v="1"/>
    <x v="0"/>
    <x v="437"/>
    <s v="2/24/2003 0:443"/>
    <x v="0"/>
    <x v="0"/>
    <s v="Shipped"/>
    <x v="0"/>
    <x v="7"/>
    <x v="2"/>
    <x v="2"/>
    <n v="116"/>
    <s v="S18_1097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381"/>
    <x v="7"/>
    <n v="98"/>
    <n v="2"/>
    <x v="1"/>
    <x v="438"/>
    <s v="2/24/2003 0:444"/>
    <x v="0"/>
    <x v="0"/>
    <s v="Shipped"/>
    <x v="0"/>
    <x v="0"/>
    <x v="2"/>
    <x v="2"/>
    <n v="116"/>
    <s v="S18_1097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391"/>
    <x v="6"/>
    <n v="85.1"/>
    <n v="10"/>
    <x v="0"/>
    <x v="439"/>
    <s v="2/24/2003 0:445"/>
    <x v="0"/>
    <x v="0"/>
    <s v="Shipped"/>
    <x v="0"/>
    <x v="11"/>
    <x v="2"/>
    <x v="2"/>
    <n v="116"/>
    <s v="S18_1097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411"/>
    <x v="26"/>
    <n v="100"/>
    <n v="8"/>
    <x v="0"/>
    <x v="440"/>
    <s v="2/24/2003 0:446"/>
    <x v="0"/>
    <x v="0"/>
    <s v="Shipped"/>
    <x v="1"/>
    <x v="1"/>
    <x v="2"/>
    <x v="2"/>
    <n v="116"/>
    <s v="S18_1097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424"/>
    <x v="38"/>
    <n v="100"/>
    <n v="5"/>
    <x v="1"/>
    <x v="441"/>
    <s v="2/24/2003 0:447"/>
    <x v="2"/>
    <x v="1"/>
    <s v="In Process"/>
    <x v="1"/>
    <x v="1"/>
    <x v="2"/>
    <x v="2"/>
    <n v="116"/>
    <s v="S18_1097"/>
    <s v="Euro Shopping Channel"/>
    <s v="(91) 555 94 44"/>
    <s v="C/ Moralzarzal, 86"/>
    <m/>
    <s v="Madrid"/>
    <x v="20"/>
    <m/>
    <n v="28034"/>
    <x v="7"/>
    <x v="7"/>
    <s v="EMEA"/>
    <s v="Freyre"/>
    <s v="Diego"/>
    <x v="2"/>
  </r>
  <r>
    <n v="10109"/>
    <x v="18"/>
    <n v="100"/>
    <n v="4"/>
    <x v="1"/>
    <x v="442"/>
    <s v="2/24/2003 0:448"/>
    <x v="0"/>
    <x v="0"/>
    <s v="Shipped"/>
    <x v="0"/>
    <x v="11"/>
    <x v="0"/>
    <x v="1"/>
    <n v="141"/>
    <s v="S18_1129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122"/>
    <x v="1"/>
    <n v="100"/>
    <n v="2"/>
    <x v="1"/>
    <x v="106"/>
    <s v="2/24/2003 0:449"/>
    <x v="0"/>
    <x v="0"/>
    <s v="Shipped"/>
    <x v="1"/>
    <x v="1"/>
    <x v="0"/>
    <x v="1"/>
    <n v="141"/>
    <s v="S18_1129"/>
    <s v="Marseille Mini Autos"/>
    <s v="91.24.4555"/>
    <s v="12, rue des Bouchers"/>
    <m/>
    <s v="Marseille"/>
    <x v="54"/>
    <m/>
    <n v="13008"/>
    <x v="1"/>
    <x v="1"/>
    <s v="EMEA"/>
    <s v="Lebihan"/>
    <s v="Laurence"/>
    <x v="1"/>
  </r>
  <r>
    <n v="10136"/>
    <x v="32"/>
    <n v="100"/>
    <n v="2"/>
    <x v="0"/>
    <x v="443"/>
    <s v="2/24/2003 0:450"/>
    <x v="0"/>
    <x v="0"/>
    <s v="Shipped"/>
    <x v="2"/>
    <x v="2"/>
    <x v="0"/>
    <x v="1"/>
    <n v="141"/>
    <s v="S18_1129"/>
    <s v="Alpha Cognac"/>
    <s v="61.77.6555"/>
    <s v="1 rue Alsace-Lorraine"/>
    <m/>
    <s v="Toulouse"/>
    <x v="42"/>
    <m/>
    <n v="31000"/>
    <x v="1"/>
    <x v="1"/>
    <s v="EMEA"/>
    <s v="Roulet"/>
    <s v="Annette"/>
    <x v="1"/>
  </r>
  <r>
    <n v="10148"/>
    <x v="10"/>
    <n v="100"/>
    <n v="13"/>
    <x v="0"/>
    <x v="444"/>
    <s v="2/24/2003 0:451"/>
    <x v="0"/>
    <x v="0"/>
    <s v="Shipped"/>
    <x v="2"/>
    <x v="10"/>
    <x v="0"/>
    <x v="1"/>
    <n v="141"/>
    <s v="S18_1129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61"/>
    <x v="11"/>
    <n v="100"/>
    <n v="12"/>
    <x v="0"/>
    <x v="445"/>
    <s v="2/24/2003 0:452"/>
    <x v="0"/>
    <x v="0"/>
    <s v="Shipped"/>
    <x v="3"/>
    <x v="4"/>
    <x v="0"/>
    <x v="1"/>
    <n v="141"/>
    <s v="S18_1129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171"/>
    <x v="21"/>
    <n v="100"/>
    <n v="2"/>
    <x v="1"/>
    <x v="432"/>
    <s v="2/24/2003 0:453"/>
    <x v="0"/>
    <x v="0"/>
    <s v="Shipped"/>
    <x v="3"/>
    <x v="5"/>
    <x v="0"/>
    <x v="1"/>
    <n v="141"/>
    <s v="S18_1129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181"/>
    <x v="27"/>
    <n v="100"/>
    <n v="6"/>
    <x v="1"/>
    <x v="446"/>
    <s v="2/24/2003 0:454"/>
    <x v="0"/>
    <x v="0"/>
    <s v="Shipped"/>
    <x v="3"/>
    <x v="5"/>
    <x v="0"/>
    <x v="1"/>
    <n v="141"/>
    <s v="S18_1129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192"/>
    <x v="8"/>
    <n v="100"/>
    <n v="11"/>
    <x v="0"/>
    <x v="447"/>
    <s v="2/24/2003 0:455"/>
    <x v="0"/>
    <x v="0"/>
    <s v="Shipped"/>
    <x v="3"/>
    <x v="5"/>
    <x v="0"/>
    <x v="1"/>
    <n v="141"/>
    <s v="S18_1129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204"/>
    <x v="13"/>
    <n v="100"/>
    <n v="17"/>
    <x v="1"/>
    <x v="448"/>
    <s v="2/24/2003 0:456"/>
    <x v="0"/>
    <x v="0"/>
    <s v="Shipped"/>
    <x v="3"/>
    <x v="6"/>
    <x v="0"/>
    <x v="1"/>
    <n v="141"/>
    <s v="S18_1129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12"/>
    <x v="6"/>
    <n v="100"/>
    <n v="10"/>
    <x v="1"/>
    <x v="449"/>
    <s v="2/24/2003 0:457"/>
    <x v="0"/>
    <x v="0"/>
    <s v="Shipped"/>
    <x v="0"/>
    <x v="7"/>
    <x v="1"/>
    <x v="1"/>
    <n v="141"/>
    <s v="S18_112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25"/>
    <x v="22"/>
    <n v="100"/>
    <n v="1"/>
    <x v="1"/>
    <x v="450"/>
    <s v="2/24/2003 0:458"/>
    <x v="0"/>
    <x v="0"/>
    <s v="Shipped"/>
    <x v="0"/>
    <x v="0"/>
    <x v="1"/>
    <x v="1"/>
    <n v="141"/>
    <s v="S18_1129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240"/>
    <x v="2"/>
    <n v="100"/>
    <n v="3"/>
    <x v="1"/>
    <x v="451"/>
    <s v="2/24/2003 0:459"/>
    <x v="0"/>
    <x v="0"/>
    <s v="Shipped"/>
    <x v="1"/>
    <x v="8"/>
    <x v="1"/>
    <x v="1"/>
    <n v="141"/>
    <s v="S18_1129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1"/>
  </r>
  <r>
    <n v="10253"/>
    <x v="18"/>
    <n v="100"/>
    <n v="5"/>
    <x v="0"/>
    <x v="452"/>
    <s v="2/24/2003 0:460"/>
    <x v="3"/>
    <x v="1"/>
    <s v="Cancelled"/>
    <x v="1"/>
    <x v="9"/>
    <x v="1"/>
    <x v="1"/>
    <n v="141"/>
    <s v="S18_1129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266"/>
    <x v="15"/>
    <n v="100"/>
    <n v="6"/>
    <x v="0"/>
    <x v="453"/>
    <s v="2/24/2003 0:461"/>
    <x v="0"/>
    <x v="0"/>
    <s v="Shipped"/>
    <x v="2"/>
    <x v="2"/>
    <x v="1"/>
    <x v="1"/>
    <n v="141"/>
    <s v="S18_1129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278"/>
    <x v="1"/>
    <n v="100"/>
    <n v="6"/>
    <x v="1"/>
    <x v="454"/>
    <s v="2/24/2003 0:462"/>
    <x v="0"/>
    <x v="0"/>
    <s v="Shipped"/>
    <x v="2"/>
    <x v="3"/>
    <x v="1"/>
    <x v="1"/>
    <n v="141"/>
    <s v="S18_1129"/>
    <s v="Signal Gift Stores"/>
    <n v="7025551838"/>
    <s v="8489 Strong St."/>
    <m/>
    <s v="Las Vegas"/>
    <x v="67"/>
    <s v="NV"/>
    <n v="83030"/>
    <x v="0"/>
    <x v="0"/>
    <s v="NA"/>
    <s v="King"/>
    <s v="Sue"/>
    <x v="1"/>
  </r>
  <r>
    <n v="10287"/>
    <x v="2"/>
    <n v="100"/>
    <n v="4"/>
    <x v="1"/>
    <x v="455"/>
    <s v="2/24/2003 0:463"/>
    <x v="0"/>
    <x v="0"/>
    <s v="Shipped"/>
    <x v="2"/>
    <x v="3"/>
    <x v="1"/>
    <x v="1"/>
    <n v="141"/>
    <s v="S18_1129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301"/>
    <x v="9"/>
    <n v="100"/>
    <n v="8"/>
    <x v="1"/>
    <x v="456"/>
    <s v="2/24/2003 0:464"/>
    <x v="0"/>
    <x v="0"/>
    <s v="Shipped"/>
    <x v="3"/>
    <x v="4"/>
    <x v="0"/>
    <x v="1"/>
    <n v="141"/>
    <s v="S18_1129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1"/>
  </r>
  <r>
    <n v="10310"/>
    <x v="9"/>
    <n v="100"/>
    <n v="2"/>
    <x v="1"/>
    <x v="457"/>
    <s v="2/24/2003 0:465"/>
    <x v="0"/>
    <x v="0"/>
    <s v="Shipped"/>
    <x v="3"/>
    <x v="4"/>
    <x v="1"/>
    <x v="1"/>
    <n v="141"/>
    <s v="S18_1129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321"/>
    <x v="2"/>
    <n v="100"/>
    <n v="10"/>
    <x v="1"/>
    <x v="458"/>
    <s v="2/24/2003 0:466"/>
    <x v="0"/>
    <x v="0"/>
    <s v="Shipped"/>
    <x v="3"/>
    <x v="5"/>
    <x v="1"/>
    <x v="1"/>
    <n v="141"/>
    <s v="S18_1129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331"/>
    <x v="12"/>
    <n v="100"/>
    <n v="6"/>
    <x v="1"/>
    <x v="459"/>
    <s v="2/24/2003 0:467"/>
    <x v="0"/>
    <x v="0"/>
    <s v="Shipped"/>
    <x v="3"/>
    <x v="5"/>
    <x v="1"/>
    <x v="1"/>
    <n v="141"/>
    <s v="S18_1129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342"/>
    <x v="23"/>
    <n v="100"/>
    <n v="2"/>
    <x v="1"/>
    <x v="460"/>
    <s v="2/24/2003 0:468"/>
    <x v="0"/>
    <x v="0"/>
    <s v="Shipped"/>
    <x v="3"/>
    <x v="5"/>
    <x v="1"/>
    <x v="1"/>
    <n v="141"/>
    <s v="S18_1129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6"/>
    <x v="30"/>
    <n v="97.6"/>
    <n v="8"/>
    <x v="1"/>
    <x v="461"/>
    <s v="2/24/2003 0:469"/>
    <x v="0"/>
    <x v="0"/>
    <s v="Shipped"/>
    <x v="3"/>
    <x v="6"/>
    <x v="1"/>
    <x v="1"/>
    <n v="141"/>
    <s v="S18_1129"/>
    <s v="Lyon Souveniers"/>
    <s v="+33 1 46 62 7555"/>
    <s v="27 rue du Colonel Pierre Avia"/>
    <m/>
    <s v="Paris"/>
    <x v="2"/>
    <m/>
    <n v="75508"/>
    <x v="1"/>
    <x v="1"/>
    <s v="EMEA"/>
    <s v="Da Cunha"/>
    <s v="Daniel"/>
    <x v="1"/>
  </r>
  <r>
    <n v="10365"/>
    <x v="0"/>
    <n v="87.06"/>
    <n v="1"/>
    <x v="0"/>
    <x v="462"/>
    <s v="2/24/2003 0:470"/>
    <x v="0"/>
    <x v="0"/>
    <s v="Shipped"/>
    <x v="0"/>
    <x v="7"/>
    <x v="2"/>
    <x v="1"/>
    <n v="141"/>
    <s v="S18_1129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377"/>
    <x v="21"/>
    <n v="100"/>
    <n v="2"/>
    <x v="1"/>
    <x v="463"/>
    <s v="2/24/2003 0:471"/>
    <x v="0"/>
    <x v="0"/>
    <s v="Shipped"/>
    <x v="0"/>
    <x v="0"/>
    <x v="2"/>
    <x v="1"/>
    <n v="141"/>
    <s v="S18_1129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390"/>
    <x v="5"/>
    <n v="93.77"/>
    <n v="14"/>
    <x v="0"/>
    <x v="464"/>
    <s v="2/24/2003 0:472"/>
    <x v="0"/>
    <x v="0"/>
    <s v="Shipped"/>
    <x v="0"/>
    <x v="11"/>
    <x v="2"/>
    <x v="1"/>
    <n v="141"/>
    <s v="S18_112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06"/>
    <x v="40"/>
    <n v="100"/>
    <n v="3"/>
    <x v="1"/>
    <x v="465"/>
    <s v="2/24/2003 0:473"/>
    <x v="1"/>
    <x v="1"/>
    <s v="Disputed"/>
    <x v="1"/>
    <x v="8"/>
    <x v="2"/>
    <x v="1"/>
    <n v="141"/>
    <s v="S18_1129"/>
    <s v="Danish Wholesale Imports"/>
    <s v="31 12 3555"/>
    <s v="Vinb'ltet 34"/>
    <m/>
    <s v="Kobenhavn"/>
    <x v="40"/>
    <m/>
    <n v="1734"/>
    <x v="13"/>
    <x v="13"/>
    <s v="EMEA"/>
    <s v="Petersen"/>
    <s v="Jytte"/>
    <x v="2"/>
  </r>
  <r>
    <n v="10419"/>
    <x v="19"/>
    <n v="100"/>
    <n v="5"/>
    <x v="1"/>
    <x v="466"/>
    <s v="2/24/2003 0:474"/>
    <x v="0"/>
    <x v="0"/>
    <s v="Shipped"/>
    <x v="1"/>
    <x v="1"/>
    <x v="2"/>
    <x v="1"/>
    <n v="141"/>
    <s v="S18_1129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102"/>
    <x v="25"/>
    <n v="100"/>
    <n v="2"/>
    <x v="1"/>
    <x v="467"/>
    <s v="2/24/2003 0:475"/>
    <x v="0"/>
    <x v="0"/>
    <s v="Shipped"/>
    <x v="0"/>
    <x v="7"/>
    <x v="0"/>
    <x v="3"/>
    <n v="102"/>
    <s v="S18_1342"/>
    <s v="Vitachrome Inc."/>
    <n v="2125551500"/>
    <s v="2678 Kingston Rd."/>
    <s v="Suite 101"/>
    <s v="Nyc"/>
    <x v="0"/>
    <s v="NY"/>
    <n v="10022"/>
    <x v="0"/>
    <x v="0"/>
    <s v="NA"/>
    <s v="Frick"/>
    <s v="Michael"/>
    <x v="1"/>
  </r>
  <r>
    <n v="10111"/>
    <x v="29"/>
    <n v="99.66"/>
    <n v="6"/>
    <x v="0"/>
    <x v="468"/>
    <s v="2/24/2003 0:476"/>
    <x v="0"/>
    <x v="0"/>
    <s v="Shipped"/>
    <x v="0"/>
    <x v="11"/>
    <x v="0"/>
    <x v="3"/>
    <n v="102"/>
    <s v="S18_1342"/>
    <s v="Mini Wheels Co."/>
    <n v="6505555787"/>
    <s v="5557 North Pendale Street"/>
    <m/>
    <s v="San Francisco"/>
    <x v="4"/>
    <s v="CA"/>
    <m/>
    <x v="0"/>
    <x v="0"/>
    <s v="NA"/>
    <s v="Murphy"/>
    <s v="Julie"/>
    <x v="1"/>
  </r>
  <r>
    <n v="10125"/>
    <x v="22"/>
    <n v="100"/>
    <n v="1"/>
    <x v="0"/>
    <x v="469"/>
    <s v="2/24/2003 0:477"/>
    <x v="0"/>
    <x v="0"/>
    <s v="Shipped"/>
    <x v="1"/>
    <x v="1"/>
    <x v="0"/>
    <x v="3"/>
    <n v="102"/>
    <s v="S18_1342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139"/>
    <x v="28"/>
    <n v="100"/>
    <n v="7"/>
    <x v="0"/>
    <x v="470"/>
    <s v="2/24/2003 0:478"/>
    <x v="0"/>
    <x v="0"/>
    <s v="Shipped"/>
    <x v="2"/>
    <x v="2"/>
    <x v="0"/>
    <x v="3"/>
    <n v="102"/>
    <s v="S18_1342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149"/>
    <x v="24"/>
    <n v="100"/>
    <n v="4"/>
    <x v="1"/>
    <x v="471"/>
    <s v="2/24/2003 0:479"/>
    <x v="0"/>
    <x v="0"/>
    <s v="Shipped"/>
    <x v="2"/>
    <x v="10"/>
    <x v="0"/>
    <x v="3"/>
    <n v="102"/>
    <s v="S18_1342"/>
    <s v="Signal Collectibles Ltd."/>
    <n v="4155554312"/>
    <s v="2793 Furth Circle"/>
    <m/>
    <s v="Brisbane"/>
    <x v="65"/>
    <s v="CA"/>
    <n v="94217"/>
    <x v="0"/>
    <x v="0"/>
    <s v="NA"/>
    <s v="Taylor"/>
    <s v="Sue"/>
    <x v="1"/>
  </r>
  <r>
    <n v="10162"/>
    <x v="7"/>
    <n v="91.44"/>
    <n v="2"/>
    <x v="1"/>
    <x v="472"/>
    <s v="2/24/2003 0:480"/>
    <x v="0"/>
    <x v="0"/>
    <s v="Shipped"/>
    <x v="3"/>
    <x v="4"/>
    <x v="0"/>
    <x v="3"/>
    <n v="102"/>
    <s v="S18_1342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173"/>
    <x v="30"/>
    <n v="100"/>
    <n v="6"/>
    <x v="1"/>
    <x v="473"/>
    <s v="2/24/2003 0:481"/>
    <x v="0"/>
    <x v="0"/>
    <s v="Shipped"/>
    <x v="3"/>
    <x v="5"/>
    <x v="0"/>
    <x v="3"/>
    <n v="102"/>
    <s v="S18_1342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82"/>
    <x v="32"/>
    <n v="87.33"/>
    <n v="3"/>
    <x v="0"/>
    <x v="474"/>
    <s v="2/24/2003 0:482"/>
    <x v="0"/>
    <x v="0"/>
    <s v="Shipped"/>
    <x v="3"/>
    <x v="5"/>
    <x v="0"/>
    <x v="3"/>
    <n v="102"/>
    <s v="S18_134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93"/>
    <x v="11"/>
    <n v="100"/>
    <n v="7"/>
    <x v="0"/>
    <x v="475"/>
    <s v="2/24/2003 0:483"/>
    <x v="0"/>
    <x v="0"/>
    <s v="Shipped"/>
    <x v="3"/>
    <x v="5"/>
    <x v="0"/>
    <x v="3"/>
    <n v="102"/>
    <s v="S18_1342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1"/>
  </r>
  <r>
    <n v="10205"/>
    <x v="5"/>
    <n v="100"/>
    <n v="2"/>
    <x v="0"/>
    <x v="476"/>
    <s v="2/24/2003 0:484"/>
    <x v="0"/>
    <x v="0"/>
    <s v="Shipped"/>
    <x v="3"/>
    <x v="6"/>
    <x v="0"/>
    <x v="3"/>
    <n v="102"/>
    <s v="S18_134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15"/>
    <x v="26"/>
    <n v="89.38"/>
    <n v="10"/>
    <x v="0"/>
    <x v="477"/>
    <s v="2/24/2003 0:485"/>
    <x v="0"/>
    <x v="0"/>
    <s v="Shipped"/>
    <x v="0"/>
    <x v="7"/>
    <x v="1"/>
    <x v="3"/>
    <n v="102"/>
    <s v="S18_1342"/>
    <s v="West Coast Collectables Co."/>
    <n v="3105553722"/>
    <s v="3675 Furth Circle"/>
    <m/>
    <s v="Burbank"/>
    <x v="27"/>
    <s v="CA"/>
    <n v="94019"/>
    <x v="0"/>
    <x v="0"/>
    <s v="NA"/>
    <s v="Thompson"/>
    <s v="Steve"/>
    <x v="0"/>
  </r>
  <r>
    <n v="10227"/>
    <x v="32"/>
    <n v="100"/>
    <n v="3"/>
    <x v="0"/>
    <x v="478"/>
    <s v="2/24/2003 0:486"/>
    <x v="0"/>
    <x v="0"/>
    <s v="Shipped"/>
    <x v="0"/>
    <x v="11"/>
    <x v="1"/>
    <x v="3"/>
    <n v="102"/>
    <s v="S18_1342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44"/>
    <x v="23"/>
    <n v="100"/>
    <n v="7"/>
    <x v="1"/>
    <x v="479"/>
    <s v="2/24/2003 0:487"/>
    <x v="0"/>
    <x v="0"/>
    <s v="Shipped"/>
    <x v="1"/>
    <x v="8"/>
    <x v="1"/>
    <x v="3"/>
    <n v="102"/>
    <s v="S18_134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56"/>
    <x v="1"/>
    <n v="95.55"/>
    <n v="2"/>
    <x v="0"/>
    <x v="480"/>
    <s v="2/24/2003 0:488"/>
    <x v="0"/>
    <x v="0"/>
    <s v="Shipped"/>
    <x v="1"/>
    <x v="9"/>
    <x v="1"/>
    <x v="3"/>
    <n v="102"/>
    <s v="S18_1342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280"/>
    <x v="24"/>
    <n v="100"/>
    <n v="9"/>
    <x v="1"/>
    <x v="481"/>
    <s v="2/24/2003 0:489"/>
    <x v="0"/>
    <x v="0"/>
    <s v="Shipped"/>
    <x v="2"/>
    <x v="3"/>
    <x v="1"/>
    <x v="3"/>
    <n v="102"/>
    <s v="S18_1342"/>
    <s v="Amica Models &amp; Co."/>
    <s v="011-4988555"/>
    <s v="Via Monte Bianco 34"/>
    <m/>
    <s v="Torino"/>
    <x v="30"/>
    <m/>
    <n v="10100"/>
    <x v="12"/>
    <x v="12"/>
    <s v="EMEA"/>
    <s v="Accorti"/>
    <s v="Paolo"/>
    <x v="1"/>
  </r>
  <r>
    <n v="10289"/>
    <x v="19"/>
    <n v="100"/>
    <n v="2"/>
    <x v="1"/>
    <x v="482"/>
    <s v="2/24/2003 0:490"/>
    <x v="0"/>
    <x v="0"/>
    <s v="Shipped"/>
    <x v="2"/>
    <x v="10"/>
    <x v="1"/>
    <x v="3"/>
    <n v="102"/>
    <s v="S18_1342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304"/>
    <x v="9"/>
    <n v="95.55"/>
    <n v="13"/>
    <x v="0"/>
    <x v="483"/>
    <s v="2/24/2003 0:491"/>
    <x v="0"/>
    <x v="0"/>
    <s v="Shipped"/>
    <x v="3"/>
    <x v="4"/>
    <x v="1"/>
    <x v="3"/>
    <n v="102"/>
    <s v="S18_1342"/>
    <s v="Auto Assoc. &amp; Cie."/>
    <s v="30.59.8555"/>
    <s v="67, avenue de l'Europe"/>
    <m/>
    <s v="Versailles"/>
    <x v="32"/>
    <m/>
    <n v="78000"/>
    <x v="1"/>
    <x v="1"/>
    <s v="EMEA"/>
    <s v="Tonini"/>
    <s v="Daniel"/>
    <x v="1"/>
  </r>
  <r>
    <n v="10312"/>
    <x v="30"/>
    <n v="89.38"/>
    <n v="10"/>
    <x v="0"/>
    <x v="484"/>
    <s v="2/24/2003 0:492"/>
    <x v="0"/>
    <x v="0"/>
    <s v="Shipped"/>
    <x v="3"/>
    <x v="4"/>
    <x v="1"/>
    <x v="3"/>
    <n v="102"/>
    <s v="S18_134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22"/>
    <x v="30"/>
    <n v="86.3"/>
    <n v="14"/>
    <x v="0"/>
    <x v="485"/>
    <s v="2/24/2003 0:493"/>
    <x v="0"/>
    <x v="0"/>
    <s v="Shipped"/>
    <x v="3"/>
    <x v="5"/>
    <x v="1"/>
    <x v="3"/>
    <n v="102"/>
    <s v="S18_1342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332"/>
    <x v="12"/>
    <n v="95.13"/>
    <n v="15"/>
    <x v="1"/>
    <x v="486"/>
    <s v="2/24/2003 0:494"/>
    <x v="0"/>
    <x v="0"/>
    <s v="Shipped"/>
    <x v="3"/>
    <x v="5"/>
    <x v="1"/>
    <x v="3"/>
    <n v="102"/>
    <s v="S18_1342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46"/>
    <x v="13"/>
    <n v="36.11"/>
    <n v="3"/>
    <x v="0"/>
    <x v="487"/>
    <s v="2/24/2003 0:495"/>
    <x v="0"/>
    <x v="0"/>
    <s v="Shipped"/>
    <x v="3"/>
    <x v="5"/>
    <x v="1"/>
    <x v="3"/>
    <n v="102"/>
    <s v="S18_1342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356"/>
    <x v="24"/>
    <n v="50.18"/>
    <n v="9"/>
    <x v="0"/>
    <x v="488"/>
    <s v="2/24/2003 0:496"/>
    <x v="0"/>
    <x v="0"/>
    <s v="Shipped"/>
    <x v="3"/>
    <x v="6"/>
    <x v="1"/>
    <x v="3"/>
    <n v="102"/>
    <s v="S18_1342"/>
    <s v="Lyon Souveniers"/>
    <s v="+33 1 46 62 7555"/>
    <s v="27 rue du Colonel Pierre Avia"/>
    <m/>
    <s v="Paris"/>
    <x v="2"/>
    <m/>
    <n v="75508"/>
    <x v="1"/>
    <x v="1"/>
    <s v="EMEA"/>
    <s v="Da Cunha"/>
    <s v="Daniel"/>
    <x v="0"/>
  </r>
  <r>
    <n v="10369"/>
    <x v="27"/>
    <n v="100"/>
    <n v="8"/>
    <x v="1"/>
    <x v="489"/>
    <s v="2/24/2003 0:497"/>
    <x v="0"/>
    <x v="0"/>
    <s v="Shipped"/>
    <x v="0"/>
    <x v="7"/>
    <x v="2"/>
    <x v="3"/>
    <n v="102"/>
    <s v="S18_1342"/>
    <s v="Collectables For Less Inc."/>
    <n v="6175558555"/>
    <s v="7825 Douglas Av."/>
    <m/>
    <s v="Brickhaven"/>
    <x v="35"/>
    <s v="MA"/>
    <n v="58339"/>
    <x v="0"/>
    <x v="0"/>
    <s v="NA"/>
    <s v="Nelson"/>
    <s v="Allen"/>
    <x v="2"/>
  </r>
  <r>
    <n v="10380"/>
    <x v="26"/>
    <n v="93.16"/>
    <n v="13"/>
    <x v="0"/>
    <x v="490"/>
    <s v="2/24/2003 0:498"/>
    <x v="0"/>
    <x v="0"/>
    <s v="Shipped"/>
    <x v="0"/>
    <x v="0"/>
    <x v="2"/>
    <x v="3"/>
    <n v="102"/>
    <s v="S18_134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1"/>
    <x v="21"/>
    <n v="100"/>
    <n v="2"/>
    <x v="1"/>
    <x v="491"/>
    <s v="2/24/2003 0:499"/>
    <x v="0"/>
    <x v="0"/>
    <s v="Shipped"/>
    <x v="0"/>
    <x v="11"/>
    <x v="2"/>
    <x v="3"/>
    <n v="102"/>
    <s v="S18_1342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422"/>
    <x v="41"/>
    <n v="95.55"/>
    <n v="2"/>
    <x v="1"/>
    <x v="492"/>
    <s v="2/24/2003 0:500"/>
    <x v="2"/>
    <x v="1"/>
    <s v="In Process"/>
    <x v="1"/>
    <x v="1"/>
    <x v="2"/>
    <x v="3"/>
    <n v="102"/>
    <s v="S18_1342"/>
    <s v="Diecast Classics Inc."/>
    <n v="2155551555"/>
    <s v="7586 Pompton St."/>
    <m/>
    <s v="Allentown"/>
    <x v="15"/>
    <s v="PA"/>
    <n v="70267"/>
    <x v="0"/>
    <x v="0"/>
    <s v="NA"/>
    <s v="Yu"/>
    <s v="Kyung"/>
    <x v="1"/>
  </r>
  <r>
    <n v="10102"/>
    <x v="2"/>
    <n v="50.14"/>
    <n v="1"/>
    <x v="0"/>
    <x v="493"/>
    <s v="2/24/2003 0:501"/>
    <x v="0"/>
    <x v="0"/>
    <s v="Shipped"/>
    <x v="0"/>
    <x v="7"/>
    <x v="0"/>
    <x v="3"/>
    <n v="53"/>
    <s v="S18_1367"/>
    <s v="Vitachrome Inc."/>
    <n v="2125551500"/>
    <s v="2678 Kingston Rd."/>
    <s v="Suite 101"/>
    <s v="Nyc"/>
    <x v="0"/>
    <s v="NY"/>
    <n v="10022"/>
    <x v="0"/>
    <x v="0"/>
    <s v="NA"/>
    <s v="Frick"/>
    <s v="Michael"/>
    <x v="0"/>
  </r>
  <r>
    <n v="10111"/>
    <x v="7"/>
    <n v="49.06"/>
    <n v="5"/>
    <x v="0"/>
    <x v="494"/>
    <s v="2/24/2003 0:502"/>
    <x v="0"/>
    <x v="0"/>
    <s v="Shipped"/>
    <x v="0"/>
    <x v="11"/>
    <x v="0"/>
    <x v="3"/>
    <n v="53"/>
    <s v="S18_1367"/>
    <s v="Mini Wheels Co."/>
    <n v="6505555787"/>
    <s v="5557 North Pendale Street"/>
    <m/>
    <s v="San Francisco"/>
    <x v="4"/>
    <s v="CA"/>
    <m/>
    <x v="0"/>
    <x v="0"/>
    <s v="NA"/>
    <s v="Murphy"/>
    <s v="Julie"/>
    <x v="0"/>
  </r>
  <r>
    <n v="10126"/>
    <x v="13"/>
    <n v="54.99"/>
    <n v="17"/>
    <x v="0"/>
    <x v="495"/>
    <s v="2/24/2003 0:503"/>
    <x v="0"/>
    <x v="0"/>
    <s v="Shipped"/>
    <x v="1"/>
    <x v="1"/>
    <x v="0"/>
    <x v="3"/>
    <n v="53"/>
    <s v="S18_1367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139"/>
    <x v="4"/>
    <n v="43.13"/>
    <n v="6"/>
    <x v="0"/>
    <x v="496"/>
    <s v="2/24/2003 0:504"/>
    <x v="0"/>
    <x v="0"/>
    <s v="Shipped"/>
    <x v="2"/>
    <x v="2"/>
    <x v="0"/>
    <x v="3"/>
    <n v="53"/>
    <s v="S18_1367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149"/>
    <x v="0"/>
    <n v="58.22"/>
    <n v="3"/>
    <x v="0"/>
    <x v="497"/>
    <s v="2/24/2003 0:505"/>
    <x v="0"/>
    <x v="0"/>
    <s v="Shipped"/>
    <x v="2"/>
    <x v="10"/>
    <x v="0"/>
    <x v="3"/>
    <n v="53"/>
    <s v="S18_1367"/>
    <s v="Signal Collectibles Ltd."/>
    <n v="4155554312"/>
    <s v="2793 Furth Circle"/>
    <m/>
    <s v="Brisbane"/>
    <x v="65"/>
    <s v="CA"/>
    <n v="94217"/>
    <x v="0"/>
    <x v="0"/>
    <s v="NA"/>
    <s v="Taylor"/>
    <s v="Sue"/>
    <x v="0"/>
  </r>
  <r>
    <n v="10162"/>
    <x v="3"/>
    <n v="51.21"/>
    <n v="1"/>
    <x v="0"/>
    <x v="498"/>
    <s v="2/24/2003 0:506"/>
    <x v="0"/>
    <x v="0"/>
    <s v="Shipped"/>
    <x v="3"/>
    <x v="4"/>
    <x v="0"/>
    <x v="3"/>
    <n v="53"/>
    <s v="S18_1367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73"/>
    <x v="7"/>
    <n v="44.21"/>
    <n v="5"/>
    <x v="0"/>
    <x v="499"/>
    <s v="2/24/2003 0:507"/>
    <x v="0"/>
    <x v="0"/>
    <s v="Shipped"/>
    <x v="3"/>
    <x v="5"/>
    <x v="0"/>
    <x v="3"/>
    <n v="53"/>
    <s v="S18_1367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82"/>
    <x v="22"/>
    <n v="54.45"/>
    <n v="2"/>
    <x v="0"/>
    <x v="500"/>
    <s v="2/24/2003 0:508"/>
    <x v="0"/>
    <x v="0"/>
    <s v="Shipped"/>
    <x v="3"/>
    <x v="5"/>
    <x v="0"/>
    <x v="3"/>
    <n v="53"/>
    <s v="S18_136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93"/>
    <x v="12"/>
    <n v="53.37"/>
    <n v="6"/>
    <x v="0"/>
    <x v="501"/>
    <s v="2/24/2003 0:509"/>
    <x v="0"/>
    <x v="0"/>
    <s v="Shipped"/>
    <x v="3"/>
    <x v="5"/>
    <x v="0"/>
    <x v="3"/>
    <n v="53"/>
    <s v="S18_1367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205"/>
    <x v="7"/>
    <n v="63.61"/>
    <n v="1"/>
    <x v="0"/>
    <x v="502"/>
    <s v="2/24/2003 0:510"/>
    <x v="0"/>
    <x v="0"/>
    <s v="Shipped"/>
    <x v="3"/>
    <x v="6"/>
    <x v="0"/>
    <x v="3"/>
    <n v="53"/>
    <s v="S18_1367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15"/>
    <x v="29"/>
    <n v="43.13"/>
    <n v="9"/>
    <x v="0"/>
    <x v="503"/>
    <s v="2/24/2003 0:511"/>
    <x v="0"/>
    <x v="0"/>
    <s v="Shipped"/>
    <x v="0"/>
    <x v="7"/>
    <x v="1"/>
    <x v="3"/>
    <n v="53"/>
    <s v="S18_1367"/>
    <s v="West Coast Collectables Co."/>
    <n v="3105553722"/>
    <s v="3675 Furth Circle"/>
    <m/>
    <s v="Burbank"/>
    <x v="27"/>
    <s v="CA"/>
    <n v="94019"/>
    <x v="0"/>
    <x v="0"/>
    <s v="NA"/>
    <s v="Thompson"/>
    <s v="Steve"/>
    <x v="0"/>
  </r>
  <r>
    <n v="10227"/>
    <x v="28"/>
    <n v="48.52"/>
    <n v="2"/>
    <x v="0"/>
    <x v="504"/>
    <s v="2/24/2003 0:512"/>
    <x v="0"/>
    <x v="0"/>
    <s v="Shipped"/>
    <x v="0"/>
    <x v="11"/>
    <x v="1"/>
    <x v="3"/>
    <n v="53"/>
    <s v="S18_1367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44"/>
    <x v="14"/>
    <n v="58.22"/>
    <n v="6"/>
    <x v="0"/>
    <x v="505"/>
    <s v="2/24/2003 0:513"/>
    <x v="0"/>
    <x v="0"/>
    <s v="Shipped"/>
    <x v="1"/>
    <x v="8"/>
    <x v="1"/>
    <x v="3"/>
    <n v="53"/>
    <s v="S18_1367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56"/>
    <x v="6"/>
    <n v="51.75"/>
    <n v="1"/>
    <x v="0"/>
    <x v="506"/>
    <s v="2/24/2003 0:514"/>
    <x v="0"/>
    <x v="0"/>
    <s v="Shipped"/>
    <x v="1"/>
    <x v="9"/>
    <x v="1"/>
    <x v="3"/>
    <n v="53"/>
    <s v="S18_1367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280"/>
    <x v="26"/>
    <n v="57.68"/>
    <n v="8"/>
    <x v="0"/>
    <x v="507"/>
    <s v="2/24/2003 0:515"/>
    <x v="0"/>
    <x v="0"/>
    <s v="Shipped"/>
    <x v="2"/>
    <x v="3"/>
    <x v="1"/>
    <x v="3"/>
    <n v="53"/>
    <s v="S18_1367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289"/>
    <x v="16"/>
    <n v="56.07"/>
    <n v="1"/>
    <x v="0"/>
    <x v="508"/>
    <s v="2/24/2003 0:516"/>
    <x v="0"/>
    <x v="0"/>
    <s v="Shipped"/>
    <x v="2"/>
    <x v="10"/>
    <x v="1"/>
    <x v="3"/>
    <n v="53"/>
    <s v="S18_1367"/>
    <s v="Herkku Gifts"/>
    <s v="+47 2267 3215"/>
    <s v="Drammen 121, PR 744 Sentrum"/>
    <m/>
    <s v="Bergen"/>
    <x v="7"/>
    <m/>
    <s v="N 5804"/>
    <x v="2"/>
    <x v="2"/>
    <s v="EMEA"/>
    <s v="Oeztan"/>
    <s v="Veysel"/>
    <x v="0"/>
  </r>
  <r>
    <n v="10304"/>
    <x v="9"/>
    <n v="48.52"/>
    <n v="12"/>
    <x v="0"/>
    <x v="509"/>
    <s v="2/24/2003 0:517"/>
    <x v="0"/>
    <x v="0"/>
    <s v="Shipped"/>
    <x v="3"/>
    <x v="4"/>
    <x v="1"/>
    <x v="3"/>
    <n v="53"/>
    <s v="S18_1367"/>
    <s v="Auto Assoc. &amp; Cie."/>
    <s v="30.59.8555"/>
    <s v="67, avenue de l'Europe"/>
    <m/>
    <s v="Versailles"/>
    <x v="32"/>
    <m/>
    <n v="78000"/>
    <x v="1"/>
    <x v="1"/>
    <s v="EMEA"/>
    <s v="Tonini"/>
    <s v="Daniel"/>
    <x v="0"/>
  </r>
  <r>
    <n v="10312"/>
    <x v="32"/>
    <n v="44.21"/>
    <n v="9"/>
    <x v="0"/>
    <x v="510"/>
    <s v="2/24/2003 0:518"/>
    <x v="0"/>
    <x v="0"/>
    <s v="Shipped"/>
    <x v="3"/>
    <x v="4"/>
    <x v="1"/>
    <x v="3"/>
    <n v="53"/>
    <s v="S18_136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22"/>
    <x v="2"/>
    <n v="57.68"/>
    <n v="5"/>
    <x v="0"/>
    <x v="511"/>
    <s v="2/24/2003 0:519"/>
    <x v="0"/>
    <x v="0"/>
    <s v="Shipped"/>
    <x v="3"/>
    <x v="5"/>
    <x v="1"/>
    <x v="3"/>
    <n v="53"/>
    <s v="S18_1367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332"/>
    <x v="26"/>
    <n v="89.89"/>
    <n v="16"/>
    <x v="0"/>
    <x v="512"/>
    <s v="2/24/2003 0:520"/>
    <x v="0"/>
    <x v="0"/>
    <s v="Shipped"/>
    <x v="3"/>
    <x v="5"/>
    <x v="1"/>
    <x v="3"/>
    <n v="53"/>
    <s v="S18_1367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47"/>
    <x v="15"/>
    <n v="58.95"/>
    <n v="7"/>
    <x v="0"/>
    <x v="513"/>
    <s v="2/24/2003 0:521"/>
    <x v="0"/>
    <x v="0"/>
    <s v="Shipped"/>
    <x v="3"/>
    <x v="5"/>
    <x v="1"/>
    <x v="3"/>
    <n v="53"/>
    <s v="S18_1367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356"/>
    <x v="8"/>
    <n v="72.41"/>
    <n v="6"/>
    <x v="0"/>
    <x v="514"/>
    <s v="2/24/2003 0:522"/>
    <x v="0"/>
    <x v="0"/>
    <s v="Shipped"/>
    <x v="3"/>
    <x v="6"/>
    <x v="1"/>
    <x v="3"/>
    <n v="53"/>
    <s v="S18_1367"/>
    <s v="Lyon Souveniers"/>
    <s v="+33 1 46 62 7555"/>
    <s v="27 rue du Colonel Pierre Avia"/>
    <m/>
    <s v="Paris"/>
    <x v="2"/>
    <m/>
    <n v="75508"/>
    <x v="1"/>
    <x v="1"/>
    <s v="EMEA"/>
    <s v="Da Cunha"/>
    <s v="Daniel"/>
    <x v="0"/>
  </r>
  <r>
    <n v="10369"/>
    <x v="22"/>
    <n v="98.63"/>
    <n v="7"/>
    <x v="0"/>
    <x v="515"/>
    <s v="2/24/2003 0:523"/>
    <x v="0"/>
    <x v="0"/>
    <s v="Shipped"/>
    <x v="0"/>
    <x v="7"/>
    <x v="2"/>
    <x v="3"/>
    <n v="53"/>
    <s v="S18_1367"/>
    <s v="Collectables For Less Inc."/>
    <n v="6175558555"/>
    <s v="7825 Douglas Av."/>
    <m/>
    <s v="Brickhaven"/>
    <x v="35"/>
    <s v="MA"/>
    <n v="58339"/>
    <x v="0"/>
    <x v="0"/>
    <s v="NA"/>
    <s v="Nelson"/>
    <s v="Allen"/>
    <x v="1"/>
  </r>
  <r>
    <n v="10381"/>
    <x v="32"/>
    <n v="52.83"/>
    <n v="9"/>
    <x v="0"/>
    <x v="516"/>
    <s v="2/24/2003 0:524"/>
    <x v="0"/>
    <x v="0"/>
    <s v="Shipped"/>
    <x v="0"/>
    <x v="0"/>
    <x v="2"/>
    <x v="3"/>
    <n v="53"/>
    <s v="S18_1367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391"/>
    <x v="13"/>
    <n v="100"/>
    <n v="3"/>
    <x v="1"/>
    <x v="517"/>
    <s v="2/24/2003 0:525"/>
    <x v="0"/>
    <x v="0"/>
    <s v="Shipped"/>
    <x v="0"/>
    <x v="11"/>
    <x v="2"/>
    <x v="3"/>
    <n v="53"/>
    <s v="S18_1367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422"/>
    <x v="32"/>
    <n v="51.75"/>
    <n v="1"/>
    <x v="0"/>
    <x v="518"/>
    <s v="2/24/2003 0:526"/>
    <x v="2"/>
    <x v="1"/>
    <s v="In Process"/>
    <x v="1"/>
    <x v="1"/>
    <x v="2"/>
    <x v="3"/>
    <n v="53"/>
    <s v="S18_1367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110"/>
    <x v="9"/>
    <n v="100"/>
    <n v="16"/>
    <x v="1"/>
    <x v="519"/>
    <s v="2/24/2003 0:527"/>
    <x v="0"/>
    <x v="0"/>
    <s v="Shipped"/>
    <x v="0"/>
    <x v="11"/>
    <x v="0"/>
    <x v="1"/>
    <n v="124"/>
    <s v="S18_1589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123"/>
    <x v="18"/>
    <n v="100"/>
    <n v="2"/>
    <x v="0"/>
    <x v="520"/>
    <s v="2/24/2003 0:528"/>
    <x v="0"/>
    <x v="0"/>
    <s v="Shipped"/>
    <x v="1"/>
    <x v="1"/>
    <x v="0"/>
    <x v="1"/>
    <n v="124"/>
    <s v="S18_1589"/>
    <s v="Atelier graphique"/>
    <s v="40.32.2555"/>
    <s v="54, rue Royale"/>
    <m/>
    <s v="Nantes"/>
    <x v="11"/>
    <m/>
    <n v="44000"/>
    <x v="1"/>
    <x v="1"/>
    <s v="EMEA"/>
    <s v="Schmitt"/>
    <s v="Carine"/>
    <x v="1"/>
  </r>
  <r>
    <n v="10137"/>
    <x v="27"/>
    <n v="99.55"/>
    <n v="2"/>
    <x v="1"/>
    <x v="521"/>
    <s v="2/24/2003 0:529"/>
    <x v="0"/>
    <x v="0"/>
    <s v="Shipped"/>
    <x v="2"/>
    <x v="2"/>
    <x v="0"/>
    <x v="1"/>
    <n v="124"/>
    <s v="S18_1589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148"/>
    <x v="20"/>
    <n v="100"/>
    <n v="9"/>
    <x v="1"/>
    <x v="522"/>
    <s v="2/24/2003 0:530"/>
    <x v="0"/>
    <x v="0"/>
    <s v="Shipped"/>
    <x v="2"/>
    <x v="10"/>
    <x v="0"/>
    <x v="1"/>
    <n v="124"/>
    <s v="S18_1589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61"/>
    <x v="30"/>
    <n v="100"/>
    <n v="8"/>
    <x v="1"/>
    <x v="523"/>
    <s v="2/24/2003 0:531"/>
    <x v="0"/>
    <x v="0"/>
    <s v="Shipped"/>
    <x v="3"/>
    <x v="4"/>
    <x v="0"/>
    <x v="1"/>
    <n v="124"/>
    <s v="S18_1589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172"/>
    <x v="13"/>
    <n v="100"/>
    <n v="6"/>
    <x v="1"/>
    <x v="524"/>
    <s v="2/24/2003 0:532"/>
    <x v="0"/>
    <x v="0"/>
    <s v="Shipped"/>
    <x v="3"/>
    <x v="5"/>
    <x v="0"/>
    <x v="1"/>
    <n v="124"/>
    <s v="S18_1589"/>
    <s v="Gift Depot Inc."/>
    <n v="2035552570"/>
    <s v="25593 South Bay Ln."/>
    <m/>
    <s v="Bridgewater"/>
    <x v="10"/>
    <s v="CT"/>
    <n v="97562"/>
    <x v="0"/>
    <x v="0"/>
    <s v="NA"/>
    <s v="King"/>
    <s v="Julie"/>
    <x v="1"/>
  </r>
  <r>
    <n v="10181"/>
    <x v="13"/>
    <n v="100"/>
    <n v="2"/>
    <x v="1"/>
    <x v="525"/>
    <s v="2/24/2003 0:533"/>
    <x v="0"/>
    <x v="0"/>
    <s v="Shipped"/>
    <x v="3"/>
    <x v="5"/>
    <x v="0"/>
    <x v="1"/>
    <n v="124"/>
    <s v="S18_1589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192"/>
    <x v="6"/>
    <n v="100"/>
    <n v="7"/>
    <x v="1"/>
    <x v="526"/>
    <s v="2/24/2003 0:534"/>
    <x v="0"/>
    <x v="0"/>
    <s v="Shipped"/>
    <x v="3"/>
    <x v="5"/>
    <x v="0"/>
    <x v="1"/>
    <n v="124"/>
    <s v="S18_1589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204"/>
    <x v="23"/>
    <n v="100"/>
    <n v="13"/>
    <x v="1"/>
    <x v="527"/>
    <s v="2/24/2003 0:535"/>
    <x v="0"/>
    <x v="0"/>
    <s v="Shipped"/>
    <x v="3"/>
    <x v="6"/>
    <x v="0"/>
    <x v="1"/>
    <n v="124"/>
    <s v="S18_1589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12"/>
    <x v="19"/>
    <n v="100"/>
    <n v="6"/>
    <x v="1"/>
    <x v="528"/>
    <s v="2/24/2003 0:536"/>
    <x v="0"/>
    <x v="0"/>
    <s v="Shipped"/>
    <x v="0"/>
    <x v="7"/>
    <x v="1"/>
    <x v="1"/>
    <n v="124"/>
    <s v="S18_158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26"/>
    <x v="19"/>
    <n v="100"/>
    <n v="4"/>
    <x v="1"/>
    <x v="529"/>
    <s v="2/24/2003 0:537"/>
    <x v="0"/>
    <x v="0"/>
    <s v="Shipped"/>
    <x v="0"/>
    <x v="0"/>
    <x v="1"/>
    <x v="1"/>
    <n v="124"/>
    <s v="S18_1589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41"/>
    <x v="15"/>
    <n v="100"/>
    <n v="11"/>
    <x v="0"/>
    <x v="530"/>
    <s v="2/24/2003 0:538"/>
    <x v="0"/>
    <x v="0"/>
    <s v="Shipped"/>
    <x v="1"/>
    <x v="8"/>
    <x v="1"/>
    <x v="1"/>
    <n v="124"/>
    <s v="S18_1589"/>
    <s v="Mini Caravy"/>
    <s v="88.60.1555"/>
    <s v="24, place Kluber"/>
    <m/>
    <s v="Strasbourg"/>
    <x v="66"/>
    <m/>
    <n v="67000"/>
    <x v="1"/>
    <x v="1"/>
    <s v="EMEA"/>
    <s v="Citeaux"/>
    <s v="Frederique"/>
    <x v="0"/>
  </r>
  <r>
    <n v="10253"/>
    <x v="16"/>
    <n v="100"/>
    <n v="1"/>
    <x v="0"/>
    <x v="531"/>
    <s v="2/24/2003 0:539"/>
    <x v="3"/>
    <x v="1"/>
    <s v="Cancelled"/>
    <x v="1"/>
    <x v="9"/>
    <x v="1"/>
    <x v="1"/>
    <n v="124"/>
    <s v="S18_1589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266"/>
    <x v="5"/>
    <n v="100"/>
    <n v="2"/>
    <x v="1"/>
    <x v="532"/>
    <s v="2/24/2003 0:540"/>
    <x v="0"/>
    <x v="0"/>
    <s v="Shipped"/>
    <x v="2"/>
    <x v="2"/>
    <x v="1"/>
    <x v="1"/>
    <n v="124"/>
    <s v="S18_1589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278"/>
    <x v="10"/>
    <n v="100"/>
    <n v="2"/>
    <x v="0"/>
    <x v="533"/>
    <s v="2/24/2003 0:541"/>
    <x v="0"/>
    <x v="0"/>
    <s v="Shipped"/>
    <x v="2"/>
    <x v="3"/>
    <x v="1"/>
    <x v="1"/>
    <n v="124"/>
    <s v="S18_1589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288"/>
    <x v="14"/>
    <n v="100"/>
    <n v="14"/>
    <x v="0"/>
    <x v="534"/>
    <s v="2/24/2003 0:542"/>
    <x v="0"/>
    <x v="0"/>
    <s v="Shipped"/>
    <x v="2"/>
    <x v="10"/>
    <x v="1"/>
    <x v="1"/>
    <n v="124"/>
    <s v="S18_1589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301"/>
    <x v="22"/>
    <n v="100"/>
    <n v="4"/>
    <x v="0"/>
    <x v="535"/>
    <s v="2/24/2003 0:543"/>
    <x v="0"/>
    <x v="0"/>
    <s v="Shipped"/>
    <x v="3"/>
    <x v="4"/>
    <x v="0"/>
    <x v="1"/>
    <n v="124"/>
    <s v="S18_1589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1"/>
  </r>
  <r>
    <n v="10311"/>
    <x v="6"/>
    <n v="100"/>
    <n v="9"/>
    <x v="0"/>
    <x v="536"/>
    <s v="2/24/2003 0:544"/>
    <x v="0"/>
    <x v="0"/>
    <s v="Shipped"/>
    <x v="3"/>
    <x v="4"/>
    <x v="1"/>
    <x v="1"/>
    <n v="124"/>
    <s v="S18_158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21"/>
    <x v="27"/>
    <n v="100"/>
    <n v="6"/>
    <x v="1"/>
    <x v="537"/>
    <s v="2/24/2003 0:545"/>
    <x v="0"/>
    <x v="0"/>
    <s v="Shipped"/>
    <x v="3"/>
    <x v="5"/>
    <x v="1"/>
    <x v="1"/>
    <n v="124"/>
    <s v="S18_1589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331"/>
    <x v="27"/>
    <n v="100"/>
    <n v="14"/>
    <x v="1"/>
    <x v="538"/>
    <s v="2/24/2003 0:546"/>
    <x v="0"/>
    <x v="0"/>
    <s v="Shipped"/>
    <x v="3"/>
    <x v="5"/>
    <x v="1"/>
    <x v="1"/>
    <n v="124"/>
    <s v="S18_1589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343"/>
    <x v="5"/>
    <n v="100"/>
    <n v="4"/>
    <x v="1"/>
    <x v="539"/>
    <s v="2/24/2003 0:547"/>
    <x v="0"/>
    <x v="0"/>
    <s v="Shipped"/>
    <x v="3"/>
    <x v="5"/>
    <x v="1"/>
    <x v="1"/>
    <n v="124"/>
    <s v="S18_1589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367"/>
    <x v="4"/>
    <n v="56.3"/>
    <n v="1"/>
    <x v="0"/>
    <x v="540"/>
    <s v="2/24/2003 0:548"/>
    <x v="5"/>
    <x v="1"/>
    <s v="Resolved"/>
    <x v="0"/>
    <x v="7"/>
    <x v="2"/>
    <x v="1"/>
    <n v="124"/>
    <s v="S18_1589"/>
    <s v="Toys4GrownUps.com"/>
    <n v="6265557265"/>
    <s v="78934 Hillside Dr."/>
    <m/>
    <s v="Pasadena"/>
    <x v="3"/>
    <s v="CA"/>
    <n v="90003"/>
    <x v="0"/>
    <x v="0"/>
    <s v="NA"/>
    <s v="Young"/>
    <s v="Julie"/>
    <x v="0"/>
  </r>
  <r>
    <n v="10378"/>
    <x v="1"/>
    <n v="42.64"/>
    <n v="5"/>
    <x v="0"/>
    <x v="541"/>
    <s v="2/24/2003 0:549"/>
    <x v="0"/>
    <x v="0"/>
    <s v="Shipped"/>
    <x v="0"/>
    <x v="0"/>
    <x v="2"/>
    <x v="1"/>
    <n v="124"/>
    <s v="S18_158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07"/>
    <x v="42"/>
    <n v="100"/>
    <n v="11"/>
    <x v="1"/>
    <x v="542"/>
    <s v="2/24/2003 0:550"/>
    <x v="4"/>
    <x v="1"/>
    <s v="On Hold"/>
    <x v="1"/>
    <x v="8"/>
    <x v="2"/>
    <x v="1"/>
    <n v="124"/>
    <s v="S18_1589"/>
    <s v="The Sharp Gifts Warehouse"/>
    <n v="4085553659"/>
    <s v="3086 Ingle Ln."/>
    <m/>
    <s v="San Jose"/>
    <x v="51"/>
    <s v="CA"/>
    <n v="94217"/>
    <x v="0"/>
    <x v="0"/>
    <s v="NA"/>
    <s v="Frick"/>
    <s v="Sue"/>
    <x v="2"/>
  </r>
  <r>
    <n v="10419"/>
    <x v="9"/>
    <n v="100"/>
    <n v="1"/>
    <x v="1"/>
    <x v="543"/>
    <s v="2/24/2003 0:551"/>
    <x v="0"/>
    <x v="0"/>
    <s v="Shipped"/>
    <x v="1"/>
    <x v="1"/>
    <x v="2"/>
    <x v="1"/>
    <n v="124"/>
    <s v="S18_1589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106"/>
    <x v="5"/>
    <n v="100"/>
    <n v="12"/>
    <x v="1"/>
    <x v="544"/>
    <s v="2/24/2003 0:552"/>
    <x v="0"/>
    <x v="0"/>
    <s v="Shipped"/>
    <x v="0"/>
    <x v="0"/>
    <x v="0"/>
    <x v="4"/>
    <n v="157"/>
    <s v="S18_1662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19"/>
    <x v="30"/>
    <n v="100"/>
    <n v="3"/>
    <x v="1"/>
    <x v="545"/>
    <s v="2/24/2003 0:553"/>
    <x v="0"/>
    <x v="0"/>
    <s v="Shipped"/>
    <x v="1"/>
    <x v="8"/>
    <x v="0"/>
    <x v="4"/>
    <n v="157"/>
    <s v="S18_1662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131"/>
    <x v="15"/>
    <n v="100"/>
    <n v="4"/>
    <x v="0"/>
    <x v="546"/>
    <s v="2/24/2003 0:554"/>
    <x v="0"/>
    <x v="0"/>
    <s v="Shipped"/>
    <x v="1"/>
    <x v="9"/>
    <x v="0"/>
    <x v="4"/>
    <n v="157"/>
    <s v="S18_1662"/>
    <s v="Gift Ideas Corp."/>
    <n v="2035554407"/>
    <s v="2440 Pompton St."/>
    <m/>
    <s v="Glendale"/>
    <x v="63"/>
    <s v="CT"/>
    <n v="97561"/>
    <x v="0"/>
    <x v="0"/>
    <s v="NA"/>
    <s v="Lewis"/>
    <s v="Dan"/>
    <x v="0"/>
  </r>
  <r>
    <n v="10143"/>
    <x v="22"/>
    <n v="100"/>
    <n v="7"/>
    <x v="1"/>
    <x v="547"/>
    <s v="2/24/2003 0:555"/>
    <x v="0"/>
    <x v="0"/>
    <s v="Shipped"/>
    <x v="2"/>
    <x v="3"/>
    <x v="0"/>
    <x v="4"/>
    <n v="157"/>
    <s v="S18_1662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55"/>
    <x v="19"/>
    <n v="100"/>
    <n v="5"/>
    <x v="1"/>
    <x v="548"/>
    <s v="2/24/2003 0:556"/>
    <x v="0"/>
    <x v="0"/>
    <s v="Shipped"/>
    <x v="3"/>
    <x v="4"/>
    <x v="0"/>
    <x v="4"/>
    <n v="157"/>
    <s v="S18_1662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167"/>
    <x v="30"/>
    <n v="100"/>
    <n v="1"/>
    <x v="1"/>
    <x v="549"/>
    <s v="2/24/2003 0:557"/>
    <x v="3"/>
    <x v="1"/>
    <s v="Cancelled"/>
    <x v="3"/>
    <x v="4"/>
    <x v="0"/>
    <x v="4"/>
    <n v="157"/>
    <s v="S18_1662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178"/>
    <x v="13"/>
    <n v="100"/>
    <n v="4"/>
    <x v="1"/>
    <x v="550"/>
    <s v="2/24/2003 0:558"/>
    <x v="0"/>
    <x v="0"/>
    <s v="Shipped"/>
    <x v="3"/>
    <x v="5"/>
    <x v="0"/>
    <x v="4"/>
    <n v="157"/>
    <s v="S18_1662"/>
    <s v="Alpha Cognac"/>
    <s v="61.77.6555"/>
    <s v="1 rue Alsace-Lorraine"/>
    <m/>
    <s v="Toulouse"/>
    <x v="42"/>
    <m/>
    <n v="31000"/>
    <x v="1"/>
    <x v="1"/>
    <s v="EMEA"/>
    <s v="Roulet"/>
    <s v="Annette"/>
    <x v="1"/>
  </r>
  <r>
    <n v="10186"/>
    <x v="22"/>
    <n v="100"/>
    <n v="1"/>
    <x v="1"/>
    <x v="551"/>
    <s v="2/24/2003 0:559"/>
    <x v="0"/>
    <x v="0"/>
    <s v="Shipped"/>
    <x v="3"/>
    <x v="5"/>
    <x v="0"/>
    <x v="4"/>
    <n v="157"/>
    <s v="S18_1662"/>
    <s v="Double Decker Gift Stores, Ltd"/>
    <s v="(171) 555-7555"/>
    <s v="120 Hanover Sq."/>
    <m/>
    <s v="London"/>
    <x v="41"/>
    <m/>
    <s v="WA1 1DP"/>
    <x v="6"/>
    <x v="6"/>
    <s v="EMEA"/>
    <s v="Hardy"/>
    <s v="Thomas"/>
    <x v="1"/>
  </r>
  <r>
    <n v="10198"/>
    <x v="13"/>
    <n v="100"/>
    <n v="4"/>
    <x v="1"/>
    <x v="552"/>
    <s v="2/24/2003 0:560"/>
    <x v="0"/>
    <x v="0"/>
    <s v="Shipped"/>
    <x v="3"/>
    <x v="5"/>
    <x v="0"/>
    <x v="4"/>
    <n v="157"/>
    <s v="S18_1662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2"/>
  </r>
  <r>
    <n v="10210"/>
    <x v="28"/>
    <n v="100"/>
    <n v="17"/>
    <x v="1"/>
    <x v="553"/>
    <s v="2/24/2003 0:561"/>
    <x v="0"/>
    <x v="0"/>
    <s v="Shipped"/>
    <x v="0"/>
    <x v="7"/>
    <x v="1"/>
    <x v="4"/>
    <n v="157"/>
    <s v="S18_1662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1"/>
  </r>
  <r>
    <n v="10222"/>
    <x v="4"/>
    <n v="100"/>
    <n v="4"/>
    <x v="1"/>
    <x v="554"/>
    <s v="2/24/2003 0:562"/>
    <x v="0"/>
    <x v="0"/>
    <s v="Shipped"/>
    <x v="0"/>
    <x v="0"/>
    <x v="1"/>
    <x v="4"/>
    <n v="157"/>
    <s v="S18_1662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50"/>
    <x v="3"/>
    <n v="100"/>
    <n v="14"/>
    <x v="1"/>
    <x v="555"/>
    <s v="2/24/2003 0:563"/>
    <x v="0"/>
    <x v="0"/>
    <s v="Shipped"/>
    <x v="1"/>
    <x v="1"/>
    <x v="1"/>
    <x v="4"/>
    <n v="157"/>
    <s v="S18_1662"/>
    <s v="The Sharp Gifts Warehouse"/>
    <n v="4085553659"/>
    <s v="3086 Ingle Ln."/>
    <m/>
    <s v="San Jose"/>
    <x v="51"/>
    <s v="CA"/>
    <n v="94217"/>
    <x v="0"/>
    <x v="0"/>
    <s v="NA"/>
    <s v="Frick"/>
    <s v="Sue"/>
    <x v="2"/>
  </r>
  <r>
    <n v="10262"/>
    <x v="4"/>
    <n v="100"/>
    <n v="9"/>
    <x v="1"/>
    <x v="556"/>
    <s v="2/24/2003 0:564"/>
    <x v="3"/>
    <x v="1"/>
    <s v="Cancelled"/>
    <x v="1"/>
    <x v="9"/>
    <x v="1"/>
    <x v="4"/>
    <n v="157"/>
    <s v="S18_166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74"/>
    <x v="2"/>
    <n v="100"/>
    <n v="1"/>
    <x v="1"/>
    <x v="557"/>
    <s v="2/24/2003 0:565"/>
    <x v="0"/>
    <x v="0"/>
    <s v="Shipped"/>
    <x v="2"/>
    <x v="2"/>
    <x v="1"/>
    <x v="4"/>
    <n v="157"/>
    <s v="S18_1662"/>
    <s v="Collectables For Less Inc."/>
    <n v="6175558555"/>
    <s v="7825 Douglas Av."/>
    <m/>
    <s v="Brickhaven"/>
    <x v="35"/>
    <s v="MA"/>
    <n v="58339"/>
    <x v="0"/>
    <x v="0"/>
    <s v="NA"/>
    <s v="Nelson"/>
    <s v="Allen"/>
    <x v="1"/>
  </r>
  <r>
    <n v="10284"/>
    <x v="3"/>
    <n v="100"/>
    <n v="11"/>
    <x v="1"/>
    <x v="558"/>
    <s v="2/24/2003 0:566"/>
    <x v="0"/>
    <x v="0"/>
    <s v="Shipped"/>
    <x v="2"/>
    <x v="3"/>
    <x v="1"/>
    <x v="4"/>
    <n v="157"/>
    <s v="S18_1662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1"/>
  </r>
  <r>
    <n v="10296"/>
    <x v="5"/>
    <n v="100"/>
    <n v="7"/>
    <x v="1"/>
    <x v="559"/>
    <s v="2/24/2003 0:567"/>
    <x v="0"/>
    <x v="0"/>
    <s v="Shipped"/>
    <x v="2"/>
    <x v="10"/>
    <x v="1"/>
    <x v="4"/>
    <n v="157"/>
    <s v="S18_1662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1"/>
  </r>
  <r>
    <n v="10307"/>
    <x v="25"/>
    <n v="100"/>
    <n v="1"/>
    <x v="1"/>
    <x v="560"/>
    <s v="2/24/2003 0:568"/>
    <x v="0"/>
    <x v="0"/>
    <s v="Shipped"/>
    <x v="3"/>
    <x v="4"/>
    <x v="1"/>
    <x v="4"/>
    <n v="157"/>
    <s v="S18_1662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2"/>
  </r>
  <r>
    <n v="10316"/>
    <x v="26"/>
    <n v="100"/>
    <n v="9"/>
    <x v="0"/>
    <x v="561"/>
    <s v="2/24/2003 0:569"/>
    <x v="0"/>
    <x v="0"/>
    <s v="Shipped"/>
    <x v="3"/>
    <x v="5"/>
    <x v="1"/>
    <x v="4"/>
    <n v="157"/>
    <s v="S18_1662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1"/>
  </r>
  <r>
    <n v="10327"/>
    <x v="32"/>
    <n v="100"/>
    <n v="6"/>
    <x v="0"/>
    <x v="562"/>
    <s v="2/24/2003 0:570"/>
    <x v="5"/>
    <x v="1"/>
    <s v="Resolved"/>
    <x v="3"/>
    <x v="5"/>
    <x v="1"/>
    <x v="4"/>
    <n v="157"/>
    <s v="S18_1662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338"/>
    <x v="2"/>
    <n v="100"/>
    <n v="1"/>
    <x v="1"/>
    <x v="563"/>
    <s v="2/24/2003 0:571"/>
    <x v="0"/>
    <x v="0"/>
    <s v="Shipped"/>
    <x v="3"/>
    <x v="5"/>
    <x v="1"/>
    <x v="4"/>
    <n v="157"/>
    <s v="S18_1662"/>
    <s v="Royale Belge"/>
    <s v="(071) 23 67 2555"/>
    <s v="Boulevard Tirou, 255"/>
    <m/>
    <s v="Charleroi"/>
    <x v="72"/>
    <m/>
    <s v="B-6000"/>
    <x v="14"/>
    <x v="14"/>
    <s v="EMEA"/>
    <s v="Cartrain"/>
    <s v="Pascale"/>
    <x v="1"/>
  </r>
  <r>
    <n v="10351"/>
    <x v="25"/>
    <n v="99.52"/>
    <n v="1"/>
    <x v="0"/>
    <x v="564"/>
    <s v="2/24/2003 0:572"/>
    <x v="0"/>
    <x v="0"/>
    <s v="Shipped"/>
    <x v="3"/>
    <x v="6"/>
    <x v="1"/>
    <x v="4"/>
    <n v="157"/>
    <s v="S18_1662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373"/>
    <x v="11"/>
    <n v="57.55"/>
    <n v="4"/>
    <x v="0"/>
    <x v="565"/>
    <s v="2/24/2003 0:573"/>
    <x v="0"/>
    <x v="0"/>
    <s v="Shipped"/>
    <x v="0"/>
    <x v="7"/>
    <x v="2"/>
    <x v="4"/>
    <n v="157"/>
    <s v="S18_1662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386"/>
    <x v="32"/>
    <n v="54.57"/>
    <n v="7"/>
    <x v="0"/>
    <x v="566"/>
    <s v="2/24/2003 0:574"/>
    <x v="5"/>
    <x v="1"/>
    <s v="Resolved"/>
    <x v="0"/>
    <x v="11"/>
    <x v="2"/>
    <x v="4"/>
    <n v="157"/>
    <s v="S18_166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8"/>
    <x v="29"/>
    <n v="100"/>
    <n v="11"/>
    <x v="1"/>
    <x v="567"/>
    <s v="2/24/2003 0:575"/>
    <x v="0"/>
    <x v="0"/>
    <s v="Shipped"/>
    <x v="0"/>
    <x v="11"/>
    <x v="2"/>
    <x v="4"/>
    <n v="157"/>
    <s v="S18_1662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400"/>
    <x v="1"/>
    <n v="100"/>
    <n v="1"/>
    <x v="1"/>
    <x v="568"/>
    <s v="2/24/2003 0:576"/>
    <x v="0"/>
    <x v="0"/>
    <s v="Shipped"/>
    <x v="1"/>
    <x v="8"/>
    <x v="2"/>
    <x v="4"/>
    <n v="157"/>
    <s v="S18_1662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416"/>
    <x v="16"/>
    <n v="100"/>
    <n v="14"/>
    <x v="1"/>
    <x v="569"/>
    <s v="2/24/2003 0:577"/>
    <x v="0"/>
    <x v="0"/>
    <s v="Shipped"/>
    <x v="1"/>
    <x v="1"/>
    <x v="2"/>
    <x v="4"/>
    <n v="157"/>
    <s v="S18_1662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100"/>
    <x v="0"/>
    <n v="100"/>
    <n v="3"/>
    <x v="1"/>
    <x v="570"/>
    <s v="2/24/2003 0:578"/>
    <x v="0"/>
    <x v="0"/>
    <s v="Shipped"/>
    <x v="0"/>
    <x v="7"/>
    <x v="0"/>
    <x v="3"/>
    <n v="170"/>
    <s v="S18_1749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110"/>
    <x v="13"/>
    <n v="100"/>
    <n v="7"/>
    <x v="1"/>
    <x v="571"/>
    <s v="2/24/2003 0:579"/>
    <x v="0"/>
    <x v="0"/>
    <s v="Shipped"/>
    <x v="0"/>
    <x v="11"/>
    <x v="0"/>
    <x v="3"/>
    <n v="170"/>
    <s v="S18_1749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124"/>
    <x v="15"/>
    <n v="100"/>
    <n v="6"/>
    <x v="0"/>
    <x v="572"/>
    <s v="2/24/2003 0:580"/>
    <x v="0"/>
    <x v="0"/>
    <s v="Shipped"/>
    <x v="1"/>
    <x v="1"/>
    <x v="0"/>
    <x v="3"/>
    <n v="170"/>
    <s v="S18_1749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149"/>
    <x v="1"/>
    <n v="100"/>
    <n v="11"/>
    <x v="1"/>
    <x v="573"/>
    <s v="2/24/2003 0:581"/>
    <x v="0"/>
    <x v="0"/>
    <s v="Shipped"/>
    <x v="2"/>
    <x v="10"/>
    <x v="0"/>
    <x v="3"/>
    <n v="170"/>
    <s v="S18_1749"/>
    <s v="Signal Collectibles Ltd."/>
    <n v="4155554312"/>
    <s v="2793 Furth Circle"/>
    <m/>
    <s v="Brisbane"/>
    <x v="65"/>
    <s v="CA"/>
    <n v="94217"/>
    <x v="0"/>
    <x v="0"/>
    <s v="NA"/>
    <s v="Taylor"/>
    <s v="Sue"/>
    <x v="1"/>
  </r>
  <r>
    <n v="10162"/>
    <x v="6"/>
    <n v="100"/>
    <n v="9"/>
    <x v="1"/>
    <x v="574"/>
    <s v="2/24/2003 0:582"/>
    <x v="0"/>
    <x v="0"/>
    <s v="Shipped"/>
    <x v="3"/>
    <x v="4"/>
    <x v="0"/>
    <x v="3"/>
    <n v="170"/>
    <s v="S18_1749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173"/>
    <x v="16"/>
    <n v="100"/>
    <n v="13"/>
    <x v="0"/>
    <x v="118"/>
    <s v="2/24/2003 0:583"/>
    <x v="0"/>
    <x v="0"/>
    <s v="Shipped"/>
    <x v="3"/>
    <x v="5"/>
    <x v="0"/>
    <x v="3"/>
    <n v="170"/>
    <s v="S18_1749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82"/>
    <x v="27"/>
    <n v="100"/>
    <n v="10"/>
    <x v="1"/>
    <x v="575"/>
    <s v="2/24/2003 0:584"/>
    <x v="0"/>
    <x v="0"/>
    <s v="Shipped"/>
    <x v="3"/>
    <x v="5"/>
    <x v="0"/>
    <x v="3"/>
    <n v="170"/>
    <s v="S18_174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2"/>
  </r>
  <r>
    <n v="10193"/>
    <x v="15"/>
    <n v="100"/>
    <n v="14"/>
    <x v="0"/>
    <x v="576"/>
    <s v="2/24/2003 0:585"/>
    <x v="0"/>
    <x v="0"/>
    <s v="Shipped"/>
    <x v="3"/>
    <x v="5"/>
    <x v="0"/>
    <x v="3"/>
    <n v="170"/>
    <s v="S18_1749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1"/>
  </r>
  <r>
    <n v="10204"/>
    <x v="29"/>
    <n v="100"/>
    <n v="4"/>
    <x v="1"/>
    <x v="577"/>
    <s v="2/24/2003 0:586"/>
    <x v="0"/>
    <x v="0"/>
    <s v="Shipped"/>
    <x v="3"/>
    <x v="6"/>
    <x v="0"/>
    <x v="3"/>
    <n v="170"/>
    <s v="S18_1749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14"/>
    <x v="0"/>
    <n v="100"/>
    <n v="7"/>
    <x v="1"/>
    <x v="578"/>
    <s v="2/24/2003 0:587"/>
    <x v="0"/>
    <x v="0"/>
    <s v="Shipped"/>
    <x v="0"/>
    <x v="7"/>
    <x v="1"/>
    <x v="3"/>
    <n v="170"/>
    <s v="S18_1749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227"/>
    <x v="18"/>
    <n v="100"/>
    <n v="10"/>
    <x v="0"/>
    <x v="579"/>
    <s v="2/24/2003 0:588"/>
    <x v="0"/>
    <x v="0"/>
    <s v="Shipped"/>
    <x v="0"/>
    <x v="11"/>
    <x v="1"/>
    <x v="3"/>
    <n v="170"/>
    <s v="S18_1749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41"/>
    <x v="2"/>
    <n v="100"/>
    <n v="2"/>
    <x v="1"/>
    <x v="580"/>
    <s v="2/24/2003 0:589"/>
    <x v="0"/>
    <x v="0"/>
    <s v="Shipped"/>
    <x v="1"/>
    <x v="8"/>
    <x v="1"/>
    <x v="3"/>
    <n v="170"/>
    <s v="S18_1749"/>
    <s v="Mini Caravy"/>
    <s v="88.60.1555"/>
    <s v="24, place Kluber"/>
    <m/>
    <s v="Strasbourg"/>
    <x v="66"/>
    <m/>
    <n v="67000"/>
    <x v="1"/>
    <x v="1"/>
    <s v="EMEA"/>
    <s v="Citeaux"/>
    <s v="Frederique"/>
    <x v="2"/>
  </r>
  <r>
    <n v="10280"/>
    <x v="18"/>
    <n v="100"/>
    <n v="16"/>
    <x v="0"/>
    <x v="581"/>
    <s v="2/24/2003 0:590"/>
    <x v="0"/>
    <x v="0"/>
    <s v="Shipped"/>
    <x v="2"/>
    <x v="3"/>
    <x v="1"/>
    <x v="3"/>
    <n v="170"/>
    <s v="S18_1749"/>
    <s v="Amica Models &amp; Co."/>
    <s v="011-4988555"/>
    <s v="Via Monte Bianco 34"/>
    <m/>
    <s v="Torino"/>
    <x v="30"/>
    <m/>
    <n v="10100"/>
    <x v="12"/>
    <x v="12"/>
    <s v="EMEA"/>
    <s v="Accorti"/>
    <s v="Paolo"/>
    <x v="1"/>
  </r>
  <r>
    <n v="10288"/>
    <x v="22"/>
    <n v="100"/>
    <n v="5"/>
    <x v="1"/>
    <x v="582"/>
    <s v="2/24/2003 0:591"/>
    <x v="0"/>
    <x v="0"/>
    <s v="Shipped"/>
    <x v="2"/>
    <x v="10"/>
    <x v="1"/>
    <x v="3"/>
    <n v="170"/>
    <s v="S18_1749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302"/>
    <x v="30"/>
    <n v="100"/>
    <n v="1"/>
    <x v="1"/>
    <x v="583"/>
    <s v="2/24/2003 0:592"/>
    <x v="0"/>
    <x v="0"/>
    <s v="Shipped"/>
    <x v="3"/>
    <x v="4"/>
    <x v="0"/>
    <x v="3"/>
    <n v="170"/>
    <s v="S18_1749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2"/>
  </r>
  <r>
    <n v="10312"/>
    <x v="7"/>
    <n v="100"/>
    <n v="17"/>
    <x v="1"/>
    <x v="584"/>
    <s v="2/24/2003 0:593"/>
    <x v="0"/>
    <x v="0"/>
    <s v="Shipped"/>
    <x v="3"/>
    <x v="4"/>
    <x v="1"/>
    <x v="3"/>
    <n v="170"/>
    <s v="S18_174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2"/>
  </r>
  <r>
    <n v="10331"/>
    <x v="27"/>
    <n v="74.040000000000006"/>
    <n v="7"/>
    <x v="0"/>
    <x v="585"/>
    <s v="2/24/2003 0:594"/>
    <x v="0"/>
    <x v="0"/>
    <s v="Shipped"/>
    <x v="3"/>
    <x v="5"/>
    <x v="1"/>
    <x v="3"/>
    <n v="170"/>
    <s v="S18_1749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344"/>
    <x v="3"/>
    <n v="100"/>
    <n v="1"/>
    <x v="1"/>
    <x v="586"/>
    <s v="2/24/2003 0:595"/>
    <x v="0"/>
    <x v="0"/>
    <s v="Shipped"/>
    <x v="3"/>
    <x v="5"/>
    <x v="1"/>
    <x v="3"/>
    <n v="170"/>
    <s v="S18_1749"/>
    <s v="Marseille Mini Autos"/>
    <s v="91.24.4555"/>
    <s v="12, rue des Bouchers"/>
    <m/>
    <s v="Marseille"/>
    <x v="54"/>
    <m/>
    <n v="13008"/>
    <x v="1"/>
    <x v="1"/>
    <s v="EMEA"/>
    <s v="Lebihan"/>
    <s v="Laurence"/>
    <x v="2"/>
  </r>
  <r>
    <n v="10367"/>
    <x v="9"/>
    <n v="100"/>
    <n v="3"/>
    <x v="1"/>
    <x v="587"/>
    <s v="2/24/2003 0:596"/>
    <x v="5"/>
    <x v="1"/>
    <s v="Resolved"/>
    <x v="0"/>
    <x v="7"/>
    <x v="2"/>
    <x v="3"/>
    <n v="170"/>
    <s v="S18_1749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379"/>
    <x v="25"/>
    <n v="100"/>
    <n v="2"/>
    <x v="1"/>
    <x v="588"/>
    <s v="2/24/2003 0:597"/>
    <x v="0"/>
    <x v="0"/>
    <s v="Shipped"/>
    <x v="0"/>
    <x v="0"/>
    <x v="2"/>
    <x v="3"/>
    <n v="170"/>
    <s v="S18_174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07"/>
    <x v="43"/>
    <n v="100"/>
    <n v="2"/>
    <x v="1"/>
    <x v="589"/>
    <s v="2/24/2003 0:598"/>
    <x v="4"/>
    <x v="1"/>
    <s v="On Hold"/>
    <x v="1"/>
    <x v="8"/>
    <x v="2"/>
    <x v="3"/>
    <n v="170"/>
    <s v="S18_1749"/>
    <s v="The Sharp Gifts Warehouse"/>
    <n v="4085553659"/>
    <s v="3086 Ingle Ln."/>
    <m/>
    <s v="San Jose"/>
    <x v="51"/>
    <s v="CA"/>
    <n v="94217"/>
    <x v="0"/>
    <x v="0"/>
    <s v="NA"/>
    <s v="Frick"/>
    <s v="Sue"/>
    <x v="2"/>
  </r>
  <r>
    <n v="10420"/>
    <x v="9"/>
    <n v="100"/>
    <n v="5"/>
    <x v="1"/>
    <x v="590"/>
    <s v="2/24/2003 0:599"/>
    <x v="2"/>
    <x v="1"/>
    <s v="In Process"/>
    <x v="1"/>
    <x v="1"/>
    <x v="2"/>
    <x v="3"/>
    <n v="170"/>
    <s v="S18_1749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108"/>
    <x v="19"/>
    <n v="82.39"/>
    <n v="2"/>
    <x v="0"/>
    <x v="591"/>
    <s v="2/24/2003 0:600"/>
    <x v="0"/>
    <x v="0"/>
    <s v="Shipped"/>
    <x v="0"/>
    <x v="11"/>
    <x v="0"/>
    <x v="1"/>
    <n v="77"/>
    <s v="S18_1889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122"/>
    <x v="30"/>
    <n v="72.38"/>
    <n v="6"/>
    <x v="0"/>
    <x v="592"/>
    <s v="2/24/2003 0:601"/>
    <x v="0"/>
    <x v="0"/>
    <s v="Shipped"/>
    <x v="1"/>
    <x v="1"/>
    <x v="0"/>
    <x v="1"/>
    <n v="77"/>
    <s v="S18_1889"/>
    <s v="Marseille Mini Autos"/>
    <s v="91.24.4555"/>
    <s v="12, rue des Bouchers"/>
    <m/>
    <s v="Marseille"/>
    <x v="54"/>
    <m/>
    <n v="13008"/>
    <x v="1"/>
    <x v="1"/>
    <s v="EMEA"/>
    <s v="Lebihan"/>
    <s v="Laurence"/>
    <x v="1"/>
  </r>
  <r>
    <n v="10135"/>
    <x v="7"/>
    <n v="79.31"/>
    <n v="3"/>
    <x v="0"/>
    <x v="593"/>
    <s v="2/24/2003 0:602"/>
    <x v="0"/>
    <x v="0"/>
    <s v="Shipped"/>
    <x v="2"/>
    <x v="2"/>
    <x v="0"/>
    <x v="1"/>
    <n v="77"/>
    <s v="S18_188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47"/>
    <x v="18"/>
    <n v="82.39"/>
    <n v="3"/>
    <x v="0"/>
    <x v="594"/>
    <s v="2/24/2003 0:603"/>
    <x v="0"/>
    <x v="0"/>
    <s v="Shipped"/>
    <x v="2"/>
    <x v="10"/>
    <x v="0"/>
    <x v="1"/>
    <n v="77"/>
    <s v="S18_1889"/>
    <s v="Collectables For Less Inc."/>
    <n v="6175558555"/>
    <s v="7825 Douglas Av."/>
    <m/>
    <s v="Brickhaven"/>
    <x v="35"/>
    <s v="MA"/>
    <n v="58339"/>
    <x v="0"/>
    <x v="0"/>
    <s v="NA"/>
    <s v="Nelson"/>
    <s v="Allen"/>
    <x v="0"/>
  </r>
  <r>
    <n v="10160"/>
    <x v="19"/>
    <n v="88.55"/>
    <n v="4"/>
    <x v="0"/>
    <x v="595"/>
    <s v="2/24/2003 0:604"/>
    <x v="0"/>
    <x v="0"/>
    <s v="Shipped"/>
    <x v="3"/>
    <x v="4"/>
    <x v="0"/>
    <x v="1"/>
    <n v="77"/>
    <s v="S18_1889"/>
    <s v="Men 'R' US Retailers, Ltd."/>
    <n v="2155554369"/>
    <s v="6047 Douglas Av."/>
    <m/>
    <s v="Los Angeles"/>
    <x v="44"/>
    <s v="CA"/>
    <m/>
    <x v="0"/>
    <x v="0"/>
    <s v="NA"/>
    <s v="Chandler"/>
    <s v="Michael"/>
    <x v="1"/>
  </r>
  <r>
    <n v="10170"/>
    <x v="14"/>
    <n v="63.14"/>
    <n v="2"/>
    <x v="0"/>
    <x v="596"/>
    <s v="2/24/2003 0:605"/>
    <x v="0"/>
    <x v="0"/>
    <s v="Shipped"/>
    <x v="3"/>
    <x v="5"/>
    <x v="0"/>
    <x v="1"/>
    <n v="77"/>
    <s v="S18_1889"/>
    <s v="Mini Auto Werke"/>
    <s v="7675-3555"/>
    <s v="Kirchgasse 6"/>
    <m/>
    <s v="Graz"/>
    <x v="52"/>
    <m/>
    <n v="8010"/>
    <x v="5"/>
    <x v="5"/>
    <s v="EMEA"/>
    <s v="Mendel"/>
    <s v="Roland"/>
    <x v="0"/>
  </r>
  <r>
    <n v="10181"/>
    <x v="8"/>
    <n v="73.92"/>
    <n v="10"/>
    <x v="0"/>
    <x v="597"/>
    <s v="2/24/2003 0:606"/>
    <x v="0"/>
    <x v="0"/>
    <s v="Shipped"/>
    <x v="3"/>
    <x v="5"/>
    <x v="0"/>
    <x v="1"/>
    <n v="77"/>
    <s v="S18_1889"/>
    <s v="Herkku Gifts"/>
    <s v="+47 2267 3215"/>
    <s v="Drammen 121, PR 744 Sentrum"/>
    <m/>
    <s v="Bergen"/>
    <x v="7"/>
    <m/>
    <s v="N 5804"/>
    <x v="2"/>
    <x v="2"/>
    <s v="EMEA"/>
    <s v="Oeztan"/>
    <s v="Veysel"/>
    <x v="0"/>
  </r>
  <r>
    <n v="10192"/>
    <x v="3"/>
    <n v="90.86"/>
    <n v="15"/>
    <x v="1"/>
    <x v="598"/>
    <s v="2/24/2003 0:607"/>
    <x v="0"/>
    <x v="0"/>
    <s v="Shipped"/>
    <x v="3"/>
    <x v="5"/>
    <x v="0"/>
    <x v="1"/>
    <n v="77"/>
    <s v="S18_1889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203"/>
    <x v="3"/>
    <n v="85.47"/>
    <n v="4"/>
    <x v="0"/>
    <x v="599"/>
    <s v="2/24/2003 0:608"/>
    <x v="0"/>
    <x v="0"/>
    <s v="Shipped"/>
    <x v="3"/>
    <x v="6"/>
    <x v="0"/>
    <x v="1"/>
    <n v="77"/>
    <s v="S18_188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12"/>
    <x v="14"/>
    <n v="66.989999999999995"/>
    <n v="14"/>
    <x v="0"/>
    <x v="600"/>
    <s v="2/24/2003 0:609"/>
    <x v="0"/>
    <x v="0"/>
    <s v="Shipped"/>
    <x v="0"/>
    <x v="7"/>
    <x v="1"/>
    <x v="1"/>
    <n v="77"/>
    <s v="S18_188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25"/>
    <x v="20"/>
    <n v="64.680000000000007"/>
    <n v="5"/>
    <x v="0"/>
    <x v="601"/>
    <s v="2/24/2003 0:610"/>
    <x v="0"/>
    <x v="0"/>
    <s v="Shipped"/>
    <x v="0"/>
    <x v="0"/>
    <x v="1"/>
    <x v="1"/>
    <n v="77"/>
    <s v="S18_1889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239"/>
    <x v="12"/>
    <n v="73.92"/>
    <n v="4"/>
    <x v="0"/>
    <x v="602"/>
    <s v="2/24/2003 0:611"/>
    <x v="0"/>
    <x v="0"/>
    <s v="Shipped"/>
    <x v="1"/>
    <x v="8"/>
    <x v="1"/>
    <x v="1"/>
    <n v="77"/>
    <s v="S18_1889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253"/>
    <x v="10"/>
    <n v="83.93"/>
    <n v="9"/>
    <x v="0"/>
    <x v="603"/>
    <s v="2/24/2003 0:612"/>
    <x v="3"/>
    <x v="1"/>
    <s v="Cancelled"/>
    <x v="1"/>
    <x v="9"/>
    <x v="1"/>
    <x v="1"/>
    <n v="77"/>
    <s v="S18_1889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0"/>
  </r>
  <r>
    <n v="10266"/>
    <x v="29"/>
    <n v="74.69"/>
    <n v="10"/>
    <x v="0"/>
    <x v="604"/>
    <s v="2/24/2003 0:613"/>
    <x v="0"/>
    <x v="0"/>
    <s v="Shipped"/>
    <x v="2"/>
    <x v="2"/>
    <x v="1"/>
    <x v="1"/>
    <n v="77"/>
    <s v="S18_1889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278"/>
    <x v="6"/>
    <n v="90.86"/>
    <n v="10"/>
    <x v="0"/>
    <x v="605"/>
    <s v="2/24/2003 0:614"/>
    <x v="0"/>
    <x v="0"/>
    <s v="Shipped"/>
    <x v="2"/>
    <x v="3"/>
    <x v="1"/>
    <x v="1"/>
    <n v="77"/>
    <s v="S18_1889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287"/>
    <x v="27"/>
    <n v="82.39"/>
    <n v="8"/>
    <x v="0"/>
    <x v="606"/>
    <s v="2/24/2003 0:615"/>
    <x v="0"/>
    <x v="0"/>
    <s v="Shipped"/>
    <x v="2"/>
    <x v="3"/>
    <x v="1"/>
    <x v="1"/>
    <n v="77"/>
    <s v="S18_1889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300"/>
    <x v="2"/>
    <n v="92.4"/>
    <n v="1"/>
    <x v="0"/>
    <x v="607"/>
    <s v="2/24/2003 0:616"/>
    <x v="0"/>
    <x v="0"/>
    <s v="Shipped"/>
    <x v="3"/>
    <x v="4"/>
    <x v="0"/>
    <x v="1"/>
    <n v="77"/>
    <s v="S18_1889"/>
    <s v="Blauer See Auto, Co."/>
    <s v="+49 69 66 90 2555"/>
    <s v="Lyonerstr. 34"/>
    <m/>
    <s v="Frankfurt"/>
    <x v="58"/>
    <m/>
    <n v="60528"/>
    <x v="16"/>
    <x v="16"/>
    <s v="EMEA"/>
    <s v="Keitel"/>
    <s v="Roland"/>
    <x v="1"/>
  </r>
  <r>
    <n v="10310"/>
    <x v="14"/>
    <n v="91.63"/>
    <n v="6"/>
    <x v="0"/>
    <x v="608"/>
    <s v="2/24/2003 0:617"/>
    <x v="0"/>
    <x v="0"/>
    <s v="Shipped"/>
    <x v="3"/>
    <x v="4"/>
    <x v="1"/>
    <x v="1"/>
    <n v="77"/>
    <s v="S18_1889"/>
    <s v="Toms Spezialitten, Ltd"/>
    <s v="0221-5554327"/>
    <s v="Mehrheimerstr. 369"/>
    <m/>
    <s v="Koln"/>
    <x v="55"/>
    <m/>
    <n v="50739"/>
    <x v="16"/>
    <x v="16"/>
    <s v="EMEA"/>
    <s v="Pfalzheim"/>
    <s v="Henriette"/>
    <x v="0"/>
  </r>
  <r>
    <n v="10321"/>
    <x v="9"/>
    <n v="78.540000000000006"/>
    <n v="14"/>
    <x v="0"/>
    <x v="609"/>
    <s v="2/24/2003 0:618"/>
    <x v="0"/>
    <x v="0"/>
    <s v="Shipped"/>
    <x v="3"/>
    <x v="5"/>
    <x v="1"/>
    <x v="1"/>
    <n v="77"/>
    <s v="S18_1889"/>
    <s v="FunGiftIdeas.com"/>
    <n v="5085552555"/>
    <s v="1785 First Street"/>
    <m/>
    <s v="New Bedford"/>
    <x v="18"/>
    <s v="MA"/>
    <n v="50553"/>
    <x v="0"/>
    <x v="0"/>
    <s v="NA"/>
    <s v="Benitez"/>
    <s v="Violeta"/>
    <x v="0"/>
  </r>
  <r>
    <n v="10329"/>
    <x v="6"/>
    <n v="100"/>
    <n v="9"/>
    <x v="0"/>
    <x v="610"/>
    <s v="2/24/2003 0:619"/>
    <x v="0"/>
    <x v="0"/>
    <s v="Shipped"/>
    <x v="3"/>
    <x v="5"/>
    <x v="1"/>
    <x v="1"/>
    <n v="77"/>
    <s v="S18_1889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42"/>
    <x v="36"/>
    <n v="65.45"/>
    <n v="1"/>
    <x v="0"/>
    <x v="611"/>
    <s v="2/24/2003 0:620"/>
    <x v="0"/>
    <x v="0"/>
    <s v="Shipped"/>
    <x v="3"/>
    <x v="5"/>
    <x v="1"/>
    <x v="1"/>
    <n v="77"/>
    <s v="S18_1889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63"/>
    <x v="8"/>
    <n v="100"/>
    <n v="7"/>
    <x v="0"/>
    <x v="612"/>
    <s v="2/24/2003 0:621"/>
    <x v="0"/>
    <x v="0"/>
    <s v="Shipped"/>
    <x v="0"/>
    <x v="7"/>
    <x v="2"/>
    <x v="1"/>
    <n v="77"/>
    <s v="S18_1889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377"/>
    <x v="28"/>
    <n v="67.760000000000005"/>
    <n v="4"/>
    <x v="0"/>
    <x v="613"/>
    <s v="2/24/2003 0:622"/>
    <x v="0"/>
    <x v="0"/>
    <s v="Shipped"/>
    <x v="0"/>
    <x v="0"/>
    <x v="2"/>
    <x v="1"/>
    <n v="77"/>
    <s v="S18_1889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389"/>
    <x v="4"/>
    <n v="79.22"/>
    <n v="3"/>
    <x v="0"/>
    <x v="614"/>
    <s v="2/24/2003 0:623"/>
    <x v="0"/>
    <x v="0"/>
    <s v="Shipped"/>
    <x v="0"/>
    <x v="11"/>
    <x v="2"/>
    <x v="1"/>
    <n v="77"/>
    <s v="S18_1889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405"/>
    <x v="40"/>
    <n v="73.92"/>
    <n v="4"/>
    <x v="1"/>
    <x v="615"/>
    <s v="2/24/2003 0:624"/>
    <x v="0"/>
    <x v="0"/>
    <s v="Shipped"/>
    <x v="1"/>
    <x v="8"/>
    <x v="2"/>
    <x v="1"/>
    <n v="77"/>
    <s v="S18_1889"/>
    <s v="Mini Caravy"/>
    <s v="88.60.1555"/>
    <s v="24, place Kluber"/>
    <m/>
    <s v="Strasbourg"/>
    <x v="66"/>
    <m/>
    <n v="67000"/>
    <x v="1"/>
    <x v="1"/>
    <s v="EMEA"/>
    <s v="Citeaux"/>
    <s v="Frederique"/>
    <x v="1"/>
  </r>
  <r>
    <n v="10419"/>
    <x v="25"/>
    <n v="83.93"/>
    <n v="9"/>
    <x v="0"/>
    <x v="616"/>
    <s v="2/24/2003 0:625"/>
    <x v="0"/>
    <x v="0"/>
    <s v="Shipped"/>
    <x v="1"/>
    <x v="1"/>
    <x v="2"/>
    <x v="1"/>
    <n v="77"/>
    <s v="S18_1889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109"/>
    <x v="19"/>
    <n v="100"/>
    <n v="3"/>
    <x v="1"/>
    <x v="617"/>
    <s v="2/24/2003 0:626"/>
    <x v="0"/>
    <x v="0"/>
    <s v="Shipped"/>
    <x v="0"/>
    <x v="11"/>
    <x v="0"/>
    <x v="1"/>
    <n v="142"/>
    <s v="S18_1984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122"/>
    <x v="28"/>
    <n v="100"/>
    <n v="1"/>
    <x v="1"/>
    <x v="618"/>
    <s v="2/24/2003 0:627"/>
    <x v="0"/>
    <x v="0"/>
    <s v="Shipped"/>
    <x v="1"/>
    <x v="1"/>
    <x v="0"/>
    <x v="1"/>
    <n v="142"/>
    <s v="S18_1984"/>
    <s v="Marseille Mini Autos"/>
    <s v="91.24.4555"/>
    <s v="12, rue des Bouchers"/>
    <m/>
    <s v="Marseille"/>
    <x v="54"/>
    <m/>
    <n v="13008"/>
    <x v="1"/>
    <x v="1"/>
    <s v="EMEA"/>
    <s v="Lebihan"/>
    <s v="Laurence"/>
    <x v="1"/>
  </r>
  <r>
    <n v="10136"/>
    <x v="5"/>
    <n v="100"/>
    <n v="1"/>
    <x v="1"/>
    <x v="619"/>
    <s v="2/24/2003 0:628"/>
    <x v="0"/>
    <x v="0"/>
    <s v="Shipped"/>
    <x v="2"/>
    <x v="2"/>
    <x v="0"/>
    <x v="1"/>
    <n v="142"/>
    <s v="S18_1984"/>
    <s v="Alpha Cognac"/>
    <s v="61.77.6555"/>
    <s v="1 rue Alsace-Lorraine"/>
    <m/>
    <s v="Toulouse"/>
    <x v="42"/>
    <m/>
    <n v="31000"/>
    <x v="1"/>
    <x v="1"/>
    <s v="EMEA"/>
    <s v="Roulet"/>
    <s v="Annette"/>
    <x v="1"/>
  </r>
  <r>
    <n v="10148"/>
    <x v="32"/>
    <n v="100"/>
    <n v="12"/>
    <x v="1"/>
    <x v="620"/>
    <s v="2/24/2003 0:629"/>
    <x v="0"/>
    <x v="0"/>
    <s v="Shipped"/>
    <x v="2"/>
    <x v="10"/>
    <x v="0"/>
    <x v="1"/>
    <n v="142"/>
    <s v="S18_1984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61"/>
    <x v="7"/>
    <n v="100"/>
    <n v="11"/>
    <x v="1"/>
    <x v="621"/>
    <s v="2/24/2003 0:630"/>
    <x v="0"/>
    <x v="0"/>
    <s v="Shipped"/>
    <x v="3"/>
    <x v="4"/>
    <x v="0"/>
    <x v="1"/>
    <n v="142"/>
    <s v="S18_1984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171"/>
    <x v="21"/>
    <n v="100"/>
    <n v="1"/>
    <x v="1"/>
    <x v="622"/>
    <s v="2/24/2003 0:631"/>
    <x v="0"/>
    <x v="0"/>
    <s v="Shipped"/>
    <x v="3"/>
    <x v="5"/>
    <x v="0"/>
    <x v="1"/>
    <n v="142"/>
    <s v="S18_1984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181"/>
    <x v="15"/>
    <n v="100"/>
    <n v="5"/>
    <x v="0"/>
    <x v="623"/>
    <s v="2/24/2003 0:632"/>
    <x v="0"/>
    <x v="0"/>
    <s v="Shipped"/>
    <x v="3"/>
    <x v="5"/>
    <x v="0"/>
    <x v="1"/>
    <n v="142"/>
    <s v="S18_1984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192"/>
    <x v="20"/>
    <n v="100"/>
    <n v="10"/>
    <x v="1"/>
    <x v="624"/>
    <s v="2/24/2003 0:633"/>
    <x v="0"/>
    <x v="0"/>
    <s v="Shipped"/>
    <x v="3"/>
    <x v="5"/>
    <x v="0"/>
    <x v="1"/>
    <n v="142"/>
    <s v="S18_1984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2"/>
  </r>
  <r>
    <n v="10204"/>
    <x v="19"/>
    <n v="100"/>
    <n v="16"/>
    <x v="1"/>
    <x v="625"/>
    <s v="2/24/2003 0:634"/>
    <x v="0"/>
    <x v="0"/>
    <s v="Shipped"/>
    <x v="3"/>
    <x v="6"/>
    <x v="0"/>
    <x v="1"/>
    <n v="142"/>
    <s v="S18_1984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12"/>
    <x v="2"/>
    <n v="100"/>
    <n v="9"/>
    <x v="1"/>
    <x v="626"/>
    <s v="2/24/2003 0:635"/>
    <x v="0"/>
    <x v="0"/>
    <s v="Shipped"/>
    <x v="0"/>
    <x v="7"/>
    <x v="1"/>
    <x v="1"/>
    <n v="142"/>
    <s v="S18_1984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26"/>
    <x v="16"/>
    <n v="100"/>
    <n v="7"/>
    <x v="0"/>
    <x v="627"/>
    <s v="2/24/2003 0:636"/>
    <x v="0"/>
    <x v="0"/>
    <s v="Shipped"/>
    <x v="0"/>
    <x v="0"/>
    <x v="1"/>
    <x v="1"/>
    <n v="142"/>
    <s v="S18_1984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40"/>
    <x v="9"/>
    <n v="100"/>
    <n v="2"/>
    <x v="1"/>
    <x v="628"/>
    <s v="2/24/2003 0:637"/>
    <x v="0"/>
    <x v="0"/>
    <s v="Shipped"/>
    <x v="1"/>
    <x v="8"/>
    <x v="1"/>
    <x v="1"/>
    <n v="142"/>
    <s v="S18_1984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1"/>
  </r>
  <r>
    <n v="10253"/>
    <x v="29"/>
    <n v="100"/>
    <n v="4"/>
    <x v="1"/>
    <x v="629"/>
    <s v="2/24/2003 0:638"/>
    <x v="3"/>
    <x v="1"/>
    <s v="Cancelled"/>
    <x v="1"/>
    <x v="9"/>
    <x v="1"/>
    <x v="1"/>
    <n v="142"/>
    <s v="S18_1984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266"/>
    <x v="4"/>
    <n v="100"/>
    <n v="5"/>
    <x v="1"/>
    <x v="630"/>
    <s v="2/24/2003 0:639"/>
    <x v="0"/>
    <x v="0"/>
    <s v="Shipped"/>
    <x v="2"/>
    <x v="2"/>
    <x v="1"/>
    <x v="1"/>
    <n v="142"/>
    <s v="S18_1984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278"/>
    <x v="6"/>
    <n v="100"/>
    <n v="5"/>
    <x v="0"/>
    <x v="631"/>
    <s v="2/24/2003 0:640"/>
    <x v="0"/>
    <x v="0"/>
    <s v="Shipped"/>
    <x v="2"/>
    <x v="3"/>
    <x v="1"/>
    <x v="1"/>
    <n v="142"/>
    <s v="S18_1984"/>
    <s v="Signal Gift Stores"/>
    <n v="7025551838"/>
    <s v="8489 Strong St."/>
    <m/>
    <s v="Las Vegas"/>
    <x v="67"/>
    <s v="NV"/>
    <n v="83030"/>
    <x v="0"/>
    <x v="0"/>
    <s v="NA"/>
    <s v="King"/>
    <s v="Sue"/>
    <x v="1"/>
  </r>
  <r>
    <n v="10287"/>
    <x v="16"/>
    <n v="100"/>
    <n v="3"/>
    <x v="0"/>
    <x v="632"/>
    <s v="2/24/2003 0:641"/>
    <x v="0"/>
    <x v="0"/>
    <s v="Shipped"/>
    <x v="2"/>
    <x v="3"/>
    <x v="1"/>
    <x v="1"/>
    <n v="142"/>
    <s v="S18_1984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301"/>
    <x v="20"/>
    <n v="100"/>
    <n v="7"/>
    <x v="1"/>
    <x v="633"/>
    <s v="2/24/2003 0:642"/>
    <x v="0"/>
    <x v="0"/>
    <s v="Shipped"/>
    <x v="3"/>
    <x v="4"/>
    <x v="0"/>
    <x v="1"/>
    <n v="142"/>
    <s v="S18_1984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2"/>
  </r>
  <r>
    <n v="10310"/>
    <x v="16"/>
    <n v="100"/>
    <n v="1"/>
    <x v="0"/>
    <x v="634"/>
    <s v="2/24/2003 0:643"/>
    <x v="0"/>
    <x v="0"/>
    <s v="Shipped"/>
    <x v="3"/>
    <x v="4"/>
    <x v="1"/>
    <x v="1"/>
    <n v="142"/>
    <s v="S18_1984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321"/>
    <x v="32"/>
    <n v="100"/>
    <n v="9"/>
    <x v="0"/>
    <x v="635"/>
    <s v="2/24/2003 0:644"/>
    <x v="0"/>
    <x v="0"/>
    <s v="Shipped"/>
    <x v="3"/>
    <x v="5"/>
    <x v="1"/>
    <x v="1"/>
    <n v="142"/>
    <s v="S18_1984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331"/>
    <x v="0"/>
    <n v="32.47"/>
    <n v="8"/>
    <x v="0"/>
    <x v="636"/>
    <s v="2/24/2003 0:645"/>
    <x v="0"/>
    <x v="0"/>
    <s v="Shipped"/>
    <x v="3"/>
    <x v="5"/>
    <x v="1"/>
    <x v="1"/>
    <n v="142"/>
    <s v="S18_1984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0"/>
  </r>
  <r>
    <n v="10342"/>
    <x v="8"/>
    <n v="100"/>
    <n v="3"/>
    <x v="0"/>
    <x v="637"/>
    <s v="2/24/2003 0:646"/>
    <x v="0"/>
    <x v="0"/>
    <s v="Shipped"/>
    <x v="3"/>
    <x v="5"/>
    <x v="1"/>
    <x v="1"/>
    <n v="142"/>
    <s v="S18_1984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6"/>
    <x v="26"/>
    <n v="64.69"/>
    <n v="2"/>
    <x v="0"/>
    <x v="638"/>
    <s v="2/24/2003 0:647"/>
    <x v="0"/>
    <x v="0"/>
    <s v="Shipped"/>
    <x v="3"/>
    <x v="6"/>
    <x v="1"/>
    <x v="1"/>
    <n v="142"/>
    <s v="S18_1984"/>
    <s v="Lyon Souveniers"/>
    <s v="+33 1 46 62 7555"/>
    <s v="27 rue du Colonel Pierre Avia"/>
    <m/>
    <s v="Paris"/>
    <x v="2"/>
    <m/>
    <n v="75508"/>
    <x v="1"/>
    <x v="1"/>
    <s v="EMEA"/>
    <s v="Da Cunha"/>
    <s v="Daniel"/>
    <x v="0"/>
  </r>
  <r>
    <n v="10366"/>
    <x v="1"/>
    <n v="100"/>
    <n v="3"/>
    <x v="1"/>
    <x v="639"/>
    <s v="2/24/2003 0:648"/>
    <x v="0"/>
    <x v="0"/>
    <s v="Shipped"/>
    <x v="0"/>
    <x v="7"/>
    <x v="2"/>
    <x v="1"/>
    <n v="142"/>
    <s v="S18_1984"/>
    <s v="Royale Belge"/>
    <s v="(071) 23 67 2555"/>
    <s v="Boulevard Tirou, 255"/>
    <m/>
    <s v="Charleroi"/>
    <x v="72"/>
    <m/>
    <s v="B-6000"/>
    <x v="14"/>
    <x v="14"/>
    <s v="EMEA"/>
    <s v="Cartrain"/>
    <s v="Pascale"/>
    <x v="1"/>
  </r>
  <r>
    <n v="10377"/>
    <x v="5"/>
    <n v="100"/>
    <n v="6"/>
    <x v="1"/>
    <x v="640"/>
    <s v="2/24/2003 0:649"/>
    <x v="0"/>
    <x v="0"/>
    <s v="Shipped"/>
    <x v="0"/>
    <x v="0"/>
    <x v="2"/>
    <x v="1"/>
    <n v="142"/>
    <s v="S18_1984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390"/>
    <x v="1"/>
    <n v="43.05"/>
    <n v="15"/>
    <x v="0"/>
    <x v="641"/>
    <s v="2/24/2003 0:650"/>
    <x v="0"/>
    <x v="0"/>
    <s v="Shipped"/>
    <x v="0"/>
    <x v="11"/>
    <x v="2"/>
    <x v="1"/>
    <n v="142"/>
    <s v="S18_1984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06"/>
    <x v="7"/>
    <n v="100"/>
    <n v="2"/>
    <x v="1"/>
    <x v="642"/>
    <s v="2/24/2003 0:651"/>
    <x v="1"/>
    <x v="1"/>
    <s v="Disputed"/>
    <x v="1"/>
    <x v="8"/>
    <x v="2"/>
    <x v="1"/>
    <n v="142"/>
    <s v="S18_1984"/>
    <s v="Danish Wholesale Imports"/>
    <s v="31 12 3555"/>
    <s v="Vinb'ltet 34"/>
    <m/>
    <s v="Kobenhavn"/>
    <x v="40"/>
    <m/>
    <n v="1734"/>
    <x v="13"/>
    <x v="13"/>
    <s v="EMEA"/>
    <s v="Petersen"/>
    <s v="Jytte"/>
    <x v="2"/>
  </r>
  <r>
    <n v="10419"/>
    <x v="1"/>
    <n v="100"/>
    <n v="4"/>
    <x v="1"/>
    <x v="643"/>
    <s v="2/24/2003 0:652"/>
    <x v="0"/>
    <x v="0"/>
    <s v="Shipped"/>
    <x v="1"/>
    <x v="1"/>
    <x v="2"/>
    <x v="1"/>
    <n v="142"/>
    <s v="S18_1984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104"/>
    <x v="16"/>
    <n v="100"/>
    <n v="8"/>
    <x v="0"/>
    <x v="644"/>
    <s v="2/24/2003 0:653"/>
    <x v="0"/>
    <x v="0"/>
    <s v="Shipped"/>
    <x v="0"/>
    <x v="7"/>
    <x v="0"/>
    <x v="1"/>
    <n v="163"/>
    <s v="S18_223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15"/>
    <x v="12"/>
    <n v="100"/>
    <n v="4"/>
    <x v="1"/>
    <x v="645"/>
    <s v="2/24/2003 0:654"/>
    <x v="0"/>
    <x v="0"/>
    <s v="Shipped"/>
    <x v="1"/>
    <x v="8"/>
    <x v="0"/>
    <x v="1"/>
    <n v="163"/>
    <s v="S18_2238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2"/>
  </r>
  <r>
    <n v="10127"/>
    <x v="3"/>
    <n v="100"/>
    <n v="10"/>
    <x v="1"/>
    <x v="646"/>
    <s v="2/24/2003 0:655"/>
    <x v="0"/>
    <x v="0"/>
    <s v="Shipped"/>
    <x v="1"/>
    <x v="9"/>
    <x v="0"/>
    <x v="1"/>
    <n v="163"/>
    <s v="S18_2238"/>
    <s v="Muscle Machine Inc"/>
    <n v="2125557413"/>
    <s v="4092 Furth Circle"/>
    <s v="Suite 400"/>
    <s v="Nyc"/>
    <x v="0"/>
    <s v="NY"/>
    <n v="10022"/>
    <x v="0"/>
    <x v="0"/>
    <s v="NA"/>
    <s v="Young"/>
    <s v="Jeff"/>
    <x v="2"/>
  </r>
  <r>
    <n v="10141"/>
    <x v="25"/>
    <n v="100"/>
    <n v="4"/>
    <x v="1"/>
    <x v="647"/>
    <s v="2/24/2003 0:656"/>
    <x v="0"/>
    <x v="0"/>
    <s v="Shipped"/>
    <x v="2"/>
    <x v="3"/>
    <x v="0"/>
    <x v="1"/>
    <n v="163"/>
    <s v="S18_2238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151"/>
    <x v="30"/>
    <n v="100"/>
    <n v="2"/>
    <x v="1"/>
    <x v="648"/>
    <s v="2/24/2003 0:657"/>
    <x v="0"/>
    <x v="0"/>
    <s v="Shipped"/>
    <x v="2"/>
    <x v="10"/>
    <x v="0"/>
    <x v="1"/>
    <n v="163"/>
    <s v="S18_2238"/>
    <s v="Oulu Toy Supplies, Inc."/>
    <s v="981-443655"/>
    <s v="Torikatu 38"/>
    <m/>
    <s v="Oulu"/>
    <x v="50"/>
    <m/>
    <n v="90110"/>
    <x v="4"/>
    <x v="4"/>
    <s v="EMEA"/>
    <s v="Koskitalo"/>
    <s v="Pirkko"/>
    <x v="2"/>
  </r>
  <r>
    <n v="10165"/>
    <x v="6"/>
    <n v="100"/>
    <n v="11"/>
    <x v="1"/>
    <x v="649"/>
    <s v="2/24/2003 0:658"/>
    <x v="0"/>
    <x v="0"/>
    <s v="Shipped"/>
    <x v="3"/>
    <x v="4"/>
    <x v="0"/>
    <x v="1"/>
    <n v="163"/>
    <s v="S18_2238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76"/>
    <x v="14"/>
    <n v="100"/>
    <n v="10"/>
    <x v="0"/>
    <x v="650"/>
    <s v="2/24/2003 0:659"/>
    <x v="0"/>
    <x v="0"/>
    <s v="Shipped"/>
    <x v="3"/>
    <x v="5"/>
    <x v="0"/>
    <x v="1"/>
    <n v="163"/>
    <s v="S18_2238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184"/>
    <x v="12"/>
    <n v="100"/>
    <n v="5"/>
    <x v="1"/>
    <x v="645"/>
    <s v="2/24/2003 0:660"/>
    <x v="0"/>
    <x v="0"/>
    <s v="Shipped"/>
    <x v="3"/>
    <x v="5"/>
    <x v="0"/>
    <x v="1"/>
    <n v="163"/>
    <s v="S18_2238"/>
    <s v="Iberia Gift Imports, Corp."/>
    <s v="(95) 555 82 82"/>
    <s v="C/ Romero, 33"/>
    <m/>
    <s v="Sevilla"/>
    <x v="64"/>
    <m/>
    <n v="41101"/>
    <x v="7"/>
    <x v="7"/>
    <s v="EMEA"/>
    <s v="Roel"/>
    <s v="Jose Pedro"/>
    <x v="2"/>
  </r>
  <r>
    <n v="10195"/>
    <x v="26"/>
    <n v="100"/>
    <n v="5"/>
    <x v="1"/>
    <x v="651"/>
    <s v="2/24/2003 0:661"/>
    <x v="0"/>
    <x v="0"/>
    <s v="Shipped"/>
    <x v="3"/>
    <x v="5"/>
    <x v="0"/>
    <x v="1"/>
    <n v="163"/>
    <s v="S18_2238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207"/>
    <x v="27"/>
    <n v="100"/>
    <n v="6"/>
    <x v="1"/>
    <x v="652"/>
    <s v="2/24/2003 0:662"/>
    <x v="0"/>
    <x v="0"/>
    <s v="Shipped"/>
    <x v="3"/>
    <x v="6"/>
    <x v="0"/>
    <x v="1"/>
    <n v="163"/>
    <s v="S18_2238"/>
    <s v="Diecast Collectables"/>
    <n v="6175552555"/>
    <s v="6251 Ingle Ln."/>
    <m/>
    <s v="Boston"/>
    <x v="48"/>
    <s v="MA"/>
    <n v="51003"/>
    <x v="0"/>
    <x v="0"/>
    <s v="NA"/>
    <s v="Franco"/>
    <s v="Valarie"/>
    <x v="2"/>
  </r>
  <r>
    <n v="10219"/>
    <x v="30"/>
    <n v="100"/>
    <n v="1"/>
    <x v="1"/>
    <x v="653"/>
    <s v="2/24/2003 0:663"/>
    <x v="0"/>
    <x v="0"/>
    <s v="Shipped"/>
    <x v="0"/>
    <x v="0"/>
    <x v="1"/>
    <x v="1"/>
    <n v="163"/>
    <s v="S18_2238"/>
    <s v="Signal Collectibles Ltd."/>
    <n v="4155554312"/>
    <s v="2793 Furth Circle"/>
    <m/>
    <s v="Brisbane"/>
    <x v="65"/>
    <s v="CA"/>
    <n v="94217"/>
    <x v="0"/>
    <x v="0"/>
    <s v="NA"/>
    <s v="Taylor"/>
    <s v="Sue"/>
    <x v="2"/>
  </r>
  <r>
    <n v="10230"/>
    <x v="4"/>
    <n v="100"/>
    <n v="8"/>
    <x v="1"/>
    <x v="654"/>
    <s v="2/24/2003 0:664"/>
    <x v="0"/>
    <x v="0"/>
    <s v="Shipped"/>
    <x v="0"/>
    <x v="11"/>
    <x v="1"/>
    <x v="1"/>
    <n v="163"/>
    <s v="S18_2238"/>
    <s v="Blauer See Auto, Co."/>
    <s v="+49 69 66 90 2555"/>
    <s v="Lyonerstr. 34"/>
    <m/>
    <s v="Frankfurt"/>
    <x v="58"/>
    <m/>
    <n v="60528"/>
    <x v="16"/>
    <x v="16"/>
    <s v="EMEA"/>
    <s v="Keitel"/>
    <s v="Roland"/>
    <x v="2"/>
  </r>
  <r>
    <n v="10246"/>
    <x v="23"/>
    <n v="100"/>
    <n v="4"/>
    <x v="1"/>
    <x v="655"/>
    <s v="2/24/2003 0:665"/>
    <x v="0"/>
    <x v="0"/>
    <s v="Shipped"/>
    <x v="1"/>
    <x v="1"/>
    <x v="1"/>
    <x v="1"/>
    <n v="163"/>
    <s v="S18_223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59"/>
    <x v="0"/>
    <n v="100"/>
    <n v="3"/>
    <x v="1"/>
    <x v="656"/>
    <s v="2/24/2003 0:666"/>
    <x v="0"/>
    <x v="0"/>
    <s v="Shipped"/>
    <x v="1"/>
    <x v="9"/>
    <x v="1"/>
    <x v="1"/>
    <n v="163"/>
    <s v="S18_2238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271"/>
    <x v="24"/>
    <n v="100"/>
    <n v="4"/>
    <x v="1"/>
    <x v="657"/>
    <s v="2/24/2003 0:667"/>
    <x v="0"/>
    <x v="0"/>
    <s v="Shipped"/>
    <x v="2"/>
    <x v="2"/>
    <x v="1"/>
    <x v="1"/>
    <n v="163"/>
    <s v="S18_223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2"/>
  </r>
  <r>
    <n v="10282"/>
    <x v="10"/>
    <n v="100"/>
    <n v="13"/>
    <x v="0"/>
    <x v="658"/>
    <s v="2/24/2003 0:668"/>
    <x v="0"/>
    <x v="0"/>
    <s v="Shipped"/>
    <x v="2"/>
    <x v="3"/>
    <x v="1"/>
    <x v="1"/>
    <n v="163"/>
    <s v="S18_223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92"/>
    <x v="18"/>
    <n v="100"/>
    <n v="7"/>
    <x v="1"/>
    <x v="659"/>
    <s v="2/24/2003 0:669"/>
    <x v="0"/>
    <x v="0"/>
    <s v="Shipped"/>
    <x v="2"/>
    <x v="10"/>
    <x v="1"/>
    <x v="1"/>
    <n v="163"/>
    <s v="S18_2238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05"/>
    <x v="26"/>
    <n v="100"/>
    <n v="4"/>
    <x v="0"/>
    <x v="660"/>
    <s v="2/24/2003 0:670"/>
    <x v="0"/>
    <x v="0"/>
    <s v="Shipped"/>
    <x v="3"/>
    <x v="4"/>
    <x v="1"/>
    <x v="1"/>
    <n v="163"/>
    <s v="S18_2238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314"/>
    <x v="13"/>
    <n v="100"/>
    <n v="13"/>
    <x v="1"/>
    <x v="661"/>
    <s v="2/24/2003 0:671"/>
    <x v="0"/>
    <x v="0"/>
    <s v="Shipped"/>
    <x v="3"/>
    <x v="4"/>
    <x v="1"/>
    <x v="1"/>
    <n v="163"/>
    <s v="S18_2238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324"/>
    <x v="20"/>
    <n v="100"/>
    <n v="8"/>
    <x v="1"/>
    <x v="662"/>
    <s v="2/24/2003 0:672"/>
    <x v="0"/>
    <x v="0"/>
    <s v="Shipped"/>
    <x v="3"/>
    <x v="5"/>
    <x v="1"/>
    <x v="1"/>
    <n v="163"/>
    <s v="S18_2238"/>
    <s v="Vitachrome Inc."/>
    <n v="2125551500"/>
    <s v="2678 Kingston Rd."/>
    <s v="Suite 101"/>
    <s v="Nyc"/>
    <x v="0"/>
    <s v="NY"/>
    <n v="10022"/>
    <x v="0"/>
    <x v="0"/>
    <s v="NA"/>
    <s v="Frick"/>
    <s v="Michael"/>
    <x v="2"/>
  </r>
  <r>
    <n v="10336"/>
    <x v="4"/>
    <n v="100"/>
    <n v="6"/>
    <x v="1"/>
    <x v="663"/>
    <s v="2/24/2003 0:673"/>
    <x v="0"/>
    <x v="0"/>
    <s v="Shipped"/>
    <x v="3"/>
    <x v="5"/>
    <x v="1"/>
    <x v="1"/>
    <n v="163"/>
    <s v="S18_2238"/>
    <s v="La Corne D'abondance, Co."/>
    <s v="(1) 42.34.2555"/>
    <s v="265, boulevard Charonne"/>
    <m/>
    <s v="Paris"/>
    <x v="2"/>
    <m/>
    <n v="75012"/>
    <x v="1"/>
    <x v="1"/>
    <s v="EMEA"/>
    <s v="Bertrand"/>
    <s v="Marie"/>
    <x v="2"/>
  </r>
  <r>
    <n v="10349"/>
    <x v="19"/>
    <n v="100"/>
    <n v="8"/>
    <x v="1"/>
    <x v="664"/>
    <s v="2/24/2003 0:674"/>
    <x v="0"/>
    <x v="0"/>
    <s v="Shipped"/>
    <x v="3"/>
    <x v="6"/>
    <x v="1"/>
    <x v="1"/>
    <n v="163"/>
    <s v="S18_2238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358"/>
    <x v="14"/>
    <n v="100"/>
    <n v="10"/>
    <x v="0"/>
    <x v="665"/>
    <s v="2/24/2003 0:675"/>
    <x v="0"/>
    <x v="0"/>
    <s v="Shipped"/>
    <x v="3"/>
    <x v="6"/>
    <x v="1"/>
    <x v="1"/>
    <n v="163"/>
    <s v="S18_223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1"/>
    <x v="32"/>
    <n v="100"/>
    <n v="7"/>
    <x v="0"/>
    <x v="666"/>
    <s v="2/24/2003 0:676"/>
    <x v="0"/>
    <x v="0"/>
    <s v="Shipped"/>
    <x v="0"/>
    <x v="7"/>
    <x v="2"/>
    <x v="1"/>
    <n v="163"/>
    <s v="S18_223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82"/>
    <x v="32"/>
    <n v="88"/>
    <n v="5"/>
    <x v="0"/>
    <x v="667"/>
    <s v="2/24/2003 0:677"/>
    <x v="0"/>
    <x v="0"/>
    <s v="Shipped"/>
    <x v="0"/>
    <x v="0"/>
    <x v="2"/>
    <x v="1"/>
    <n v="163"/>
    <s v="S18_223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12"/>
    <x v="2"/>
    <n v="100"/>
    <n v="4"/>
    <x v="1"/>
    <x v="668"/>
    <s v="2/24/2003 0:678"/>
    <x v="0"/>
    <x v="0"/>
    <s v="Shipped"/>
    <x v="1"/>
    <x v="1"/>
    <x v="2"/>
    <x v="1"/>
    <n v="163"/>
    <s v="S18_223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25"/>
    <x v="11"/>
    <n v="100"/>
    <n v="3"/>
    <x v="1"/>
    <x v="669"/>
    <s v="2/24/2003 0:679"/>
    <x v="2"/>
    <x v="1"/>
    <s v="In Process"/>
    <x v="1"/>
    <x v="1"/>
    <x v="2"/>
    <x v="1"/>
    <n v="163"/>
    <s v="S18_2238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100"/>
    <x v="24"/>
    <n v="67.8"/>
    <n v="2"/>
    <x v="0"/>
    <x v="670"/>
    <s v="2/24/2003 0:680"/>
    <x v="0"/>
    <x v="0"/>
    <s v="Shipped"/>
    <x v="0"/>
    <x v="7"/>
    <x v="0"/>
    <x v="3"/>
    <n v="60"/>
    <s v="S18_2248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110"/>
    <x v="22"/>
    <n v="50.25"/>
    <n v="6"/>
    <x v="0"/>
    <x v="671"/>
    <s v="2/24/2003 0:681"/>
    <x v="0"/>
    <x v="0"/>
    <s v="Shipped"/>
    <x v="0"/>
    <x v="11"/>
    <x v="0"/>
    <x v="3"/>
    <n v="60"/>
    <s v="S18_2248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124"/>
    <x v="13"/>
    <n v="53.88"/>
    <n v="5"/>
    <x v="0"/>
    <x v="672"/>
    <s v="2/24/2003 0:682"/>
    <x v="0"/>
    <x v="0"/>
    <s v="Shipped"/>
    <x v="1"/>
    <x v="1"/>
    <x v="0"/>
    <x v="3"/>
    <n v="60"/>
    <s v="S18_2248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149"/>
    <x v="16"/>
    <n v="62.36"/>
    <n v="10"/>
    <x v="0"/>
    <x v="673"/>
    <s v="2/24/2003 0:683"/>
    <x v="0"/>
    <x v="0"/>
    <s v="Shipped"/>
    <x v="2"/>
    <x v="10"/>
    <x v="0"/>
    <x v="3"/>
    <n v="60"/>
    <s v="S18_2248"/>
    <s v="Signal Collectibles Ltd."/>
    <n v="4155554312"/>
    <s v="2793 Furth Circle"/>
    <m/>
    <s v="Brisbane"/>
    <x v="65"/>
    <s v="CA"/>
    <n v="94217"/>
    <x v="0"/>
    <x v="0"/>
    <s v="NA"/>
    <s v="Taylor"/>
    <s v="Sue"/>
    <x v="0"/>
  </r>
  <r>
    <n v="10162"/>
    <x v="26"/>
    <n v="69.62"/>
    <n v="8"/>
    <x v="0"/>
    <x v="674"/>
    <s v="2/24/2003 0:684"/>
    <x v="0"/>
    <x v="0"/>
    <s v="Shipped"/>
    <x v="3"/>
    <x v="4"/>
    <x v="0"/>
    <x v="3"/>
    <n v="60"/>
    <s v="S18_2248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73"/>
    <x v="18"/>
    <n v="57.51"/>
    <n v="12"/>
    <x v="0"/>
    <x v="675"/>
    <s v="2/24/2003 0:685"/>
    <x v="0"/>
    <x v="0"/>
    <s v="Shipped"/>
    <x v="3"/>
    <x v="5"/>
    <x v="0"/>
    <x v="3"/>
    <n v="60"/>
    <s v="S18_2248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82"/>
    <x v="19"/>
    <n v="61.15"/>
    <n v="9"/>
    <x v="0"/>
    <x v="676"/>
    <s v="2/24/2003 0:686"/>
    <x v="0"/>
    <x v="0"/>
    <s v="Shipped"/>
    <x v="3"/>
    <x v="5"/>
    <x v="0"/>
    <x v="3"/>
    <n v="60"/>
    <s v="S18_224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93"/>
    <x v="13"/>
    <n v="59.33"/>
    <n v="13"/>
    <x v="0"/>
    <x v="677"/>
    <s v="2/24/2003 0:687"/>
    <x v="0"/>
    <x v="0"/>
    <s v="Shipped"/>
    <x v="3"/>
    <x v="5"/>
    <x v="0"/>
    <x v="3"/>
    <n v="60"/>
    <s v="S18_2248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204"/>
    <x v="10"/>
    <n v="71.44"/>
    <n v="3"/>
    <x v="0"/>
    <x v="678"/>
    <s v="2/24/2003 0:688"/>
    <x v="0"/>
    <x v="0"/>
    <s v="Shipped"/>
    <x v="3"/>
    <x v="6"/>
    <x v="0"/>
    <x v="3"/>
    <n v="60"/>
    <s v="S18_2248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214"/>
    <x v="15"/>
    <n v="62.96"/>
    <n v="6"/>
    <x v="0"/>
    <x v="679"/>
    <s v="2/24/2003 0:689"/>
    <x v="0"/>
    <x v="0"/>
    <s v="Shipped"/>
    <x v="0"/>
    <x v="7"/>
    <x v="1"/>
    <x v="3"/>
    <n v="60"/>
    <s v="S18_2248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227"/>
    <x v="11"/>
    <n v="50.85"/>
    <n v="9"/>
    <x v="0"/>
    <x v="680"/>
    <s v="2/24/2003 0:690"/>
    <x v="0"/>
    <x v="0"/>
    <s v="Shipped"/>
    <x v="0"/>
    <x v="11"/>
    <x v="1"/>
    <x v="3"/>
    <n v="60"/>
    <s v="S18_2248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41"/>
    <x v="29"/>
    <n v="72.650000000000006"/>
    <n v="1"/>
    <x v="0"/>
    <x v="681"/>
    <s v="2/24/2003 0:691"/>
    <x v="0"/>
    <x v="0"/>
    <s v="Shipped"/>
    <x v="1"/>
    <x v="8"/>
    <x v="1"/>
    <x v="3"/>
    <n v="60"/>
    <s v="S18_2248"/>
    <s v="Mini Caravy"/>
    <s v="88.60.1555"/>
    <s v="24, place Kluber"/>
    <m/>
    <s v="Strasbourg"/>
    <x v="66"/>
    <m/>
    <n v="67000"/>
    <x v="1"/>
    <x v="1"/>
    <s v="EMEA"/>
    <s v="Citeaux"/>
    <s v="Frederique"/>
    <x v="0"/>
  </r>
  <r>
    <n v="10280"/>
    <x v="32"/>
    <n v="62.96"/>
    <n v="15"/>
    <x v="0"/>
    <x v="682"/>
    <s v="2/24/2003 0:692"/>
    <x v="0"/>
    <x v="0"/>
    <s v="Shipped"/>
    <x v="2"/>
    <x v="3"/>
    <x v="1"/>
    <x v="3"/>
    <n v="60"/>
    <s v="S18_2248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288"/>
    <x v="11"/>
    <n v="61.75"/>
    <n v="4"/>
    <x v="0"/>
    <x v="683"/>
    <s v="2/24/2003 0:693"/>
    <x v="0"/>
    <x v="0"/>
    <s v="Shipped"/>
    <x v="2"/>
    <x v="10"/>
    <x v="1"/>
    <x v="3"/>
    <n v="60"/>
    <s v="S18_2248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303"/>
    <x v="12"/>
    <n v="49.04"/>
    <n v="2"/>
    <x v="0"/>
    <x v="684"/>
    <s v="2/24/2003 0:694"/>
    <x v="0"/>
    <x v="0"/>
    <s v="Shipped"/>
    <x v="3"/>
    <x v="4"/>
    <x v="1"/>
    <x v="3"/>
    <n v="60"/>
    <s v="S18_2248"/>
    <s v="Iberia Gift Imports, Corp."/>
    <s v="(95) 555 82 82"/>
    <s v="C/ Romero, 33"/>
    <m/>
    <s v="Sevilla"/>
    <x v="64"/>
    <m/>
    <n v="41101"/>
    <x v="7"/>
    <x v="7"/>
    <s v="EMEA"/>
    <s v="Roel"/>
    <s v="Jose Pedro"/>
    <x v="0"/>
  </r>
  <r>
    <n v="10312"/>
    <x v="0"/>
    <n v="61.15"/>
    <n v="16"/>
    <x v="0"/>
    <x v="685"/>
    <s v="2/24/2003 0:695"/>
    <x v="0"/>
    <x v="0"/>
    <s v="Shipped"/>
    <x v="3"/>
    <x v="4"/>
    <x v="1"/>
    <x v="3"/>
    <n v="60"/>
    <s v="S18_224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32"/>
    <x v="19"/>
    <n v="84.25"/>
    <n v="9"/>
    <x v="0"/>
    <x v="686"/>
    <s v="2/24/2003 0:696"/>
    <x v="0"/>
    <x v="0"/>
    <s v="Shipped"/>
    <x v="3"/>
    <x v="5"/>
    <x v="1"/>
    <x v="3"/>
    <n v="60"/>
    <s v="S18_2248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44"/>
    <x v="23"/>
    <n v="56.91"/>
    <n v="2"/>
    <x v="0"/>
    <x v="687"/>
    <s v="2/24/2003 0:697"/>
    <x v="0"/>
    <x v="0"/>
    <s v="Shipped"/>
    <x v="3"/>
    <x v="5"/>
    <x v="1"/>
    <x v="3"/>
    <n v="60"/>
    <s v="S18_2248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367"/>
    <x v="3"/>
    <n v="100"/>
    <n v="4"/>
    <x v="1"/>
    <x v="688"/>
    <s v="2/24/2003 0:698"/>
    <x v="5"/>
    <x v="1"/>
    <s v="Resolved"/>
    <x v="0"/>
    <x v="7"/>
    <x v="2"/>
    <x v="3"/>
    <n v="60"/>
    <s v="S18_2248"/>
    <s v="Toys4GrownUps.com"/>
    <n v="6265557265"/>
    <s v="78934 Hillside Dr."/>
    <m/>
    <s v="Pasadena"/>
    <x v="3"/>
    <s v="CA"/>
    <n v="90003"/>
    <x v="0"/>
    <x v="0"/>
    <s v="NA"/>
    <s v="Young"/>
    <s v="Julie"/>
    <x v="2"/>
  </r>
  <r>
    <n v="10379"/>
    <x v="26"/>
    <n v="49.3"/>
    <n v="1"/>
    <x v="0"/>
    <x v="689"/>
    <s v="2/24/2003 0:699"/>
    <x v="0"/>
    <x v="0"/>
    <s v="Shipped"/>
    <x v="0"/>
    <x v="0"/>
    <x v="2"/>
    <x v="3"/>
    <n v="60"/>
    <s v="S18_224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07"/>
    <x v="13"/>
    <n v="72.650000000000006"/>
    <n v="1"/>
    <x v="0"/>
    <x v="690"/>
    <s v="2/24/2003 0:700"/>
    <x v="4"/>
    <x v="1"/>
    <s v="On Hold"/>
    <x v="1"/>
    <x v="8"/>
    <x v="2"/>
    <x v="3"/>
    <n v="60"/>
    <s v="S18_2248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420"/>
    <x v="5"/>
    <n v="63.57"/>
    <n v="4"/>
    <x v="0"/>
    <x v="691"/>
    <s v="2/24/2003 0:701"/>
    <x v="2"/>
    <x v="1"/>
    <s v="In Process"/>
    <x v="1"/>
    <x v="1"/>
    <x v="2"/>
    <x v="3"/>
    <n v="60"/>
    <s v="S18_2248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104"/>
    <x v="6"/>
    <n v="100"/>
    <n v="12"/>
    <x v="0"/>
    <x v="692"/>
    <s v="2/24/2003 0:702"/>
    <x v="0"/>
    <x v="0"/>
    <s v="Shipped"/>
    <x v="0"/>
    <x v="7"/>
    <x v="0"/>
    <x v="2"/>
    <n v="122"/>
    <s v="S18_231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14"/>
    <x v="25"/>
    <n v="100"/>
    <n v="3"/>
    <x v="1"/>
    <x v="693"/>
    <s v="2/24/2003 0:703"/>
    <x v="0"/>
    <x v="0"/>
    <s v="Shipped"/>
    <x v="1"/>
    <x v="8"/>
    <x v="0"/>
    <x v="2"/>
    <n v="122"/>
    <s v="S18_2319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127"/>
    <x v="3"/>
    <n v="100"/>
    <n v="14"/>
    <x v="1"/>
    <x v="694"/>
    <s v="2/24/2003 0:704"/>
    <x v="0"/>
    <x v="0"/>
    <s v="Shipped"/>
    <x v="1"/>
    <x v="9"/>
    <x v="0"/>
    <x v="2"/>
    <n v="122"/>
    <s v="S18_2319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141"/>
    <x v="20"/>
    <n v="100"/>
    <n v="8"/>
    <x v="1"/>
    <x v="695"/>
    <s v="2/24/2003 0:705"/>
    <x v="0"/>
    <x v="0"/>
    <s v="Shipped"/>
    <x v="2"/>
    <x v="3"/>
    <x v="0"/>
    <x v="2"/>
    <n v="122"/>
    <s v="S18_2319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151"/>
    <x v="4"/>
    <n v="100"/>
    <n v="6"/>
    <x v="1"/>
    <x v="696"/>
    <s v="2/24/2003 0:706"/>
    <x v="0"/>
    <x v="0"/>
    <s v="Shipped"/>
    <x v="2"/>
    <x v="10"/>
    <x v="0"/>
    <x v="2"/>
    <n v="122"/>
    <s v="S18_2319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165"/>
    <x v="12"/>
    <n v="100"/>
    <n v="15"/>
    <x v="1"/>
    <x v="697"/>
    <s v="2/24/2003 0:707"/>
    <x v="0"/>
    <x v="0"/>
    <s v="Shipped"/>
    <x v="3"/>
    <x v="4"/>
    <x v="0"/>
    <x v="2"/>
    <n v="122"/>
    <s v="S18_2319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75"/>
    <x v="7"/>
    <n v="100"/>
    <n v="4"/>
    <x v="1"/>
    <x v="698"/>
    <s v="2/24/2003 0:708"/>
    <x v="0"/>
    <x v="0"/>
    <s v="Shipped"/>
    <x v="3"/>
    <x v="5"/>
    <x v="0"/>
    <x v="2"/>
    <n v="122"/>
    <s v="S18_2319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84"/>
    <x v="12"/>
    <n v="100"/>
    <n v="9"/>
    <x v="1"/>
    <x v="697"/>
    <s v="2/24/2003 0:709"/>
    <x v="0"/>
    <x v="0"/>
    <s v="Shipped"/>
    <x v="3"/>
    <x v="5"/>
    <x v="0"/>
    <x v="2"/>
    <n v="122"/>
    <s v="S18_2319"/>
    <s v="Iberia Gift Imports, Corp."/>
    <s v="(95) 555 82 82"/>
    <s v="C/ Romero, 33"/>
    <m/>
    <s v="Sevilla"/>
    <x v="64"/>
    <m/>
    <n v="41101"/>
    <x v="7"/>
    <x v="7"/>
    <s v="EMEA"/>
    <s v="Roel"/>
    <s v="Jose Pedro"/>
    <x v="1"/>
  </r>
  <r>
    <n v="10195"/>
    <x v="21"/>
    <n v="100"/>
    <n v="9"/>
    <x v="0"/>
    <x v="699"/>
    <s v="2/24/2003 0:710"/>
    <x v="0"/>
    <x v="0"/>
    <s v="Shipped"/>
    <x v="3"/>
    <x v="5"/>
    <x v="0"/>
    <x v="2"/>
    <n v="122"/>
    <s v="S18_2319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207"/>
    <x v="30"/>
    <n v="100"/>
    <n v="10"/>
    <x v="1"/>
    <x v="700"/>
    <s v="2/24/2003 0:711"/>
    <x v="0"/>
    <x v="0"/>
    <s v="Shipped"/>
    <x v="3"/>
    <x v="6"/>
    <x v="0"/>
    <x v="2"/>
    <n v="122"/>
    <s v="S18_2319"/>
    <s v="Diecast Collectables"/>
    <n v="6175552555"/>
    <s v="6251 Ingle Ln."/>
    <m/>
    <s v="Boston"/>
    <x v="48"/>
    <s v="MA"/>
    <n v="51003"/>
    <x v="0"/>
    <x v="0"/>
    <s v="NA"/>
    <s v="Franco"/>
    <s v="Valarie"/>
    <x v="1"/>
  </r>
  <r>
    <n v="10229"/>
    <x v="18"/>
    <n v="100"/>
    <n v="4"/>
    <x v="0"/>
    <x v="701"/>
    <s v="2/24/2003 0:712"/>
    <x v="0"/>
    <x v="0"/>
    <s v="Shipped"/>
    <x v="0"/>
    <x v="11"/>
    <x v="1"/>
    <x v="2"/>
    <n v="122"/>
    <s v="S18_231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46"/>
    <x v="8"/>
    <n v="98.18"/>
    <n v="8"/>
    <x v="0"/>
    <x v="702"/>
    <s v="2/24/2003 0:713"/>
    <x v="0"/>
    <x v="0"/>
    <s v="Shipped"/>
    <x v="1"/>
    <x v="1"/>
    <x v="1"/>
    <x v="2"/>
    <n v="122"/>
    <s v="S18_231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59"/>
    <x v="1"/>
    <n v="99.41"/>
    <n v="7"/>
    <x v="0"/>
    <x v="703"/>
    <s v="2/24/2003 0:714"/>
    <x v="0"/>
    <x v="0"/>
    <s v="Shipped"/>
    <x v="1"/>
    <x v="9"/>
    <x v="1"/>
    <x v="2"/>
    <n v="122"/>
    <s v="S18_2319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271"/>
    <x v="24"/>
    <n v="100"/>
    <n v="8"/>
    <x v="1"/>
    <x v="704"/>
    <s v="2/24/2003 0:715"/>
    <x v="0"/>
    <x v="0"/>
    <s v="Shipped"/>
    <x v="2"/>
    <x v="2"/>
    <x v="1"/>
    <x v="2"/>
    <n v="122"/>
    <s v="S18_231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81"/>
    <x v="7"/>
    <n v="100"/>
    <n v="4"/>
    <x v="1"/>
    <x v="705"/>
    <s v="2/24/2003 0:716"/>
    <x v="0"/>
    <x v="0"/>
    <s v="Shipped"/>
    <x v="2"/>
    <x v="3"/>
    <x v="1"/>
    <x v="2"/>
    <n v="122"/>
    <s v="S18_2319"/>
    <s v="Diecast Classics Inc."/>
    <n v="2155551555"/>
    <s v="7586 Pompton St."/>
    <m/>
    <s v="Allentown"/>
    <x v="15"/>
    <s v="PA"/>
    <n v="70267"/>
    <x v="0"/>
    <x v="0"/>
    <s v="NA"/>
    <s v="Yu"/>
    <s v="Kyung"/>
    <x v="1"/>
  </r>
  <r>
    <n v="10292"/>
    <x v="2"/>
    <n v="100"/>
    <n v="11"/>
    <x v="1"/>
    <x v="706"/>
    <s v="2/24/2003 0:717"/>
    <x v="0"/>
    <x v="0"/>
    <s v="Shipped"/>
    <x v="2"/>
    <x v="10"/>
    <x v="1"/>
    <x v="2"/>
    <n v="122"/>
    <s v="S18_2319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05"/>
    <x v="5"/>
    <n v="100"/>
    <n v="8"/>
    <x v="1"/>
    <x v="707"/>
    <s v="2/24/2003 0:718"/>
    <x v="0"/>
    <x v="0"/>
    <s v="Shipped"/>
    <x v="3"/>
    <x v="4"/>
    <x v="1"/>
    <x v="2"/>
    <n v="122"/>
    <s v="S18_2319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313"/>
    <x v="6"/>
    <n v="100"/>
    <n v="2"/>
    <x v="0"/>
    <x v="708"/>
    <s v="2/24/2003 0:719"/>
    <x v="0"/>
    <x v="0"/>
    <s v="Shipped"/>
    <x v="3"/>
    <x v="4"/>
    <x v="1"/>
    <x v="2"/>
    <n v="122"/>
    <s v="S18_2319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1"/>
  </r>
  <r>
    <n v="10324"/>
    <x v="29"/>
    <n v="37.479999999999997"/>
    <n v="10"/>
    <x v="0"/>
    <x v="709"/>
    <s v="2/24/2003 0:720"/>
    <x v="0"/>
    <x v="0"/>
    <s v="Shipped"/>
    <x v="3"/>
    <x v="5"/>
    <x v="1"/>
    <x v="2"/>
    <n v="122"/>
    <s v="S18_2319"/>
    <s v="Vitachrome Inc."/>
    <n v="2125551500"/>
    <s v="2678 Kingston Rd."/>
    <s v="Suite 101"/>
    <s v="Nyc"/>
    <x v="0"/>
    <s v="NY"/>
    <n v="10022"/>
    <x v="0"/>
    <x v="0"/>
    <s v="NA"/>
    <s v="Frick"/>
    <s v="Michael"/>
    <x v="0"/>
  </r>
  <r>
    <n v="10334"/>
    <x v="12"/>
    <n v="100"/>
    <n v="6"/>
    <x v="1"/>
    <x v="710"/>
    <s v="2/24/2003 0:721"/>
    <x v="4"/>
    <x v="1"/>
    <s v="On Hold"/>
    <x v="3"/>
    <x v="5"/>
    <x v="1"/>
    <x v="2"/>
    <n v="122"/>
    <s v="S18_2319"/>
    <s v="Volvo Model Replicas, Co"/>
    <s v="0921-12 3555"/>
    <s v="Berguvsv„gen  8"/>
    <m/>
    <s v="Lule"/>
    <x v="21"/>
    <m/>
    <s v="S-958 22"/>
    <x v="8"/>
    <x v="8"/>
    <s v="EMEA"/>
    <s v="Berglund"/>
    <s v="Christina"/>
    <x v="1"/>
  </r>
  <r>
    <n v="10349"/>
    <x v="19"/>
    <n v="100"/>
    <n v="7"/>
    <x v="1"/>
    <x v="711"/>
    <s v="2/24/2003 0:722"/>
    <x v="0"/>
    <x v="0"/>
    <s v="Shipped"/>
    <x v="3"/>
    <x v="6"/>
    <x v="1"/>
    <x v="2"/>
    <n v="122"/>
    <s v="S18_2319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358"/>
    <x v="14"/>
    <n v="36.42"/>
    <n v="11"/>
    <x v="0"/>
    <x v="712"/>
    <s v="2/24/2003 0:723"/>
    <x v="0"/>
    <x v="0"/>
    <s v="Shipped"/>
    <x v="3"/>
    <x v="6"/>
    <x v="1"/>
    <x v="2"/>
    <n v="122"/>
    <s v="S18_231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0"/>
    <x v="8"/>
    <n v="100"/>
    <n v="5"/>
    <x v="0"/>
    <x v="713"/>
    <s v="2/24/2003 0:724"/>
    <x v="0"/>
    <x v="0"/>
    <s v="Shipped"/>
    <x v="0"/>
    <x v="7"/>
    <x v="2"/>
    <x v="2"/>
    <n v="122"/>
    <s v="S18_2319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383"/>
    <x v="26"/>
    <n v="100"/>
    <n v="11"/>
    <x v="0"/>
    <x v="714"/>
    <s v="2/24/2003 0:725"/>
    <x v="0"/>
    <x v="0"/>
    <s v="Shipped"/>
    <x v="0"/>
    <x v="0"/>
    <x v="2"/>
    <x v="2"/>
    <n v="122"/>
    <s v="S18_231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12"/>
    <x v="31"/>
    <n v="98.18"/>
    <n v="8"/>
    <x v="1"/>
    <x v="715"/>
    <s v="2/24/2003 0:726"/>
    <x v="0"/>
    <x v="0"/>
    <s v="Shipped"/>
    <x v="1"/>
    <x v="1"/>
    <x v="2"/>
    <x v="2"/>
    <n v="122"/>
    <s v="S18_231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25"/>
    <x v="19"/>
    <n v="99.41"/>
    <n v="7"/>
    <x v="0"/>
    <x v="716"/>
    <s v="2/24/2003 0:727"/>
    <x v="2"/>
    <x v="1"/>
    <s v="In Process"/>
    <x v="1"/>
    <x v="1"/>
    <x v="2"/>
    <x v="2"/>
    <n v="122"/>
    <s v="S18_2319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101"/>
    <x v="32"/>
    <n v="100"/>
    <n v="4"/>
    <x v="0"/>
    <x v="717"/>
    <s v="2/24/2003 0:728"/>
    <x v="0"/>
    <x v="0"/>
    <s v="Shipped"/>
    <x v="0"/>
    <x v="7"/>
    <x v="0"/>
    <x v="3"/>
    <n v="127"/>
    <s v="S18_2325"/>
    <s v="Blauer See Auto, Co."/>
    <s v="+49 69 66 90 2555"/>
    <s v="Lyonerstr. 34"/>
    <m/>
    <s v="Frankfurt"/>
    <x v="58"/>
    <m/>
    <n v="60528"/>
    <x v="16"/>
    <x v="16"/>
    <s v="EMEA"/>
    <s v="Keitel"/>
    <s v="Roland"/>
    <x v="1"/>
  </r>
  <r>
    <n v="10110"/>
    <x v="29"/>
    <n v="100"/>
    <n v="4"/>
    <x v="0"/>
    <x v="718"/>
    <s v="2/24/2003 0:729"/>
    <x v="0"/>
    <x v="0"/>
    <s v="Shipped"/>
    <x v="0"/>
    <x v="11"/>
    <x v="0"/>
    <x v="3"/>
    <n v="127"/>
    <s v="S18_2325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124"/>
    <x v="13"/>
    <n v="100"/>
    <n v="3"/>
    <x v="1"/>
    <x v="719"/>
    <s v="2/24/2003 0:730"/>
    <x v="0"/>
    <x v="0"/>
    <s v="Shipped"/>
    <x v="1"/>
    <x v="1"/>
    <x v="0"/>
    <x v="3"/>
    <n v="127"/>
    <s v="S18_2325"/>
    <s v="Signal Gift Stores"/>
    <n v="7025551838"/>
    <s v="8489 Strong St."/>
    <m/>
    <s v="Las Vegas"/>
    <x v="67"/>
    <s v="NV"/>
    <n v="83030"/>
    <x v="0"/>
    <x v="0"/>
    <s v="NA"/>
    <s v="King"/>
    <s v="Sue"/>
    <x v="1"/>
  </r>
  <r>
    <n v="10149"/>
    <x v="29"/>
    <n v="100"/>
    <n v="8"/>
    <x v="1"/>
    <x v="720"/>
    <s v="2/24/2003 0:731"/>
    <x v="0"/>
    <x v="0"/>
    <s v="Shipped"/>
    <x v="2"/>
    <x v="10"/>
    <x v="0"/>
    <x v="3"/>
    <n v="127"/>
    <s v="S18_2325"/>
    <s v="Signal Collectibles Ltd."/>
    <n v="4155554312"/>
    <s v="2793 Furth Circle"/>
    <m/>
    <s v="Brisbane"/>
    <x v="65"/>
    <s v="CA"/>
    <n v="94217"/>
    <x v="0"/>
    <x v="0"/>
    <s v="NA"/>
    <s v="Taylor"/>
    <s v="Sue"/>
    <x v="1"/>
  </r>
  <r>
    <n v="10162"/>
    <x v="19"/>
    <n v="100"/>
    <n v="6"/>
    <x v="1"/>
    <x v="721"/>
    <s v="2/24/2003 0:732"/>
    <x v="0"/>
    <x v="0"/>
    <s v="Shipped"/>
    <x v="3"/>
    <x v="4"/>
    <x v="0"/>
    <x v="3"/>
    <n v="127"/>
    <s v="S18_2325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173"/>
    <x v="28"/>
    <n v="100"/>
    <n v="10"/>
    <x v="1"/>
    <x v="722"/>
    <s v="2/24/2003 0:733"/>
    <x v="0"/>
    <x v="0"/>
    <s v="Shipped"/>
    <x v="3"/>
    <x v="5"/>
    <x v="0"/>
    <x v="3"/>
    <n v="127"/>
    <s v="S18_2325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82"/>
    <x v="14"/>
    <n v="100"/>
    <n v="7"/>
    <x v="0"/>
    <x v="723"/>
    <s v="2/24/2003 0:734"/>
    <x v="0"/>
    <x v="0"/>
    <s v="Shipped"/>
    <x v="3"/>
    <x v="5"/>
    <x v="0"/>
    <x v="3"/>
    <n v="127"/>
    <s v="S18_2325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93"/>
    <x v="27"/>
    <n v="100"/>
    <n v="11"/>
    <x v="1"/>
    <x v="724"/>
    <s v="2/24/2003 0:735"/>
    <x v="0"/>
    <x v="0"/>
    <s v="Shipped"/>
    <x v="3"/>
    <x v="5"/>
    <x v="0"/>
    <x v="3"/>
    <n v="127"/>
    <s v="S18_2325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1"/>
  </r>
  <r>
    <n v="10204"/>
    <x v="18"/>
    <n v="100"/>
    <n v="1"/>
    <x v="0"/>
    <x v="725"/>
    <s v="2/24/2003 0:736"/>
    <x v="0"/>
    <x v="0"/>
    <s v="Shipped"/>
    <x v="3"/>
    <x v="6"/>
    <x v="0"/>
    <x v="3"/>
    <n v="127"/>
    <s v="S18_2325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14"/>
    <x v="26"/>
    <n v="100"/>
    <n v="4"/>
    <x v="0"/>
    <x v="726"/>
    <s v="2/24/2003 0:737"/>
    <x v="0"/>
    <x v="0"/>
    <s v="Shipped"/>
    <x v="0"/>
    <x v="7"/>
    <x v="1"/>
    <x v="3"/>
    <n v="127"/>
    <s v="S18_2325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227"/>
    <x v="12"/>
    <n v="100"/>
    <n v="7"/>
    <x v="1"/>
    <x v="727"/>
    <s v="2/24/2003 0:738"/>
    <x v="0"/>
    <x v="0"/>
    <s v="Shipped"/>
    <x v="0"/>
    <x v="11"/>
    <x v="1"/>
    <x v="3"/>
    <n v="127"/>
    <s v="S18_2325"/>
    <s v="Saveley &amp; Henriot, Co."/>
    <s v="78.32.5555"/>
    <s v="2, rue du Commerce"/>
    <m/>
    <s v="Lyon"/>
    <x v="25"/>
    <m/>
    <n v="69004"/>
    <x v="1"/>
    <x v="1"/>
    <s v="EMEA"/>
    <s v="Saveley"/>
    <s v="Mary"/>
    <x v="2"/>
  </r>
  <r>
    <n v="10243"/>
    <x v="20"/>
    <n v="100"/>
    <n v="2"/>
    <x v="1"/>
    <x v="728"/>
    <s v="2/24/2003 0:739"/>
    <x v="0"/>
    <x v="0"/>
    <s v="Shipped"/>
    <x v="1"/>
    <x v="8"/>
    <x v="1"/>
    <x v="3"/>
    <n v="127"/>
    <s v="S18_2325"/>
    <s v="Diecast Collectables"/>
    <n v="6175552555"/>
    <s v="6251 Ingle Ln."/>
    <m/>
    <s v="Boston"/>
    <x v="48"/>
    <s v="MA"/>
    <n v="51003"/>
    <x v="0"/>
    <x v="0"/>
    <s v="NA"/>
    <s v="Franco"/>
    <s v="Valarie"/>
    <x v="1"/>
  </r>
  <r>
    <n v="10280"/>
    <x v="9"/>
    <n v="100"/>
    <n v="13"/>
    <x v="1"/>
    <x v="729"/>
    <s v="2/24/2003 0:740"/>
    <x v="0"/>
    <x v="0"/>
    <s v="Shipped"/>
    <x v="2"/>
    <x v="3"/>
    <x v="1"/>
    <x v="3"/>
    <n v="127"/>
    <s v="S18_2325"/>
    <s v="Amica Models &amp; Co."/>
    <s v="011-4988555"/>
    <s v="Via Monte Bianco 34"/>
    <m/>
    <s v="Torino"/>
    <x v="30"/>
    <m/>
    <n v="10100"/>
    <x v="12"/>
    <x v="12"/>
    <s v="EMEA"/>
    <s v="Accorti"/>
    <s v="Paolo"/>
    <x v="1"/>
  </r>
  <r>
    <n v="10288"/>
    <x v="28"/>
    <n v="100"/>
    <n v="2"/>
    <x v="0"/>
    <x v="730"/>
    <s v="2/24/2003 0:741"/>
    <x v="0"/>
    <x v="0"/>
    <s v="Shipped"/>
    <x v="2"/>
    <x v="10"/>
    <x v="1"/>
    <x v="3"/>
    <n v="127"/>
    <s v="S18_2325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304"/>
    <x v="16"/>
    <n v="100"/>
    <n v="17"/>
    <x v="0"/>
    <x v="731"/>
    <s v="2/24/2003 0:742"/>
    <x v="0"/>
    <x v="0"/>
    <s v="Shipped"/>
    <x v="3"/>
    <x v="4"/>
    <x v="1"/>
    <x v="3"/>
    <n v="127"/>
    <s v="S18_2325"/>
    <s v="Auto Assoc. &amp; Cie."/>
    <s v="30.59.8555"/>
    <s v="67, avenue de l'Europe"/>
    <m/>
    <s v="Versailles"/>
    <x v="32"/>
    <m/>
    <n v="78000"/>
    <x v="1"/>
    <x v="1"/>
    <s v="EMEA"/>
    <s v="Tonini"/>
    <s v="Daniel"/>
    <x v="0"/>
  </r>
  <r>
    <n v="10312"/>
    <x v="28"/>
    <n v="100"/>
    <n v="14"/>
    <x v="1"/>
    <x v="732"/>
    <s v="2/24/2003 0:743"/>
    <x v="0"/>
    <x v="0"/>
    <s v="Shipped"/>
    <x v="3"/>
    <x v="4"/>
    <x v="1"/>
    <x v="3"/>
    <n v="127"/>
    <s v="S18_2325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22"/>
    <x v="24"/>
    <n v="100"/>
    <n v="6"/>
    <x v="1"/>
    <x v="733"/>
    <s v="2/24/2003 0:744"/>
    <x v="0"/>
    <x v="0"/>
    <s v="Shipped"/>
    <x v="3"/>
    <x v="5"/>
    <x v="1"/>
    <x v="3"/>
    <n v="127"/>
    <s v="S18_2325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2"/>
  </r>
  <r>
    <n v="10332"/>
    <x v="21"/>
    <n v="64.69"/>
    <n v="8"/>
    <x v="0"/>
    <x v="734"/>
    <s v="2/24/2003 0:745"/>
    <x v="0"/>
    <x v="0"/>
    <s v="Shipped"/>
    <x v="3"/>
    <x v="5"/>
    <x v="1"/>
    <x v="3"/>
    <n v="127"/>
    <s v="S18_2325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44"/>
    <x v="0"/>
    <n v="100"/>
    <n v="3"/>
    <x v="0"/>
    <x v="735"/>
    <s v="2/24/2003 0:746"/>
    <x v="0"/>
    <x v="0"/>
    <s v="Shipped"/>
    <x v="3"/>
    <x v="5"/>
    <x v="1"/>
    <x v="3"/>
    <n v="127"/>
    <s v="S18_2325"/>
    <s v="Marseille Mini Autos"/>
    <s v="91.24.4555"/>
    <s v="12, rue des Bouchers"/>
    <m/>
    <s v="Marseille"/>
    <x v="54"/>
    <m/>
    <n v="13008"/>
    <x v="1"/>
    <x v="1"/>
    <s v="EMEA"/>
    <s v="Lebihan"/>
    <s v="Laurence"/>
    <x v="1"/>
  </r>
  <r>
    <n v="10356"/>
    <x v="6"/>
    <n v="100"/>
    <n v="3"/>
    <x v="0"/>
    <x v="736"/>
    <s v="2/24/2003 0:747"/>
    <x v="0"/>
    <x v="0"/>
    <s v="Shipped"/>
    <x v="3"/>
    <x v="6"/>
    <x v="1"/>
    <x v="3"/>
    <n v="127"/>
    <s v="S18_2325"/>
    <s v="Lyon Souveniers"/>
    <s v="+33 1 46 62 7555"/>
    <s v="27 rue du Colonel Pierre Avia"/>
    <m/>
    <s v="Paris"/>
    <x v="2"/>
    <m/>
    <n v="75508"/>
    <x v="1"/>
    <x v="1"/>
    <s v="EMEA"/>
    <s v="Da Cunha"/>
    <s v="Daniel"/>
    <x v="1"/>
  </r>
  <r>
    <n v="10367"/>
    <x v="26"/>
    <n v="100"/>
    <n v="5"/>
    <x v="1"/>
    <x v="737"/>
    <s v="2/24/2003 0:748"/>
    <x v="5"/>
    <x v="1"/>
    <s v="Resolved"/>
    <x v="0"/>
    <x v="7"/>
    <x v="2"/>
    <x v="3"/>
    <n v="127"/>
    <s v="S18_2325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380"/>
    <x v="23"/>
    <n v="100"/>
    <n v="10"/>
    <x v="1"/>
    <x v="738"/>
    <s v="2/24/2003 0:749"/>
    <x v="0"/>
    <x v="0"/>
    <s v="Shipped"/>
    <x v="0"/>
    <x v="0"/>
    <x v="2"/>
    <x v="3"/>
    <n v="127"/>
    <s v="S18_2325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0"/>
    <x v="28"/>
    <n v="98.99"/>
    <n v="16"/>
    <x v="0"/>
    <x v="739"/>
    <s v="2/24/2003 0:750"/>
    <x v="0"/>
    <x v="0"/>
    <s v="Shipped"/>
    <x v="0"/>
    <x v="11"/>
    <x v="2"/>
    <x v="3"/>
    <n v="127"/>
    <s v="S18_2325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09"/>
    <x v="44"/>
    <n v="100"/>
    <n v="2"/>
    <x v="0"/>
    <x v="740"/>
    <s v="2/24/2003 0:751"/>
    <x v="0"/>
    <x v="0"/>
    <s v="Shipped"/>
    <x v="1"/>
    <x v="8"/>
    <x v="2"/>
    <x v="3"/>
    <n v="127"/>
    <s v="S18_2325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420"/>
    <x v="3"/>
    <n v="100"/>
    <n v="2"/>
    <x v="1"/>
    <x v="741"/>
    <s v="2/24/2003 0:752"/>
    <x v="2"/>
    <x v="1"/>
    <s v="In Process"/>
    <x v="1"/>
    <x v="1"/>
    <x v="2"/>
    <x v="3"/>
    <n v="127"/>
    <s v="S18_2325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103"/>
    <x v="8"/>
    <n v="54.09"/>
    <n v="2"/>
    <x v="0"/>
    <x v="742"/>
    <s v="2/24/2003 0:753"/>
    <x v="0"/>
    <x v="0"/>
    <s v="Shipped"/>
    <x v="0"/>
    <x v="7"/>
    <x v="0"/>
    <x v="2"/>
    <n v="60"/>
    <s v="S18_2432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114"/>
    <x v="3"/>
    <n v="68.67"/>
    <n v="6"/>
    <x v="0"/>
    <x v="743"/>
    <s v="2/24/2003 0:754"/>
    <x v="0"/>
    <x v="0"/>
    <s v="Shipped"/>
    <x v="1"/>
    <x v="8"/>
    <x v="0"/>
    <x v="2"/>
    <n v="60"/>
    <s v="S18_2432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126"/>
    <x v="30"/>
    <n v="65.02"/>
    <n v="2"/>
    <x v="0"/>
    <x v="744"/>
    <s v="2/24/2003 0:755"/>
    <x v="0"/>
    <x v="0"/>
    <s v="Shipped"/>
    <x v="1"/>
    <x v="1"/>
    <x v="0"/>
    <x v="2"/>
    <n v="60"/>
    <s v="S18_2432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140"/>
    <x v="12"/>
    <n v="61.99"/>
    <n v="2"/>
    <x v="0"/>
    <x v="151"/>
    <s v="2/24/2003 0:756"/>
    <x v="0"/>
    <x v="0"/>
    <s v="Shipped"/>
    <x v="2"/>
    <x v="2"/>
    <x v="0"/>
    <x v="2"/>
    <n v="60"/>
    <s v="S18_2432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151"/>
    <x v="25"/>
    <n v="69.28"/>
    <n v="9"/>
    <x v="0"/>
    <x v="745"/>
    <s v="2/24/2003 0:757"/>
    <x v="0"/>
    <x v="0"/>
    <s v="Shipped"/>
    <x v="2"/>
    <x v="10"/>
    <x v="0"/>
    <x v="2"/>
    <n v="60"/>
    <s v="S18_2432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165"/>
    <x v="28"/>
    <n v="71.099999999999994"/>
    <n v="18"/>
    <x v="0"/>
    <x v="746"/>
    <s v="2/24/2003 0:758"/>
    <x v="0"/>
    <x v="0"/>
    <s v="Shipped"/>
    <x v="3"/>
    <x v="4"/>
    <x v="0"/>
    <x v="2"/>
    <n v="60"/>
    <s v="S18_2432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75"/>
    <x v="2"/>
    <n v="69.28"/>
    <n v="7"/>
    <x v="0"/>
    <x v="747"/>
    <s v="2/24/2003 0:759"/>
    <x v="0"/>
    <x v="0"/>
    <s v="Shipped"/>
    <x v="3"/>
    <x v="5"/>
    <x v="0"/>
    <x v="2"/>
    <n v="60"/>
    <s v="S18_2432"/>
    <s v="Stylish Desk Decors, Co."/>
    <s v="(171) 555-0297"/>
    <s v="35 King George"/>
    <m/>
    <s v="London"/>
    <x v="41"/>
    <m/>
    <s v="WX3 6FW"/>
    <x v="6"/>
    <x v="6"/>
    <s v="EMEA"/>
    <s v="Brown"/>
    <s v="Ann"/>
    <x v="0"/>
  </r>
  <r>
    <n v="10184"/>
    <x v="27"/>
    <n v="60.16"/>
    <n v="12"/>
    <x v="0"/>
    <x v="748"/>
    <s v="2/24/2003 0:760"/>
    <x v="0"/>
    <x v="0"/>
    <s v="Shipped"/>
    <x v="3"/>
    <x v="5"/>
    <x v="0"/>
    <x v="2"/>
    <n v="60"/>
    <s v="S18_2432"/>
    <s v="Iberia Gift Imports, Corp."/>
    <s v="(95) 555 82 82"/>
    <s v="C/ Romero, 33"/>
    <m/>
    <s v="Sevilla"/>
    <x v="64"/>
    <m/>
    <n v="41101"/>
    <x v="7"/>
    <x v="7"/>
    <s v="EMEA"/>
    <s v="Roel"/>
    <s v="Jose Pedro"/>
    <x v="0"/>
  </r>
  <r>
    <n v="10194"/>
    <x v="3"/>
    <n v="70.489999999999995"/>
    <n v="2"/>
    <x v="0"/>
    <x v="749"/>
    <s v="2/24/2003 0:761"/>
    <x v="0"/>
    <x v="0"/>
    <s v="Shipped"/>
    <x v="3"/>
    <x v="5"/>
    <x v="0"/>
    <x v="2"/>
    <n v="60"/>
    <s v="S18_2432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07"/>
    <x v="9"/>
    <n v="69.89"/>
    <n v="13"/>
    <x v="0"/>
    <x v="750"/>
    <s v="2/24/2003 0:762"/>
    <x v="0"/>
    <x v="0"/>
    <s v="Shipped"/>
    <x v="3"/>
    <x v="6"/>
    <x v="0"/>
    <x v="2"/>
    <n v="60"/>
    <s v="S18_2432"/>
    <s v="Diecast Collectables"/>
    <n v="6175552555"/>
    <s v="6251 Ingle Ln."/>
    <m/>
    <s v="Boston"/>
    <x v="48"/>
    <s v="MA"/>
    <n v="51003"/>
    <x v="0"/>
    <x v="0"/>
    <s v="NA"/>
    <s v="Franco"/>
    <s v="Valarie"/>
    <x v="0"/>
  </r>
  <r>
    <n v="10217"/>
    <x v="21"/>
    <n v="61.38"/>
    <n v="2"/>
    <x v="0"/>
    <x v="751"/>
    <s v="2/24/2003 0:763"/>
    <x v="0"/>
    <x v="0"/>
    <s v="Shipped"/>
    <x v="0"/>
    <x v="0"/>
    <x v="1"/>
    <x v="2"/>
    <n v="60"/>
    <s v="S18_2432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229"/>
    <x v="11"/>
    <n v="59.55"/>
    <n v="7"/>
    <x v="0"/>
    <x v="752"/>
    <s v="2/24/2003 0:764"/>
    <x v="0"/>
    <x v="0"/>
    <s v="Shipped"/>
    <x v="0"/>
    <x v="11"/>
    <x v="1"/>
    <x v="2"/>
    <n v="60"/>
    <s v="S18_243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46"/>
    <x v="0"/>
    <n v="61.99"/>
    <n v="11"/>
    <x v="0"/>
    <x v="753"/>
    <s v="2/24/2003 0:765"/>
    <x v="0"/>
    <x v="0"/>
    <s v="Shipped"/>
    <x v="1"/>
    <x v="1"/>
    <x v="1"/>
    <x v="2"/>
    <n v="60"/>
    <s v="S18_243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59"/>
    <x v="0"/>
    <n v="49.22"/>
    <n v="10"/>
    <x v="0"/>
    <x v="754"/>
    <s v="2/24/2003 0:766"/>
    <x v="0"/>
    <x v="0"/>
    <s v="Shipped"/>
    <x v="1"/>
    <x v="9"/>
    <x v="1"/>
    <x v="2"/>
    <n v="60"/>
    <s v="S18_2432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271"/>
    <x v="32"/>
    <n v="69.28"/>
    <n v="11"/>
    <x v="0"/>
    <x v="755"/>
    <s v="2/24/2003 0:767"/>
    <x v="0"/>
    <x v="0"/>
    <s v="Shipped"/>
    <x v="2"/>
    <x v="2"/>
    <x v="1"/>
    <x v="2"/>
    <n v="60"/>
    <s v="S18_243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81"/>
    <x v="6"/>
    <n v="57.73"/>
    <n v="7"/>
    <x v="0"/>
    <x v="756"/>
    <s v="2/24/2003 0:768"/>
    <x v="0"/>
    <x v="0"/>
    <s v="Shipped"/>
    <x v="2"/>
    <x v="3"/>
    <x v="1"/>
    <x v="2"/>
    <n v="60"/>
    <s v="S18_2432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291"/>
    <x v="18"/>
    <n v="57.73"/>
    <n v="2"/>
    <x v="0"/>
    <x v="757"/>
    <s v="2/24/2003 0:769"/>
    <x v="0"/>
    <x v="0"/>
    <s v="Shipped"/>
    <x v="2"/>
    <x v="10"/>
    <x v="1"/>
    <x v="2"/>
    <n v="60"/>
    <s v="S18_2432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305"/>
    <x v="2"/>
    <n v="53.48"/>
    <n v="11"/>
    <x v="0"/>
    <x v="758"/>
    <s v="2/24/2003 0:770"/>
    <x v="0"/>
    <x v="0"/>
    <s v="Shipped"/>
    <x v="3"/>
    <x v="4"/>
    <x v="1"/>
    <x v="2"/>
    <n v="60"/>
    <s v="S18_2432"/>
    <s v="Marta's Replicas Co."/>
    <n v="6175558555"/>
    <s v="39323 Spinnaker Dr."/>
    <m/>
    <s v="Cambridge"/>
    <x v="12"/>
    <s v="MA"/>
    <n v="51247"/>
    <x v="0"/>
    <x v="0"/>
    <s v="NA"/>
    <s v="Hernandez"/>
    <s v="Marta"/>
    <x v="0"/>
  </r>
  <r>
    <n v="10313"/>
    <x v="1"/>
    <n v="52.87"/>
    <n v="5"/>
    <x v="0"/>
    <x v="759"/>
    <s v="2/24/2003 0:771"/>
    <x v="0"/>
    <x v="0"/>
    <s v="Shipped"/>
    <x v="3"/>
    <x v="4"/>
    <x v="1"/>
    <x v="2"/>
    <n v="60"/>
    <s v="S18_2432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0"/>
  </r>
  <r>
    <n v="10322"/>
    <x v="21"/>
    <n v="61.21"/>
    <n v="11"/>
    <x v="0"/>
    <x v="760"/>
    <s v="2/24/2003 0:772"/>
    <x v="0"/>
    <x v="0"/>
    <s v="Shipped"/>
    <x v="3"/>
    <x v="5"/>
    <x v="1"/>
    <x v="2"/>
    <n v="60"/>
    <s v="S18_2432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334"/>
    <x v="1"/>
    <n v="61.38"/>
    <n v="1"/>
    <x v="0"/>
    <x v="761"/>
    <s v="2/24/2003 0:773"/>
    <x v="4"/>
    <x v="1"/>
    <s v="On Hold"/>
    <x v="3"/>
    <x v="5"/>
    <x v="1"/>
    <x v="2"/>
    <n v="60"/>
    <s v="S18_2432"/>
    <s v="Volvo Model Replicas, Co"/>
    <s v="0921-12 3555"/>
    <s v="Berguvsv„gen  8"/>
    <m/>
    <s v="Lule"/>
    <x v="21"/>
    <m/>
    <s v="S-958 22"/>
    <x v="8"/>
    <x v="8"/>
    <s v="EMEA"/>
    <s v="Berglund"/>
    <s v="Christina"/>
    <x v="0"/>
  </r>
  <r>
    <n v="10347"/>
    <x v="24"/>
    <n v="100"/>
    <n v="8"/>
    <x v="1"/>
    <x v="762"/>
    <s v="2/24/2003 0:774"/>
    <x v="0"/>
    <x v="0"/>
    <s v="Shipped"/>
    <x v="3"/>
    <x v="5"/>
    <x v="1"/>
    <x v="2"/>
    <n v="60"/>
    <s v="S18_2432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7"/>
    <x v="2"/>
    <n v="61.99"/>
    <n v="7"/>
    <x v="0"/>
    <x v="763"/>
    <s v="2/24/2003 0:775"/>
    <x v="0"/>
    <x v="0"/>
    <s v="Shipped"/>
    <x v="3"/>
    <x v="6"/>
    <x v="1"/>
    <x v="2"/>
    <n v="60"/>
    <s v="S18_243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70"/>
    <x v="8"/>
    <n v="96.86"/>
    <n v="7"/>
    <x v="0"/>
    <x v="764"/>
    <s v="2/24/2003 0:776"/>
    <x v="0"/>
    <x v="0"/>
    <s v="Shipped"/>
    <x v="0"/>
    <x v="7"/>
    <x v="2"/>
    <x v="2"/>
    <n v="60"/>
    <s v="S18_2432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381"/>
    <x v="21"/>
    <n v="48.62"/>
    <n v="7"/>
    <x v="0"/>
    <x v="765"/>
    <s v="2/24/2003 0:777"/>
    <x v="0"/>
    <x v="0"/>
    <s v="Shipped"/>
    <x v="0"/>
    <x v="0"/>
    <x v="2"/>
    <x v="2"/>
    <n v="60"/>
    <s v="S18_2432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391"/>
    <x v="27"/>
    <n v="38.5"/>
    <n v="5"/>
    <x v="0"/>
    <x v="766"/>
    <s v="2/24/2003 0:778"/>
    <x v="0"/>
    <x v="0"/>
    <s v="Shipped"/>
    <x v="0"/>
    <x v="11"/>
    <x v="2"/>
    <x v="2"/>
    <n v="60"/>
    <s v="S18_2432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412"/>
    <x v="20"/>
    <n v="61.99"/>
    <n v="11"/>
    <x v="0"/>
    <x v="767"/>
    <s v="2/24/2003 0:779"/>
    <x v="0"/>
    <x v="0"/>
    <s v="Shipped"/>
    <x v="1"/>
    <x v="1"/>
    <x v="2"/>
    <x v="2"/>
    <n v="60"/>
    <s v="S18_243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25"/>
    <x v="34"/>
    <n v="49.22"/>
    <n v="10"/>
    <x v="0"/>
    <x v="768"/>
    <s v="2/24/2003 0:780"/>
    <x v="2"/>
    <x v="1"/>
    <s v="In Process"/>
    <x v="1"/>
    <x v="1"/>
    <x v="2"/>
    <x v="2"/>
    <n v="60"/>
    <s v="S18_2432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106"/>
    <x v="1"/>
    <n v="90.39"/>
    <n v="2"/>
    <x v="0"/>
    <x v="769"/>
    <s v="2/24/2003 0:781"/>
    <x v="0"/>
    <x v="0"/>
    <s v="Shipped"/>
    <x v="0"/>
    <x v="0"/>
    <x v="0"/>
    <x v="4"/>
    <n v="84"/>
    <s v="S18_2581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20"/>
    <x v="6"/>
    <n v="71.81"/>
    <n v="8"/>
    <x v="0"/>
    <x v="770"/>
    <s v="2/24/2003 0:782"/>
    <x v="0"/>
    <x v="0"/>
    <s v="Shipped"/>
    <x v="1"/>
    <x v="8"/>
    <x v="0"/>
    <x v="4"/>
    <n v="84"/>
    <s v="S18_2581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133"/>
    <x v="4"/>
    <n v="69.27"/>
    <n v="3"/>
    <x v="0"/>
    <x v="771"/>
    <s v="2/24/2003 0:783"/>
    <x v="0"/>
    <x v="0"/>
    <s v="Shipped"/>
    <x v="1"/>
    <x v="9"/>
    <x v="0"/>
    <x v="4"/>
    <n v="84"/>
    <s v="S18_2581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45"/>
    <x v="0"/>
    <n v="85.32"/>
    <n v="14"/>
    <x v="0"/>
    <x v="366"/>
    <s v="2/24/2003 0:784"/>
    <x v="0"/>
    <x v="0"/>
    <s v="Shipped"/>
    <x v="2"/>
    <x v="3"/>
    <x v="0"/>
    <x v="4"/>
    <n v="84"/>
    <s v="S18_2581"/>
    <s v="Toys4GrownUps.com"/>
    <n v="6265557265"/>
    <s v="78934 Hillside Dr."/>
    <m/>
    <s v="Pasadena"/>
    <x v="3"/>
    <s v="CA"/>
    <n v="90003"/>
    <x v="0"/>
    <x v="0"/>
    <s v="NA"/>
    <s v="Young"/>
    <s v="Julie"/>
    <x v="0"/>
  </r>
  <r>
    <n v="10168"/>
    <x v="15"/>
    <n v="70.959999999999994"/>
    <n v="9"/>
    <x v="0"/>
    <x v="772"/>
    <s v="2/24/2003 0:785"/>
    <x v="0"/>
    <x v="0"/>
    <s v="Shipped"/>
    <x v="3"/>
    <x v="4"/>
    <x v="0"/>
    <x v="4"/>
    <n v="84"/>
    <s v="S18_2581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210"/>
    <x v="24"/>
    <n v="76.88"/>
    <n v="7"/>
    <x v="0"/>
    <x v="773"/>
    <s v="2/24/2003 0:786"/>
    <x v="0"/>
    <x v="0"/>
    <s v="Shipped"/>
    <x v="0"/>
    <x v="7"/>
    <x v="1"/>
    <x v="4"/>
    <n v="84"/>
    <s v="S18_2581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1"/>
  </r>
  <r>
    <n v="10223"/>
    <x v="20"/>
    <n v="100"/>
    <n v="9"/>
    <x v="1"/>
    <x v="774"/>
    <s v="2/24/2003 0:787"/>
    <x v="0"/>
    <x v="0"/>
    <s v="Shipped"/>
    <x v="0"/>
    <x v="0"/>
    <x v="1"/>
    <x v="4"/>
    <n v="84"/>
    <s v="S18_2581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235"/>
    <x v="16"/>
    <n v="76.03"/>
    <n v="3"/>
    <x v="0"/>
    <x v="775"/>
    <s v="2/24/2003 0:788"/>
    <x v="0"/>
    <x v="0"/>
    <s v="Shipped"/>
    <x v="1"/>
    <x v="8"/>
    <x v="1"/>
    <x v="4"/>
    <n v="84"/>
    <s v="S18_2581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50"/>
    <x v="26"/>
    <n v="98.84"/>
    <n v="4"/>
    <x v="0"/>
    <x v="776"/>
    <s v="2/24/2003 0:789"/>
    <x v="0"/>
    <x v="0"/>
    <s v="Shipped"/>
    <x v="1"/>
    <x v="1"/>
    <x v="1"/>
    <x v="4"/>
    <n v="84"/>
    <s v="S18_2581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263"/>
    <x v="29"/>
    <n v="86.17"/>
    <n v="10"/>
    <x v="0"/>
    <x v="777"/>
    <s v="2/24/2003 0:790"/>
    <x v="0"/>
    <x v="0"/>
    <s v="Shipped"/>
    <x v="1"/>
    <x v="9"/>
    <x v="1"/>
    <x v="4"/>
    <n v="84"/>
    <s v="S18_2581"/>
    <s v="Gift Depot Inc."/>
    <n v="2035552570"/>
    <s v="25593 South Bay Ln."/>
    <m/>
    <s v="Bridgewater"/>
    <x v="10"/>
    <s v="CT"/>
    <n v="97562"/>
    <x v="0"/>
    <x v="0"/>
    <s v="NA"/>
    <s v="King"/>
    <s v="Julie"/>
    <x v="0"/>
  </r>
  <r>
    <n v="10275"/>
    <x v="21"/>
    <n v="90.39"/>
    <n v="9"/>
    <x v="0"/>
    <x v="778"/>
    <s v="2/24/2003 0:791"/>
    <x v="0"/>
    <x v="0"/>
    <s v="Shipped"/>
    <x v="2"/>
    <x v="2"/>
    <x v="1"/>
    <x v="4"/>
    <n v="84"/>
    <s v="S18_2581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284"/>
    <x v="28"/>
    <n v="71.81"/>
    <n v="1"/>
    <x v="0"/>
    <x v="779"/>
    <s v="2/24/2003 0:792"/>
    <x v="0"/>
    <x v="0"/>
    <s v="Shipped"/>
    <x v="2"/>
    <x v="3"/>
    <x v="1"/>
    <x v="4"/>
    <n v="84"/>
    <s v="S18_2581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297"/>
    <x v="32"/>
    <n v="82.79"/>
    <n v="4"/>
    <x v="0"/>
    <x v="780"/>
    <s v="2/24/2003 0:793"/>
    <x v="0"/>
    <x v="0"/>
    <s v="Shipped"/>
    <x v="2"/>
    <x v="10"/>
    <x v="1"/>
    <x v="4"/>
    <n v="84"/>
    <s v="S18_2581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0"/>
  </r>
  <r>
    <n v="10308"/>
    <x v="26"/>
    <n v="82.79"/>
    <n v="7"/>
    <x v="0"/>
    <x v="781"/>
    <s v="2/24/2003 0:794"/>
    <x v="0"/>
    <x v="0"/>
    <s v="Shipped"/>
    <x v="3"/>
    <x v="4"/>
    <x v="1"/>
    <x v="4"/>
    <n v="84"/>
    <s v="S18_2581"/>
    <s v="Mini Classics"/>
    <n v="9145554562"/>
    <s v="3758 North Pendale Street"/>
    <m/>
    <s v="White Plains"/>
    <x v="39"/>
    <s v="NY"/>
    <n v="24067"/>
    <x v="0"/>
    <x v="0"/>
    <s v="NA"/>
    <s v="Frick"/>
    <s v="Steve"/>
    <x v="0"/>
  </r>
  <r>
    <n v="10318"/>
    <x v="28"/>
    <n v="100"/>
    <n v="9"/>
    <x v="0"/>
    <x v="782"/>
    <s v="2/24/2003 0:795"/>
    <x v="0"/>
    <x v="0"/>
    <s v="Shipped"/>
    <x v="3"/>
    <x v="5"/>
    <x v="1"/>
    <x v="4"/>
    <n v="84"/>
    <s v="S18_2581"/>
    <s v="Diecast Classics Inc."/>
    <n v="2155551555"/>
    <s v="7586 Pompton St."/>
    <m/>
    <s v="Allentown"/>
    <x v="15"/>
    <s v="PA"/>
    <n v="70267"/>
    <x v="0"/>
    <x v="0"/>
    <s v="NA"/>
    <s v="Yu"/>
    <s v="Kyung"/>
    <x v="1"/>
  </r>
  <r>
    <n v="10327"/>
    <x v="3"/>
    <n v="100"/>
    <n v="8"/>
    <x v="1"/>
    <x v="783"/>
    <s v="2/24/2003 0:796"/>
    <x v="5"/>
    <x v="1"/>
    <s v="Resolved"/>
    <x v="3"/>
    <x v="5"/>
    <x v="1"/>
    <x v="4"/>
    <n v="84"/>
    <s v="S18_2581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339"/>
    <x v="26"/>
    <n v="100"/>
    <n v="2"/>
    <x v="0"/>
    <x v="784"/>
    <s v="2/24/2003 0:797"/>
    <x v="0"/>
    <x v="0"/>
    <s v="Shipped"/>
    <x v="3"/>
    <x v="5"/>
    <x v="1"/>
    <x v="4"/>
    <n v="84"/>
    <s v="S18_2581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53"/>
    <x v="26"/>
    <n v="100"/>
    <n v="1"/>
    <x v="0"/>
    <x v="785"/>
    <s v="2/24/2003 0:798"/>
    <x v="0"/>
    <x v="0"/>
    <s v="Shipped"/>
    <x v="3"/>
    <x v="6"/>
    <x v="1"/>
    <x v="4"/>
    <n v="84"/>
    <s v="S18_2581"/>
    <s v="Gift Ideas Corp."/>
    <n v="2035554407"/>
    <s v="2440 Pompton St."/>
    <m/>
    <s v="Glendale"/>
    <x v="63"/>
    <s v="CT"/>
    <n v="97561"/>
    <x v="0"/>
    <x v="0"/>
    <s v="NA"/>
    <s v="Lewis"/>
    <s v="Dan"/>
    <x v="1"/>
  </r>
  <r>
    <n v="10374"/>
    <x v="13"/>
    <n v="69.27"/>
    <n v="2"/>
    <x v="0"/>
    <x v="786"/>
    <s v="2/24/2003 0:799"/>
    <x v="0"/>
    <x v="0"/>
    <s v="Shipped"/>
    <x v="0"/>
    <x v="0"/>
    <x v="2"/>
    <x v="4"/>
    <n v="84"/>
    <s v="S18_2581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0"/>
  </r>
  <r>
    <n v="10386"/>
    <x v="15"/>
    <n v="74.77"/>
    <n v="18"/>
    <x v="0"/>
    <x v="787"/>
    <s v="2/24/2003 0:800"/>
    <x v="5"/>
    <x v="1"/>
    <s v="Resolved"/>
    <x v="0"/>
    <x v="11"/>
    <x v="2"/>
    <x v="4"/>
    <n v="84"/>
    <s v="S18_258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8"/>
    <x v="1"/>
    <n v="76.88"/>
    <n v="15"/>
    <x v="0"/>
    <x v="788"/>
    <s v="2/24/2003 0:801"/>
    <x v="0"/>
    <x v="0"/>
    <s v="Shipped"/>
    <x v="0"/>
    <x v="11"/>
    <x v="2"/>
    <x v="4"/>
    <n v="84"/>
    <s v="S18_2581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401"/>
    <x v="13"/>
    <n v="76.03"/>
    <n v="3"/>
    <x v="0"/>
    <x v="789"/>
    <s v="2/24/2003 0:802"/>
    <x v="4"/>
    <x v="1"/>
    <s v="On Hold"/>
    <x v="1"/>
    <x v="8"/>
    <x v="2"/>
    <x v="4"/>
    <n v="84"/>
    <s v="S18_2581"/>
    <s v="Tekni Collectables Inc."/>
    <n v="2015559350"/>
    <s v="7476 Moss Rd."/>
    <m/>
    <s v="Newark"/>
    <x v="9"/>
    <s v="NJ"/>
    <n v="94019"/>
    <x v="0"/>
    <x v="0"/>
    <s v="NA"/>
    <s v="Brown"/>
    <s v="William"/>
    <x v="1"/>
  </r>
  <r>
    <n v="10416"/>
    <x v="45"/>
    <n v="98.84"/>
    <n v="4"/>
    <x v="0"/>
    <x v="790"/>
    <s v="2/24/2003 0:803"/>
    <x v="0"/>
    <x v="0"/>
    <s v="Shipped"/>
    <x v="1"/>
    <x v="1"/>
    <x v="2"/>
    <x v="4"/>
    <n v="84"/>
    <s v="S18_2581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07"/>
    <x v="6"/>
    <n v="70.87"/>
    <n v="6"/>
    <x v="0"/>
    <x v="791"/>
    <s v="2/24/2003 0:804"/>
    <x v="0"/>
    <x v="0"/>
    <s v="Shipped"/>
    <x v="0"/>
    <x v="0"/>
    <x v="0"/>
    <x v="0"/>
    <n v="60"/>
    <s v="S18_2625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120"/>
    <x v="12"/>
    <n v="58.15"/>
    <n v="4"/>
    <x v="0"/>
    <x v="792"/>
    <s v="2/24/2003 0:805"/>
    <x v="0"/>
    <x v="0"/>
    <s v="Shipped"/>
    <x v="1"/>
    <x v="8"/>
    <x v="0"/>
    <x v="0"/>
    <n v="60"/>
    <s v="S18_2625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134"/>
    <x v="0"/>
    <n v="61.78"/>
    <n v="6"/>
    <x v="0"/>
    <x v="793"/>
    <s v="2/24/2003 0:806"/>
    <x v="0"/>
    <x v="0"/>
    <s v="Shipped"/>
    <x v="2"/>
    <x v="2"/>
    <x v="0"/>
    <x v="0"/>
    <n v="60"/>
    <s v="S18_2625"/>
    <s v="Lyon Souveniers"/>
    <s v="+33 1 46 62 7555"/>
    <s v="27 rue du Colonel Pierre Avia"/>
    <m/>
    <s v="Paris"/>
    <x v="2"/>
    <m/>
    <n v="75508"/>
    <x v="1"/>
    <x v="1"/>
    <s v="EMEA"/>
    <s v="Da Cunha"/>
    <s v="Daniel"/>
    <x v="0"/>
  </r>
  <r>
    <n v="10145"/>
    <x v="0"/>
    <n v="49.67"/>
    <n v="10"/>
    <x v="0"/>
    <x v="794"/>
    <s v="2/24/2003 0:807"/>
    <x v="0"/>
    <x v="0"/>
    <s v="Shipped"/>
    <x v="2"/>
    <x v="3"/>
    <x v="0"/>
    <x v="0"/>
    <n v="60"/>
    <s v="S18_2625"/>
    <s v="Toys4GrownUps.com"/>
    <n v="6265557265"/>
    <s v="78934 Hillside Dr."/>
    <m/>
    <s v="Pasadena"/>
    <x v="3"/>
    <s v="CA"/>
    <n v="90003"/>
    <x v="0"/>
    <x v="0"/>
    <s v="NA"/>
    <s v="Young"/>
    <s v="Julie"/>
    <x v="0"/>
  </r>
  <r>
    <n v="10159"/>
    <x v="13"/>
    <n v="51.48"/>
    <n v="18"/>
    <x v="0"/>
    <x v="795"/>
    <s v="2/24/2003 0:808"/>
    <x v="0"/>
    <x v="0"/>
    <s v="Shipped"/>
    <x v="3"/>
    <x v="4"/>
    <x v="0"/>
    <x v="0"/>
    <n v="60"/>
    <s v="S18_2625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68"/>
    <x v="12"/>
    <n v="61.18"/>
    <n v="5"/>
    <x v="0"/>
    <x v="796"/>
    <s v="2/24/2003 0:809"/>
    <x v="0"/>
    <x v="0"/>
    <s v="Shipped"/>
    <x v="3"/>
    <x v="4"/>
    <x v="0"/>
    <x v="0"/>
    <n v="60"/>
    <s v="S18_2625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180"/>
    <x v="32"/>
    <n v="64.2"/>
    <n v="13"/>
    <x v="0"/>
    <x v="797"/>
    <s v="2/24/2003 0:810"/>
    <x v="0"/>
    <x v="0"/>
    <s v="Shipped"/>
    <x v="3"/>
    <x v="5"/>
    <x v="0"/>
    <x v="0"/>
    <n v="60"/>
    <s v="S18_2625"/>
    <s v="Daedalus Designs Imports"/>
    <s v="20.16.1555"/>
    <s v="184, chausse de Tournai"/>
    <m/>
    <s v="Lille"/>
    <x v="6"/>
    <m/>
    <n v="59000"/>
    <x v="1"/>
    <x v="1"/>
    <s v="EMEA"/>
    <s v="Rance"/>
    <s v="Martine"/>
    <x v="0"/>
  </r>
  <r>
    <n v="10188"/>
    <x v="22"/>
    <n v="65.42"/>
    <n v="5"/>
    <x v="0"/>
    <x v="798"/>
    <s v="2/24/2003 0:811"/>
    <x v="0"/>
    <x v="0"/>
    <s v="Shipped"/>
    <x v="3"/>
    <x v="5"/>
    <x v="0"/>
    <x v="0"/>
    <n v="60"/>
    <s v="S18_2625"/>
    <s v="Herkku Gifts"/>
    <s v="+47 2267 3215"/>
    <s v="Drammen 121, PR 744 Sentrum"/>
    <m/>
    <s v="Bergen"/>
    <x v="7"/>
    <m/>
    <s v="N 5804"/>
    <x v="2"/>
    <x v="2"/>
    <s v="EMEA"/>
    <s v="Oeztan"/>
    <s v="Veysel"/>
    <x v="0"/>
  </r>
  <r>
    <n v="10201"/>
    <x v="0"/>
    <n v="64.81"/>
    <n v="6"/>
    <x v="0"/>
    <x v="799"/>
    <s v="2/24/2003 0:812"/>
    <x v="0"/>
    <x v="0"/>
    <s v="Shipped"/>
    <x v="3"/>
    <x v="6"/>
    <x v="0"/>
    <x v="0"/>
    <n v="60"/>
    <s v="S18_2625"/>
    <s v="Mini Wheels Co."/>
    <n v="6505555787"/>
    <s v="5557 North Pendale Street"/>
    <m/>
    <s v="San Francisco"/>
    <x v="4"/>
    <s v="CA"/>
    <m/>
    <x v="0"/>
    <x v="0"/>
    <s v="NA"/>
    <s v="Murphy"/>
    <s v="Julie"/>
    <x v="0"/>
  </r>
  <r>
    <n v="10210"/>
    <x v="23"/>
    <n v="49.67"/>
    <n v="3"/>
    <x v="0"/>
    <x v="800"/>
    <s v="2/24/2003 0:813"/>
    <x v="0"/>
    <x v="0"/>
    <s v="Shipped"/>
    <x v="0"/>
    <x v="7"/>
    <x v="1"/>
    <x v="0"/>
    <n v="60"/>
    <s v="S18_2625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0"/>
  </r>
  <r>
    <n v="10223"/>
    <x v="11"/>
    <n v="60.57"/>
    <n v="5"/>
    <x v="0"/>
    <x v="801"/>
    <s v="2/24/2003 0:814"/>
    <x v="0"/>
    <x v="0"/>
    <s v="Shipped"/>
    <x v="0"/>
    <x v="0"/>
    <x v="1"/>
    <x v="0"/>
    <n v="60"/>
    <s v="S18_2625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236"/>
    <x v="10"/>
    <n v="55.72"/>
    <n v="2"/>
    <x v="0"/>
    <x v="802"/>
    <s v="2/24/2003 0:815"/>
    <x v="0"/>
    <x v="0"/>
    <s v="Shipped"/>
    <x v="1"/>
    <x v="8"/>
    <x v="1"/>
    <x v="0"/>
    <n v="60"/>
    <s v="S18_2625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0"/>
  </r>
  <r>
    <n v="10251"/>
    <x v="6"/>
    <n v="61.18"/>
    <n v="6"/>
    <x v="0"/>
    <x v="803"/>
    <s v="2/24/2003 0:816"/>
    <x v="0"/>
    <x v="0"/>
    <s v="Shipped"/>
    <x v="1"/>
    <x v="1"/>
    <x v="1"/>
    <x v="0"/>
    <n v="60"/>
    <s v="S18_2625"/>
    <s v="Tekni Collectables Inc."/>
    <n v="2015559350"/>
    <s v="7476 Moss Rd."/>
    <m/>
    <s v="Newark"/>
    <x v="9"/>
    <s v="NJ"/>
    <n v="94019"/>
    <x v="0"/>
    <x v="0"/>
    <s v="NA"/>
    <s v="Brown"/>
    <s v="William"/>
    <x v="0"/>
  </r>
  <r>
    <n v="10263"/>
    <x v="1"/>
    <n v="58.75"/>
    <n v="6"/>
    <x v="0"/>
    <x v="804"/>
    <s v="2/24/2003 0:817"/>
    <x v="0"/>
    <x v="0"/>
    <s v="Shipped"/>
    <x v="1"/>
    <x v="9"/>
    <x v="1"/>
    <x v="0"/>
    <n v="60"/>
    <s v="S18_2625"/>
    <s v="Gift Depot Inc."/>
    <n v="2035552570"/>
    <s v="25593 South Bay Ln."/>
    <m/>
    <s v="Bridgewater"/>
    <x v="10"/>
    <s v="CT"/>
    <n v="97562"/>
    <x v="0"/>
    <x v="0"/>
    <s v="NA"/>
    <s v="King"/>
    <s v="Julie"/>
    <x v="0"/>
  </r>
  <r>
    <n v="10275"/>
    <x v="9"/>
    <n v="63.6"/>
    <n v="5"/>
    <x v="0"/>
    <x v="805"/>
    <s v="2/24/2003 0:818"/>
    <x v="0"/>
    <x v="0"/>
    <s v="Shipped"/>
    <x v="2"/>
    <x v="2"/>
    <x v="1"/>
    <x v="0"/>
    <n v="60"/>
    <s v="S18_2625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285"/>
    <x v="14"/>
    <n v="49.06"/>
    <n v="10"/>
    <x v="0"/>
    <x v="806"/>
    <s v="2/24/2003 0:819"/>
    <x v="0"/>
    <x v="0"/>
    <s v="Shipped"/>
    <x v="2"/>
    <x v="3"/>
    <x v="1"/>
    <x v="0"/>
    <n v="60"/>
    <s v="S18_2625"/>
    <s v="Marta's Replicas Co."/>
    <n v="6175558555"/>
    <s v="39323 Spinnaker Dr."/>
    <m/>
    <s v="Cambridge"/>
    <x v="12"/>
    <s v="MA"/>
    <n v="51247"/>
    <x v="0"/>
    <x v="0"/>
    <s v="NA"/>
    <s v="Hernandez"/>
    <s v="Marta"/>
    <x v="0"/>
  </r>
  <r>
    <n v="10298"/>
    <x v="22"/>
    <n v="48.46"/>
    <n v="2"/>
    <x v="0"/>
    <x v="807"/>
    <s v="2/24/2003 0:820"/>
    <x v="0"/>
    <x v="0"/>
    <s v="Shipped"/>
    <x v="2"/>
    <x v="10"/>
    <x v="1"/>
    <x v="0"/>
    <n v="60"/>
    <s v="S18_2625"/>
    <s v="Atelier graphique"/>
    <s v="40.32.2555"/>
    <s v="54, rue Royale"/>
    <m/>
    <s v="Nantes"/>
    <x v="11"/>
    <m/>
    <n v="44000"/>
    <x v="1"/>
    <x v="1"/>
    <s v="EMEA"/>
    <s v="Schmitt"/>
    <s v="Carine"/>
    <x v="0"/>
  </r>
  <r>
    <n v="10308"/>
    <x v="1"/>
    <n v="52.09"/>
    <n v="3"/>
    <x v="0"/>
    <x v="808"/>
    <s v="2/24/2003 0:821"/>
    <x v="0"/>
    <x v="0"/>
    <s v="Shipped"/>
    <x v="3"/>
    <x v="4"/>
    <x v="1"/>
    <x v="0"/>
    <n v="60"/>
    <s v="S18_2625"/>
    <s v="Mini Classics"/>
    <n v="9145554562"/>
    <s v="3758 North Pendale Street"/>
    <m/>
    <s v="White Plains"/>
    <x v="39"/>
    <s v="NY"/>
    <n v="24067"/>
    <x v="0"/>
    <x v="0"/>
    <s v="NA"/>
    <s v="Frick"/>
    <s v="Steve"/>
    <x v="0"/>
  </r>
  <r>
    <n v="10318"/>
    <x v="13"/>
    <n v="52.7"/>
    <n v="5"/>
    <x v="0"/>
    <x v="809"/>
    <s v="2/24/2003 0:822"/>
    <x v="0"/>
    <x v="0"/>
    <s v="Shipped"/>
    <x v="3"/>
    <x v="5"/>
    <x v="1"/>
    <x v="0"/>
    <n v="60"/>
    <s v="S18_2625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329"/>
    <x v="19"/>
    <n v="100"/>
    <n v="12"/>
    <x v="1"/>
    <x v="810"/>
    <s v="2/24/2003 0:823"/>
    <x v="0"/>
    <x v="0"/>
    <s v="Shipped"/>
    <x v="3"/>
    <x v="5"/>
    <x v="1"/>
    <x v="0"/>
    <n v="60"/>
    <s v="S18_2625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39"/>
    <x v="0"/>
    <n v="62.16"/>
    <n v="1"/>
    <x v="0"/>
    <x v="811"/>
    <s v="2/24/2003 0:824"/>
    <x v="0"/>
    <x v="0"/>
    <s v="Shipped"/>
    <x v="3"/>
    <x v="5"/>
    <x v="1"/>
    <x v="0"/>
    <n v="60"/>
    <s v="S18_2625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62"/>
    <x v="10"/>
    <n v="49.67"/>
    <n v="3"/>
    <x v="0"/>
    <x v="812"/>
    <s v="2/24/2003 0:825"/>
    <x v="0"/>
    <x v="0"/>
    <s v="Shipped"/>
    <x v="0"/>
    <x v="7"/>
    <x v="2"/>
    <x v="0"/>
    <n v="60"/>
    <s v="S18_2625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374"/>
    <x v="8"/>
    <n v="53.3"/>
    <n v="4"/>
    <x v="0"/>
    <x v="813"/>
    <s v="2/24/2003 0:826"/>
    <x v="0"/>
    <x v="0"/>
    <s v="Shipped"/>
    <x v="0"/>
    <x v="0"/>
    <x v="2"/>
    <x v="0"/>
    <n v="60"/>
    <s v="S18_2625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0"/>
  </r>
  <r>
    <n v="10389"/>
    <x v="25"/>
    <n v="100"/>
    <n v="5"/>
    <x v="1"/>
    <x v="814"/>
    <s v="2/24/2003 0:827"/>
    <x v="0"/>
    <x v="0"/>
    <s v="Shipped"/>
    <x v="0"/>
    <x v="11"/>
    <x v="2"/>
    <x v="0"/>
    <n v="60"/>
    <s v="S18_2625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402"/>
    <x v="36"/>
    <n v="55.72"/>
    <n v="2"/>
    <x v="0"/>
    <x v="815"/>
    <s v="2/24/2003 0:828"/>
    <x v="0"/>
    <x v="0"/>
    <s v="Shipped"/>
    <x v="1"/>
    <x v="8"/>
    <x v="2"/>
    <x v="0"/>
    <n v="60"/>
    <s v="S18_2625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417"/>
    <x v="5"/>
    <n v="61.18"/>
    <n v="6"/>
    <x v="0"/>
    <x v="816"/>
    <s v="2/24/2003 0:829"/>
    <x v="1"/>
    <x v="1"/>
    <s v="Disputed"/>
    <x v="1"/>
    <x v="1"/>
    <x v="2"/>
    <x v="0"/>
    <n v="60"/>
    <s v="S18_2625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01"/>
    <x v="18"/>
    <n v="100"/>
    <n v="1"/>
    <x v="0"/>
    <x v="817"/>
    <s v="2/24/2003 0:830"/>
    <x v="0"/>
    <x v="0"/>
    <s v="Shipped"/>
    <x v="0"/>
    <x v="7"/>
    <x v="0"/>
    <x v="3"/>
    <n v="168"/>
    <s v="S18_2795"/>
    <s v="Blauer See Auto, Co."/>
    <s v="+49 69 66 90 2555"/>
    <s v="Lyonerstr. 34"/>
    <m/>
    <s v="Frankfurt"/>
    <x v="58"/>
    <m/>
    <n v="60528"/>
    <x v="16"/>
    <x v="16"/>
    <s v="EMEA"/>
    <s v="Keitel"/>
    <s v="Roland"/>
    <x v="1"/>
  </r>
  <r>
    <n v="10110"/>
    <x v="28"/>
    <n v="100"/>
    <n v="1"/>
    <x v="1"/>
    <x v="818"/>
    <s v="2/24/2003 0:831"/>
    <x v="0"/>
    <x v="0"/>
    <s v="Shipped"/>
    <x v="0"/>
    <x v="11"/>
    <x v="0"/>
    <x v="3"/>
    <n v="168"/>
    <s v="S18_2795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125"/>
    <x v="1"/>
    <n v="100"/>
    <n v="2"/>
    <x v="1"/>
    <x v="819"/>
    <s v="2/24/2003 0:832"/>
    <x v="0"/>
    <x v="0"/>
    <s v="Shipped"/>
    <x v="1"/>
    <x v="1"/>
    <x v="0"/>
    <x v="3"/>
    <n v="168"/>
    <s v="S18_2795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139"/>
    <x v="2"/>
    <n v="100"/>
    <n v="8"/>
    <x v="1"/>
    <x v="820"/>
    <s v="2/24/2003 0:833"/>
    <x v="0"/>
    <x v="0"/>
    <s v="Shipped"/>
    <x v="2"/>
    <x v="2"/>
    <x v="0"/>
    <x v="3"/>
    <n v="168"/>
    <s v="S18_2795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2"/>
  </r>
  <r>
    <n v="10149"/>
    <x v="10"/>
    <n v="100"/>
    <n v="5"/>
    <x v="1"/>
    <x v="821"/>
    <s v="2/24/2003 0:834"/>
    <x v="0"/>
    <x v="0"/>
    <s v="Shipped"/>
    <x v="2"/>
    <x v="10"/>
    <x v="0"/>
    <x v="3"/>
    <n v="168"/>
    <s v="S18_2795"/>
    <s v="Signal Collectibles Ltd."/>
    <n v="4155554312"/>
    <s v="2793 Furth Circle"/>
    <m/>
    <s v="Brisbane"/>
    <x v="65"/>
    <s v="CA"/>
    <n v="94217"/>
    <x v="0"/>
    <x v="0"/>
    <s v="NA"/>
    <s v="Taylor"/>
    <s v="Sue"/>
    <x v="1"/>
  </r>
  <r>
    <n v="10162"/>
    <x v="7"/>
    <n v="100"/>
    <n v="3"/>
    <x v="1"/>
    <x v="822"/>
    <s v="2/24/2003 0:835"/>
    <x v="0"/>
    <x v="0"/>
    <s v="Shipped"/>
    <x v="3"/>
    <x v="4"/>
    <x v="0"/>
    <x v="3"/>
    <n v="168"/>
    <s v="S18_2795"/>
    <s v="Corporate Gift Ideas Co."/>
    <n v="6505551386"/>
    <s v="7734 Strong St."/>
    <m/>
    <s v="San Francisco"/>
    <x v="4"/>
    <s v="CA"/>
    <m/>
    <x v="0"/>
    <x v="0"/>
    <s v="NA"/>
    <s v="Brown"/>
    <s v="Julie"/>
    <x v="2"/>
  </r>
  <r>
    <n v="10173"/>
    <x v="8"/>
    <n v="100"/>
    <n v="7"/>
    <x v="0"/>
    <x v="823"/>
    <s v="2/24/2003 0:836"/>
    <x v="0"/>
    <x v="0"/>
    <s v="Shipped"/>
    <x v="3"/>
    <x v="5"/>
    <x v="0"/>
    <x v="3"/>
    <n v="168"/>
    <s v="S18_2795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82"/>
    <x v="15"/>
    <n v="100"/>
    <n v="4"/>
    <x v="0"/>
    <x v="824"/>
    <s v="2/24/2003 0:837"/>
    <x v="0"/>
    <x v="0"/>
    <s v="Shipped"/>
    <x v="3"/>
    <x v="5"/>
    <x v="0"/>
    <x v="3"/>
    <n v="168"/>
    <s v="S18_2795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93"/>
    <x v="8"/>
    <n v="100"/>
    <n v="8"/>
    <x v="0"/>
    <x v="825"/>
    <s v="2/24/2003 0:838"/>
    <x v="0"/>
    <x v="0"/>
    <s v="Shipped"/>
    <x v="3"/>
    <x v="5"/>
    <x v="0"/>
    <x v="3"/>
    <n v="168"/>
    <s v="S18_2795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1"/>
  </r>
  <r>
    <n v="10205"/>
    <x v="23"/>
    <n v="100"/>
    <n v="3"/>
    <x v="1"/>
    <x v="826"/>
    <s v="2/24/2003 0:839"/>
    <x v="0"/>
    <x v="0"/>
    <s v="Shipped"/>
    <x v="3"/>
    <x v="6"/>
    <x v="0"/>
    <x v="3"/>
    <n v="168"/>
    <s v="S18_2795"/>
    <s v="Euro Shopping Channel"/>
    <s v="(91) 555 94 44"/>
    <s v="C/ Moralzarzal, 86"/>
    <m/>
    <s v="Madrid"/>
    <x v="20"/>
    <m/>
    <n v="28034"/>
    <x v="7"/>
    <x v="7"/>
    <s v="EMEA"/>
    <s v="Freyre"/>
    <s v="Diego"/>
    <x v="2"/>
  </r>
  <r>
    <n v="10214"/>
    <x v="24"/>
    <n v="100"/>
    <n v="1"/>
    <x v="1"/>
    <x v="827"/>
    <s v="2/24/2003 0:840"/>
    <x v="0"/>
    <x v="0"/>
    <s v="Shipped"/>
    <x v="0"/>
    <x v="7"/>
    <x v="1"/>
    <x v="3"/>
    <n v="168"/>
    <s v="S18_2795"/>
    <s v="Corrida Auto Replicas, Ltd"/>
    <s v="(91) 555 22 82"/>
    <s v="C/ Araquil, 67"/>
    <m/>
    <s v="Madrid"/>
    <x v="20"/>
    <m/>
    <n v="28023"/>
    <x v="7"/>
    <x v="7"/>
    <s v="EMEA"/>
    <s v="Sommer"/>
    <s v="Mart¡n"/>
    <x v="2"/>
  </r>
  <r>
    <n v="10227"/>
    <x v="6"/>
    <n v="100"/>
    <n v="4"/>
    <x v="1"/>
    <x v="828"/>
    <s v="2/24/2003 0:841"/>
    <x v="0"/>
    <x v="0"/>
    <s v="Shipped"/>
    <x v="0"/>
    <x v="11"/>
    <x v="1"/>
    <x v="3"/>
    <n v="168"/>
    <s v="S18_2795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44"/>
    <x v="30"/>
    <n v="100"/>
    <n v="8"/>
    <x v="1"/>
    <x v="829"/>
    <s v="2/24/2003 0:842"/>
    <x v="0"/>
    <x v="0"/>
    <s v="Shipped"/>
    <x v="1"/>
    <x v="8"/>
    <x v="1"/>
    <x v="3"/>
    <n v="168"/>
    <s v="S18_2795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55"/>
    <x v="16"/>
    <n v="100"/>
    <n v="1"/>
    <x v="0"/>
    <x v="830"/>
    <s v="2/24/2003 0:843"/>
    <x v="0"/>
    <x v="0"/>
    <s v="Shipped"/>
    <x v="1"/>
    <x v="9"/>
    <x v="1"/>
    <x v="3"/>
    <n v="168"/>
    <s v="S18_2795"/>
    <s v="Mini Caravy"/>
    <s v="88.60.1555"/>
    <s v="24, place Kluber"/>
    <m/>
    <s v="Strasbourg"/>
    <x v="66"/>
    <m/>
    <n v="67000"/>
    <x v="1"/>
    <x v="1"/>
    <s v="EMEA"/>
    <s v="Citeaux"/>
    <s v="Frederique"/>
    <x v="1"/>
  </r>
  <r>
    <n v="10280"/>
    <x v="8"/>
    <n v="100"/>
    <n v="10"/>
    <x v="1"/>
    <x v="831"/>
    <s v="2/24/2003 0:844"/>
    <x v="0"/>
    <x v="0"/>
    <s v="Shipped"/>
    <x v="2"/>
    <x v="3"/>
    <x v="1"/>
    <x v="3"/>
    <n v="168"/>
    <s v="S18_2795"/>
    <s v="Amica Models &amp; Co."/>
    <s v="011-4988555"/>
    <s v="Via Monte Bianco 34"/>
    <m/>
    <s v="Torino"/>
    <x v="30"/>
    <m/>
    <n v="10100"/>
    <x v="12"/>
    <x v="12"/>
    <s v="EMEA"/>
    <s v="Accorti"/>
    <s v="Paolo"/>
    <x v="1"/>
  </r>
  <r>
    <n v="10289"/>
    <x v="30"/>
    <n v="100"/>
    <n v="3"/>
    <x v="1"/>
    <x v="832"/>
    <s v="2/24/2003 0:845"/>
    <x v="0"/>
    <x v="0"/>
    <s v="Shipped"/>
    <x v="2"/>
    <x v="10"/>
    <x v="1"/>
    <x v="3"/>
    <n v="168"/>
    <s v="S18_2795"/>
    <s v="Herkku Gifts"/>
    <s v="+47 2267 3215"/>
    <s v="Drammen 121, PR 744 Sentrum"/>
    <m/>
    <s v="Bergen"/>
    <x v="7"/>
    <m/>
    <s v="N 5804"/>
    <x v="2"/>
    <x v="2"/>
    <s v="EMEA"/>
    <s v="Oeztan"/>
    <s v="Veysel"/>
    <x v="2"/>
  </r>
  <r>
    <n v="10304"/>
    <x v="14"/>
    <n v="100"/>
    <n v="14"/>
    <x v="0"/>
    <x v="833"/>
    <s v="2/24/2003 0:846"/>
    <x v="0"/>
    <x v="0"/>
    <s v="Shipped"/>
    <x v="3"/>
    <x v="4"/>
    <x v="1"/>
    <x v="3"/>
    <n v="168"/>
    <s v="S18_2795"/>
    <s v="Auto Assoc. &amp; Cie."/>
    <s v="30.59.8555"/>
    <s v="67, avenue de l'Europe"/>
    <m/>
    <s v="Versailles"/>
    <x v="32"/>
    <m/>
    <n v="78000"/>
    <x v="1"/>
    <x v="1"/>
    <s v="EMEA"/>
    <s v="Tonini"/>
    <s v="Daniel"/>
    <x v="1"/>
  </r>
  <r>
    <n v="10312"/>
    <x v="32"/>
    <n v="100"/>
    <n v="11"/>
    <x v="0"/>
    <x v="834"/>
    <s v="2/24/2003 0:847"/>
    <x v="0"/>
    <x v="0"/>
    <s v="Shipped"/>
    <x v="3"/>
    <x v="4"/>
    <x v="1"/>
    <x v="3"/>
    <n v="168"/>
    <s v="S18_2795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22"/>
    <x v="5"/>
    <n v="100"/>
    <n v="2"/>
    <x v="1"/>
    <x v="835"/>
    <s v="2/24/2003 0:848"/>
    <x v="0"/>
    <x v="0"/>
    <s v="Shipped"/>
    <x v="3"/>
    <x v="5"/>
    <x v="1"/>
    <x v="3"/>
    <n v="168"/>
    <s v="S18_2795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332"/>
    <x v="16"/>
    <n v="52.67"/>
    <n v="1"/>
    <x v="0"/>
    <x v="836"/>
    <s v="2/24/2003 0:849"/>
    <x v="0"/>
    <x v="0"/>
    <s v="Shipped"/>
    <x v="3"/>
    <x v="5"/>
    <x v="1"/>
    <x v="3"/>
    <n v="168"/>
    <s v="S18_2795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47"/>
    <x v="15"/>
    <n v="100"/>
    <n v="6"/>
    <x v="1"/>
    <x v="837"/>
    <s v="2/24/2003 0:850"/>
    <x v="0"/>
    <x v="0"/>
    <s v="Shipped"/>
    <x v="3"/>
    <x v="5"/>
    <x v="1"/>
    <x v="3"/>
    <n v="168"/>
    <s v="S18_2795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6"/>
    <x v="0"/>
    <n v="100"/>
    <n v="1"/>
    <x v="1"/>
    <x v="838"/>
    <s v="2/24/2003 0:851"/>
    <x v="0"/>
    <x v="0"/>
    <s v="Shipped"/>
    <x v="3"/>
    <x v="6"/>
    <x v="1"/>
    <x v="3"/>
    <n v="168"/>
    <s v="S18_2795"/>
    <s v="Lyon Souveniers"/>
    <s v="+33 1 46 62 7555"/>
    <s v="27 rue du Colonel Pierre Avia"/>
    <m/>
    <s v="Paris"/>
    <x v="2"/>
    <m/>
    <n v="75508"/>
    <x v="1"/>
    <x v="1"/>
    <s v="EMEA"/>
    <s v="Da Cunha"/>
    <s v="Daniel"/>
    <x v="1"/>
  </r>
  <r>
    <n v="10367"/>
    <x v="22"/>
    <n v="94.79"/>
    <n v="7"/>
    <x v="0"/>
    <x v="839"/>
    <s v="2/24/2003 0:852"/>
    <x v="5"/>
    <x v="1"/>
    <s v="Resolved"/>
    <x v="0"/>
    <x v="7"/>
    <x v="2"/>
    <x v="3"/>
    <n v="168"/>
    <s v="S18_2795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380"/>
    <x v="15"/>
    <n v="47.18"/>
    <n v="8"/>
    <x v="0"/>
    <x v="840"/>
    <s v="2/24/2003 0:853"/>
    <x v="0"/>
    <x v="0"/>
    <s v="Shipped"/>
    <x v="0"/>
    <x v="0"/>
    <x v="2"/>
    <x v="3"/>
    <n v="168"/>
    <s v="S18_2795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0"/>
    <x v="18"/>
    <n v="78.11"/>
    <n v="7"/>
    <x v="0"/>
    <x v="841"/>
    <s v="2/24/2003 0:854"/>
    <x v="0"/>
    <x v="0"/>
    <s v="Shipped"/>
    <x v="0"/>
    <x v="11"/>
    <x v="2"/>
    <x v="3"/>
    <n v="168"/>
    <s v="S18_2795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21"/>
    <x v="21"/>
    <n v="100"/>
    <n v="1"/>
    <x v="1"/>
    <x v="842"/>
    <s v="2/24/2003 0:855"/>
    <x v="2"/>
    <x v="1"/>
    <s v="In Process"/>
    <x v="1"/>
    <x v="1"/>
    <x v="2"/>
    <x v="3"/>
    <n v="168"/>
    <s v="S18_2795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09"/>
    <x v="18"/>
    <n v="100"/>
    <n v="1"/>
    <x v="0"/>
    <x v="843"/>
    <s v="2/24/2003 0:856"/>
    <x v="0"/>
    <x v="0"/>
    <s v="Shipped"/>
    <x v="0"/>
    <x v="11"/>
    <x v="0"/>
    <x v="1"/>
    <n v="132"/>
    <s v="S18_2870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123"/>
    <x v="12"/>
    <n v="100"/>
    <n v="3"/>
    <x v="1"/>
    <x v="844"/>
    <s v="2/24/2003 0:857"/>
    <x v="0"/>
    <x v="0"/>
    <s v="Shipped"/>
    <x v="1"/>
    <x v="1"/>
    <x v="0"/>
    <x v="1"/>
    <n v="132"/>
    <s v="S18_2870"/>
    <s v="Atelier graphique"/>
    <s v="40.32.2555"/>
    <s v="54, rue Royale"/>
    <m/>
    <s v="Nantes"/>
    <x v="11"/>
    <m/>
    <n v="44000"/>
    <x v="1"/>
    <x v="1"/>
    <s v="EMEA"/>
    <s v="Schmitt"/>
    <s v="Carine"/>
    <x v="1"/>
  </r>
  <r>
    <n v="10137"/>
    <x v="9"/>
    <n v="100"/>
    <n v="3"/>
    <x v="1"/>
    <x v="845"/>
    <s v="2/24/2003 0:858"/>
    <x v="0"/>
    <x v="0"/>
    <s v="Shipped"/>
    <x v="2"/>
    <x v="2"/>
    <x v="0"/>
    <x v="1"/>
    <n v="132"/>
    <s v="S18_2870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148"/>
    <x v="26"/>
    <n v="100"/>
    <n v="10"/>
    <x v="0"/>
    <x v="846"/>
    <s v="2/24/2003 0:859"/>
    <x v="0"/>
    <x v="0"/>
    <s v="Shipped"/>
    <x v="2"/>
    <x v="10"/>
    <x v="0"/>
    <x v="1"/>
    <n v="132"/>
    <s v="S18_2870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61"/>
    <x v="10"/>
    <n v="100"/>
    <n v="9"/>
    <x v="0"/>
    <x v="847"/>
    <s v="2/24/2003 0:860"/>
    <x v="0"/>
    <x v="0"/>
    <s v="Shipped"/>
    <x v="3"/>
    <x v="4"/>
    <x v="0"/>
    <x v="1"/>
    <n v="132"/>
    <s v="S18_2870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172"/>
    <x v="25"/>
    <n v="100"/>
    <n v="7"/>
    <x v="1"/>
    <x v="848"/>
    <s v="2/24/2003 0:861"/>
    <x v="0"/>
    <x v="0"/>
    <s v="Shipped"/>
    <x v="3"/>
    <x v="5"/>
    <x v="0"/>
    <x v="1"/>
    <n v="132"/>
    <s v="S18_2870"/>
    <s v="Gift Depot Inc."/>
    <n v="2035552570"/>
    <s v="25593 South Bay Ln."/>
    <m/>
    <s v="Bridgewater"/>
    <x v="10"/>
    <s v="CT"/>
    <n v="97562"/>
    <x v="0"/>
    <x v="0"/>
    <s v="NA"/>
    <s v="King"/>
    <s v="Julie"/>
    <x v="1"/>
  </r>
  <r>
    <n v="10181"/>
    <x v="26"/>
    <n v="100"/>
    <n v="3"/>
    <x v="0"/>
    <x v="849"/>
    <s v="2/24/2003 0:862"/>
    <x v="0"/>
    <x v="0"/>
    <s v="Shipped"/>
    <x v="3"/>
    <x v="5"/>
    <x v="0"/>
    <x v="1"/>
    <n v="132"/>
    <s v="S18_2870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192"/>
    <x v="19"/>
    <n v="100"/>
    <n v="8"/>
    <x v="1"/>
    <x v="850"/>
    <s v="2/24/2003 0:863"/>
    <x v="0"/>
    <x v="0"/>
    <s v="Shipped"/>
    <x v="3"/>
    <x v="5"/>
    <x v="0"/>
    <x v="1"/>
    <n v="132"/>
    <s v="S18_2870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204"/>
    <x v="26"/>
    <n v="100"/>
    <n v="14"/>
    <x v="1"/>
    <x v="851"/>
    <s v="2/24/2003 0:864"/>
    <x v="0"/>
    <x v="0"/>
    <s v="Shipped"/>
    <x v="3"/>
    <x v="6"/>
    <x v="0"/>
    <x v="1"/>
    <n v="132"/>
    <s v="S18_2870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12"/>
    <x v="23"/>
    <n v="100"/>
    <n v="7"/>
    <x v="1"/>
    <x v="852"/>
    <s v="2/24/2003 0:865"/>
    <x v="0"/>
    <x v="0"/>
    <s v="Shipped"/>
    <x v="0"/>
    <x v="7"/>
    <x v="1"/>
    <x v="1"/>
    <n v="132"/>
    <s v="S18_287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26"/>
    <x v="16"/>
    <n v="100"/>
    <n v="5"/>
    <x v="0"/>
    <x v="853"/>
    <s v="2/24/2003 0:866"/>
    <x v="0"/>
    <x v="0"/>
    <s v="Shipped"/>
    <x v="0"/>
    <x v="0"/>
    <x v="1"/>
    <x v="1"/>
    <n v="132"/>
    <s v="S18_2870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41"/>
    <x v="27"/>
    <n v="100"/>
    <n v="12"/>
    <x v="1"/>
    <x v="854"/>
    <s v="2/24/2003 0:867"/>
    <x v="0"/>
    <x v="0"/>
    <s v="Shipped"/>
    <x v="1"/>
    <x v="8"/>
    <x v="1"/>
    <x v="1"/>
    <n v="132"/>
    <s v="S18_2870"/>
    <s v="Mini Caravy"/>
    <s v="88.60.1555"/>
    <s v="24, place Kluber"/>
    <m/>
    <s v="Strasbourg"/>
    <x v="66"/>
    <m/>
    <n v="67000"/>
    <x v="1"/>
    <x v="1"/>
    <s v="EMEA"/>
    <s v="Citeaux"/>
    <s v="Frederique"/>
    <x v="1"/>
  </r>
  <r>
    <n v="10253"/>
    <x v="9"/>
    <n v="100"/>
    <n v="2"/>
    <x v="1"/>
    <x v="855"/>
    <s v="2/24/2003 0:868"/>
    <x v="3"/>
    <x v="1"/>
    <s v="Cancelled"/>
    <x v="1"/>
    <x v="9"/>
    <x v="1"/>
    <x v="1"/>
    <n v="132"/>
    <s v="S18_2870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266"/>
    <x v="14"/>
    <n v="100"/>
    <n v="3"/>
    <x v="0"/>
    <x v="856"/>
    <s v="2/24/2003 0:869"/>
    <x v="0"/>
    <x v="0"/>
    <s v="Shipped"/>
    <x v="2"/>
    <x v="2"/>
    <x v="1"/>
    <x v="1"/>
    <n v="132"/>
    <s v="S18_2870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278"/>
    <x v="25"/>
    <n v="100"/>
    <n v="3"/>
    <x v="1"/>
    <x v="857"/>
    <s v="2/24/2003 0:870"/>
    <x v="0"/>
    <x v="0"/>
    <s v="Shipped"/>
    <x v="2"/>
    <x v="3"/>
    <x v="1"/>
    <x v="1"/>
    <n v="132"/>
    <s v="S18_2870"/>
    <s v="Signal Gift Stores"/>
    <n v="7025551838"/>
    <s v="8489 Strong St."/>
    <m/>
    <s v="Las Vegas"/>
    <x v="67"/>
    <s v="NV"/>
    <n v="83030"/>
    <x v="0"/>
    <x v="0"/>
    <s v="NA"/>
    <s v="King"/>
    <s v="Sue"/>
    <x v="1"/>
  </r>
  <r>
    <n v="10287"/>
    <x v="27"/>
    <n v="100"/>
    <n v="1"/>
    <x v="1"/>
    <x v="858"/>
    <s v="2/24/2003 0:871"/>
    <x v="0"/>
    <x v="0"/>
    <s v="Shipped"/>
    <x v="2"/>
    <x v="3"/>
    <x v="1"/>
    <x v="1"/>
    <n v="132"/>
    <s v="S18_2870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301"/>
    <x v="8"/>
    <n v="100"/>
    <n v="5"/>
    <x v="0"/>
    <x v="859"/>
    <s v="2/24/2003 0:872"/>
    <x v="0"/>
    <x v="0"/>
    <s v="Shipped"/>
    <x v="3"/>
    <x v="4"/>
    <x v="0"/>
    <x v="1"/>
    <n v="132"/>
    <s v="S18_2870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1"/>
  </r>
  <r>
    <n v="10311"/>
    <x v="30"/>
    <n v="100"/>
    <n v="10"/>
    <x v="1"/>
    <x v="860"/>
    <s v="2/24/2003 0:873"/>
    <x v="0"/>
    <x v="0"/>
    <s v="Shipped"/>
    <x v="3"/>
    <x v="4"/>
    <x v="1"/>
    <x v="1"/>
    <n v="132"/>
    <s v="S18_287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21"/>
    <x v="26"/>
    <n v="100"/>
    <n v="7"/>
    <x v="0"/>
    <x v="861"/>
    <s v="2/24/2003 0:874"/>
    <x v="0"/>
    <x v="0"/>
    <s v="Shipped"/>
    <x v="3"/>
    <x v="5"/>
    <x v="1"/>
    <x v="1"/>
    <n v="132"/>
    <s v="S18_2870"/>
    <s v="FunGiftIdeas.com"/>
    <n v="5085552555"/>
    <s v="1785 First Street"/>
    <m/>
    <s v="New Bedford"/>
    <x v="18"/>
    <s v="MA"/>
    <n v="50553"/>
    <x v="0"/>
    <x v="0"/>
    <s v="NA"/>
    <s v="Benitez"/>
    <s v="Violeta"/>
    <x v="0"/>
  </r>
  <r>
    <n v="10331"/>
    <x v="18"/>
    <n v="64.900000000000006"/>
    <n v="10"/>
    <x v="0"/>
    <x v="862"/>
    <s v="2/24/2003 0:875"/>
    <x v="0"/>
    <x v="0"/>
    <s v="Shipped"/>
    <x v="3"/>
    <x v="5"/>
    <x v="1"/>
    <x v="1"/>
    <n v="132"/>
    <s v="S18_2870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0"/>
  </r>
  <r>
    <n v="10343"/>
    <x v="32"/>
    <n v="52.32"/>
    <n v="3"/>
    <x v="0"/>
    <x v="863"/>
    <s v="2/24/2003 0:876"/>
    <x v="0"/>
    <x v="0"/>
    <s v="Shipped"/>
    <x v="3"/>
    <x v="5"/>
    <x v="1"/>
    <x v="1"/>
    <n v="132"/>
    <s v="S18_2870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366"/>
    <x v="4"/>
    <n v="100"/>
    <n v="2"/>
    <x v="1"/>
    <x v="864"/>
    <s v="2/24/2003 0:877"/>
    <x v="0"/>
    <x v="0"/>
    <s v="Shipped"/>
    <x v="0"/>
    <x v="7"/>
    <x v="2"/>
    <x v="1"/>
    <n v="132"/>
    <s v="S18_2870"/>
    <s v="Royale Belge"/>
    <s v="(071) 23 67 2555"/>
    <s v="Boulevard Tirou, 255"/>
    <m/>
    <s v="Charleroi"/>
    <x v="72"/>
    <m/>
    <s v="B-6000"/>
    <x v="14"/>
    <x v="14"/>
    <s v="EMEA"/>
    <s v="Cartrain"/>
    <s v="Pascale"/>
    <x v="1"/>
  </r>
  <r>
    <n v="10379"/>
    <x v="6"/>
    <n v="100"/>
    <n v="5"/>
    <x v="1"/>
    <x v="865"/>
    <s v="2/24/2003 0:878"/>
    <x v="0"/>
    <x v="0"/>
    <s v="Shipped"/>
    <x v="0"/>
    <x v="0"/>
    <x v="2"/>
    <x v="1"/>
    <n v="132"/>
    <s v="S18_287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07"/>
    <x v="2"/>
    <n v="100"/>
    <n v="12"/>
    <x v="1"/>
    <x v="866"/>
    <s v="2/24/2003 0:879"/>
    <x v="4"/>
    <x v="1"/>
    <s v="On Hold"/>
    <x v="1"/>
    <x v="8"/>
    <x v="2"/>
    <x v="1"/>
    <n v="132"/>
    <s v="S18_2870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419"/>
    <x v="36"/>
    <n v="100"/>
    <n v="2"/>
    <x v="1"/>
    <x v="867"/>
    <s v="2/24/2003 0:880"/>
    <x v="0"/>
    <x v="0"/>
    <s v="Shipped"/>
    <x v="1"/>
    <x v="1"/>
    <x v="2"/>
    <x v="1"/>
    <n v="132"/>
    <s v="S18_2870"/>
    <s v="Salzburg Collectables"/>
    <s v="6562-9555"/>
    <s v="Geislweg 14"/>
    <m/>
    <s v="Salzburg"/>
    <x v="16"/>
    <m/>
    <n v="5020"/>
    <x v="5"/>
    <x v="5"/>
    <s v="EMEA"/>
    <s v="Pipps"/>
    <s v="Georg"/>
    <x v="2"/>
  </r>
  <r>
    <n v="10103"/>
    <x v="26"/>
    <n v="83.07"/>
    <n v="12"/>
    <x v="0"/>
    <x v="868"/>
    <s v="2/24/2003 0:881"/>
    <x v="0"/>
    <x v="0"/>
    <s v="Shipped"/>
    <x v="0"/>
    <x v="7"/>
    <x v="0"/>
    <x v="3"/>
    <n v="101"/>
    <s v="S18_2949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112"/>
    <x v="10"/>
    <n v="100"/>
    <n v="2"/>
    <x v="0"/>
    <x v="869"/>
    <s v="2/24/2003 0:882"/>
    <x v="0"/>
    <x v="0"/>
    <s v="Shipped"/>
    <x v="0"/>
    <x v="11"/>
    <x v="0"/>
    <x v="3"/>
    <n v="101"/>
    <s v="S18_2949"/>
    <s v="Volvo Model Replicas, Co"/>
    <s v="0921-12 3555"/>
    <s v="Berguvsv„gen  8"/>
    <m/>
    <s v="Lule"/>
    <x v="21"/>
    <m/>
    <s v="S-958 22"/>
    <x v="8"/>
    <x v="8"/>
    <s v="EMEA"/>
    <s v="Berglund"/>
    <s v="Christina"/>
    <x v="0"/>
  </r>
  <r>
    <n v="10126"/>
    <x v="28"/>
    <n v="90.17"/>
    <n v="12"/>
    <x v="0"/>
    <x v="870"/>
    <s v="2/24/2003 0:883"/>
    <x v="0"/>
    <x v="0"/>
    <s v="Shipped"/>
    <x v="1"/>
    <x v="1"/>
    <x v="0"/>
    <x v="3"/>
    <n v="101"/>
    <s v="S18_2949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139"/>
    <x v="12"/>
    <n v="100"/>
    <n v="1"/>
    <x v="1"/>
    <x v="871"/>
    <s v="2/24/2003 0:884"/>
    <x v="0"/>
    <x v="0"/>
    <s v="Shipped"/>
    <x v="2"/>
    <x v="2"/>
    <x v="0"/>
    <x v="3"/>
    <n v="101"/>
    <s v="S18_2949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150"/>
    <x v="20"/>
    <n v="91.18"/>
    <n v="9"/>
    <x v="1"/>
    <x v="872"/>
    <s v="2/24/2003 0:885"/>
    <x v="0"/>
    <x v="0"/>
    <s v="Shipped"/>
    <x v="2"/>
    <x v="10"/>
    <x v="0"/>
    <x v="3"/>
    <n v="101"/>
    <s v="S18_2949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63"/>
    <x v="28"/>
    <n v="100"/>
    <n v="2"/>
    <x v="0"/>
    <x v="873"/>
    <s v="2/24/2003 0:886"/>
    <x v="0"/>
    <x v="0"/>
    <s v="Shipped"/>
    <x v="3"/>
    <x v="4"/>
    <x v="0"/>
    <x v="3"/>
    <n v="101"/>
    <s v="S18_2949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1"/>
  </r>
  <r>
    <n v="10174"/>
    <x v="12"/>
    <n v="100"/>
    <n v="5"/>
    <x v="1"/>
    <x v="874"/>
    <s v="2/24/2003 0:887"/>
    <x v="0"/>
    <x v="0"/>
    <s v="Shipped"/>
    <x v="3"/>
    <x v="5"/>
    <x v="0"/>
    <x v="3"/>
    <n v="101"/>
    <s v="S18_2949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1"/>
  </r>
  <r>
    <n v="10183"/>
    <x v="9"/>
    <n v="89.15"/>
    <n v="9"/>
    <x v="0"/>
    <x v="875"/>
    <s v="2/24/2003 0:888"/>
    <x v="0"/>
    <x v="0"/>
    <s v="Shipped"/>
    <x v="3"/>
    <x v="5"/>
    <x v="0"/>
    <x v="3"/>
    <n v="101"/>
    <s v="S18_2949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1"/>
  </r>
  <r>
    <n v="10193"/>
    <x v="11"/>
    <n v="93.21"/>
    <n v="1"/>
    <x v="0"/>
    <x v="876"/>
    <s v="2/24/2003 0:889"/>
    <x v="0"/>
    <x v="0"/>
    <s v="Shipped"/>
    <x v="3"/>
    <x v="5"/>
    <x v="0"/>
    <x v="3"/>
    <n v="101"/>
    <s v="S18_2949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206"/>
    <x v="9"/>
    <n v="90.17"/>
    <n v="7"/>
    <x v="0"/>
    <x v="877"/>
    <s v="2/24/2003 0:890"/>
    <x v="0"/>
    <x v="0"/>
    <s v="Shipped"/>
    <x v="3"/>
    <x v="6"/>
    <x v="0"/>
    <x v="3"/>
    <n v="101"/>
    <s v="S18_2949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1"/>
  </r>
  <r>
    <n v="10215"/>
    <x v="4"/>
    <n v="100"/>
    <n v="4"/>
    <x v="1"/>
    <x v="878"/>
    <s v="2/24/2003 0:891"/>
    <x v="0"/>
    <x v="0"/>
    <s v="Shipped"/>
    <x v="0"/>
    <x v="7"/>
    <x v="1"/>
    <x v="3"/>
    <n v="101"/>
    <s v="S18_2949"/>
    <s v="West Coast Collectables Co."/>
    <n v="3105553722"/>
    <s v="3675 Furth Circle"/>
    <m/>
    <s v="Burbank"/>
    <x v="27"/>
    <s v="CA"/>
    <n v="94019"/>
    <x v="0"/>
    <x v="0"/>
    <s v="NA"/>
    <s v="Thompson"/>
    <s v="Steve"/>
    <x v="1"/>
  </r>
  <r>
    <n v="10228"/>
    <x v="16"/>
    <n v="100"/>
    <n v="3"/>
    <x v="0"/>
    <x v="879"/>
    <s v="2/24/2003 0:892"/>
    <x v="0"/>
    <x v="0"/>
    <s v="Shipped"/>
    <x v="0"/>
    <x v="11"/>
    <x v="1"/>
    <x v="3"/>
    <n v="101"/>
    <s v="S18_2949"/>
    <s v="Cambridge Collectables Co."/>
    <n v="6175555555"/>
    <s v="4658 Baden Av."/>
    <m/>
    <s v="Cambridge"/>
    <x v="12"/>
    <s v="MA"/>
    <n v="51247"/>
    <x v="0"/>
    <x v="0"/>
    <s v="NA"/>
    <s v="Tseng"/>
    <s v="Kyung"/>
    <x v="0"/>
  </r>
  <r>
    <n v="10244"/>
    <x v="0"/>
    <n v="100"/>
    <n v="1"/>
    <x v="0"/>
    <x v="880"/>
    <s v="2/24/2003 0:893"/>
    <x v="0"/>
    <x v="0"/>
    <s v="Shipped"/>
    <x v="1"/>
    <x v="8"/>
    <x v="1"/>
    <x v="3"/>
    <n v="101"/>
    <s v="S18_294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57"/>
    <x v="24"/>
    <n v="88.14"/>
    <n v="1"/>
    <x v="1"/>
    <x v="881"/>
    <s v="2/24/2003 0:894"/>
    <x v="0"/>
    <x v="0"/>
    <s v="Shipped"/>
    <x v="1"/>
    <x v="9"/>
    <x v="1"/>
    <x v="3"/>
    <n v="101"/>
    <s v="S18_2949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270"/>
    <x v="28"/>
    <n v="96.24"/>
    <n v="10"/>
    <x v="0"/>
    <x v="882"/>
    <s v="2/24/2003 0:895"/>
    <x v="0"/>
    <x v="0"/>
    <s v="Shipped"/>
    <x v="2"/>
    <x v="2"/>
    <x v="1"/>
    <x v="3"/>
    <n v="101"/>
    <s v="S18_2949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280"/>
    <x v="12"/>
    <n v="100"/>
    <n v="3"/>
    <x v="1"/>
    <x v="883"/>
    <s v="2/24/2003 0:896"/>
    <x v="0"/>
    <x v="0"/>
    <s v="Shipped"/>
    <x v="2"/>
    <x v="3"/>
    <x v="1"/>
    <x v="3"/>
    <n v="101"/>
    <s v="S18_2949"/>
    <s v="Amica Models &amp; Co."/>
    <s v="011-4988555"/>
    <s v="Via Monte Bianco 34"/>
    <m/>
    <s v="Torino"/>
    <x v="30"/>
    <m/>
    <n v="10100"/>
    <x v="12"/>
    <x v="12"/>
    <s v="EMEA"/>
    <s v="Accorti"/>
    <s v="Paolo"/>
    <x v="1"/>
  </r>
  <r>
    <n v="10291"/>
    <x v="20"/>
    <n v="100"/>
    <n v="12"/>
    <x v="1"/>
    <x v="884"/>
    <s v="2/24/2003 0:897"/>
    <x v="0"/>
    <x v="0"/>
    <s v="Shipped"/>
    <x v="2"/>
    <x v="10"/>
    <x v="1"/>
    <x v="3"/>
    <n v="101"/>
    <s v="S18_2949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304"/>
    <x v="12"/>
    <n v="100"/>
    <n v="7"/>
    <x v="1"/>
    <x v="885"/>
    <s v="2/24/2003 0:898"/>
    <x v="0"/>
    <x v="0"/>
    <s v="Shipped"/>
    <x v="3"/>
    <x v="4"/>
    <x v="1"/>
    <x v="3"/>
    <n v="101"/>
    <s v="S18_2949"/>
    <s v="Auto Assoc. &amp; Cie."/>
    <s v="30.59.8555"/>
    <s v="67, avenue de l'Europe"/>
    <m/>
    <s v="Versailles"/>
    <x v="32"/>
    <m/>
    <n v="78000"/>
    <x v="1"/>
    <x v="1"/>
    <s v="EMEA"/>
    <s v="Tonini"/>
    <s v="Daniel"/>
    <x v="1"/>
  </r>
  <r>
    <n v="10312"/>
    <x v="9"/>
    <n v="100"/>
    <n v="4"/>
    <x v="0"/>
    <x v="886"/>
    <s v="2/24/2003 0:899"/>
    <x v="0"/>
    <x v="0"/>
    <s v="Shipped"/>
    <x v="3"/>
    <x v="4"/>
    <x v="1"/>
    <x v="3"/>
    <n v="101"/>
    <s v="S18_294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22"/>
    <x v="29"/>
    <n v="100"/>
    <n v="12"/>
    <x v="0"/>
    <x v="887"/>
    <s v="2/24/2003 0:900"/>
    <x v="0"/>
    <x v="0"/>
    <s v="Shipped"/>
    <x v="3"/>
    <x v="5"/>
    <x v="1"/>
    <x v="3"/>
    <n v="101"/>
    <s v="S18_2949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333"/>
    <x v="28"/>
    <n v="90.17"/>
    <n v="5"/>
    <x v="0"/>
    <x v="870"/>
    <s v="2/24/2003 0:901"/>
    <x v="0"/>
    <x v="0"/>
    <s v="Shipped"/>
    <x v="3"/>
    <x v="5"/>
    <x v="1"/>
    <x v="3"/>
    <n v="101"/>
    <s v="S18_2949"/>
    <s v="Mini Wheels Co."/>
    <n v="6505555787"/>
    <s v="5557 North Pendale Street"/>
    <m/>
    <s v="San Francisco"/>
    <x v="4"/>
    <s v="CA"/>
    <m/>
    <x v="0"/>
    <x v="0"/>
    <s v="NA"/>
    <s v="Murphy"/>
    <s v="Julie"/>
    <x v="0"/>
  </r>
  <r>
    <n v="10347"/>
    <x v="7"/>
    <n v="100"/>
    <n v="9"/>
    <x v="1"/>
    <x v="888"/>
    <s v="2/24/2003 0:902"/>
    <x v="0"/>
    <x v="0"/>
    <s v="Shipped"/>
    <x v="3"/>
    <x v="5"/>
    <x v="1"/>
    <x v="3"/>
    <n v="101"/>
    <s v="S18_2949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7"/>
    <x v="2"/>
    <n v="87.13"/>
    <n v="6"/>
    <x v="0"/>
    <x v="889"/>
    <s v="2/24/2003 0:903"/>
    <x v="0"/>
    <x v="0"/>
    <s v="Shipped"/>
    <x v="3"/>
    <x v="6"/>
    <x v="1"/>
    <x v="3"/>
    <n v="101"/>
    <s v="S18_294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69"/>
    <x v="13"/>
    <n v="100"/>
    <n v="1"/>
    <x v="1"/>
    <x v="890"/>
    <s v="2/24/2003 0:904"/>
    <x v="0"/>
    <x v="0"/>
    <s v="Shipped"/>
    <x v="0"/>
    <x v="7"/>
    <x v="2"/>
    <x v="3"/>
    <n v="101"/>
    <s v="S18_2949"/>
    <s v="Collectables For Less Inc."/>
    <n v="6175558555"/>
    <s v="7825 Douglas Av."/>
    <m/>
    <s v="Brickhaven"/>
    <x v="35"/>
    <s v="MA"/>
    <n v="58339"/>
    <x v="0"/>
    <x v="0"/>
    <s v="NA"/>
    <s v="Nelson"/>
    <s v="Allen"/>
    <x v="1"/>
  </r>
  <r>
    <n v="10381"/>
    <x v="2"/>
    <n v="100"/>
    <n v="8"/>
    <x v="1"/>
    <x v="891"/>
    <s v="2/24/2003 0:905"/>
    <x v="0"/>
    <x v="0"/>
    <s v="Shipped"/>
    <x v="0"/>
    <x v="0"/>
    <x v="2"/>
    <x v="3"/>
    <n v="101"/>
    <s v="S18_2949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391"/>
    <x v="22"/>
    <n v="45.25"/>
    <n v="6"/>
    <x v="0"/>
    <x v="892"/>
    <s v="2/24/2003 0:906"/>
    <x v="0"/>
    <x v="0"/>
    <s v="Shipped"/>
    <x v="0"/>
    <x v="11"/>
    <x v="2"/>
    <x v="3"/>
    <n v="101"/>
    <s v="S18_2949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423"/>
    <x v="37"/>
    <n v="88.14"/>
    <n v="1"/>
    <x v="0"/>
    <x v="893"/>
    <s v="2/24/2003 0:907"/>
    <x v="2"/>
    <x v="1"/>
    <s v="In Process"/>
    <x v="1"/>
    <x v="1"/>
    <x v="2"/>
    <x v="3"/>
    <n v="101"/>
    <s v="S18_2949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103"/>
    <x v="21"/>
    <n v="57.46"/>
    <n v="14"/>
    <x v="0"/>
    <x v="894"/>
    <s v="2/24/2003 0:908"/>
    <x v="0"/>
    <x v="0"/>
    <s v="Shipped"/>
    <x v="0"/>
    <x v="7"/>
    <x v="0"/>
    <x v="3"/>
    <n v="62"/>
    <s v="S18_2957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111"/>
    <x v="11"/>
    <n v="64.33"/>
    <n v="2"/>
    <x v="0"/>
    <x v="895"/>
    <s v="2/24/2003 0:909"/>
    <x v="0"/>
    <x v="0"/>
    <s v="Shipped"/>
    <x v="0"/>
    <x v="11"/>
    <x v="0"/>
    <x v="3"/>
    <n v="62"/>
    <s v="S18_2957"/>
    <s v="Mini Wheels Co."/>
    <n v="6505555787"/>
    <s v="5557 North Pendale Street"/>
    <m/>
    <s v="San Francisco"/>
    <x v="4"/>
    <s v="CA"/>
    <m/>
    <x v="0"/>
    <x v="0"/>
    <s v="NA"/>
    <s v="Murphy"/>
    <s v="Julie"/>
    <x v="0"/>
  </r>
  <r>
    <n v="10126"/>
    <x v="12"/>
    <n v="73.7"/>
    <n v="14"/>
    <x v="0"/>
    <x v="896"/>
    <s v="2/24/2003 0:910"/>
    <x v="0"/>
    <x v="0"/>
    <s v="Shipped"/>
    <x v="1"/>
    <x v="1"/>
    <x v="0"/>
    <x v="3"/>
    <n v="62"/>
    <s v="S18_2957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139"/>
    <x v="14"/>
    <n v="71.2"/>
    <n v="3"/>
    <x v="0"/>
    <x v="897"/>
    <s v="2/24/2003 0:911"/>
    <x v="0"/>
    <x v="0"/>
    <s v="Shipped"/>
    <x v="2"/>
    <x v="2"/>
    <x v="0"/>
    <x v="3"/>
    <n v="62"/>
    <s v="S18_2957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150"/>
    <x v="0"/>
    <n v="49.97"/>
    <n v="11"/>
    <x v="0"/>
    <x v="898"/>
    <s v="2/24/2003 0:912"/>
    <x v="0"/>
    <x v="0"/>
    <s v="Shipped"/>
    <x v="2"/>
    <x v="10"/>
    <x v="0"/>
    <x v="3"/>
    <n v="62"/>
    <s v="S18_2957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63"/>
    <x v="7"/>
    <n v="69.959999999999994"/>
    <n v="4"/>
    <x v="0"/>
    <x v="899"/>
    <s v="2/24/2003 0:913"/>
    <x v="0"/>
    <x v="0"/>
    <s v="Shipped"/>
    <x v="3"/>
    <x v="4"/>
    <x v="0"/>
    <x v="3"/>
    <n v="62"/>
    <s v="S18_2957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1"/>
  </r>
  <r>
    <n v="10173"/>
    <x v="11"/>
    <n v="53.72"/>
    <n v="2"/>
    <x v="0"/>
    <x v="900"/>
    <s v="2/24/2003 0:914"/>
    <x v="0"/>
    <x v="0"/>
    <s v="Shipped"/>
    <x v="3"/>
    <x v="5"/>
    <x v="0"/>
    <x v="3"/>
    <n v="62"/>
    <s v="S18_2957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83"/>
    <x v="25"/>
    <n v="68.08"/>
    <n v="11"/>
    <x v="0"/>
    <x v="901"/>
    <s v="2/24/2003 0:915"/>
    <x v="0"/>
    <x v="0"/>
    <s v="Shipped"/>
    <x v="3"/>
    <x v="5"/>
    <x v="0"/>
    <x v="3"/>
    <n v="62"/>
    <s v="S18_2957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0"/>
  </r>
  <r>
    <n v="10193"/>
    <x v="16"/>
    <n v="51.84"/>
    <n v="3"/>
    <x v="0"/>
    <x v="902"/>
    <s v="2/24/2003 0:916"/>
    <x v="0"/>
    <x v="0"/>
    <s v="Shipped"/>
    <x v="3"/>
    <x v="5"/>
    <x v="0"/>
    <x v="3"/>
    <n v="62"/>
    <s v="S18_2957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206"/>
    <x v="11"/>
    <n v="67.459999999999994"/>
    <n v="9"/>
    <x v="0"/>
    <x v="903"/>
    <s v="2/24/2003 0:917"/>
    <x v="0"/>
    <x v="0"/>
    <s v="Shipped"/>
    <x v="3"/>
    <x v="6"/>
    <x v="0"/>
    <x v="3"/>
    <n v="62"/>
    <s v="S18_2957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0"/>
  </r>
  <r>
    <n v="10215"/>
    <x v="28"/>
    <n v="58.71"/>
    <n v="6"/>
    <x v="0"/>
    <x v="904"/>
    <s v="2/24/2003 0:918"/>
    <x v="0"/>
    <x v="0"/>
    <s v="Shipped"/>
    <x v="0"/>
    <x v="7"/>
    <x v="1"/>
    <x v="3"/>
    <n v="62"/>
    <s v="S18_2957"/>
    <s v="West Coast Collectables Co."/>
    <n v="3105553722"/>
    <s v="3675 Furth Circle"/>
    <m/>
    <s v="Burbank"/>
    <x v="27"/>
    <s v="CA"/>
    <n v="94019"/>
    <x v="0"/>
    <x v="0"/>
    <s v="NA"/>
    <s v="Thompson"/>
    <s v="Steve"/>
    <x v="0"/>
  </r>
  <r>
    <n v="10228"/>
    <x v="3"/>
    <n v="63.71"/>
    <n v="5"/>
    <x v="0"/>
    <x v="905"/>
    <s v="2/24/2003 0:919"/>
    <x v="0"/>
    <x v="0"/>
    <s v="Shipped"/>
    <x v="0"/>
    <x v="11"/>
    <x v="1"/>
    <x v="3"/>
    <n v="62"/>
    <s v="S18_2957"/>
    <s v="Cambridge Collectables Co."/>
    <n v="6175555555"/>
    <s v="4658 Baden Av."/>
    <m/>
    <s v="Cambridge"/>
    <x v="12"/>
    <s v="MA"/>
    <n v="51247"/>
    <x v="0"/>
    <x v="0"/>
    <s v="NA"/>
    <s v="Tseng"/>
    <s v="Kyung"/>
    <x v="0"/>
  </r>
  <r>
    <n v="10244"/>
    <x v="16"/>
    <n v="58.09"/>
    <n v="3"/>
    <x v="0"/>
    <x v="906"/>
    <s v="2/24/2003 0:920"/>
    <x v="0"/>
    <x v="0"/>
    <s v="Shipped"/>
    <x v="1"/>
    <x v="8"/>
    <x v="1"/>
    <x v="3"/>
    <n v="62"/>
    <s v="S18_2957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57"/>
    <x v="4"/>
    <n v="53.72"/>
    <n v="3"/>
    <x v="0"/>
    <x v="907"/>
    <s v="2/24/2003 0:921"/>
    <x v="0"/>
    <x v="0"/>
    <s v="Shipped"/>
    <x v="1"/>
    <x v="9"/>
    <x v="1"/>
    <x v="3"/>
    <n v="62"/>
    <s v="S18_2957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269"/>
    <x v="22"/>
    <n v="63.08"/>
    <n v="1"/>
    <x v="0"/>
    <x v="908"/>
    <s v="2/24/2003 0:922"/>
    <x v="0"/>
    <x v="0"/>
    <s v="Shipped"/>
    <x v="2"/>
    <x v="2"/>
    <x v="1"/>
    <x v="3"/>
    <n v="62"/>
    <s v="S18_2957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280"/>
    <x v="30"/>
    <n v="68.709999999999994"/>
    <n v="5"/>
    <x v="0"/>
    <x v="909"/>
    <s v="2/24/2003 0:923"/>
    <x v="0"/>
    <x v="0"/>
    <s v="Shipped"/>
    <x v="2"/>
    <x v="3"/>
    <x v="1"/>
    <x v="3"/>
    <n v="62"/>
    <s v="S18_2957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291"/>
    <x v="9"/>
    <n v="50.59"/>
    <n v="14"/>
    <x v="0"/>
    <x v="910"/>
    <s v="2/24/2003 0:924"/>
    <x v="0"/>
    <x v="0"/>
    <s v="Shipped"/>
    <x v="2"/>
    <x v="10"/>
    <x v="1"/>
    <x v="3"/>
    <n v="62"/>
    <s v="S18_2957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304"/>
    <x v="16"/>
    <n v="64.959999999999994"/>
    <n v="9"/>
    <x v="0"/>
    <x v="911"/>
    <s v="2/24/2003 0:925"/>
    <x v="0"/>
    <x v="0"/>
    <s v="Shipped"/>
    <x v="3"/>
    <x v="4"/>
    <x v="1"/>
    <x v="3"/>
    <n v="62"/>
    <s v="S18_2957"/>
    <s v="Auto Assoc. &amp; Cie."/>
    <s v="30.59.8555"/>
    <s v="67, avenue de l'Europe"/>
    <m/>
    <s v="Versailles"/>
    <x v="32"/>
    <m/>
    <n v="78000"/>
    <x v="1"/>
    <x v="1"/>
    <s v="EMEA"/>
    <s v="Tonini"/>
    <s v="Daniel"/>
    <x v="0"/>
  </r>
  <r>
    <n v="10312"/>
    <x v="21"/>
    <n v="53.72"/>
    <n v="6"/>
    <x v="0"/>
    <x v="912"/>
    <s v="2/24/2003 0:926"/>
    <x v="0"/>
    <x v="0"/>
    <s v="Shipped"/>
    <x v="3"/>
    <x v="4"/>
    <x v="1"/>
    <x v="3"/>
    <n v="62"/>
    <s v="S18_295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22"/>
    <x v="2"/>
    <n v="29.87"/>
    <n v="13"/>
    <x v="0"/>
    <x v="913"/>
    <s v="2/24/2003 0:927"/>
    <x v="0"/>
    <x v="0"/>
    <s v="Shipped"/>
    <x v="3"/>
    <x v="5"/>
    <x v="1"/>
    <x v="3"/>
    <n v="62"/>
    <s v="S18_2957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332"/>
    <x v="18"/>
    <n v="100"/>
    <n v="17"/>
    <x v="0"/>
    <x v="914"/>
    <s v="2/24/2003 0:928"/>
    <x v="0"/>
    <x v="0"/>
    <s v="Shipped"/>
    <x v="3"/>
    <x v="5"/>
    <x v="1"/>
    <x v="3"/>
    <n v="62"/>
    <s v="S18_2957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47"/>
    <x v="1"/>
    <n v="64.959999999999994"/>
    <n v="10"/>
    <x v="0"/>
    <x v="915"/>
    <s v="2/24/2003 0:929"/>
    <x v="0"/>
    <x v="0"/>
    <s v="Shipped"/>
    <x v="3"/>
    <x v="5"/>
    <x v="1"/>
    <x v="3"/>
    <n v="62"/>
    <s v="S18_2957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357"/>
    <x v="4"/>
    <n v="70.58"/>
    <n v="5"/>
    <x v="0"/>
    <x v="916"/>
    <s v="2/24/2003 0:930"/>
    <x v="0"/>
    <x v="0"/>
    <s v="Shipped"/>
    <x v="3"/>
    <x v="6"/>
    <x v="1"/>
    <x v="3"/>
    <n v="62"/>
    <s v="S18_295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69"/>
    <x v="11"/>
    <n v="44.21"/>
    <n v="6"/>
    <x v="0"/>
    <x v="917"/>
    <s v="2/24/2003 0:931"/>
    <x v="0"/>
    <x v="0"/>
    <s v="Shipped"/>
    <x v="0"/>
    <x v="7"/>
    <x v="2"/>
    <x v="3"/>
    <n v="62"/>
    <s v="S18_2957"/>
    <s v="Collectables For Less Inc."/>
    <n v="6175558555"/>
    <s v="7825 Douglas Av."/>
    <m/>
    <s v="Brickhaven"/>
    <x v="35"/>
    <s v="MA"/>
    <n v="58339"/>
    <x v="0"/>
    <x v="0"/>
    <s v="NA"/>
    <s v="Nelson"/>
    <s v="Allen"/>
    <x v="0"/>
  </r>
  <r>
    <n v="10381"/>
    <x v="23"/>
    <n v="68.08"/>
    <n v="4"/>
    <x v="0"/>
    <x v="918"/>
    <s v="2/24/2003 0:932"/>
    <x v="0"/>
    <x v="0"/>
    <s v="Shipped"/>
    <x v="0"/>
    <x v="0"/>
    <x v="2"/>
    <x v="3"/>
    <n v="62"/>
    <s v="S18_2957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392"/>
    <x v="9"/>
    <n v="59.96"/>
    <n v="3"/>
    <x v="0"/>
    <x v="919"/>
    <s v="2/24/2003 0:933"/>
    <x v="0"/>
    <x v="0"/>
    <s v="Shipped"/>
    <x v="0"/>
    <x v="11"/>
    <x v="2"/>
    <x v="3"/>
    <n v="62"/>
    <s v="S18_2957"/>
    <s v="Mini Auto Werke"/>
    <s v="7675-3555"/>
    <s v="Kirchgasse 6"/>
    <m/>
    <s v="Graz"/>
    <x v="52"/>
    <m/>
    <n v="8010"/>
    <x v="5"/>
    <x v="5"/>
    <s v="EMEA"/>
    <s v="Mendel"/>
    <s v="Roland"/>
    <x v="0"/>
  </r>
  <r>
    <n v="10423"/>
    <x v="28"/>
    <n v="53.72"/>
    <n v="3"/>
    <x v="0"/>
    <x v="920"/>
    <s v="2/24/2003 0:934"/>
    <x v="2"/>
    <x v="1"/>
    <s v="In Process"/>
    <x v="1"/>
    <x v="1"/>
    <x v="2"/>
    <x v="3"/>
    <n v="62"/>
    <s v="S18_2957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106"/>
    <x v="2"/>
    <n v="83.44"/>
    <n v="18"/>
    <x v="0"/>
    <x v="921"/>
    <s v="2/24/2003 0:935"/>
    <x v="0"/>
    <x v="0"/>
    <s v="Shipped"/>
    <x v="0"/>
    <x v="0"/>
    <x v="0"/>
    <x v="5"/>
    <n v="86"/>
    <s v="S18_3029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19"/>
    <x v="15"/>
    <n v="89.46"/>
    <n v="9"/>
    <x v="0"/>
    <x v="922"/>
    <s v="2/24/2003 0:936"/>
    <x v="0"/>
    <x v="0"/>
    <s v="Shipped"/>
    <x v="1"/>
    <x v="8"/>
    <x v="0"/>
    <x v="5"/>
    <n v="86"/>
    <s v="S18_3029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30"/>
    <x v="23"/>
    <n v="96.34"/>
    <n v="2"/>
    <x v="0"/>
    <x v="923"/>
    <s v="2/24/2003 0:937"/>
    <x v="0"/>
    <x v="0"/>
    <s v="Shipped"/>
    <x v="1"/>
    <x v="9"/>
    <x v="0"/>
    <x v="5"/>
    <n v="86"/>
    <s v="S18_3029"/>
    <s v="Auto-Moto Classics Inc."/>
    <n v="6175558428"/>
    <s v="16780 Pompton St."/>
    <m/>
    <s v="Brickhaven"/>
    <x v="35"/>
    <s v="MA"/>
    <n v="58339"/>
    <x v="0"/>
    <x v="0"/>
    <s v="NA"/>
    <s v="Taylor"/>
    <s v="Leslie"/>
    <x v="1"/>
  </r>
  <r>
    <n v="10143"/>
    <x v="12"/>
    <n v="74.84"/>
    <n v="13"/>
    <x v="0"/>
    <x v="924"/>
    <s v="2/24/2003 0:938"/>
    <x v="0"/>
    <x v="0"/>
    <s v="Shipped"/>
    <x v="2"/>
    <x v="3"/>
    <x v="0"/>
    <x v="5"/>
    <n v="86"/>
    <s v="S18_3029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55"/>
    <x v="27"/>
    <n v="79.14"/>
    <n v="11"/>
    <x v="0"/>
    <x v="925"/>
    <s v="2/24/2003 0:939"/>
    <x v="0"/>
    <x v="0"/>
    <s v="Shipped"/>
    <x v="3"/>
    <x v="4"/>
    <x v="0"/>
    <x v="5"/>
    <n v="86"/>
    <s v="S18_3029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167"/>
    <x v="12"/>
    <n v="73.12"/>
    <n v="7"/>
    <x v="0"/>
    <x v="926"/>
    <s v="2/24/2003 0:940"/>
    <x v="3"/>
    <x v="1"/>
    <s v="Cancelled"/>
    <x v="3"/>
    <x v="4"/>
    <x v="0"/>
    <x v="5"/>
    <n v="86"/>
    <s v="S18_3029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178"/>
    <x v="2"/>
    <n v="81.72"/>
    <n v="10"/>
    <x v="0"/>
    <x v="927"/>
    <s v="2/24/2003 0:941"/>
    <x v="0"/>
    <x v="0"/>
    <s v="Shipped"/>
    <x v="3"/>
    <x v="5"/>
    <x v="0"/>
    <x v="5"/>
    <n v="86"/>
    <s v="S18_3029"/>
    <s v="Alpha Cognac"/>
    <s v="61.77.6555"/>
    <s v="1 rue Alsace-Lorraine"/>
    <m/>
    <s v="Toulouse"/>
    <x v="42"/>
    <m/>
    <n v="31000"/>
    <x v="1"/>
    <x v="1"/>
    <s v="EMEA"/>
    <s v="Roulet"/>
    <s v="Annette"/>
    <x v="1"/>
  </r>
  <r>
    <n v="10186"/>
    <x v="22"/>
    <n v="89.46"/>
    <n v="7"/>
    <x v="0"/>
    <x v="928"/>
    <s v="2/24/2003 0:942"/>
    <x v="0"/>
    <x v="0"/>
    <s v="Shipped"/>
    <x v="3"/>
    <x v="5"/>
    <x v="0"/>
    <x v="5"/>
    <n v="86"/>
    <s v="S18_3029"/>
    <s v="Double Decker Gift Stores, Ltd"/>
    <s v="(171) 555-7555"/>
    <s v="120 Hanover Sq."/>
    <m/>
    <s v="London"/>
    <x v="41"/>
    <m/>
    <s v="WA1 1DP"/>
    <x v="6"/>
    <x v="6"/>
    <s v="EMEA"/>
    <s v="Hardy"/>
    <s v="Thomas"/>
    <x v="0"/>
  </r>
  <r>
    <n v="10197"/>
    <x v="12"/>
    <n v="87.74"/>
    <n v="4"/>
    <x v="1"/>
    <x v="929"/>
    <s v="2/24/2003 0:943"/>
    <x v="0"/>
    <x v="0"/>
    <s v="Shipped"/>
    <x v="3"/>
    <x v="5"/>
    <x v="0"/>
    <x v="5"/>
    <n v="86"/>
    <s v="S18_3029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209"/>
    <x v="11"/>
    <n v="100"/>
    <n v="6"/>
    <x v="0"/>
    <x v="930"/>
    <s v="2/24/2003 0:944"/>
    <x v="0"/>
    <x v="0"/>
    <s v="Shipped"/>
    <x v="0"/>
    <x v="7"/>
    <x v="1"/>
    <x v="5"/>
    <n v="86"/>
    <s v="S18_3029"/>
    <s v="Men 'R' US Retailers, Ltd."/>
    <n v="2155554369"/>
    <s v="6047 Douglas Av."/>
    <m/>
    <s v="Los Angeles"/>
    <x v="44"/>
    <s v="CA"/>
    <m/>
    <x v="0"/>
    <x v="0"/>
    <s v="NA"/>
    <s v="Chandler"/>
    <s v="Michael"/>
    <x v="0"/>
  </r>
  <r>
    <n v="10222"/>
    <x v="4"/>
    <n v="94.62"/>
    <n v="10"/>
    <x v="1"/>
    <x v="931"/>
    <s v="2/24/2003 0:945"/>
    <x v="0"/>
    <x v="0"/>
    <s v="Shipped"/>
    <x v="0"/>
    <x v="0"/>
    <x v="1"/>
    <x v="5"/>
    <n v="86"/>
    <s v="S18_3029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48"/>
    <x v="15"/>
    <n v="73.98"/>
    <n v="1"/>
    <x v="0"/>
    <x v="932"/>
    <s v="2/24/2003 0:946"/>
    <x v="3"/>
    <x v="1"/>
    <s v="Cancelled"/>
    <x v="1"/>
    <x v="1"/>
    <x v="1"/>
    <x v="5"/>
    <n v="86"/>
    <s v="S18_3029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262"/>
    <x v="22"/>
    <n v="84.3"/>
    <n v="15"/>
    <x v="0"/>
    <x v="933"/>
    <s v="2/24/2003 0:947"/>
    <x v="3"/>
    <x v="1"/>
    <s v="Cancelled"/>
    <x v="1"/>
    <x v="9"/>
    <x v="1"/>
    <x v="5"/>
    <n v="86"/>
    <s v="S18_302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73"/>
    <x v="1"/>
    <n v="98.06"/>
    <n v="2"/>
    <x v="0"/>
    <x v="934"/>
    <s v="2/24/2003 0:948"/>
    <x v="0"/>
    <x v="0"/>
    <s v="Shipped"/>
    <x v="2"/>
    <x v="2"/>
    <x v="1"/>
    <x v="5"/>
    <n v="86"/>
    <s v="S18_3029"/>
    <s v="Petit Auto"/>
    <s v="(02) 5554 67"/>
    <s v="Rue Joseph-Bens 532"/>
    <m/>
    <s v="Bruxelles"/>
    <x v="46"/>
    <m/>
    <s v="B-1180"/>
    <x v="14"/>
    <x v="14"/>
    <s v="EMEA"/>
    <s v="Dewey"/>
    <s v="Catherine"/>
    <x v="1"/>
  </r>
  <r>
    <n v="10283"/>
    <x v="15"/>
    <n v="98.06"/>
    <n v="4"/>
    <x v="0"/>
    <x v="935"/>
    <s v="2/24/2003 0:949"/>
    <x v="0"/>
    <x v="0"/>
    <s v="Shipped"/>
    <x v="2"/>
    <x v="3"/>
    <x v="1"/>
    <x v="5"/>
    <n v="86"/>
    <s v="S18_3029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96"/>
    <x v="15"/>
    <n v="96.34"/>
    <n v="13"/>
    <x v="0"/>
    <x v="936"/>
    <s v="2/24/2003 0:950"/>
    <x v="0"/>
    <x v="0"/>
    <s v="Shipped"/>
    <x v="2"/>
    <x v="10"/>
    <x v="1"/>
    <x v="5"/>
    <n v="86"/>
    <s v="S18_3029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0"/>
  </r>
  <r>
    <n v="10307"/>
    <x v="28"/>
    <n v="83.44"/>
    <n v="7"/>
    <x v="0"/>
    <x v="937"/>
    <s v="2/24/2003 0:951"/>
    <x v="0"/>
    <x v="0"/>
    <s v="Shipped"/>
    <x v="3"/>
    <x v="4"/>
    <x v="1"/>
    <x v="5"/>
    <n v="86"/>
    <s v="S18_3029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0"/>
  </r>
  <r>
    <n v="10316"/>
    <x v="15"/>
    <n v="94.62"/>
    <n v="15"/>
    <x v="0"/>
    <x v="938"/>
    <s v="2/24/2003 0:952"/>
    <x v="0"/>
    <x v="0"/>
    <s v="Shipped"/>
    <x v="3"/>
    <x v="5"/>
    <x v="1"/>
    <x v="5"/>
    <n v="86"/>
    <s v="S18_3029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327"/>
    <x v="32"/>
    <n v="45.86"/>
    <n v="5"/>
    <x v="0"/>
    <x v="939"/>
    <s v="2/24/2003 0:953"/>
    <x v="5"/>
    <x v="1"/>
    <s v="Resolved"/>
    <x v="3"/>
    <x v="5"/>
    <x v="1"/>
    <x v="5"/>
    <n v="86"/>
    <s v="S18_3029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338"/>
    <x v="11"/>
    <n v="82.58"/>
    <n v="3"/>
    <x v="0"/>
    <x v="940"/>
    <s v="2/24/2003 0:954"/>
    <x v="0"/>
    <x v="0"/>
    <s v="Shipped"/>
    <x v="3"/>
    <x v="5"/>
    <x v="1"/>
    <x v="5"/>
    <n v="86"/>
    <s v="S18_3029"/>
    <s v="Royale Belge"/>
    <s v="(071) 23 67 2555"/>
    <s v="Boulevard Tirou, 255"/>
    <m/>
    <s v="Charleroi"/>
    <x v="72"/>
    <m/>
    <s v="B-6000"/>
    <x v="14"/>
    <x v="14"/>
    <s v="EMEA"/>
    <s v="Cartrain"/>
    <s v="Pascale"/>
    <x v="0"/>
  </r>
  <r>
    <n v="10350"/>
    <x v="30"/>
    <n v="64.97"/>
    <n v="6"/>
    <x v="0"/>
    <x v="941"/>
    <s v="2/24/2003 0:955"/>
    <x v="0"/>
    <x v="0"/>
    <s v="Shipped"/>
    <x v="3"/>
    <x v="6"/>
    <x v="1"/>
    <x v="5"/>
    <n v="86"/>
    <s v="S18_302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3"/>
    <x v="8"/>
    <n v="86.74"/>
    <n v="5"/>
    <x v="0"/>
    <x v="942"/>
    <s v="2/24/2003 0:956"/>
    <x v="0"/>
    <x v="0"/>
    <s v="Shipped"/>
    <x v="0"/>
    <x v="7"/>
    <x v="2"/>
    <x v="5"/>
    <n v="86"/>
    <s v="S18_3029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386"/>
    <x v="9"/>
    <n v="93.01"/>
    <n v="5"/>
    <x v="0"/>
    <x v="943"/>
    <s v="2/24/2003 0:957"/>
    <x v="5"/>
    <x v="1"/>
    <s v="Resolved"/>
    <x v="0"/>
    <x v="11"/>
    <x v="2"/>
    <x v="5"/>
    <n v="86"/>
    <s v="S18_302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8"/>
    <x v="11"/>
    <n v="72.260000000000005"/>
    <n v="18"/>
    <x v="0"/>
    <x v="944"/>
    <s v="2/24/2003 0:958"/>
    <x v="0"/>
    <x v="0"/>
    <s v="Shipped"/>
    <x v="0"/>
    <x v="11"/>
    <x v="2"/>
    <x v="5"/>
    <n v="86"/>
    <s v="S18_3029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400"/>
    <x v="0"/>
    <n v="74.84"/>
    <n v="7"/>
    <x v="0"/>
    <x v="945"/>
    <s v="2/24/2003 0:959"/>
    <x v="0"/>
    <x v="0"/>
    <s v="Shipped"/>
    <x v="1"/>
    <x v="8"/>
    <x v="2"/>
    <x v="5"/>
    <n v="86"/>
    <s v="S18_3029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414"/>
    <x v="27"/>
    <n v="73.98"/>
    <n v="1"/>
    <x v="0"/>
    <x v="946"/>
    <s v="2/24/2003 0:960"/>
    <x v="4"/>
    <x v="1"/>
    <s v="On Hold"/>
    <x v="1"/>
    <x v="1"/>
    <x v="2"/>
    <x v="5"/>
    <n v="86"/>
    <s v="S18_3029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103"/>
    <x v="32"/>
    <n v="100"/>
    <n v="13"/>
    <x v="0"/>
    <x v="947"/>
    <s v="2/24/2003 0:961"/>
    <x v="0"/>
    <x v="0"/>
    <s v="Shipped"/>
    <x v="0"/>
    <x v="7"/>
    <x v="0"/>
    <x v="3"/>
    <n v="104"/>
    <s v="S18_3136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111"/>
    <x v="30"/>
    <n v="100"/>
    <n v="1"/>
    <x v="1"/>
    <x v="948"/>
    <s v="2/24/2003 0:962"/>
    <x v="0"/>
    <x v="0"/>
    <s v="Shipped"/>
    <x v="0"/>
    <x v="11"/>
    <x v="0"/>
    <x v="3"/>
    <n v="104"/>
    <s v="S18_3136"/>
    <s v="Mini Wheels Co."/>
    <n v="6505555787"/>
    <s v="5557 North Pendale Street"/>
    <m/>
    <s v="San Francisco"/>
    <x v="4"/>
    <s v="CA"/>
    <m/>
    <x v="0"/>
    <x v="0"/>
    <s v="NA"/>
    <s v="Murphy"/>
    <s v="Julie"/>
    <x v="1"/>
  </r>
  <r>
    <n v="10126"/>
    <x v="0"/>
    <n v="97.39"/>
    <n v="13"/>
    <x v="0"/>
    <x v="949"/>
    <s v="2/24/2003 0:963"/>
    <x v="0"/>
    <x v="0"/>
    <s v="Shipped"/>
    <x v="1"/>
    <x v="1"/>
    <x v="0"/>
    <x v="3"/>
    <n v="104"/>
    <s v="S18_3136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139"/>
    <x v="14"/>
    <n v="90.06"/>
    <n v="2"/>
    <x v="0"/>
    <x v="950"/>
    <s v="2/24/2003 0:964"/>
    <x v="0"/>
    <x v="0"/>
    <s v="Shipped"/>
    <x v="2"/>
    <x v="2"/>
    <x v="0"/>
    <x v="3"/>
    <n v="104"/>
    <s v="S18_3136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150"/>
    <x v="18"/>
    <n v="100"/>
    <n v="10"/>
    <x v="0"/>
    <x v="951"/>
    <s v="2/24/2003 0:965"/>
    <x v="0"/>
    <x v="0"/>
    <s v="Shipped"/>
    <x v="2"/>
    <x v="10"/>
    <x v="0"/>
    <x v="3"/>
    <n v="104"/>
    <s v="S18_3136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63"/>
    <x v="23"/>
    <n v="100"/>
    <n v="3"/>
    <x v="1"/>
    <x v="952"/>
    <s v="2/24/2003 0:966"/>
    <x v="0"/>
    <x v="0"/>
    <s v="Shipped"/>
    <x v="3"/>
    <x v="4"/>
    <x v="0"/>
    <x v="3"/>
    <n v="104"/>
    <s v="S18_3136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1"/>
  </r>
  <r>
    <n v="10173"/>
    <x v="28"/>
    <n v="89.01"/>
    <n v="1"/>
    <x v="0"/>
    <x v="953"/>
    <s v="2/24/2003 0:967"/>
    <x v="0"/>
    <x v="0"/>
    <s v="Shipped"/>
    <x v="3"/>
    <x v="5"/>
    <x v="0"/>
    <x v="3"/>
    <n v="104"/>
    <s v="S18_3136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83"/>
    <x v="8"/>
    <n v="100"/>
    <n v="10"/>
    <x v="0"/>
    <x v="954"/>
    <s v="2/24/2003 0:968"/>
    <x v="0"/>
    <x v="0"/>
    <s v="Shipped"/>
    <x v="3"/>
    <x v="5"/>
    <x v="0"/>
    <x v="3"/>
    <n v="104"/>
    <s v="S18_3136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0"/>
  </r>
  <r>
    <n v="10193"/>
    <x v="10"/>
    <n v="100"/>
    <n v="2"/>
    <x v="0"/>
    <x v="955"/>
    <s v="2/24/2003 0:969"/>
    <x v="0"/>
    <x v="0"/>
    <s v="Shipped"/>
    <x v="3"/>
    <x v="5"/>
    <x v="0"/>
    <x v="3"/>
    <n v="104"/>
    <s v="S18_3136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206"/>
    <x v="0"/>
    <n v="100"/>
    <n v="8"/>
    <x v="0"/>
    <x v="956"/>
    <s v="2/24/2003 0:970"/>
    <x v="0"/>
    <x v="0"/>
    <s v="Shipped"/>
    <x v="3"/>
    <x v="6"/>
    <x v="0"/>
    <x v="3"/>
    <n v="104"/>
    <s v="S18_3136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1"/>
  </r>
  <r>
    <n v="10215"/>
    <x v="4"/>
    <n v="100"/>
    <n v="5"/>
    <x v="1"/>
    <x v="957"/>
    <s v="2/24/2003 0:971"/>
    <x v="0"/>
    <x v="0"/>
    <s v="Shipped"/>
    <x v="0"/>
    <x v="7"/>
    <x v="1"/>
    <x v="3"/>
    <n v="104"/>
    <s v="S18_3136"/>
    <s v="West Coast Collectables Co."/>
    <n v="3105553722"/>
    <s v="3675 Furth Circle"/>
    <m/>
    <s v="Burbank"/>
    <x v="27"/>
    <s v="CA"/>
    <n v="94019"/>
    <x v="0"/>
    <x v="0"/>
    <s v="NA"/>
    <s v="Thompson"/>
    <s v="Steve"/>
    <x v="1"/>
  </r>
  <r>
    <n v="10228"/>
    <x v="28"/>
    <n v="100"/>
    <n v="4"/>
    <x v="0"/>
    <x v="958"/>
    <s v="2/24/2003 0:972"/>
    <x v="0"/>
    <x v="0"/>
    <s v="Shipped"/>
    <x v="0"/>
    <x v="11"/>
    <x v="1"/>
    <x v="3"/>
    <n v="104"/>
    <s v="S18_3136"/>
    <s v="Cambridge Collectables Co."/>
    <n v="6175555555"/>
    <s v="4658 Baden Av."/>
    <m/>
    <s v="Cambridge"/>
    <x v="12"/>
    <s v="MA"/>
    <n v="51247"/>
    <x v="0"/>
    <x v="0"/>
    <s v="NA"/>
    <s v="Tseng"/>
    <s v="Kyung"/>
    <x v="1"/>
  </r>
  <r>
    <n v="10244"/>
    <x v="6"/>
    <n v="100"/>
    <n v="2"/>
    <x v="0"/>
    <x v="959"/>
    <s v="2/24/2003 0:973"/>
    <x v="0"/>
    <x v="0"/>
    <s v="Shipped"/>
    <x v="1"/>
    <x v="8"/>
    <x v="1"/>
    <x v="3"/>
    <n v="104"/>
    <s v="S18_313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57"/>
    <x v="9"/>
    <n v="84.82"/>
    <n v="2"/>
    <x v="0"/>
    <x v="960"/>
    <s v="2/24/2003 0:974"/>
    <x v="0"/>
    <x v="0"/>
    <s v="Shipped"/>
    <x v="1"/>
    <x v="9"/>
    <x v="1"/>
    <x v="3"/>
    <n v="104"/>
    <s v="S18_3136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270"/>
    <x v="19"/>
    <n v="100"/>
    <n v="11"/>
    <x v="1"/>
    <x v="961"/>
    <s v="2/24/2003 0:975"/>
    <x v="0"/>
    <x v="0"/>
    <s v="Shipped"/>
    <x v="2"/>
    <x v="2"/>
    <x v="1"/>
    <x v="3"/>
    <n v="104"/>
    <s v="S18_3136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280"/>
    <x v="6"/>
    <n v="100"/>
    <n v="4"/>
    <x v="0"/>
    <x v="962"/>
    <s v="2/24/2003 0:976"/>
    <x v="0"/>
    <x v="0"/>
    <s v="Shipped"/>
    <x v="2"/>
    <x v="3"/>
    <x v="1"/>
    <x v="3"/>
    <n v="104"/>
    <s v="S18_3136"/>
    <s v="Amica Models &amp; Co."/>
    <s v="011-4988555"/>
    <s v="Via Monte Bianco 34"/>
    <m/>
    <s v="Torino"/>
    <x v="30"/>
    <m/>
    <n v="10100"/>
    <x v="12"/>
    <x v="12"/>
    <s v="EMEA"/>
    <s v="Accorti"/>
    <s v="Paolo"/>
    <x v="1"/>
  </r>
  <r>
    <n v="10291"/>
    <x v="10"/>
    <n v="100"/>
    <n v="13"/>
    <x v="0"/>
    <x v="963"/>
    <s v="2/24/2003 0:977"/>
    <x v="0"/>
    <x v="0"/>
    <s v="Shipped"/>
    <x v="2"/>
    <x v="10"/>
    <x v="1"/>
    <x v="3"/>
    <n v="104"/>
    <s v="S18_3136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304"/>
    <x v="18"/>
    <n v="85.87"/>
    <n v="8"/>
    <x v="0"/>
    <x v="964"/>
    <s v="2/24/2003 0:978"/>
    <x v="0"/>
    <x v="0"/>
    <s v="Shipped"/>
    <x v="3"/>
    <x v="4"/>
    <x v="1"/>
    <x v="3"/>
    <n v="104"/>
    <s v="S18_3136"/>
    <s v="Auto Assoc. &amp; Cie."/>
    <s v="30.59.8555"/>
    <s v="67, avenue de l'Europe"/>
    <m/>
    <s v="Versailles"/>
    <x v="32"/>
    <m/>
    <n v="78000"/>
    <x v="1"/>
    <x v="1"/>
    <s v="EMEA"/>
    <s v="Tonini"/>
    <s v="Daniel"/>
    <x v="0"/>
  </r>
  <r>
    <n v="10312"/>
    <x v="19"/>
    <n v="100"/>
    <n v="5"/>
    <x v="1"/>
    <x v="965"/>
    <s v="2/24/2003 0:979"/>
    <x v="0"/>
    <x v="0"/>
    <s v="Shipped"/>
    <x v="3"/>
    <x v="4"/>
    <x v="1"/>
    <x v="3"/>
    <n v="104"/>
    <s v="S18_313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22"/>
    <x v="7"/>
    <n v="47.04"/>
    <n v="7"/>
    <x v="0"/>
    <x v="966"/>
    <s v="2/24/2003 0:980"/>
    <x v="0"/>
    <x v="0"/>
    <s v="Shipped"/>
    <x v="3"/>
    <x v="5"/>
    <x v="1"/>
    <x v="3"/>
    <n v="104"/>
    <s v="S18_3136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332"/>
    <x v="23"/>
    <n v="39.799999999999997"/>
    <n v="18"/>
    <x v="0"/>
    <x v="967"/>
    <s v="2/24/2003 0:981"/>
    <x v="0"/>
    <x v="0"/>
    <s v="Shipped"/>
    <x v="3"/>
    <x v="5"/>
    <x v="1"/>
    <x v="3"/>
    <n v="104"/>
    <s v="S18_3136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47"/>
    <x v="3"/>
    <n v="100"/>
    <n v="11"/>
    <x v="1"/>
    <x v="968"/>
    <s v="2/24/2003 0:982"/>
    <x v="0"/>
    <x v="0"/>
    <s v="Shipped"/>
    <x v="3"/>
    <x v="5"/>
    <x v="1"/>
    <x v="3"/>
    <n v="104"/>
    <s v="S18_3136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7"/>
    <x v="27"/>
    <n v="100"/>
    <n v="4"/>
    <x v="1"/>
    <x v="969"/>
    <s v="2/24/2003 0:983"/>
    <x v="0"/>
    <x v="0"/>
    <s v="Shipped"/>
    <x v="3"/>
    <x v="6"/>
    <x v="1"/>
    <x v="3"/>
    <n v="104"/>
    <s v="S18_313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69"/>
    <x v="15"/>
    <n v="94.22"/>
    <n v="5"/>
    <x v="0"/>
    <x v="970"/>
    <s v="2/24/2003 0:984"/>
    <x v="0"/>
    <x v="0"/>
    <s v="Shipped"/>
    <x v="0"/>
    <x v="7"/>
    <x v="2"/>
    <x v="3"/>
    <n v="104"/>
    <s v="S18_3136"/>
    <s v="Collectables For Less Inc."/>
    <n v="6175558555"/>
    <s v="7825 Douglas Av."/>
    <m/>
    <s v="Brickhaven"/>
    <x v="35"/>
    <s v="MA"/>
    <n v="58339"/>
    <x v="0"/>
    <x v="0"/>
    <s v="NA"/>
    <s v="Nelson"/>
    <s v="Allen"/>
    <x v="0"/>
  </r>
  <r>
    <n v="10381"/>
    <x v="21"/>
    <n v="100"/>
    <n v="5"/>
    <x v="1"/>
    <x v="971"/>
    <s v="2/24/2003 0:985"/>
    <x v="0"/>
    <x v="0"/>
    <s v="Shipped"/>
    <x v="0"/>
    <x v="0"/>
    <x v="2"/>
    <x v="3"/>
    <n v="104"/>
    <s v="S18_3136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392"/>
    <x v="6"/>
    <n v="86.92"/>
    <n v="2"/>
    <x v="0"/>
    <x v="972"/>
    <s v="2/24/2003 0:986"/>
    <x v="0"/>
    <x v="0"/>
    <s v="Shipped"/>
    <x v="0"/>
    <x v="11"/>
    <x v="2"/>
    <x v="3"/>
    <n v="104"/>
    <s v="S18_3136"/>
    <s v="Mini Auto Werke"/>
    <s v="7675-3555"/>
    <s v="Kirchgasse 6"/>
    <m/>
    <s v="Graz"/>
    <x v="52"/>
    <m/>
    <n v="8010"/>
    <x v="5"/>
    <x v="5"/>
    <s v="EMEA"/>
    <s v="Mendel"/>
    <s v="Roland"/>
    <x v="0"/>
  </r>
  <r>
    <n v="10423"/>
    <x v="15"/>
    <n v="84.82"/>
    <n v="2"/>
    <x v="0"/>
    <x v="973"/>
    <s v="2/24/2003 0:987"/>
    <x v="2"/>
    <x v="1"/>
    <s v="In Process"/>
    <x v="1"/>
    <x v="1"/>
    <x v="2"/>
    <x v="3"/>
    <n v="104"/>
    <s v="S18_3136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105"/>
    <x v="8"/>
    <n v="100"/>
    <n v="11"/>
    <x v="0"/>
    <x v="974"/>
    <s v="2/24/2003 0:988"/>
    <x v="0"/>
    <x v="0"/>
    <s v="Shipped"/>
    <x v="0"/>
    <x v="0"/>
    <x v="0"/>
    <x v="3"/>
    <n v="136"/>
    <s v="S18_3140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117"/>
    <x v="18"/>
    <n v="100"/>
    <n v="5"/>
    <x v="0"/>
    <x v="975"/>
    <s v="2/24/2003 0:989"/>
    <x v="0"/>
    <x v="0"/>
    <s v="Shipped"/>
    <x v="1"/>
    <x v="8"/>
    <x v="0"/>
    <x v="3"/>
    <n v="136"/>
    <s v="S18_3140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28"/>
    <x v="2"/>
    <n v="100"/>
    <n v="2"/>
    <x v="1"/>
    <x v="976"/>
    <s v="2/24/2003 0:990"/>
    <x v="0"/>
    <x v="0"/>
    <s v="Shipped"/>
    <x v="1"/>
    <x v="9"/>
    <x v="0"/>
    <x v="3"/>
    <n v="136"/>
    <s v="S18_314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42"/>
    <x v="20"/>
    <n v="100"/>
    <n v="8"/>
    <x v="1"/>
    <x v="977"/>
    <s v="2/24/2003 0:991"/>
    <x v="0"/>
    <x v="0"/>
    <s v="Shipped"/>
    <x v="2"/>
    <x v="3"/>
    <x v="0"/>
    <x v="3"/>
    <n v="136"/>
    <s v="S18_314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53"/>
    <x v="28"/>
    <n v="100"/>
    <n v="7"/>
    <x v="0"/>
    <x v="978"/>
    <s v="2/24/2003 0:992"/>
    <x v="0"/>
    <x v="0"/>
    <s v="Shipped"/>
    <x v="2"/>
    <x v="10"/>
    <x v="0"/>
    <x v="3"/>
    <n v="136"/>
    <s v="S18_314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66"/>
    <x v="30"/>
    <n v="100"/>
    <n v="2"/>
    <x v="1"/>
    <x v="979"/>
    <s v="2/24/2003 0:993"/>
    <x v="0"/>
    <x v="0"/>
    <s v="Shipped"/>
    <x v="3"/>
    <x v="4"/>
    <x v="0"/>
    <x v="3"/>
    <n v="136"/>
    <s v="S18_3140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177"/>
    <x v="10"/>
    <n v="100"/>
    <n v="9"/>
    <x v="0"/>
    <x v="980"/>
    <s v="2/24/2003 0:994"/>
    <x v="0"/>
    <x v="0"/>
    <s v="Shipped"/>
    <x v="3"/>
    <x v="5"/>
    <x v="0"/>
    <x v="3"/>
    <n v="136"/>
    <s v="S18_3140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1"/>
  </r>
  <r>
    <n v="10185"/>
    <x v="11"/>
    <n v="100"/>
    <n v="9"/>
    <x v="0"/>
    <x v="981"/>
    <s v="2/24/2003 0:995"/>
    <x v="0"/>
    <x v="0"/>
    <s v="Shipped"/>
    <x v="3"/>
    <x v="5"/>
    <x v="0"/>
    <x v="3"/>
    <n v="136"/>
    <s v="S18_3140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96"/>
    <x v="4"/>
    <n v="100"/>
    <n v="1"/>
    <x v="1"/>
    <x v="982"/>
    <s v="2/24/2003 0:996"/>
    <x v="0"/>
    <x v="0"/>
    <s v="Shipped"/>
    <x v="3"/>
    <x v="5"/>
    <x v="0"/>
    <x v="3"/>
    <n v="136"/>
    <s v="S18_3140"/>
    <s v="Super Scale Inc."/>
    <n v="2035559545"/>
    <s v="567 North Pendale Street"/>
    <m/>
    <s v="New Haven"/>
    <x v="28"/>
    <s v="CT"/>
    <n v="97823"/>
    <x v="0"/>
    <x v="0"/>
    <s v="NA"/>
    <s v="Murphy"/>
    <s v="Leslie"/>
    <x v="1"/>
  </r>
  <r>
    <n v="10208"/>
    <x v="16"/>
    <n v="100"/>
    <n v="9"/>
    <x v="0"/>
    <x v="983"/>
    <s v="2/24/2003 0:997"/>
    <x v="0"/>
    <x v="0"/>
    <s v="Shipped"/>
    <x v="0"/>
    <x v="7"/>
    <x v="1"/>
    <x v="3"/>
    <n v="136"/>
    <s v="S18_3140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21"/>
    <x v="29"/>
    <n v="100"/>
    <n v="3"/>
    <x v="1"/>
    <x v="984"/>
    <s v="2/24/2003 0:998"/>
    <x v="0"/>
    <x v="0"/>
    <s v="Shipped"/>
    <x v="0"/>
    <x v="0"/>
    <x v="1"/>
    <x v="3"/>
    <n v="136"/>
    <s v="S18_3140"/>
    <s v="Petit Auto"/>
    <s v="(02) 5554 67"/>
    <s v="Rue Joseph-Bens 532"/>
    <m/>
    <s v="Bruxelles"/>
    <x v="46"/>
    <m/>
    <s v="B-1180"/>
    <x v="14"/>
    <x v="14"/>
    <s v="EMEA"/>
    <s v="Dewey"/>
    <s v="Catherine"/>
    <x v="1"/>
  </r>
  <r>
    <n v="10232"/>
    <x v="8"/>
    <n v="100"/>
    <n v="6"/>
    <x v="0"/>
    <x v="985"/>
    <s v="2/24/2003 0:999"/>
    <x v="0"/>
    <x v="0"/>
    <s v="Shipped"/>
    <x v="0"/>
    <x v="11"/>
    <x v="1"/>
    <x v="3"/>
    <n v="136"/>
    <s v="S18_3140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1"/>
  </r>
  <r>
    <n v="10248"/>
    <x v="22"/>
    <n v="100"/>
    <n v="12"/>
    <x v="0"/>
    <x v="986"/>
    <s v="2/24/2003 0:1000"/>
    <x v="3"/>
    <x v="1"/>
    <s v="Cancelled"/>
    <x v="1"/>
    <x v="1"/>
    <x v="1"/>
    <x v="3"/>
    <n v="136"/>
    <s v="S18_3140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273"/>
    <x v="23"/>
    <n v="100"/>
    <n v="13"/>
    <x v="1"/>
    <x v="987"/>
    <s v="2/24/2003 0:1001"/>
    <x v="0"/>
    <x v="0"/>
    <s v="Shipped"/>
    <x v="2"/>
    <x v="2"/>
    <x v="1"/>
    <x v="3"/>
    <n v="136"/>
    <s v="S18_3140"/>
    <s v="Petit Auto"/>
    <s v="(02) 5554 67"/>
    <s v="Rue Joseph-Bens 532"/>
    <m/>
    <s v="Bruxelles"/>
    <x v="46"/>
    <m/>
    <s v="B-1180"/>
    <x v="14"/>
    <x v="14"/>
    <s v="EMEA"/>
    <s v="Dewey"/>
    <s v="Catherine"/>
    <x v="1"/>
  </r>
  <r>
    <n v="10282"/>
    <x v="30"/>
    <n v="100"/>
    <n v="1"/>
    <x v="1"/>
    <x v="988"/>
    <s v="2/24/2003 0:1002"/>
    <x v="0"/>
    <x v="0"/>
    <s v="Shipped"/>
    <x v="2"/>
    <x v="3"/>
    <x v="1"/>
    <x v="3"/>
    <n v="136"/>
    <s v="S18_314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93"/>
    <x v="16"/>
    <n v="100"/>
    <n v="4"/>
    <x v="0"/>
    <x v="989"/>
    <s v="2/24/2003 0:1003"/>
    <x v="0"/>
    <x v="0"/>
    <s v="Shipped"/>
    <x v="2"/>
    <x v="10"/>
    <x v="1"/>
    <x v="3"/>
    <n v="136"/>
    <s v="S18_3140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306"/>
    <x v="22"/>
    <n v="100"/>
    <n v="9"/>
    <x v="0"/>
    <x v="990"/>
    <s v="2/24/2003 0:1004"/>
    <x v="0"/>
    <x v="0"/>
    <s v="Shipped"/>
    <x v="3"/>
    <x v="4"/>
    <x v="1"/>
    <x v="3"/>
    <n v="136"/>
    <s v="S18_3140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14"/>
    <x v="14"/>
    <n v="100"/>
    <n v="1"/>
    <x v="0"/>
    <x v="991"/>
    <s v="2/24/2003 0:1005"/>
    <x v="0"/>
    <x v="0"/>
    <s v="Shipped"/>
    <x v="3"/>
    <x v="4"/>
    <x v="1"/>
    <x v="3"/>
    <n v="136"/>
    <s v="S18_3140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325"/>
    <x v="16"/>
    <n v="69.12"/>
    <n v="9"/>
    <x v="0"/>
    <x v="992"/>
    <s v="2/24/2003 0:1006"/>
    <x v="0"/>
    <x v="0"/>
    <s v="Shipped"/>
    <x v="3"/>
    <x v="5"/>
    <x v="1"/>
    <x v="3"/>
    <n v="136"/>
    <s v="S18_3140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336"/>
    <x v="7"/>
    <n v="100"/>
    <n v="12"/>
    <x v="1"/>
    <x v="993"/>
    <s v="2/24/2003 0:1007"/>
    <x v="0"/>
    <x v="0"/>
    <s v="Shipped"/>
    <x v="3"/>
    <x v="5"/>
    <x v="1"/>
    <x v="3"/>
    <n v="136"/>
    <s v="S18_3140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350"/>
    <x v="27"/>
    <n v="100"/>
    <n v="1"/>
    <x v="1"/>
    <x v="994"/>
    <s v="2/24/2003 0:1008"/>
    <x v="0"/>
    <x v="0"/>
    <s v="Shipped"/>
    <x v="3"/>
    <x v="6"/>
    <x v="1"/>
    <x v="3"/>
    <n v="136"/>
    <s v="S18_314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72"/>
    <x v="11"/>
    <n v="100"/>
    <n v="3"/>
    <x v="0"/>
    <x v="995"/>
    <s v="2/24/2003 0:1009"/>
    <x v="0"/>
    <x v="0"/>
    <s v="Shipped"/>
    <x v="0"/>
    <x v="7"/>
    <x v="2"/>
    <x v="3"/>
    <n v="136"/>
    <s v="S18_3140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383"/>
    <x v="16"/>
    <n v="61.52"/>
    <n v="9"/>
    <x v="0"/>
    <x v="996"/>
    <s v="2/24/2003 0:1010"/>
    <x v="0"/>
    <x v="0"/>
    <s v="Shipped"/>
    <x v="0"/>
    <x v="0"/>
    <x v="2"/>
    <x v="3"/>
    <n v="136"/>
    <s v="S18_3140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6"/>
    <x v="29"/>
    <n v="100"/>
    <n v="2"/>
    <x v="1"/>
    <x v="997"/>
    <s v="2/24/2003 0:1011"/>
    <x v="0"/>
    <x v="0"/>
    <s v="Shipped"/>
    <x v="0"/>
    <x v="11"/>
    <x v="2"/>
    <x v="3"/>
    <n v="136"/>
    <s v="S18_314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14"/>
    <x v="2"/>
    <n v="100"/>
    <n v="12"/>
    <x v="1"/>
    <x v="998"/>
    <s v="2/24/2003 0:1012"/>
    <x v="4"/>
    <x v="1"/>
    <s v="On Hold"/>
    <x v="1"/>
    <x v="1"/>
    <x v="2"/>
    <x v="3"/>
    <n v="136"/>
    <s v="S18_3140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104"/>
    <x v="10"/>
    <n v="100"/>
    <n v="13"/>
    <x v="1"/>
    <x v="999"/>
    <s v="2/24/2003 0:1013"/>
    <x v="0"/>
    <x v="0"/>
    <s v="Shipped"/>
    <x v="0"/>
    <x v="7"/>
    <x v="0"/>
    <x v="1"/>
    <n v="169"/>
    <s v="S18_323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09"/>
    <x v="12"/>
    <n v="100"/>
    <n v="5"/>
    <x v="1"/>
    <x v="1000"/>
    <s v="2/24/2003 0:1014"/>
    <x v="0"/>
    <x v="0"/>
    <s v="Shipped"/>
    <x v="0"/>
    <x v="11"/>
    <x v="0"/>
    <x v="1"/>
    <n v="169"/>
    <s v="S18_3232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2"/>
  </r>
  <r>
    <n v="10114"/>
    <x v="7"/>
    <n v="100"/>
    <n v="4"/>
    <x v="1"/>
    <x v="1001"/>
    <s v="2/24/2003 0:1015"/>
    <x v="0"/>
    <x v="0"/>
    <s v="Shipped"/>
    <x v="1"/>
    <x v="8"/>
    <x v="0"/>
    <x v="1"/>
    <n v="169"/>
    <s v="S18_3232"/>
    <s v="La Corne D'abondance, Co."/>
    <s v="(1) 42.34.2555"/>
    <s v="265, boulevard Charonne"/>
    <m/>
    <s v="Paris"/>
    <x v="2"/>
    <m/>
    <n v="75012"/>
    <x v="1"/>
    <x v="1"/>
    <s v="EMEA"/>
    <s v="Bertrand"/>
    <s v="Marie"/>
    <x v="2"/>
  </r>
  <r>
    <n v="10122"/>
    <x v="32"/>
    <n v="100"/>
    <n v="3"/>
    <x v="0"/>
    <x v="1002"/>
    <s v="2/24/2003 0:1016"/>
    <x v="0"/>
    <x v="0"/>
    <s v="Shipped"/>
    <x v="1"/>
    <x v="1"/>
    <x v="0"/>
    <x v="1"/>
    <n v="169"/>
    <s v="S18_3232"/>
    <s v="Marseille Mini Autos"/>
    <s v="91.24.4555"/>
    <s v="12, rue des Bouchers"/>
    <m/>
    <s v="Marseille"/>
    <x v="54"/>
    <m/>
    <n v="13008"/>
    <x v="1"/>
    <x v="1"/>
    <s v="EMEA"/>
    <s v="Lebihan"/>
    <s v="Laurence"/>
    <x v="1"/>
  </r>
  <r>
    <n v="10127"/>
    <x v="8"/>
    <n v="100"/>
    <n v="15"/>
    <x v="0"/>
    <x v="1003"/>
    <s v="2/24/2003 0:1017"/>
    <x v="0"/>
    <x v="0"/>
    <s v="Shipped"/>
    <x v="1"/>
    <x v="9"/>
    <x v="0"/>
    <x v="1"/>
    <n v="169"/>
    <s v="S18_3232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136"/>
    <x v="2"/>
    <n v="100"/>
    <n v="3"/>
    <x v="1"/>
    <x v="1004"/>
    <s v="2/24/2003 0:1018"/>
    <x v="0"/>
    <x v="0"/>
    <s v="Shipped"/>
    <x v="2"/>
    <x v="2"/>
    <x v="0"/>
    <x v="1"/>
    <n v="169"/>
    <s v="S18_3232"/>
    <s v="Alpha Cognac"/>
    <s v="61.77.6555"/>
    <s v="1 rue Alsace-Lorraine"/>
    <m/>
    <s v="Toulouse"/>
    <x v="42"/>
    <m/>
    <n v="31000"/>
    <x v="1"/>
    <x v="1"/>
    <s v="EMEA"/>
    <s v="Roulet"/>
    <s v="Annette"/>
    <x v="2"/>
  </r>
  <r>
    <n v="10141"/>
    <x v="1"/>
    <n v="100"/>
    <n v="9"/>
    <x v="1"/>
    <x v="1005"/>
    <s v="2/24/2003 0:1019"/>
    <x v="0"/>
    <x v="0"/>
    <s v="Shipped"/>
    <x v="2"/>
    <x v="3"/>
    <x v="0"/>
    <x v="1"/>
    <n v="169"/>
    <s v="S18_3232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148"/>
    <x v="22"/>
    <n v="100"/>
    <n v="14"/>
    <x v="1"/>
    <x v="1006"/>
    <s v="2/24/2003 0:1020"/>
    <x v="0"/>
    <x v="0"/>
    <s v="Shipped"/>
    <x v="2"/>
    <x v="10"/>
    <x v="0"/>
    <x v="1"/>
    <n v="169"/>
    <s v="S18_3232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51"/>
    <x v="15"/>
    <n v="100"/>
    <n v="7"/>
    <x v="0"/>
    <x v="1007"/>
    <s v="2/24/2003 0:1021"/>
    <x v="0"/>
    <x v="0"/>
    <s v="Shipped"/>
    <x v="2"/>
    <x v="10"/>
    <x v="0"/>
    <x v="1"/>
    <n v="169"/>
    <s v="S18_3232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160"/>
    <x v="14"/>
    <n v="100"/>
    <n v="1"/>
    <x v="0"/>
    <x v="1008"/>
    <s v="2/24/2003 0:1022"/>
    <x v="0"/>
    <x v="0"/>
    <s v="Shipped"/>
    <x v="3"/>
    <x v="4"/>
    <x v="0"/>
    <x v="1"/>
    <n v="169"/>
    <s v="S18_3232"/>
    <s v="Men 'R' US Retailers, Ltd."/>
    <n v="2155554369"/>
    <s v="6047 Douglas Av."/>
    <m/>
    <s v="Los Angeles"/>
    <x v="44"/>
    <s v="CA"/>
    <m/>
    <x v="0"/>
    <x v="0"/>
    <s v="NA"/>
    <s v="Chandler"/>
    <s v="Michael"/>
    <x v="1"/>
  </r>
  <r>
    <n v="10165"/>
    <x v="20"/>
    <n v="100"/>
    <n v="16"/>
    <x v="1"/>
    <x v="1009"/>
    <s v="2/24/2003 0:1023"/>
    <x v="0"/>
    <x v="0"/>
    <s v="Shipped"/>
    <x v="3"/>
    <x v="4"/>
    <x v="0"/>
    <x v="1"/>
    <n v="169"/>
    <s v="S18_3232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2"/>
  </r>
  <r>
    <n v="10171"/>
    <x v="25"/>
    <n v="100"/>
    <n v="3"/>
    <x v="1"/>
    <x v="1010"/>
    <s v="2/24/2003 0:1024"/>
    <x v="0"/>
    <x v="0"/>
    <s v="Shipped"/>
    <x v="3"/>
    <x v="5"/>
    <x v="0"/>
    <x v="1"/>
    <n v="169"/>
    <s v="S18_3232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175"/>
    <x v="6"/>
    <n v="100"/>
    <n v="5"/>
    <x v="1"/>
    <x v="1011"/>
    <s v="2/24/2003 0:1025"/>
    <x v="0"/>
    <x v="0"/>
    <s v="Shipped"/>
    <x v="3"/>
    <x v="5"/>
    <x v="0"/>
    <x v="1"/>
    <n v="169"/>
    <s v="S18_3232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81"/>
    <x v="3"/>
    <n v="100"/>
    <n v="7"/>
    <x v="1"/>
    <x v="1012"/>
    <s v="2/24/2003 0:1026"/>
    <x v="0"/>
    <x v="0"/>
    <s v="Shipped"/>
    <x v="3"/>
    <x v="5"/>
    <x v="0"/>
    <x v="1"/>
    <n v="169"/>
    <s v="S18_3232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184"/>
    <x v="11"/>
    <n v="100"/>
    <n v="10"/>
    <x v="1"/>
    <x v="1013"/>
    <s v="2/24/2003 0:1027"/>
    <x v="0"/>
    <x v="0"/>
    <s v="Shipped"/>
    <x v="3"/>
    <x v="5"/>
    <x v="0"/>
    <x v="1"/>
    <n v="169"/>
    <s v="S18_3232"/>
    <s v="Iberia Gift Imports, Corp."/>
    <s v="(95) 555 82 82"/>
    <s v="C/ Romero, 33"/>
    <m/>
    <s v="Sevilla"/>
    <x v="64"/>
    <m/>
    <n v="41101"/>
    <x v="7"/>
    <x v="7"/>
    <s v="EMEA"/>
    <s v="Roel"/>
    <s v="Jose Pedro"/>
    <x v="1"/>
  </r>
  <r>
    <n v="10192"/>
    <x v="18"/>
    <n v="100"/>
    <n v="12"/>
    <x v="0"/>
    <x v="1014"/>
    <s v="2/24/2003 0:1028"/>
    <x v="0"/>
    <x v="0"/>
    <s v="Shipped"/>
    <x v="3"/>
    <x v="5"/>
    <x v="0"/>
    <x v="1"/>
    <n v="169"/>
    <s v="S18_3232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195"/>
    <x v="24"/>
    <n v="100"/>
    <n v="10"/>
    <x v="1"/>
    <x v="1015"/>
    <s v="2/24/2003 0:1029"/>
    <x v="0"/>
    <x v="0"/>
    <s v="Shipped"/>
    <x v="3"/>
    <x v="5"/>
    <x v="0"/>
    <x v="1"/>
    <n v="169"/>
    <s v="S18_3232"/>
    <s v="Mini Classics"/>
    <n v="9145554562"/>
    <s v="3758 North Pendale Street"/>
    <m/>
    <s v="White Plains"/>
    <x v="39"/>
    <s v="NY"/>
    <n v="24067"/>
    <x v="0"/>
    <x v="0"/>
    <s v="NA"/>
    <s v="Frick"/>
    <s v="Steve"/>
    <x v="2"/>
  </r>
  <r>
    <n v="10203"/>
    <x v="7"/>
    <n v="100"/>
    <n v="1"/>
    <x v="1"/>
    <x v="1016"/>
    <s v="2/24/2003 0:1030"/>
    <x v="0"/>
    <x v="0"/>
    <s v="Shipped"/>
    <x v="3"/>
    <x v="6"/>
    <x v="0"/>
    <x v="1"/>
    <n v="169"/>
    <s v="S18_3232"/>
    <s v="Euro Shopping Channel"/>
    <s v="(91) 555 94 44"/>
    <s v="C/ Moralzarzal, 86"/>
    <m/>
    <s v="Madrid"/>
    <x v="20"/>
    <m/>
    <n v="28034"/>
    <x v="7"/>
    <x v="7"/>
    <s v="EMEA"/>
    <s v="Freyre"/>
    <s v="Diego"/>
    <x v="2"/>
  </r>
  <r>
    <n v="10207"/>
    <x v="32"/>
    <n v="100"/>
    <n v="11"/>
    <x v="0"/>
    <x v="1017"/>
    <s v="2/24/2003 0:1031"/>
    <x v="0"/>
    <x v="0"/>
    <s v="Shipped"/>
    <x v="3"/>
    <x v="6"/>
    <x v="0"/>
    <x v="1"/>
    <n v="169"/>
    <s v="S18_3232"/>
    <s v="Diecast Collectables"/>
    <n v="6175552555"/>
    <s v="6251 Ingle Ln."/>
    <m/>
    <s v="Boston"/>
    <x v="48"/>
    <s v="MA"/>
    <n v="51003"/>
    <x v="0"/>
    <x v="0"/>
    <s v="NA"/>
    <s v="Franco"/>
    <s v="Valarie"/>
    <x v="1"/>
  </r>
  <r>
    <n v="10212"/>
    <x v="23"/>
    <n v="100"/>
    <n v="11"/>
    <x v="1"/>
    <x v="1018"/>
    <s v="2/24/2003 0:1032"/>
    <x v="0"/>
    <x v="0"/>
    <s v="Shipped"/>
    <x v="0"/>
    <x v="7"/>
    <x v="1"/>
    <x v="1"/>
    <n v="169"/>
    <s v="S18_323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25"/>
    <x v="30"/>
    <n v="100"/>
    <n v="2"/>
    <x v="1"/>
    <x v="1019"/>
    <s v="2/24/2003 0:1033"/>
    <x v="0"/>
    <x v="0"/>
    <s v="Shipped"/>
    <x v="0"/>
    <x v="0"/>
    <x v="1"/>
    <x v="1"/>
    <n v="169"/>
    <s v="S18_3232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229"/>
    <x v="8"/>
    <n v="100"/>
    <n v="5"/>
    <x v="1"/>
    <x v="1020"/>
    <s v="2/24/2003 0:1034"/>
    <x v="0"/>
    <x v="0"/>
    <s v="Shipped"/>
    <x v="0"/>
    <x v="11"/>
    <x v="1"/>
    <x v="1"/>
    <n v="169"/>
    <s v="S18_323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39"/>
    <x v="20"/>
    <n v="100"/>
    <n v="1"/>
    <x v="1"/>
    <x v="1021"/>
    <s v="2/24/2003 0:1035"/>
    <x v="0"/>
    <x v="0"/>
    <s v="Shipped"/>
    <x v="1"/>
    <x v="8"/>
    <x v="1"/>
    <x v="1"/>
    <n v="169"/>
    <s v="S18_3232"/>
    <s v="Oulu Toy Supplies, Inc."/>
    <s v="981-443655"/>
    <s v="Torikatu 38"/>
    <m/>
    <s v="Oulu"/>
    <x v="50"/>
    <m/>
    <n v="90110"/>
    <x v="4"/>
    <x v="4"/>
    <s v="EMEA"/>
    <s v="Koskitalo"/>
    <s v="Pirkko"/>
    <x v="2"/>
  </r>
  <r>
    <n v="10246"/>
    <x v="5"/>
    <n v="100"/>
    <n v="9"/>
    <x v="1"/>
    <x v="1022"/>
    <s v="2/24/2003 0:1036"/>
    <x v="0"/>
    <x v="0"/>
    <s v="Shipped"/>
    <x v="1"/>
    <x v="1"/>
    <x v="1"/>
    <x v="1"/>
    <n v="169"/>
    <s v="S18_3232"/>
    <s v="Euro Shopping Channel"/>
    <s v="(91) 555 94 44"/>
    <s v="C/ Moralzarzal, 86"/>
    <m/>
    <s v="Madrid"/>
    <x v="20"/>
    <m/>
    <n v="28034"/>
    <x v="7"/>
    <x v="7"/>
    <s v="EMEA"/>
    <s v="Freyre"/>
    <s v="Diego"/>
    <x v="2"/>
  </r>
  <r>
    <n v="10253"/>
    <x v="23"/>
    <n v="100"/>
    <n v="6"/>
    <x v="1"/>
    <x v="1023"/>
    <s v="2/24/2003 0:1037"/>
    <x v="3"/>
    <x v="1"/>
    <s v="Cancelled"/>
    <x v="1"/>
    <x v="9"/>
    <x v="1"/>
    <x v="1"/>
    <n v="169"/>
    <s v="S18_3232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259"/>
    <x v="26"/>
    <n v="100"/>
    <n v="8"/>
    <x v="0"/>
    <x v="1024"/>
    <s v="2/24/2003 0:1038"/>
    <x v="0"/>
    <x v="0"/>
    <s v="Shipped"/>
    <x v="1"/>
    <x v="9"/>
    <x v="1"/>
    <x v="1"/>
    <n v="169"/>
    <s v="S18_3232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266"/>
    <x v="6"/>
    <n v="100"/>
    <n v="7"/>
    <x v="1"/>
    <x v="1025"/>
    <s v="2/24/2003 0:1039"/>
    <x v="0"/>
    <x v="0"/>
    <s v="Shipped"/>
    <x v="2"/>
    <x v="2"/>
    <x v="1"/>
    <x v="1"/>
    <n v="169"/>
    <s v="S18_3232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271"/>
    <x v="14"/>
    <n v="100"/>
    <n v="9"/>
    <x v="0"/>
    <x v="1026"/>
    <s v="2/24/2003 0:1040"/>
    <x v="0"/>
    <x v="0"/>
    <s v="Shipped"/>
    <x v="2"/>
    <x v="2"/>
    <x v="1"/>
    <x v="1"/>
    <n v="169"/>
    <s v="S18_323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78"/>
    <x v="13"/>
    <n v="100"/>
    <n v="7"/>
    <x v="1"/>
    <x v="1027"/>
    <s v="2/24/2003 0:1041"/>
    <x v="0"/>
    <x v="0"/>
    <s v="Shipped"/>
    <x v="2"/>
    <x v="3"/>
    <x v="1"/>
    <x v="1"/>
    <n v="169"/>
    <s v="S18_3232"/>
    <s v="Signal Gift Stores"/>
    <n v="7025551838"/>
    <s v="8489 Strong St."/>
    <m/>
    <s v="Las Vegas"/>
    <x v="67"/>
    <s v="NV"/>
    <n v="83030"/>
    <x v="0"/>
    <x v="0"/>
    <s v="NA"/>
    <s v="King"/>
    <s v="Sue"/>
    <x v="1"/>
  </r>
  <r>
    <n v="10281"/>
    <x v="32"/>
    <n v="100"/>
    <n v="5"/>
    <x v="1"/>
    <x v="1028"/>
    <s v="2/24/2003 0:1042"/>
    <x v="0"/>
    <x v="0"/>
    <s v="Shipped"/>
    <x v="2"/>
    <x v="3"/>
    <x v="1"/>
    <x v="1"/>
    <n v="169"/>
    <s v="S18_3232"/>
    <s v="Diecast Classics Inc."/>
    <n v="2155551555"/>
    <s v="7586 Pompton St."/>
    <m/>
    <s v="Allentown"/>
    <x v="15"/>
    <s v="PA"/>
    <n v="70267"/>
    <x v="0"/>
    <x v="0"/>
    <s v="NA"/>
    <s v="Yu"/>
    <s v="Kyung"/>
    <x v="1"/>
  </r>
  <r>
    <n v="10287"/>
    <x v="5"/>
    <n v="100"/>
    <n v="5"/>
    <x v="1"/>
    <x v="1029"/>
    <s v="2/24/2003 0:1043"/>
    <x v="0"/>
    <x v="0"/>
    <s v="Shipped"/>
    <x v="2"/>
    <x v="3"/>
    <x v="1"/>
    <x v="1"/>
    <n v="169"/>
    <s v="S18_3232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292"/>
    <x v="15"/>
    <n v="100"/>
    <n v="12"/>
    <x v="0"/>
    <x v="1030"/>
    <s v="2/24/2003 0:1044"/>
    <x v="0"/>
    <x v="0"/>
    <s v="Shipped"/>
    <x v="2"/>
    <x v="10"/>
    <x v="1"/>
    <x v="1"/>
    <n v="169"/>
    <s v="S18_3232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01"/>
    <x v="10"/>
    <n v="100"/>
    <n v="9"/>
    <x v="1"/>
    <x v="1031"/>
    <s v="2/24/2003 0:1045"/>
    <x v="0"/>
    <x v="0"/>
    <s v="Shipped"/>
    <x v="3"/>
    <x v="4"/>
    <x v="0"/>
    <x v="1"/>
    <n v="169"/>
    <s v="S18_3232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1"/>
  </r>
  <r>
    <n v="10305"/>
    <x v="9"/>
    <n v="100"/>
    <n v="9"/>
    <x v="1"/>
    <x v="1032"/>
    <s v="2/24/2003 0:1046"/>
    <x v="0"/>
    <x v="0"/>
    <s v="Shipped"/>
    <x v="3"/>
    <x v="4"/>
    <x v="1"/>
    <x v="1"/>
    <n v="169"/>
    <s v="S18_3232"/>
    <s v="Marta's Replicas Co."/>
    <n v="6175558555"/>
    <s v="39323 Spinnaker Dr."/>
    <m/>
    <s v="Cambridge"/>
    <x v="12"/>
    <s v="MA"/>
    <n v="51247"/>
    <x v="0"/>
    <x v="0"/>
    <s v="NA"/>
    <s v="Hernandez"/>
    <s v="Marta"/>
    <x v="2"/>
  </r>
  <r>
    <n v="10310"/>
    <x v="7"/>
    <n v="100"/>
    <n v="3"/>
    <x v="1"/>
    <x v="1033"/>
    <s v="2/24/2003 0:1047"/>
    <x v="0"/>
    <x v="0"/>
    <s v="Shipped"/>
    <x v="3"/>
    <x v="4"/>
    <x v="1"/>
    <x v="1"/>
    <n v="169"/>
    <s v="S18_3232"/>
    <s v="Toms Spezialitten, Ltd"/>
    <s v="0221-5554327"/>
    <s v="Mehrheimerstr. 369"/>
    <m/>
    <s v="Koln"/>
    <x v="55"/>
    <m/>
    <n v="50739"/>
    <x v="16"/>
    <x v="16"/>
    <s v="EMEA"/>
    <s v="Pfalzheim"/>
    <s v="Henriette"/>
    <x v="2"/>
  </r>
  <r>
    <n v="10313"/>
    <x v="32"/>
    <n v="100"/>
    <n v="3"/>
    <x v="1"/>
    <x v="1034"/>
    <s v="2/24/2003 0:1048"/>
    <x v="0"/>
    <x v="0"/>
    <s v="Shipped"/>
    <x v="3"/>
    <x v="4"/>
    <x v="1"/>
    <x v="1"/>
    <n v="169"/>
    <s v="S18_3232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1"/>
  </r>
  <r>
    <n v="10321"/>
    <x v="29"/>
    <n v="100"/>
    <n v="11"/>
    <x v="1"/>
    <x v="1035"/>
    <s v="2/24/2003 0:1049"/>
    <x v="0"/>
    <x v="0"/>
    <s v="Shipped"/>
    <x v="3"/>
    <x v="5"/>
    <x v="1"/>
    <x v="1"/>
    <n v="169"/>
    <s v="S18_3232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324"/>
    <x v="26"/>
    <n v="100"/>
    <n v="12"/>
    <x v="0"/>
    <x v="1036"/>
    <s v="2/24/2003 0:1050"/>
    <x v="0"/>
    <x v="0"/>
    <s v="Shipped"/>
    <x v="3"/>
    <x v="5"/>
    <x v="1"/>
    <x v="1"/>
    <n v="169"/>
    <s v="S18_3232"/>
    <s v="Vitachrome Inc."/>
    <n v="2125551500"/>
    <s v="2678 Kingston Rd."/>
    <s v="Suite 101"/>
    <s v="Nyc"/>
    <x v="0"/>
    <s v="NY"/>
    <n v="10022"/>
    <x v="0"/>
    <x v="0"/>
    <s v="NA"/>
    <s v="Frick"/>
    <s v="Michael"/>
    <x v="1"/>
  </r>
  <r>
    <n v="10331"/>
    <x v="26"/>
    <n v="100"/>
    <n v="11"/>
    <x v="1"/>
    <x v="1037"/>
    <s v="2/24/2003 0:1051"/>
    <x v="0"/>
    <x v="0"/>
    <s v="Shipped"/>
    <x v="3"/>
    <x v="5"/>
    <x v="1"/>
    <x v="1"/>
    <n v="169"/>
    <s v="S18_3232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334"/>
    <x v="14"/>
    <n v="100"/>
    <n v="3"/>
    <x v="0"/>
    <x v="1038"/>
    <s v="2/24/2003 0:1052"/>
    <x v="4"/>
    <x v="1"/>
    <s v="On Hold"/>
    <x v="3"/>
    <x v="5"/>
    <x v="1"/>
    <x v="1"/>
    <n v="169"/>
    <s v="S18_3232"/>
    <s v="Volvo Model Replicas, Co"/>
    <s v="0921-12 3555"/>
    <s v="Berguvsv„gen  8"/>
    <m/>
    <s v="Lule"/>
    <x v="21"/>
    <m/>
    <s v="S-958 22"/>
    <x v="8"/>
    <x v="8"/>
    <s v="EMEA"/>
    <s v="Berglund"/>
    <s v="Christina"/>
    <x v="0"/>
  </r>
  <r>
    <n v="10342"/>
    <x v="0"/>
    <n v="100"/>
    <n v="4"/>
    <x v="1"/>
    <x v="1039"/>
    <s v="2/24/2003 0:1053"/>
    <x v="0"/>
    <x v="0"/>
    <s v="Shipped"/>
    <x v="3"/>
    <x v="5"/>
    <x v="1"/>
    <x v="1"/>
    <n v="169"/>
    <s v="S18_3232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49"/>
    <x v="7"/>
    <n v="100"/>
    <n v="6"/>
    <x v="1"/>
    <x v="1040"/>
    <s v="2/24/2003 0:1054"/>
    <x v="0"/>
    <x v="0"/>
    <s v="Shipped"/>
    <x v="3"/>
    <x v="6"/>
    <x v="1"/>
    <x v="1"/>
    <n v="169"/>
    <s v="S18_3232"/>
    <s v="Muscle Machine Inc"/>
    <n v="2125557413"/>
    <s v="4092 Furth Circle"/>
    <s v="Suite 400"/>
    <s v="Nyc"/>
    <x v="0"/>
    <s v="NY"/>
    <n v="10022"/>
    <x v="0"/>
    <x v="0"/>
    <s v="NA"/>
    <s v="Young"/>
    <s v="Jeff"/>
    <x v="2"/>
  </r>
  <r>
    <n v="10358"/>
    <x v="22"/>
    <n v="93.49"/>
    <n v="12"/>
    <x v="0"/>
    <x v="1041"/>
    <s v="2/24/2003 0:1055"/>
    <x v="0"/>
    <x v="0"/>
    <s v="Shipped"/>
    <x v="3"/>
    <x v="6"/>
    <x v="1"/>
    <x v="1"/>
    <n v="169"/>
    <s v="S18_323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66"/>
    <x v="1"/>
    <n v="100"/>
    <n v="1"/>
    <x v="1"/>
    <x v="1042"/>
    <s v="2/24/2003 0:1056"/>
    <x v="0"/>
    <x v="0"/>
    <s v="Shipped"/>
    <x v="0"/>
    <x v="7"/>
    <x v="2"/>
    <x v="1"/>
    <n v="169"/>
    <s v="S18_3232"/>
    <s v="Royale Belge"/>
    <s v="(071) 23 67 2555"/>
    <s v="Boulevard Tirou, 255"/>
    <m/>
    <s v="Charleroi"/>
    <x v="72"/>
    <m/>
    <s v="B-6000"/>
    <x v="14"/>
    <x v="14"/>
    <s v="EMEA"/>
    <s v="Cartrain"/>
    <s v="Pascale"/>
    <x v="1"/>
  </r>
  <r>
    <n v="10370"/>
    <x v="26"/>
    <n v="56.85"/>
    <n v="9"/>
    <x v="0"/>
    <x v="1043"/>
    <s v="2/24/2003 0:1057"/>
    <x v="0"/>
    <x v="0"/>
    <s v="Shipped"/>
    <x v="0"/>
    <x v="7"/>
    <x v="2"/>
    <x v="1"/>
    <n v="169"/>
    <s v="S18_3232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377"/>
    <x v="25"/>
    <n v="100"/>
    <n v="3"/>
    <x v="1"/>
    <x v="1044"/>
    <s v="2/24/2003 0:1058"/>
    <x v="0"/>
    <x v="0"/>
    <s v="Shipped"/>
    <x v="0"/>
    <x v="0"/>
    <x v="2"/>
    <x v="1"/>
    <n v="169"/>
    <s v="S18_3232"/>
    <s v="Toys of Finland, Co."/>
    <s v="90-224 8555"/>
    <s v="Keskuskatu 45"/>
    <m/>
    <s v="Helsinki"/>
    <x v="13"/>
    <m/>
    <n v="21240"/>
    <x v="4"/>
    <x v="4"/>
    <s v="EMEA"/>
    <s v="Karttunen"/>
    <s v="Matti"/>
    <x v="2"/>
  </r>
  <r>
    <n v="10383"/>
    <x v="20"/>
    <n v="100"/>
    <n v="6"/>
    <x v="1"/>
    <x v="1045"/>
    <s v="2/24/2003 0:1059"/>
    <x v="0"/>
    <x v="0"/>
    <s v="Shipped"/>
    <x v="0"/>
    <x v="0"/>
    <x v="2"/>
    <x v="1"/>
    <n v="169"/>
    <s v="S18_323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4"/>
    <x v="8"/>
    <n v="100"/>
    <n v="5"/>
    <x v="0"/>
    <x v="1046"/>
    <s v="2/24/2003 0:1060"/>
    <x v="0"/>
    <x v="0"/>
    <s v="Shipped"/>
    <x v="0"/>
    <x v="11"/>
    <x v="2"/>
    <x v="1"/>
    <n v="169"/>
    <s v="S18_323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05"/>
    <x v="36"/>
    <n v="100"/>
    <n v="1"/>
    <x v="1"/>
    <x v="1047"/>
    <s v="2/24/2003 0:1061"/>
    <x v="0"/>
    <x v="0"/>
    <s v="Shipped"/>
    <x v="1"/>
    <x v="8"/>
    <x v="2"/>
    <x v="1"/>
    <n v="169"/>
    <s v="S18_3232"/>
    <s v="Mini Caravy"/>
    <s v="88.60.1555"/>
    <s v="24, place Kluber"/>
    <m/>
    <s v="Strasbourg"/>
    <x v="66"/>
    <m/>
    <n v="67000"/>
    <x v="1"/>
    <x v="1"/>
    <s v="EMEA"/>
    <s v="Citeaux"/>
    <s v="Frederique"/>
    <x v="2"/>
  </r>
  <r>
    <n v="10412"/>
    <x v="46"/>
    <n v="100"/>
    <n v="9"/>
    <x v="1"/>
    <x v="1048"/>
    <s v="2/24/2003 0:1062"/>
    <x v="0"/>
    <x v="0"/>
    <s v="Shipped"/>
    <x v="1"/>
    <x v="1"/>
    <x v="2"/>
    <x v="1"/>
    <n v="169"/>
    <s v="S18_3232"/>
    <s v="Euro Shopping Channel"/>
    <s v="(91) 555 94 44"/>
    <s v="C/ Moralzarzal, 86"/>
    <m/>
    <s v="Madrid"/>
    <x v="20"/>
    <m/>
    <n v="28034"/>
    <x v="7"/>
    <x v="7"/>
    <s v="EMEA"/>
    <s v="Freyre"/>
    <s v="Diego"/>
    <x v="2"/>
  </r>
  <r>
    <n v="10419"/>
    <x v="21"/>
    <n v="100"/>
    <n v="6"/>
    <x v="1"/>
    <x v="1049"/>
    <s v="2/24/2003 0:1063"/>
    <x v="0"/>
    <x v="0"/>
    <s v="Shipped"/>
    <x v="1"/>
    <x v="1"/>
    <x v="2"/>
    <x v="1"/>
    <n v="169"/>
    <s v="S18_3232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425"/>
    <x v="11"/>
    <n v="100"/>
    <n v="8"/>
    <x v="0"/>
    <x v="1050"/>
    <s v="2/24/2003 0:1064"/>
    <x v="2"/>
    <x v="1"/>
    <s v="In Process"/>
    <x v="1"/>
    <x v="1"/>
    <x v="2"/>
    <x v="1"/>
    <n v="169"/>
    <s v="S18_3232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105"/>
    <x v="19"/>
    <n v="100"/>
    <n v="13"/>
    <x v="1"/>
    <x v="1051"/>
    <s v="2/24/2003 0:1065"/>
    <x v="0"/>
    <x v="0"/>
    <s v="Shipped"/>
    <x v="0"/>
    <x v="0"/>
    <x v="0"/>
    <x v="6"/>
    <n v="100"/>
    <s v="S18_3259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117"/>
    <x v="15"/>
    <n v="95.8"/>
    <n v="7"/>
    <x v="0"/>
    <x v="1052"/>
    <s v="2/24/2003 0:1066"/>
    <x v="0"/>
    <x v="0"/>
    <s v="Shipped"/>
    <x v="1"/>
    <x v="8"/>
    <x v="0"/>
    <x v="6"/>
    <n v="100"/>
    <s v="S18_3259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28"/>
    <x v="2"/>
    <n v="100"/>
    <n v="4"/>
    <x v="1"/>
    <x v="1053"/>
    <s v="2/24/2003 0:1067"/>
    <x v="0"/>
    <x v="0"/>
    <s v="Shipped"/>
    <x v="1"/>
    <x v="9"/>
    <x v="0"/>
    <x v="6"/>
    <n v="100"/>
    <s v="S18_325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42"/>
    <x v="8"/>
    <n v="97.81"/>
    <n v="10"/>
    <x v="0"/>
    <x v="1054"/>
    <s v="2/24/2003 0:1068"/>
    <x v="0"/>
    <x v="0"/>
    <s v="Shipped"/>
    <x v="2"/>
    <x v="3"/>
    <x v="0"/>
    <x v="6"/>
    <n v="100"/>
    <s v="S18_325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53"/>
    <x v="6"/>
    <n v="88.74"/>
    <n v="9"/>
    <x v="0"/>
    <x v="1055"/>
    <s v="2/24/2003 0:1069"/>
    <x v="0"/>
    <x v="0"/>
    <s v="Shipped"/>
    <x v="2"/>
    <x v="10"/>
    <x v="0"/>
    <x v="6"/>
    <n v="100"/>
    <s v="S18_325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65"/>
    <x v="24"/>
    <n v="100"/>
    <n v="1"/>
    <x v="1"/>
    <x v="1056"/>
    <s v="2/24/2003 0:1070"/>
    <x v="0"/>
    <x v="0"/>
    <s v="Shipped"/>
    <x v="3"/>
    <x v="4"/>
    <x v="0"/>
    <x v="6"/>
    <n v="100"/>
    <s v="S18_3259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77"/>
    <x v="6"/>
    <n v="100"/>
    <n v="11"/>
    <x v="0"/>
    <x v="1057"/>
    <s v="2/24/2003 0:1071"/>
    <x v="0"/>
    <x v="0"/>
    <s v="Shipped"/>
    <x v="3"/>
    <x v="5"/>
    <x v="0"/>
    <x v="6"/>
    <n v="100"/>
    <s v="S18_3259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1"/>
  </r>
  <r>
    <n v="10185"/>
    <x v="4"/>
    <n v="80.67"/>
    <n v="11"/>
    <x v="0"/>
    <x v="1058"/>
    <s v="2/24/2003 0:1072"/>
    <x v="0"/>
    <x v="0"/>
    <s v="Shipped"/>
    <x v="3"/>
    <x v="5"/>
    <x v="0"/>
    <x v="6"/>
    <n v="100"/>
    <s v="S18_3259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96"/>
    <x v="21"/>
    <n v="100"/>
    <n v="3"/>
    <x v="0"/>
    <x v="1059"/>
    <s v="2/24/2003 0:1073"/>
    <x v="0"/>
    <x v="0"/>
    <s v="Shipped"/>
    <x v="3"/>
    <x v="5"/>
    <x v="0"/>
    <x v="6"/>
    <n v="100"/>
    <s v="S18_3259"/>
    <s v="Super Scale Inc."/>
    <n v="2035559545"/>
    <s v="567 North Pendale Street"/>
    <m/>
    <s v="New Haven"/>
    <x v="28"/>
    <s v="CT"/>
    <n v="97823"/>
    <x v="0"/>
    <x v="0"/>
    <s v="NA"/>
    <s v="Murphy"/>
    <s v="Leslie"/>
    <x v="1"/>
  </r>
  <r>
    <n v="10208"/>
    <x v="7"/>
    <n v="100"/>
    <n v="11"/>
    <x v="1"/>
    <x v="1060"/>
    <s v="2/24/2003 0:1074"/>
    <x v="0"/>
    <x v="0"/>
    <s v="Shipped"/>
    <x v="0"/>
    <x v="7"/>
    <x v="1"/>
    <x v="6"/>
    <n v="100"/>
    <s v="S18_3259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21"/>
    <x v="10"/>
    <n v="80.67"/>
    <n v="5"/>
    <x v="0"/>
    <x v="1061"/>
    <s v="2/24/2003 0:1075"/>
    <x v="0"/>
    <x v="0"/>
    <s v="Shipped"/>
    <x v="0"/>
    <x v="0"/>
    <x v="1"/>
    <x v="6"/>
    <n v="100"/>
    <s v="S18_3259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232"/>
    <x v="7"/>
    <n v="95.8"/>
    <n v="8"/>
    <x v="1"/>
    <x v="1062"/>
    <s v="2/24/2003 0:1076"/>
    <x v="0"/>
    <x v="0"/>
    <s v="Shipped"/>
    <x v="0"/>
    <x v="11"/>
    <x v="1"/>
    <x v="6"/>
    <n v="100"/>
    <s v="S18_3259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1"/>
  </r>
  <r>
    <n v="10248"/>
    <x v="13"/>
    <n v="100"/>
    <n v="14"/>
    <x v="1"/>
    <x v="1063"/>
    <s v="2/24/2003 0:1077"/>
    <x v="3"/>
    <x v="1"/>
    <s v="Cancelled"/>
    <x v="1"/>
    <x v="1"/>
    <x v="1"/>
    <x v="6"/>
    <n v="100"/>
    <s v="S18_3259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273"/>
    <x v="20"/>
    <n v="100"/>
    <n v="15"/>
    <x v="1"/>
    <x v="1064"/>
    <s v="2/24/2003 0:1078"/>
    <x v="0"/>
    <x v="0"/>
    <s v="Shipped"/>
    <x v="2"/>
    <x v="2"/>
    <x v="1"/>
    <x v="6"/>
    <n v="100"/>
    <s v="S18_3259"/>
    <s v="Petit Auto"/>
    <s v="(02) 5554 67"/>
    <s v="Rue Joseph-Bens 532"/>
    <m/>
    <s v="Bruxelles"/>
    <x v="46"/>
    <m/>
    <s v="B-1180"/>
    <x v="14"/>
    <x v="14"/>
    <s v="EMEA"/>
    <s v="Dewey"/>
    <s v="Catherine"/>
    <x v="1"/>
  </r>
  <r>
    <n v="10282"/>
    <x v="5"/>
    <n v="100"/>
    <n v="3"/>
    <x v="1"/>
    <x v="1065"/>
    <s v="2/24/2003 0:1079"/>
    <x v="0"/>
    <x v="0"/>
    <s v="Shipped"/>
    <x v="2"/>
    <x v="3"/>
    <x v="1"/>
    <x v="6"/>
    <n v="100"/>
    <s v="S18_325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93"/>
    <x v="8"/>
    <n v="100"/>
    <n v="6"/>
    <x v="0"/>
    <x v="1066"/>
    <s v="2/24/2003 0:1080"/>
    <x v="0"/>
    <x v="0"/>
    <s v="Shipped"/>
    <x v="2"/>
    <x v="10"/>
    <x v="1"/>
    <x v="6"/>
    <n v="100"/>
    <s v="S18_3259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306"/>
    <x v="23"/>
    <n v="91.76"/>
    <n v="11"/>
    <x v="0"/>
    <x v="1067"/>
    <s v="2/24/2003 0:1081"/>
    <x v="0"/>
    <x v="0"/>
    <s v="Shipped"/>
    <x v="3"/>
    <x v="4"/>
    <x v="1"/>
    <x v="6"/>
    <n v="100"/>
    <s v="S18_3259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14"/>
    <x v="10"/>
    <n v="100"/>
    <n v="3"/>
    <x v="0"/>
    <x v="1068"/>
    <s v="2/24/2003 0:1082"/>
    <x v="0"/>
    <x v="0"/>
    <s v="Shipped"/>
    <x v="3"/>
    <x v="4"/>
    <x v="1"/>
    <x v="6"/>
    <n v="100"/>
    <s v="S18_3259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326"/>
    <x v="22"/>
    <n v="100"/>
    <n v="6"/>
    <x v="0"/>
    <x v="1069"/>
    <s v="2/24/2003 0:1083"/>
    <x v="0"/>
    <x v="0"/>
    <s v="Shipped"/>
    <x v="3"/>
    <x v="5"/>
    <x v="1"/>
    <x v="6"/>
    <n v="100"/>
    <s v="S18_3259"/>
    <s v="Volvo Model Replicas, Co"/>
    <s v="0921-12 3555"/>
    <s v="Berguvsv„gen  8"/>
    <m/>
    <s v="Lule"/>
    <x v="21"/>
    <m/>
    <s v="S-958 22"/>
    <x v="8"/>
    <x v="8"/>
    <s v="EMEA"/>
    <s v="Berglund"/>
    <s v="Christina"/>
    <x v="1"/>
  </r>
  <r>
    <n v="10336"/>
    <x v="15"/>
    <n v="100"/>
    <n v="7"/>
    <x v="0"/>
    <x v="1070"/>
    <s v="2/24/2003 0:1084"/>
    <x v="0"/>
    <x v="0"/>
    <s v="Shipped"/>
    <x v="3"/>
    <x v="5"/>
    <x v="1"/>
    <x v="6"/>
    <n v="100"/>
    <s v="S18_3259"/>
    <s v="La Corne D'abondance, Co."/>
    <s v="(1) 42.34.2555"/>
    <s v="265, boulevard Charonne"/>
    <m/>
    <s v="Paris"/>
    <x v="2"/>
    <m/>
    <n v="75012"/>
    <x v="1"/>
    <x v="1"/>
    <s v="EMEA"/>
    <s v="Bertrand"/>
    <s v="Marie"/>
    <x v="0"/>
  </r>
  <r>
    <n v="10350"/>
    <x v="2"/>
    <n v="93.04"/>
    <n v="2"/>
    <x v="0"/>
    <x v="1071"/>
    <s v="2/24/2003 0:1085"/>
    <x v="0"/>
    <x v="0"/>
    <s v="Shipped"/>
    <x v="3"/>
    <x v="6"/>
    <x v="1"/>
    <x v="6"/>
    <n v="100"/>
    <s v="S18_325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72"/>
    <x v="32"/>
    <n v="84.71"/>
    <n v="5"/>
    <x v="0"/>
    <x v="1072"/>
    <s v="2/24/2003 0:1086"/>
    <x v="0"/>
    <x v="0"/>
    <s v="Shipped"/>
    <x v="0"/>
    <x v="7"/>
    <x v="2"/>
    <x v="6"/>
    <n v="100"/>
    <s v="S18_3259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83"/>
    <x v="18"/>
    <n v="100"/>
    <n v="12"/>
    <x v="0"/>
    <x v="1073"/>
    <s v="2/24/2003 0:1087"/>
    <x v="0"/>
    <x v="0"/>
    <s v="Shipped"/>
    <x v="0"/>
    <x v="0"/>
    <x v="2"/>
    <x v="6"/>
    <n v="100"/>
    <s v="S18_325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6"/>
    <x v="16"/>
    <n v="89.75"/>
    <n v="4"/>
    <x v="0"/>
    <x v="1074"/>
    <s v="2/24/2003 0:1088"/>
    <x v="0"/>
    <x v="0"/>
    <s v="Shipped"/>
    <x v="0"/>
    <x v="11"/>
    <x v="2"/>
    <x v="6"/>
    <n v="100"/>
    <s v="S18_325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14"/>
    <x v="7"/>
    <n v="100"/>
    <n v="14"/>
    <x v="1"/>
    <x v="1075"/>
    <s v="2/24/2003 0:1089"/>
    <x v="4"/>
    <x v="1"/>
    <s v="On Hold"/>
    <x v="1"/>
    <x v="1"/>
    <x v="2"/>
    <x v="6"/>
    <n v="100"/>
    <s v="S18_3259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108"/>
    <x v="18"/>
    <n v="68.349999999999994"/>
    <n v="9"/>
    <x v="0"/>
    <x v="1076"/>
    <s v="2/24/2003 0:1090"/>
    <x v="0"/>
    <x v="0"/>
    <s v="Shipped"/>
    <x v="0"/>
    <x v="11"/>
    <x v="0"/>
    <x v="1"/>
    <n v="80"/>
    <s v="S18_3278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0"/>
  </r>
  <r>
    <n v="10122"/>
    <x v="15"/>
    <n v="73.17"/>
    <n v="13"/>
    <x v="0"/>
    <x v="1077"/>
    <s v="2/24/2003 0:1091"/>
    <x v="0"/>
    <x v="0"/>
    <s v="Shipped"/>
    <x v="1"/>
    <x v="1"/>
    <x v="0"/>
    <x v="1"/>
    <n v="80"/>
    <s v="S18_3278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135"/>
    <x v="3"/>
    <n v="78"/>
    <n v="10"/>
    <x v="0"/>
    <x v="1078"/>
    <s v="2/24/2003 0:1092"/>
    <x v="0"/>
    <x v="0"/>
    <s v="Shipped"/>
    <x v="2"/>
    <x v="2"/>
    <x v="0"/>
    <x v="1"/>
    <n v="80"/>
    <s v="S18_327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47"/>
    <x v="5"/>
    <n v="86.04"/>
    <n v="10"/>
    <x v="0"/>
    <x v="1079"/>
    <s v="2/24/2003 0:1093"/>
    <x v="0"/>
    <x v="0"/>
    <s v="Shipped"/>
    <x v="2"/>
    <x v="10"/>
    <x v="0"/>
    <x v="1"/>
    <n v="80"/>
    <s v="S18_3278"/>
    <s v="Collectables For Less Inc."/>
    <n v="6175558555"/>
    <s v="7825 Douglas Av."/>
    <m/>
    <s v="Brickhaven"/>
    <x v="35"/>
    <s v="MA"/>
    <n v="58339"/>
    <x v="0"/>
    <x v="0"/>
    <s v="NA"/>
    <s v="Nelson"/>
    <s v="Allen"/>
    <x v="1"/>
  </r>
  <r>
    <n v="10159"/>
    <x v="15"/>
    <n v="81.209999999999994"/>
    <n v="5"/>
    <x v="0"/>
    <x v="1080"/>
    <s v="2/24/2003 0:1094"/>
    <x v="0"/>
    <x v="0"/>
    <s v="Shipped"/>
    <x v="3"/>
    <x v="4"/>
    <x v="0"/>
    <x v="1"/>
    <n v="80"/>
    <s v="S18_3278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69"/>
    <x v="22"/>
    <n v="70.760000000000005"/>
    <n v="5"/>
    <x v="0"/>
    <x v="1081"/>
    <s v="2/24/2003 0:1095"/>
    <x v="0"/>
    <x v="0"/>
    <s v="Shipped"/>
    <x v="3"/>
    <x v="5"/>
    <x v="0"/>
    <x v="1"/>
    <n v="80"/>
    <s v="S18_3278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81"/>
    <x v="0"/>
    <n v="82.82"/>
    <n v="17"/>
    <x v="0"/>
    <x v="1082"/>
    <s v="2/24/2003 0:1096"/>
    <x v="0"/>
    <x v="0"/>
    <s v="Shipped"/>
    <x v="3"/>
    <x v="5"/>
    <x v="0"/>
    <x v="1"/>
    <n v="80"/>
    <s v="S18_3278"/>
    <s v="Herkku Gifts"/>
    <s v="+47 2267 3215"/>
    <s v="Drammen 121, PR 744 Sentrum"/>
    <m/>
    <s v="Bergen"/>
    <x v="7"/>
    <m/>
    <s v="N 5804"/>
    <x v="2"/>
    <x v="2"/>
    <s v="EMEA"/>
    <s v="Oeztan"/>
    <s v="Veysel"/>
    <x v="0"/>
  </r>
  <r>
    <n v="10191"/>
    <x v="5"/>
    <n v="94.88"/>
    <n v="6"/>
    <x v="0"/>
    <x v="1083"/>
    <s v="2/24/2003 0:1097"/>
    <x v="0"/>
    <x v="0"/>
    <s v="Shipped"/>
    <x v="3"/>
    <x v="5"/>
    <x v="0"/>
    <x v="1"/>
    <n v="80"/>
    <s v="S18_3278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203"/>
    <x v="29"/>
    <n v="86.04"/>
    <n v="11"/>
    <x v="0"/>
    <x v="1084"/>
    <s v="2/24/2003 0:1098"/>
    <x v="0"/>
    <x v="0"/>
    <s v="Shipped"/>
    <x v="3"/>
    <x v="6"/>
    <x v="0"/>
    <x v="1"/>
    <n v="80"/>
    <s v="S18_327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11"/>
    <x v="21"/>
    <n v="78"/>
    <n v="5"/>
    <x v="0"/>
    <x v="1085"/>
    <s v="2/24/2003 0:1099"/>
    <x v="0"/>
    <x v="0"/>
    <s v="Shipped"/>
    <x v="0"/>
    <x v="7"/>
    <x v="1"/>
    <x v="1"/>
    <n v="80"/>
    <s v="S18_3278"/>
    <s v="Auto Canal Petit"/>
    <s v="(1) 47.55.6555"/>
    <s v="25, rue Lauriston"/>
    <m/>
    <s v="Paris"/>
    <x v="2"/>
    <m/>
    <n v="75016"/>
    <x v="1"/>
    <x v="1"/>
    <s v="EMEA"/>
    <s v="Perrier"/>
    <s v="Dominique"/>
    <x v="0"/>
  </r>
  <r>
    <n v="10225"/>
    <x v="9"/>
    <n v="95.69"/>
    <n v="12"/>
    <x v="0"/>
    <x v="1086"/>
    <s v="2/24/2003 0:1100"/>
    <x v="0"/>
    <x v="0"/>
    <s v="Shipped"/>
    <x v="0"/>
    <x v="0"/>
    <x v="1"/>
    <x v="1"/>
    <n v="80"/>
    <s v="S18_3278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238"/>
    <x v="2"/>
    <n v="73.17"/>
    <n v="6"/>
    <x v="0"/>
    <x v="1087"/>
    <s v="2/24/2003 0:1101"/>
    <x v="0"/>
    <x v="0"/>
    <s v="Shipped"/>
    <x v="1"/>
    <x v="8"/>
    <x v="1"/>
    <x v="1"/>
    <n v="80"/>
    <s v="S18_3278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252"/>
    <x v="14"/>
    <n v="76.39"/>
    <n v="2"/>
    <x v="0"/>
    <x v="1088"/>
    <s v="2/24/2003 0:1102"/>
    <x v="0"/>
    <x v="0"/>
    <s v="Shipped"/>
    <x v="1"/>
    <x v="1"/>
    <x v="1"/>
    <x v="1"/>
    <n v="80"/>
    <s v="S18_3278"/>
    <s v="Auto Canal Petit"/>
    <s v="(1) 47.55.6555"/>
    <s v="25, rue Lauriston"/>
    <m/>
    <s v="Paris"/>
    <x v="2"/>
    <m/>
    <n v="75016"/>
    <x v="1"/>
    <x v="1"/>
    <s v="EMEA"/>
    <s v="Perrier"/>
    <s v="Dominique"/>
    <x v="0"/>
  </r>
  <r>
    <n v="10265"/>
    <x v="3"/>
    <n v="86.84"/>
    <n v="2"/>
    <x v="0"/>
    <x v="1089"/>
    <s v="2/24/2003 0:1103"/>
    <x v="0"/>
    <x v="0"/>
    <s v="Shipped"/>
    <x v="2"/>
    <x v="2"/>
    <x v="1"/>
    <x v="1"/>
    <n v="80"/>
    <s v="S18_3278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1"/>
  </r>
  <r>
    <n v="10276"/>
    <x v="19"/>
    <n v="69.959999999999994"/>
    <n v="6"/>
    <x v="0"/>
    <x v="1090"/>
    <s v="2/24/2003 0:1104"/>
    <x v="0"/>
    <x v="0"/>
    <s v="Shipped"/>
    <x v="2"/>
    <x v="3"/>
    <x v="1"/>
    <x v="1"/>
    <n v="80"/>
    <s v="S18_3278"/>
    <s v="Online Mini Collectables"/>
    <n v="6175557555"/>
    <s v="7635 Spinnaker Dr."/>
    <m/>
    <s v="Brickhaven"/>
    <x v="35"/>
    <s v="MA"/>
    <n v="58339"/>
    <x v="0"/>
    <x v="0"/>
    <s v="NA"/>
    <s v="Barajas"/>
    <s v="Miguel"/>
    <x v="0"/>
  </r>
  <r>
    <n v="10287"/>
    <x v="30"/>
    <n v="70.760000000000005"/>
    <n v="15"/>
    <x v="0"/>
    <x v="1091"/>
    <s v="2/24/2003 0:1105"/>
    <x v="0"/>
    <x v="0"/>
    <s v="Shipped"/>
    <x v="2"/>
    <x v="3"/>
    <x v="1"/>
    <x v="1"/>
    <n v="80"/>
    <s v="S18_3278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300"/>
    <x v="4"/>
    <n v="78.8"/>
    <n v="8"/>
    <x v="0"/>
    <x v="1092"/>
    <s v="2/24/2003 0:1106"/>
    <x v="0"/>
    <x v="0"/>
    <s v="Shipped"/>
    <x v="3"/>
    <x v="4"/>
    <x v="0"/>
    <x v="1"/>
    <n v="80"/>
    <s v="S18_3278"/>
    <s v="Blauer See Auto, Co."/>
    <s v="+49 69 66 90 2555"/>
    <s v="Lyonerstr. 34"/>
    <m/>
    <s v="Frankfurt"/>
    <x v="58"/>
    <m/>
    <n v="60528"/>
    <x v="16"/>
    <x v="16"/>
    <s v="EMEA"/>
    <s v="Keitel"/>
    <s v="Roland"/>
    <x v="1"/>
  </r>
  <r>
    <n v="10310"/>
    <x v="26"/>
    <n v="80.41"/>
    <n v="13"/>
    <x v="0"/>
    <x v="1093"/>
    <s v="2/24/2003 0:1107"/>
    <x v="0"/>
    <x v="0"/>
    <s v="Shipped"/>
    <x v="3"/>
    <x v="4"/>
    <x v="1"/>
    <x v="1"/>
    <n v="80"/>
    <s v="S18_3278"/>
    <s v="Toms Spezialitten, Ltd"/>
    <s v="0221-5554327"/>
    <s v="Mehrheimerstr. 369"/>
    <m/>
    <s v="Koln"/>
    <x v="55"/>
    <m/>
    <n v="50739"/>
    <x v="16"/>
    <x v="16"/>
    <s v="EMEA"/>
    <s v="Pfalzheim"/>
    <s v="Henriette"/>
    <x v="0"/>
  </r>
  <r>
    <n v="10319"/>
    <x v="12"/>
    <n v="73.98"/>
    <n v="1"/>
    <x v="0"/>
    <x v="1094"/>
    <s v="2/24/2003 0:1108"/>
    <x v="0"/>
    <x v="0"/>
    <s v="Shipped"/>
    <x v="3"/>
    <x v="5"/>
    <x v="1"/>
    <x v="1"/>
    <n v="80"/>
    <s v="S18_3278"/>
    <s v="Microscale Inc."/>
    <n v="2125551957"/>
    <s v="5290 North Pendale Street"/>
    <s v="Suite 200"/>
    <s v="Nyc"/>
    <x v="0"/>
    <s v="NY"/>
    <n v="10022"/>
    <x v="0"/>
    <x v="0"/>
    <s v="NA"/>
    <s v="Kuo"/>
    <s v="Kee"/>
    <x v="1"/>
  </r>
  <r>
    <n v="10329"/>
    <x v="19"/>
    <n v="59.1"/>
    <n v="10"/>
    <x v="0"/>
    <x v="1095"/>
    <s v="2/24/2003 0:1109"/>
    <x v="0"/>
    <x v="0"/>
    <s v="Shipped"/>
    <x v="3"/>
    <x v="5"/>
    <x v="1"/>
    <x v="1"/>
    <n v="80"/>
    <s v="S18_3278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42"/>
    <x v="32"/>
    <n v="66.739999999999995"/>
    <n v="5"/>
    <x v="0"/>
    <x v="1096"/>
    <s v="2/24/2003 0:1110"/>
    <x v="0"/>
    <x v="0"/>
    <s v="Shipped"/>
    <x v="3"/>
    <x v="5"/>
    <x v="1"/>
    <x v="1"/>
    <n v="80"/>
    <s v="S18_3278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363"/>
    <x v="12"/>
    <n v="60.3"/>
    <n v="10"/>
    <x v="0"/>
    <x v="1097"/>
    <s v="2/24/2003 0:1111"/>
    <x v="0"/>
    <x v="0"/>
    <s v="Shipped"/>
    <x v="0"/>
    <x v="7"/>
    <x v="2"/>
    <x v="1"/>
    <n v="80"/>
    <s v="S18_3278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378"/>
    <x v="8"/>
    <n v="100"/>
    <n v="4"/>
    <x v="0"/>
    <x v="1098"/>
    <s v="2/24/2003 0:1112"/>
    <x v="0"/>
    <x v="0"/>
    <s v="Shipped"/>
    <x v="0"/>
    <x v="0"/>
    <x v="2"/>
    <x v="1"/>
    <n v="80"/>
    <s v="S18_327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0"/>
    <x v="23"/>
    <n v="100"/>
    <n v="9"/>
    <x v="1"/>
    <x v="1099"/>
    <s v="2/24/2003 0:1113"/>
    <x v="0"/>
    <x v="0"/>
    <s v="Shipped"/>
    <x v="0"/>
    <x v="11"/>
    <x v="2"/>
    <x v="1"/>
    <n v="80"/>
    <s v="S18_327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03"/>
    <x v="12"/>
    <n v="100"/>
    <n v="16"/>
    <x v="1"/>
    <x v="1100"/>
    <s v="2/24/2003 0:1114"/>
    <x v="0"/>
    <x v="0"/>
    <s v="Shipped"/>
    <x v="0"/>
    <x v="7"/>
    <x v="0"/>
    <x v="3"/>
    <n v="99"/>
    <s v="S18_3320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111"/>
    <x v="25"/>
    <n v="100"/>
    <n v="4"/>
    <x v="1"/>
    <x v="1101"/>
    <s v="2/24/2003 0:1115"/>
    <x v="0"/>
    <x v="0"/>
    <s v="Shipped"/>
    <x v="0"/>
    <x v="11"/>
    <x v="0"/>
    <x v="3"/>
    <n v="99"/>
    <s v="S18_3320"/>
    <s v="Mini Wheels Co."/>
    <n v="6505555787"/>
    <s v="5557 North Pendale Street"/>
    <m/>
    <s v="San Francisco"/>
    <x v="4"/>
    <s v="CA"/>
    <m/>
    <x v="0"/>
    <x v="0"/>
    <s v="NA"/>
    <s v="Murphy"/>
    <s v="Julie"/>
    <x v="1"/>
  </r>
  <r>
    <n v="10126"/>
    <x v="19"/>
    <n v="82.34"/>
    <n v="16"/>
    <x v="0"/>
    <x v="1102"/>
    <s v="2/24/2003 0:1116"/>
    <x v="0"/>
    <x v="0"/>
    <s v="Shipped"/>
    <x v="1"/>
    <x v="1"/>
    <x v="0"/>
    <x v="3"/>
    <n v="99"/>
    <s v="S18_3320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139"/>
    <x v="0"/>
    <n v="100"/>
    <n v="5"/>
    <x v="0"/>
    <x v="1103"/>
    <s v="2/24/2003 0:1117"/>
    <x v="0"/>
    <x v="0"/>
    <s v="Shipped"/>
    <x v="2"/>
    <x v="2"/>
    <x v="0"/>
    <x v="3"/>
    <n v="99"/>
    <s v="S18_3320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149"/>
    <x v="13"/>
    <n v="94.25"/>
    <n v="2"/>
    <x v="0"/>
    <x v="1104"/>
    <s v="2/24/2003 0:1118"/>
    <x v="0"/>
    <x v="0"/>
    <s v="Shipped"/>
    <x v="2"/>
    <x v="10"/>
    <x v="0"/>
    <x v="3"/>
    <n v="99"/>
    <s v="S18_3320"/>
    <s v="Signal Collectibles Ltd."/>
    <n v="4155554312"/>
    <s v="2793 Furth Circle"/>
    <m/>
    <s v="Brisbane"/>
    <x v="65"/>
    <s v="CA"/>
    <n v="94217"/>
    <x v="0"/>
    <x v="0"/>
    <s v="NA"/>
    <s v="Taylor"/>
    <s v="Sue"/>
    <x v="1"/>
  </r>
  <r>
    <n v="10163"/>
    <x v="30"/>
    <n v="100"/>
    <n v="6"/>
    <x v="1"/>
    <x v="1105"/>
    <s v="2/24/2003 0:1119"/>
    <x v="0"/>
    <x v="0"/>
    <s v="Shipped"/>
    <x v="3"/>
    <x v="4"/>
    <x v="0"/>
    <x v="3"/>
    <n v="99"/>
    <s v="S18_3320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1"/>
  </r>
  <r>
    <n v="10173"/>
    <x v="6"/>
    <n v="95.24"/>
    <n v="4"/>
    <x v="0"/>
    <x v="1106"/>
    <s v="2/24/2003 0:1120"/>
    <x v="0"/>
    <x v="0"/>
    <s v="Shipped"/>
    <x v="3"/>
    <x v="5"/>
    <x v="0"/>
    <x v="3"/>
    <n v="99"/>
    <s v="S18_3320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82"/>
    <x v="29"/>
    <n v="86.31"/>
    <n v="1"/>
    <x v="0"/>
    <x v="1107"/>
    <s v="2/24/2003 0:1121"/>
    <x v="0"/>
    <x v="0"/>
    <s v="Shipped"/>
    <x v="3"/>
    <x v="5"/>
    <x v="0"/>
    <x v="3"/>
    <n v="99"/>
    <s v="S18_332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93"/>
    <x v="22"/>
    <n v="79.37"/>
    <n v="5"/>
    <x v="0"/>
    <x v="1108"/>
    <s v="2/24/2003 0:1122"/>
    <x v="0"/>
    <x v="0"/>
    <s v="Shipped"/>
    <x v="3"/>
    <x v="5"/>
    <x v="0"/>
    <x v="3"/>
    <n v="99"/>
    <s v="S18_3320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206"/>
    <x v="11"/>
    <n v="87.3"/>
    <n v="11"/>
    <x v="0"/>
    <x v="1109"/>
    <s v="2/24/2003 0:1123"/>
    <x v="0"/>
    <x v="0"/>
    <s v="Shipped"/>
    <x v="3"/>
    <x v="6"/>
    <x v="0"/>
    <x v="3"/>
    <n v="99"/>
    <s v="S18_3320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0"/>
  </r>
  <r>
    <n v="10215"/>
    <x v="2"/>
    <n v="100"/>
    <n v="8"/>
    <x v="1"/>
    <x v="1110"/>
    <s v="2/24/2003 0:1124"/>
    <x v="0"/>
    <x v="0"/>
    <s v="Shipped"/>
    <x v="0"/>
    <x v="7"/>
    <x v="1"/>
    <x v="3"/>
    <n v="99"/>
    <s v="S18_3320"/>
    <s v="West Coast Collectables Co."/>
    <n v="3105553722"/>
    <s v="3675 Furth Circle"/>
    <m/>
    <s v="Burbank"/>
    <x v="27"/>
    <s v="CA"/>
    <n v="94019"/>
    <x v="0"/>
    <x v="0"/>
    <s v="NA"/>
    <s v="Thompson"/>
    <s v="Steve"/>
    <x v="1"/>
  </r>
  <r>
    <n v="10227"/>
    <x v="29"/>
    <n v="100"/>
    <n v="1"/>
    <x v="0"/>
    <x v="1111"/>
    <s v="2/24/2003 0:1125"/>
    <x v="0"/>
    <x v="0"/>
    <s v="Shipped"/>
    <x v="0"/>
    <x v="11"/>
    <x v="1"/>
    <x v="3"/>
    <n v="99"/>
    <s v="S18_3320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44"/>
    <x v="5"/>
    <n v="84.33"/>
    <n v="5"/>
    <x v="0"/>
    <x v="1112"/>
    <s v="2/24/2003 0:1126"/>
    <x v="0"/>
    <x v="0"/>
    <s v="Shipped"/>
    <x v="1"/>
    <x v="8"/>
    <x v="1"/>
    <x v="3"/>
    <n v="99"/>
    <s v="S18_332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57"/>
    <x v="18"/>
    <n v="89.29"/>
    <n v="5"/>
    <x v="0"/>
    <x v="1113"/>
    <s v="2/24/2003 0:1127"/>
    <x v="0"/>
    <x v="0"/>
    <s v="Shipped"/>
    <x v="1"/>
    <x v="9"/>
    <x v="1"/>
    <x v="3"/>
    <n v="99"/>
    <s v="S18_3320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280"/>
    <x v="1"/>
    <n v="100"/>
    <n v="7"/>
    <x v="0"/>
    <x v="1114"/>
    <s v="2/24/2003 0:1128"/>
    <x v="0"/>
    <x v="0"/>
    <s v="Shipped"/>
    <x v="2"/>
    <x v="3"/>
    <x v="1"/>
    <x v="3"/>
    <n v="99"/>
    <s v="S18_3320"/>
    <s v="Amica Models &amp; Co."/>
    <s v="011-4988555"/>
    <s v="Via Monte Bianco 34"/>
    <m/>
    <s v="Torino"/>
    <x v="30"/>
    <m/>
    <n v="10100"/>
    <x v="12"/>
    <x v="12"/>
    <s v="EMEA"/>
    <s v="Accorti"/>
    <s v="Paolo"/>
    <x v="1"/>
  </r>
  <r>
    <n v="10290"/>
    <x v="18"/>
    <n v="96.23"/>
    <n v="2"/>
    <x v="0"/>
    <x v="1115"/>
    <s v="2/24/2003 0:1129"/>
    <x v="0"/>
    <x v="0"/>
    <s v="Shipped"/>
    <x v="2"/>
    <x v="10"/>
    <x v="1"/>
    <x v="3"/>
    <n v="99"/>
    <s v="S18_3320"/>
    <s v="Auto-Moto Classics Inc."/>
    <n v="6175558428"/>
    <s v="16780 Pompton St."/>
    <m/>
    <s v="Brickhaven"/>
    <x v="35"/>
    <s v="MA"/>
    <n v="58339"/>
    <x v="0"/>
    <x v="0"/>
    <s v="NA"/>
    <s v="Taylor"/>
    <s v="Leslie"/>
    <x v="0"/>
  </r>
  <r>
    <n v="10304"/>
    <x v="19"/>
    <n v="100"/>
    <n v="11"/>
    <x v="0"/>
    <x v="1116"/>
    <s v="2/24/2003 0:1130"/>
    <x v="0"/>
    <x v="0"/>
    <s v="Shipped"/>
    <x v="3"/>
    <x v="4"/>
    <x v="1"/>
    <x v="3"/>
    <n v="99"/>
    <s v="S18_3320"/>
    <s v="Auto Assoc. &amp; Cie."/>
    <s v="30.59.8555"/>
    <s v="67, avenue de l'Europe"/>
    <m/>
    <s v="Versailles"/>
    <x v="32"/>
    <m/>
    <n v="78000"/>
    <x v="1"/>
    <x v="1"/>
    <s v="EMEA"/>
    <s v="Tonini"/>
    <s v="Daniel"/>
    <x v="1"/>
  </r>
  <r>
    <n v="10312"/>
    <x v="29"/>
    <n v="100"/>
    <n v="8"/>
    <x v="0"/>
    <x v="1117"/>
    <s v="2/24/2003 0:1131"/>
    <x v="0"/>
    <x v="0"/>
    <s v="Shipped"/>
    <x v="3"/>
    <x v="4"/>
    <x v="1"/>
    <x v="3"/>
    <n v="99"/>
    <s v="S18_332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23"/>
    <x v="29"/>
    <n v="91.27"/>
    <n v="2"/>
    <x v="0"/>
    <x v="1118"/>
    <s v="2/24/2003 0:1132"/>
    <x v="0"/>
    <x v="0"/>
    <s v="Shipped"/>
    <x v="3"/>
    <x v="5"/>
    <x v="1"/>
    <x v="3"/>
    <n v="99"/>
    <s v="S18_3320"/>
    <s v="Blauer See Auto, Co."/>
    <s v="+49 69 66 90 2555"/>
    <s v="Lyonerstr. 34"/>
    <m/>
    <s v="Frankfurt"/>
    <x v="58"/>
    <m/>
    <n v="60528"/>
    <x v="16"/>
    <x v="16"/>
    <s v="EMEA"/>
    <s v="Keitel"/>
    <s v="Roland"/>
    <x v="1"/>
  </r>
  <r>
    <n v="10333"/>
    <x v="12"/>
    <n v="100"/>
    <n v="2"/>
    <x v="1"/>
    <x v="1119"/>
    <s v="2/24/2003 0:1133"/>
    <x v="0"/>
    <x v="0"/>
    <s v="Shipped"/>
    <x v="3"/>
    <x v="5"/>
    <x v="1"/>
    <x v="3"/>
    <n v="99"/>
    <s v="S18_3320"/>
    <s v="Mini Wheels Co."/>
    <n v="6505555787"/>
    <s v="5557 North Pendale Street"/>
    <m/>
    <s v="San Francisco"/>
    <x v="4"/>
    <s v="CA"/>
    <m/>
    <x v="0"/>
    <x v="0"/>
    <s v="NA"/>
    <s v="Murphy"/>
    <s v="Julie"/>
    <x v="2"/>
  </r>
  <r>
    <n v="10347"/>
    <x v="18"/>
    <n v="100"/>
    <n v="12"/>
    <x v="0"/>
    <x v="1120"/>
    <s v="2/24/2003 0:1134"/>
    <x v="0"/>
    <x v="0"/>
    <s v="Shipped"/>
    <x v="3"/>
    <x v="5"/>
    <x v="1"/>
    <x v="3"/>
    <n v="99"/>
    <s v="S18_3320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357"/>
    <x v="32"/>
    <n v="100"/>
    <n v="3"/>
    <x v="0"/>
    <x v="1121"/>
    <s v="2/24/2003 0:1135"/>
    <x v="0"/>
    <x v="0"/>
    <s v="Shipped"/>
    <x v="3"/>
    <x v="6"/>
    <x v="1"/>
    <x v="3"/>
    <n v="99"/>
    <s v="S18_332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69"/>
    <x v="3"/>
    <n v="73.08"/>
    <n v="4"/>
    <x v="0"/>
    <x v="1122"/>
    <s v="2/24/2003 0:1136"/>
    <x v="0"/>
    <x v="0"/>
    <s v="Shipped"/>
    <x v="0"/>
    <x v="7"/>
    <x v="2"/>
    <x v="3"/>
    <n v="99"/>
    <s v="S18_3320"/>
    <s v="Collectables For Less Inc."/>
    <n v="6175558555"/>
    <s v="7825 Douglas Av."/>
    <m/>
    <s v="Brickhaven"/>
    <x v="35"/>
    <s v="MA"/>
    <n v="58339"/>
    <x v="0"/>
    <x v="0"/>
    <s v="NA"/>
    <s v="Nelson"/>
    <s v="Allen"/>
    <x v="1"/>
  </r>
  <r>
    <n v="10382"/>
    <x v="24"/>
    <n v="100"/>
    <n v="7"/>
    <x v="1"/>
    <x v="1123"/>
    <s v="2/24/2003 0:1137"/>
    <x v="0"/>
    <x v="0"/>
    <s v="Shipped"/>
    <x v="0"/>
    <x v="0"/>
    <x v="2"/>
    <x v="3"/>
    <n v="99"/>
    <s v="S18_332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2"/>
  </r>
  <r>
    <n v="10392"/>
    <x v="5"/>
    <n v="100"/>
    <n v="1"/>
    <x v="1"/>
    <x v="1124"/>
    <s v="2/24/2003 0:1138"/>
    <x v="0"/>
    <x v="0"/>
    <s v="Shipped"/>
    <x v="0"/>
    <x v="11"/>
    <x v="2"/>
    <x v="3"/>
    <n v="99"/>
    <s v="S18_3320"/>
    <s v="Mini Auto Werke"/>
    <s v="7675-3555"/>
    <s v="Kirchgasse 6"/>
    <m/>
    <s v="Graz"/>
    <x v="52"/>
    <m/>
    <n v="8010"/>
    <x v="5"/>
    <x v="5"/>
    <s v="EMEA"/>
    <s v="Mendel"/>
    <s v="Roland"/>
    <x v="1"/>
  </r>
  <r>
    <n v="10423"/>
    <x v="15"/>
    <n v="89.29"/>
    <n v="5"/>
    <x v="0"/>
    <x v="1125"/>
    <s v="2/24/2003 0:1139"/>
    <x v="2"/>
    <x v="1"/>
    <s v="In Process"/>
    <x v="1"/>
    <x v="1"/>
    <x v="2"/>
    <x v="3"/>
    <n v="99"/>
    <s v="S18_3320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108"/>
    <x v="6"/>
    <n v="100"/>
    <n v="8"/>
    <x v="1"/>
    <x v="1126"/>
    <s v="2/24/2003 0:1140"/>
    <x v="0"/>
    <x v="0"/>
    <s v="Shipped"/>
    <x v="0"/>
    <x v="11"/>
    <x v="0"/>
    <x v="1"/>
    <n v="146"/>
    <s v="S18_3482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122"/>
    <x v="15"/>
    <n v="100"/>
    <n v="12"/>
    <x v="0"/>
    <x v="1127"/>
    <s v="2/24/2003 0:1141"/>
    <x v="0"/>
    <x v="0"/>
    <s v="Shipped"/>
    <x v="1"/>
    <x v="1"/>
    <x v="0"/>
    <x v="1"/>
    <n v="146"/>
    <s v="S18_3482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135"/>
    <x v="13"/>
    <n v="100"/>
    <n v="9"/>
    <x v="1"/>
    <x v="1128"/>
    <s v="2/24/2003 0:1142"/>
    <x v="0"/>
    <x v="0"/>
    <s v="Shipped"/>
    <x v="2"/>
    <x v="2"/>
    <x v="0"/>
    <x v="1"/>
    <n v="146"/>
    <s v="S18_348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47"/>
    <x v="9"/>
    <n v="100"/>
    <n v="9"/>
    <x v="1"/>
    <x v="1129"/>
    <s v="2/24/2003 0:1143"/>
    <x v="0"/>
    <x v="0"/>
    <s v="Shipped"/>
    <x v="2"/>
    <x v="10"/>
    <x v="0"/>
    <x v="1"/>
    <n v="146"/>
    <s v="S18_3482"/>
    <s v="Collectables For Less Inc."/>
    <n v="6175558555"/>
    <s v="7825 Douglas Av."/>
    <m/>
    <s v="Brickhaven"/>
    <x v="35"/>
    <s v="MA"/>
    <n v="58339"/>
    <x v="0"/>
    <x v="0"/>
    <s v="NA"/>
    <s v="Nelson"/>
    <s v="Allen"/>
    <x v="1"/>
  </r>
  <r>
    <n v="10159"/>
    <x v="32"/>
    <n v="100"/>
    <n v="4"/>
    <x v="0"/>
    <x v="1130"/>
    <s v="2/24/2003 0:1144"/>
    <x v="0"/>
    <x v="0"/>
    <s v="Shipped"/>
    <x v="3"/>
    <x v="4"/>
    <x v="0"/>
    <x v="1"/>
    <n v="146"/>
    <s v="S18_3482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169"/>
    <x v="5"/>
    <n v="100"/>
    <n v="4"/>
    <x v="1"/>
    <x v="1131"/>
    <s v="2/24/2003 0:1145"/>
    <x v="0"/>
    <x v="0"/>
    <s v="Shipped"/>
    <x v="3"/>
    <x v="5"/>
    <x v="0"/>
    <x v="1"/>
    <n v="146"/>
    <s v="S18_3482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81"/>
    <x v="8"/>
    <n v="100"/>
    <n v="16"/>
    <x v="0"/>
    <x v="1132"/>
    <s v="2/24/2003 0:1146"/>
    <x v="0"/>
    <x v="0"/>
    <s v="Shipped"/>
    <x v="3"/>
    <x v="5"/>
    <x v="0"/>
    <x v="1"/>
    <n v="146"/>
    <s v="S18_3482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191"/>
    <x v="10"/>
    <n v="100"/>
    <n v="5"/>
    <x v="0"/>
    <x v="1133"/>
    <s v="2/24/2003 0:1147"/>
    <x v="0"/>
    <x v="0"/>
    <s v="Shipped"/>
    <x v="3"/>
    <x v="5"/>
    <x v="0"/>
    <x v="1"/>
    <n v="146"/>
    <s v="S18_3482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203"/>
    <x v="22"/>
    <n v="100"/>
    <n v="10"/>
    <x v="1"/>
    <x v="1134"/>
    <s v="2/24/2003 0:1148"/>
    <x v="0"/>
    <x v="0"/>
    <s v="Shipped"/>
    <x v="3"/>
    <x v="6"/>
    <x v="0"/>
    <x v="1"/>
    <n v="146"/>
    <s v="S18_348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11"/>
    <x v="11"/>
    <n v="100"/>
    <n v="4"/>
    <x v="0"/>
    <x v="1135"/>
    <s v="2/24/2003 0:1149"/>
    <x v="0"/>
    <x v="0"/>
    <s v="Shipped"/>
    <x v="0"/>
    <x v="7"/>
    <x v="1"/>
    <x v="1"/>
    <n v="146"/>
    <s v="S18_3482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225"/>
    <x v="26"/>
    <n v="100"/>
    <n v="11"/>
    <x v="1"/>
    <x v="1136"/>
    <s v="2/24/2003 0:1150"/>
    <x v="0"/>
    <x v="0"/>
    <s v="Shipped"/>
    <x v="0"/>
    <x v="0"/>
    <x v="1"/>
    <x v="1"/>
    <n v="146"/>
    <s v="S18_3482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238"/>
    <x v="4"/>
    <n v="100"/>
    <n v="5"/>
    <x v="1"/>
    <x v="1137"/>
    <s v="2/24/2003 0:1151"/>
    <x v="0"/>
    <x v="0"/>
    <s v="Shipped"/>
    <x v="1"/>
    <x v="8"/>
    <x v="1"/>
    <x v="1"/>
    <n v="146"/>
    <s v="S18_3482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252"/>
    <x v="2"/>
    <n v="100"/>
    <n v="1"/>
    <x v="1"/>
    <x v="1138"/>
    <s v="2/24/2003 0:1152"/>
    <x v="0"/>
    <x v="0"/>
    <s v="Shipped"/>
    <x v="1"/>
    <x v="1"/>
    <x v="1"/>
    <x v="1"/>
    <n v="146"/>
    <s v="S18_3482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265"/>
    <x v="4"/>
    <n v="100"/>
    <n v="1"/>
    <x v="1"/>
    <x v="1139"/>
    <s v="2/24/2003 0:1153"/>
    <x v="0"/>
    <x v="0"/>
    <s v="Shipped"/>
    <x v="2"/>
    <x v="2"/>
    <x v="1"/>
    <x v="1"/>
    <n v="146"/>
    <s v="S18_3482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2"/>
  </r>
  <r>
    <n v="10276"/>
    <x v="0"/>
    <n v="100"/>
    <n v="5"/>
    <x v="0"/>
    <x v="1140"/>
    <s v="2/24/2003 0:1154"/>
    <x v="0"/>
    <x v="0"/>
    <s v="Shipped"/>
    <x v="2"/>
    <x v="3"/>
    <x v="1"/>
    <x v="1"/>
    <n v="146"/>
    <s v="S18_3482"/>
    <s v="Online Mini Collectables"/>
    <n v="6175557555"/>
    <s v="7635 Spinnaker Dr."/>
    <m/>
    <s v="Brickhaven"/>
    <x v="35"/>
    <s v="MA"/>
    <n v="58339"/>
    <x v="0"/>
    <x v="0"/>
    <s v="NA"/>
    <s v="Barajas"/>
    <s v="Miguel"/>
    <x v="1"/>
  </r>
  <r>
    <n v="10287"/>
    <x v="23"/>
    <n v="100"/>
    <n v="14"/>
    <x v="1"/>
    <x v="1141"/>
    <s v="2/24/2003 0:1155"/>
    <x v="0"/>
    <x v="0"/>
    <s v="Shipped"/>
    <x v="2"/>
    <x v="3"/>
    <x v="1"/>
    <x v="1"/>
    <n v="146"/>
    <s v="S18_3482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300"/>
    <x v="10"/>
    <n v="100"/>
    <n v="7"/>
    <x v="0"/>
    <x v="1142"/>
    <s v="2/24/2003 0:1156"/>
    <x v="0"/>
    <x v="0"/>
    <s v="Shipped"/>
    <x v="3"/>
    <x v="4"/>
    <x v="0"/>
    <x v="1"/>
    <n v="146"/>
    <s v="S18_3482"/>
    <s v="Blauer See Auto, Co."/>
    <s v="+49 69 66 90 2555"/>
    <s v="Lyonerstr. 34"/>
    <m/>
    <s v="Frankfurt"/>
    <x v="58"/>
    <m/>
    <n v="60528"/>
    <x v="16"/>
    <x v="16"/>
    <s v="EMEA"/>
    <s v="Keitel"/>
    <s v="Roland"/>
    <x v="1"/>
  </r>
  <r>
    <n v="10310"/>
    <x v="4"/>
    <n v="100"/>
    <n v="12"/>
    <x v="1"/>
    <x v="1143"/>
    <s v="2/24/2003 0:1157"/>
    <x v="0"/>
    <x v="0"/>
    <s v="Shipped"/>
    <x v="3"/>
    <x v="4"/>
    <x v="1"/>
    <x v="1"/>
    <n v="146"/>
    <s v="S18_3482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320"/>
    <x v="32"/>
    <n v="100"/>
    <n v="5"/>
    <x v="0"/>
    <x v="1144"/>
    <s v="2/24/2003 0:1158"/>
    <x v="0"/>
    <x v="0"/>
    <s v="Shipped"/>
    <x v="3"/>
    <x v="5"/>
    <x v="1"/>
    <x v="1"/>
    <n v="146"/>
    <s v="S18_3482"/>
    <s v="Volvo Model Replicas, Co"/>
    <s v="0921-12 3555"/>
    <s v="Berguvsv„gen  8"/>
    <m/>
    <s v="Lule"/>
    <x v="21"/>
    <m/>
    <s v="S-958 22"/>
    <x v="8"/>
    <x v="8"/>
    <s v="EMEA"/>
    <s v="Berglund"/>
    <s v="Christina"/>
    <x v="1"/>
  </r>
  <r>
    <n v="10330"/>
    <x v="9"/>
    <n v="100"/>
    <n v="3"/>
    <x v="1"/>
    <x v="1129"/>
    <s v="2/24/2003 0:1159"/>
    <x v="0"/>
    <x v="0"/>
    <s v="Shipped"/>
    <x v="3"/>
    <x v="5"/>
    <x v="1"/>
    <x v="1"/>
    <n v="146"/>
    <s v="S18_3482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342"/>
    <x v="36"/>
    <n v="100"/>
    <n v="7"/>
    <x v="1"/>
    <x v="1145"/>
    <s v="2/24/2003 0:1160"/>
    <x v="0"/>
    <x v="0"/>
    <s v="Shipped"/>
    <x v="3"/>
    <x v="5"/>
    <x v="1"/>
    <x v="1"/>
    <n v="146"/>
    <s v="S18_3482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5"/>
    <x v="10"/>
    <n v="100"/>
    <n v="7"/>
    <x v="0"/>
    <x v="1146"/>
    <s v="2/24/2003 0:1161"/>
    <x v="0"/>
    <x v="0"/>
    <s v="Shipped"/>
    <x v="3"/>
    <x v="6"/>
    <x v="1"/>
    <x v="1"/>
    <n v="146"/>
    <s v="S18_348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63"/>
    <x v="16"/>
    <n v="100"/>
    <n v="11"/>
    <x v="1"/>
    <x v="1147"/>
    <s v="2/24/2003 0:1162"/>
    <x v="0"/>
    <x v="0"/>
    <s v="Shipped"/>
    <x v="0"/>
    <x v="7"/>
    <x v="2"/>
    <x v="1"/>
    <n v="146"/>
    <s v="S18_3482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378"/>
    <x v="30"/>
    <n v="96.49"/>
    <n v="10"/>
    <x v="1"/>
    <x v="1148"/>
    <s v="2/24/2003 0:1163"/>
    <x v="0"/>
    <x v="0"/>
    <s v="Shipped"/>
    <x v="0"/>
    <x v="0"/>
    <x v="2"/>
    <x v="1"/>
    <n v="146"/>
    <s v="S18_348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0"/>
    <x v="24"/>
    <n v="100"/>
    <n v="1"/>
    <x v="1"/>
    <x v="1149"/>
    <s v="2/24/2003 0:1164"/>
    <x v="0"/>
    <x v="0"/>
    <s v="Shipped"/>
    <x v="0"/>
    <x v="11"/>
    <x v="2"/>
    <x v="1"/>
    <n v="146"/>
    <s v="S18_348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2"/>
  </r>
  <r>
    <n v="10109"/>
    <x v="20"/>
    <n v="100"/>
    <n v="2"/>
    <x v="1"/>
    <x v="1150"/>
    <s v="2/24/2003 0:1165"/>
    <x v="0"/>
    <x v="0"/>
    <s v="Shipped"/>
    <x v="0"/>
    <x v="11"/>
    <x v="0"/>
    <x v="1"/>
    <n v="141"/>
    <s v="S18_3685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123"/>
    <x v="1"/>
    <n v="100"/>
    <n v="4"/>
    <x v="1"/>
    <x v="1151"/>
    <s v="2/24/2003 0:1166"/>
    <x v="0"/>
    <x v="0"/>
    <s v="Shipped"/>
    <x v="1"/>
    <x v="1"/>
    <x v="0"/>
    <x v="1"/>
    <n v="141"/>
    <s v="S18_3685"/>
    <s v="Atelier graphique"/>
    <s v="40.32.2555"/>
    <s v="54, rue Royale"/>
    <m/>
    <s v="Nantes"/>
    <x v="11"/>
    <m/>
    <n v="44000"/>
    <x v="1"/>
    <x v="1"/>
    <s v="EMEA"/>
    <s v="Schmitt"/>
    <s v="Carine"/>
    <x v="1"/>
  </r>
  <r>
    <n v="10137"/>
    <x v="28"/>
    <n v="100"/>
    <n v="4"/>
    <x v="1"/>
    <x v="1152"/>
    <s v="2/24/2003 0:1167"/>
    <x v="0"/>
    <x v="0"/>
    <s v="Shipped"/>
    <x v="2"/>
    <x v="2"/>
    <x v="0"/>
    <x v="1"/>
    <n v="141"/>
    <s v="S18_3685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148"/>
    <x v="11"/>
    <n v="100"/>
    <n v="11"/>
    <x v="0"/>
    <x v="1153"/>
    <s v="2/24/2003 0:1168"/>
    <x v="0"/>
    <x v="0"/>
    <s v="Shipped"/>
    <x v="2"/>
    <x v="10"/>
    <x v="0"/>
    <x v="1"/>
    <n v="141"/>
    <s v="S18_3685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61"/>
    <x v="5"/>
    <n v="100"/>
    <n v="10"/>
    <x v="1"/>
    <x v="1154"/>
    <s v="2/24/2003 0:1169"/>
    <x v="0"/>
    <x v="0"/>
    <s v="Shipped"/>
    <x v="3"/>
    <x v="4"/>
    <x v="0"/>
    <x v="1"/>
    <n v="141"/>
    <s v="S18_3685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172"/>
    <x v="7"/>
    <n v="100"/>
    <n v="8"/>
    <x v="1"/>
    <x v="1155"/>
    <s v="2/24/2003 0:1170"/>
    <x v="0"/>
    <x v="0"/>
    <s v="Shipped"/>
    <x v="3"/>
    <x v="5"/>
    <x v="0"/>
    <x v="1"/>
    <n v="141"/>
    <s v="S18_3685"/>
    <s v="Gift Depot Inc."/>
    <n v="2035552570"/>
    <s v="25593 South Bay Ln."/>
    <m/>
    <s v="Bridgewater"/>
    <x v="10"/>
    <s v="CT"/>
    <n v="97562"/>
    <x v="0"/>
    <x v="0"/>
    <s v="NA"/>
    <s v="King"/>
    <s v="Julie"/>
    <x v="1"/>
  </r>
  <r>
    <n v="10181"/>
    <x v="25"/>
    <n v="100"/>
    <n v="4"/>
    <x v="1"/>
    <x v="1156"/>
    <s v="2/24/2003 0:1171"/>
    <x v="0"/>
    <x v="0"/>
    <s v="Shipped"/>
    <x v="3"/>
    <x v="5"/>
    <x v="0"/>
    <x v="1"/>
    <n v="141"/>
    <s v="S18_3685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192"/>
    <x v="3"/>
    <n v="100"/>
    <n v="9"/>
    <x v="1"/>
    <x v="1157"/>
    <s v="2/24/2003 0:1172"/>
    <x v="0"/>
    <x v="0"/>
    <s v="Shipped"/>
    <x v="3"/>
    <x v="5"/>
    <x v="0"/>
    <x v="1"/>
    <n v="141"/>
    <s v="S18_3685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204"/>
    <x v="21"/>
    <n v="100"/>
    <n v="15"/>
    <x v="1"/>
    <x v="1158"/>
    <s v="2/24/2003 0:1173"/>
    <x v="0"/>
    <x v="0"/>
    <s v="Shipped"/>
    <x v="3"/>
    <x v="6"/>
    <x v="0"/>
    <x v="1"/>
    <n v="141"/>
    <s v="S18_3685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12"/>
    <x v="3"/>
    <n v="100"/>
    <n v="8"/>
    <x v="1"/>
    <x v="1159"/>
    <s v="2/24/2003 0:1174"/>
    <x v="0"/>
    <x v="0"/>
    <s v="Shipped"/>
    <x v="0"/>
    <x v="7"/>
    <x v="1"/>
    <x v="1"/>
    <n v="141"/>
    <s v="S18_3685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26"/>
    <x v="12"/>
    <n v="100"/>
    <n v="6"/>
    <x v="1"/>
    <x v="1160"/>
    <s v="2/24/2003 0:1175"/>
    <x v="0"/>
    <x v="0"/>
    <s v="Shipped"/>
    <x v="0"/>
    <x v="0"/>
    <x v="1"/>
    <x v="1"/>
    <n v="141"/>
    <s v="S18_3685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2"/>
  </r>
  <r>
    <n v="10240"/>
    <x v="9"/>
    <n v="100"/>
    <n v="1"/>
    <x v="1"/>
    <x v="1161"/>
    <s v="2/24/2003 0:1176"/>
    <x v="0"/>
    <x v="0"/>
    <s v="Shipped"/>
    <x v="1"/>
    <x v="8"/>
    <x v="1"/>
    <x v="1"/>
    <n v="141"/>
    <s v="S18_3685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1"/>
  </r>
  <r>
    <n v="10253"/>
    <x v="28"/>
    <n v="100"/>
    <n v="3"/>
    <x v="1"/>
    <x v="1162"/>
    <s v="2/24/2003 0:1177"/>
    <x v="3"/>
    <x v="1"/>
    <s v="Cancelled"/>
    <x v="1"/>
    <x v="9"/>
    <x v="1"/>
    <x v="1"/>
    <n v="141"/>
    <s v="S18_3685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266"/>
    <x v="29"/>
    <n v="100"/>
    <n v="4"/>
    <x v="1"/>
    <x v="1163"/>
    <s v="2/24/2003 0:1178"/>
    <x v="0"/>
    <x v="0"/>
    <s v="Shipped"/>
    <x v="2"/>
    <x v="2"/>
    <x v="1"/>
    <x v="1"/>
    <n v="141"/>
    <s v="S18_3685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278"/>
    <x v="28"/>
    <n v="100"/>
    <n v="4"/>
    <x v="1"/>
    <x v="1164"/>
    <s v="2/24/2003 0:1179"/>
    <x v="0"/>
    <x v="0"/>
    <s v="Shipped"/>
    <x v="2"/>
    <x v="3"/>
    <x v="1"/>
    <x v="1"/>
    <n v="141"/>
    <s v="S18_3685"/>
    <s v="Signal Gift Stores"/>
    <n v="7025551838"/>
    <s v="8489 Strong St."/>
    <m/>
    <s v="Las Vegas"/>
    <x v="67"/>
    <s v="NV"/>
    <n v="83030"/>
    <x v="0"/>
    <x v="0"/>
    <s v="NA"/>
    <s v="King"/>
    <s v="Sue"/>
    <x v="1"/>
  </r>
  <r>
    <n v="10287"/>
    <x v="26"/>
    <n v="100"/>
    <n v="2"/>
    <x v="1"/>
    <x v="1165"/>
    <s v="2/24/2003 0:1180"/>
    <x v="0"/>
    <x v="0"/>
    <s v="Shipped"/>
    <x v="2"/>
    <x v="3"/>
    <x v="1"/>
    <x v="1"/>
    <n v="141"/>
    <s v="S18_3685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301"/>
    <x v="25"/>
    <n v="100"/>
    <n v="6"/>
    <x v="1"/>
    <x v="1166"/>
    <s v="2/24/2003 0:1181"/>
    <x v="0"/>
    <x v="0"/>
    <s v="Shipped"/>
    <x v="3"/>
    <x v="4"/>
    <x v="0"/>
    <x v="1"/>
    <n v="141"/>
    <s v="S18_3685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1"/>
  </r>
  <r>
    <n v="10311"/>
    <x v="22"/>
    <n v="100"/>
    <n v="11"/>
    <x v="0"/>
    <x v="1167"/>
    <s v="2/24/2003 0:1182"/>
    <x v="0"/>
    <x v="0"/>
    <s v="Shipped"/>
    <x v="3"/>
    <x v="4"/>
    <x v="1"/>
    <x v="1"/>
    <n v="141"/>
    <s v="S18_3685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21"/>
    <x v="11"/>
    <n v="100"/>
    <n v="8"/>
    <x v="1"/>
    <x v="1168"/>
    <s v="2/24/2003 0:1183"/>
    <x v="0"/>
    <x v="0"/>
    <s v="Shipped"/>
    <x v="3"/>
    <x v="5"/>
    <x v="1"/>
    <x v="1"/>
    <n v="141"/>
    <s v="S18_3685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331"/>
    <x v="18"/>
    <n v="67.91"/>
    <n v="12"/>
    <x v="0"/>
    <x v="1169"/>
    <s v="2/24/2003 0:1184"/>
    <x v="0"/>
    <x v="0"/>
    <s v="Shipped"/>
    <x v="3"/>
    <x v="5"/>
    <x v="1"/>
    <x v="1"/>
    <n v="141"/>
    <s v="S18_3685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0"/>
  </r>
  <r>
    <n v="10343"/>
    <x v="27"/>
    <n v="84.88"/>
    <n v="2"/>
    <x v="0"/>
    <x v="1170"/>
    <s v="2/24/2003 0:1185"/>
    <x v="0"/>
    <x v="0"/>
    <s v="Shipped"/>
    <x v="3"/>
    <x v="5"/>
    <x v="1"/>
    <x v="1"/>
    <n v="141"/>
    <s v="S18_3685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367"/>
    <x v="12"/>
    <n v="100"/>
    <n v="6"/>
    <x v="1"/>
    <x v="1171"/>
    <s v="2/24/2003 0:1186"/>
    <x v="5"/>
    <x v="1"/>
    <s v="Resolved"/>
    <x v="0"/>
    <x v="7"/>
    <x v="2"/>
    <x v="1"/>
    <n v="141"/>
    <s v="S18_3685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379"/>
    <x v="22"/>
    <n v="70.83"/>
    <n v="4"/>
    <x v="0"/>
    <x v="1172"/>
    <s v="2/24/2003 0:1187"/>
    <x v="0"/>
    <x v="0"/>
    <s v="Shipped"/>
    <x v="0"/>
    <x v="0"/>
    <x v="2"/>
    <x v="1"/>
    <n v="141"/>
    <s v="S18_3685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06"/>
    <x v="47"/>
    <n v="100"/>
    <n v="1"/>
    <x v="1"/>
    <x v="1173"/>
    <s v="2/24/2003 0:1188"/>
    <x v="1"/>
    <x v="1"/>
    <s v="Disputed"/>
    <x v="1"/>
    <x v="8"/>
    <x v="2"/>
    <x v="1"/>
    <n v="141"/>
    <s v="S18_3685"/>
    <s v="Danish Wholesale Imports"/>
    <s v="31 12 3555"/>
    <s v="Vinb'ltet 34"/>
    <m/>
    <s v="Kobenhavn"/>
    <x v="40"/>
    <m/>
    <n v="1734"/>
    <x v="13"/>
    <x v="13"/>
    <s v="EMEA"/>
    <s v="Petersen"/>
    <s v="Jytte"/>
    <x v="2"/>
  </r>
  <r>
    <n v="10419"/>
    <x v="30"/>
    <n v="100"/>
    <n v="3"/>
    <x v="1"/>
    <x v="1174"/>
    <s v="2/24/2003 0:1189"/>
    <x v="0"/>
    <x v="0"/>
    <s v="Shipped"/>
    <x v="1"/>
    <x v="1"/>
    <x v="2"/>
    <x v="1"/>
    <n v="141"/>
    <s v="S18_3685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108"/>
    <x v="30"/>
    <n v="67.77"/>
    <n v="12"/>
    <x v="0"/>
    <x v="1175"/>
    <s v="2/24/2003 0:1190"/>
    <x v="0"/>
    <x v="0"/>
    <s v="Shipped"/>
    <x v="0"/>
    <x v="11"/>
    <x v="0"/>
    <x v="0"/>
    <n v="62"/>
    <s v="S18_3782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0"/>
  </r>
  <r>
    <n v="10122"/>
    <x v="21"/>
    <n v="49.74"/>
    <n v="16"/>
    <x v="0"/>
    <x v="1176"/>
    <s v="2/24/2003 0:1191"/>
    <x v="0"/>
    <x v="0"/>
    <s v="Shipped"/>
    <x v="1"/>
    <x v="1"/>
    <x v="0"/>
    <x v="0"/>
    <n v="62"/>
    <s v="S18_3782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135"/>
    <x v="3"/>
    <n v="50.36"/>
    <n v="13"/>
    <x v="0"/>
    <x v="1177"/>
    <s v="2/24/2003 0:1192"/>
    <x v="0"/>
    <x v="0"/>
    <s v="Shipped"/>
    <x v="2"/>
    <x v="2"/>
    <x v="0"/>
    <x v="0"/>
    <n v="62"/>
    <s v="S18_378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46"/>
    <x v="20"/>
    <n v="67.14"/>
    <n v="2"/>
    <x v="0"/>
    <x v="1178"/>
    <s v="2/24/2003 0:1193"/>
    <x v="0"/>
    <x v="0"/>
    <s v="Shipped"/>
    <x v="2"/>
    <x v="10"/>
    <x v="0"/>
    <x v="0"/>
    <n v="62"/>
    <s v="S18_3782"/>
    <s v="Gift Ideas Corp."/>
    <n v="2035554407"/>
    <s v="2440 Pompton St."/>
    <m/>
    <s v="Glendale"/>
    <x v="63"/>
    <s v="CT"/>
    <n v="97561"/>
    <x v="0"/>
    <x v="0"/>
    <s v="NA"/>
    <s v="Lewis"/>
    <s v="Dan"/>
    <x v="1"/>
  </r>
  <r>
    <n v="10159"/>
    <x v="15"/>
    <n v="64.66"/>
    <n v="8"/>
    <x v="0"/>
    <x v="1179"/>
    <s v="2/24/2003 0:1194"/>
    <x v="0"/>
    <x v="0"/>
    <s v="Shipped"/>
    <x v="3"/>
    <x v="4"/>
    <x v="0"/>
    <x v="0"/>
    <n v="62"/>
    <s v="S18_3782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69"/>
    <x v="19"/>
    <n v="68.39"/>
    <n v="8"/>
    <x v="0"/>
    <x v="1180"/>
    <s v="2/24/2003 0:1195"/>
    <x v="0"/>
    <x v="0"/>
    <s v="Shipped"/>
    <x v="3"/>
    <x v="5"/>
    <x v="0"/>
    <x v="0"/>
    <n v="62"/>
    <s v="S18_3782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80"/>
    <x v="15"/>
    <n v="50.36"/>
    <n v="3"/>
    <x v="0"/>
    <x v="1181"/>
    <s v="2/24/2003 0:1196"/>
    <x v="0"/>
    <x v="0"/>
    <s v="Shipped"/>
    <x v="3"/>
    <x v="5"/>
    <x v="0"/>
    <x v="0"/>
    <n v="62"/>
    <s v="S18_3782"/>
    <s v="Daedalus Designs Imports"/>
    <s v="20.16.1555"/>
    <s v="184, chausse de Tournai"/>
    <m/>
    <s v="Lille"/>
    <x v="6"/>
    <m/>
    <n v="59000"/>
    <x v="1"/>
    <x v="1"/>
    <s v="EMEA"/>
    <s v="Rance"/>
    <s v="Martine"/>
    <x v="0"/>
  </r>
  <r>
    <n v="10191"/>
    <x v="30"/>
    <n v="72.739999999999995"/>
    <n v="9"/>
    <x v="0"/>
    <x v="1182"/>
    <s v="2/24/2003 0:1197"/>
    <x v="0"/>
    <x v="0"/>
    <s v="Shipped"/>
    <x v="3"/>
    <x v="5"/>
    <x v="0"/>
    <x v="0"/>
    <n v="62"/>
    <s v="S18_3782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211"/>
    <x v="12"/>
    <n v="54.09"/>
    <n v="8"/>
    <x v="0"/>
    <x v="1183"/>
    <s v="2/24/2003 0:1198"/>
    <x v="0"/>
    <x v="0"/>
    <s v="Shipped"/>
    <x v="0"/>
    <x v="7"/>
    <x v="1"/>
    <x v="0"/>
    <n v="62"/>
    <s v="S18_3782"/>
    <s v="Auto Canal Petit"/>
    <s v="(1) 47.55.6555"/>
    <s v="25, rue Lauriston"/>
    <m/>
    <s v="Paris"/>
    <x v="2"/>
    <m/>
    <n v="75016"/>
    <x v="1"/>
    <x v="1"/>
    <s v="EMEA"/>
    <s v="Perrier"/>
    <s v="Dominique"/>
    <x v="0"/>
  </r>
  <r>
    <n v="10224"/>
    <x v="19"/>
    <n v="58.44"/>
    <n v="1"/>
    <x v="0"/>
    <x v="1184"/>
    <s v="2/24/2003 0:1199"/>
    <x v="0"/>
    <x v="0"/>
    <s v="Shipped"/>
    <x v="0"/>
    <x v="0"/>
    <x v="1"/>
    <x v="0"/>
    <n v="62"/>
    <s v="S18_3782"/>
    <s v="Daedalus Designs Imports"/>
    <s v="20.16.1555"/>
    <s v="184, chausse de Tournai"/>
    <m/>
    <s v="Lille"/>
    <x v="6"/>
    <m/>
    <n v="59000"/>
    <x v="1"/>
    <x v="1"/>
    <s v="EMEA"/>
    <s v="Rance"/>
    <s v="Martine"/>
    <x v="0"/>
  </r>
  <r>
    <n v="10237"/>
    <x v="18"/>
    <n v="52.22"/>
    <n v="1"/>
    <x v="0"/>
    <x v="1185"/>
    <s v="2/24/2003 0:1200"/>
    <x v="0"/>
    <x v="0"/>
    <s v="Shipped"/>
    <x v="1"/>
    <x v="8"/>
    <x v="1"/>
    <x v="0"/>
    <n v="62"/>
    <s v="S18_3782"/>
    <s v="Vitachrome Inc."/>
    <n v="2125551500"/>
    <s v="2678 Kingston Rd."/>
    <s v="Suite 101"/>
    <s v="Nyc"/>
    <x v="0"/>
    <s v="NY"/>
    <n v="10022"/>
    <x v="0"/>
    <x v="0"/>
    <s v="NA"/>
    <s v="Frick"/>
    <s v="Michael"/>
    <x v="0"/>
  </r>
  <r>
    <n v="10252"/>
    <x v="28"/>
    <n v="52.84"/>
    <n v="5"/>
    <x v="0"/>
    <x v="1186"/>
    <s v="2/24/2003 0:1201"/>
    <x v="0"/>
    <x v="0"/>
    <s v="Shipped"/>
    <x v="1"/>
    <x v="1"/>
    <x v="1"/>
    <x v="0"/>
    <n v="62"/>
    <s v="S18_3782"/>
    <s v="Auto Canal Petit"/>
    <s v="(1) 47.55.6555"/>
    <s v="25, rue Lauriston"/>
    <m/>
    <s v="Paris"/>
    <x v="2"/>
    <m/>
    <n v="75016"/>
    <x v="1"/>
    <x v="1"/>
    <s v="EMEA"/>
    <s v="Perrier"/>
    <s v="Dominique"/>
    <x v="0"/>
  </r>
  <r>
    <n v="10264"/>
    <x v="7"/>
    <n v="54.71"/>
    <n v="3"/>
    <x v="0"/>
    <x v="1187"/>
    <s v="2/24/2003 0:1202"/>
    <x v="0"/>
    <x v="0"/>
    <s v="Shipped"/>
    <x v="1"/>
    <x v="9"/>
    <x v="1"/>
    <x v="0"/>
    <n v="62"/>
    <s v="S18_3782"/>
    <s v="Gifts4AllAges.com"/>
    <n v="6175559555"/>
    <s v="8616 Spinnaker Dr."/>
    <m/>
    <s v="Boston"/>
    <x v="48"/>
    <s v="MA"/>
    <n v="51003"/>
    <x v="0"/>
    <x v="0"/>
    <s v="NA"/>
    <s v="Yoshido"/>
    <s v="Juri"/>
    <x v="0"/>
  </r>
  <r>
    <n v="10276"/>
    <x v="29"/>
    <n v="50.36"/>
    <n v="9"/>
    <x v="0"/>
    <x v="1188"/>
    <s v="2/24/2003 0:1203"/>
    <x v="0"/>
    <x v="0"/>
    <s v="Shipped"/>
    <x v="2"/>
    <x v="3"/>
    <x v="1"/>
    <x v="0"/>
    <n v="62"/>
    <s v="S18_3782"/>
    <s v="Online Mini Collectables"/>
    <n v="6175557555"/>
    <s v="7635 Spinnaker Dr."/>
    <m/>
    <s v="Brickhaven"/>
    <x v="35"/>
    <s v="MA"/>
    <n v="58339"/>
    <x v="0"/>
    <x v="0"/>
    <s v="NA"/>
    <s v="Barajas"/>
    <s v="Miguel"/>
    <x v="0"/>
  </r>
  <r>
    <n v="10286"/>
    <x v="19"/>
    <n v="57.2"/>
    <n v="1"/>
    <x v="0"/>
    <x v="1189"/>
    <s v="2/24/2003 0:1204"/>
    <x v="0"/>
    <x v="0"/>
    <s v="Shipped"/>
    <x v="2"/>
    <x v="3"/>
    <x v="1"/>
    <x v="0"/>
    <n v="62"/>
    <s v="S18_3782"/>
    <s v="La Corne D'abondance, Co."/>
    <s v="(1) 42.34.2555"/>
    <s v="265, boulevard Charonne"/>
    <m/>
    <s v="Paris"/>
    <x v="2"/>
    <m/>
    <n v="75012"/>
    <x v="1"/>
    <x v="1"/>
    <s v="EMEA"/>
    <s v="Bertrand"/>
    <s v="Marie"/>
    <x v="0"/>
  </r>
  <r>
    <n v="10299"/>
    <x v="25"/>
    <n v="55.95"/>
    <n v="3"/>
    <x v="0"/>
    <x v="1190"/>
    <s v="2/24/2003 0:1205"/>
    <x v="0"/>
    <x v="0"/>
    <s v="Shipped"/>
    <x v="2"/>
    <x v="10"/>
    <x v="1"/>
    <x v="0"/>
    <n v="62"/>
    <s v="S18_3782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310"/>
    <x v="13"/>
    <n v="67.14"/>
    <n v="16"/>
    <x v="0"/>
    <x v="1191"/>
    <s v="2/24/2003 0:1206"/>
    <x v="0"/>
    <x v="0"/>
    <s v="Shipped"/>
    <x v="3"/>
    <x v="4"/>
    <x v="1"/>
    <x v="0"/>
    <n v="62"/>
    <s v="S18_3782"/>
    <s v="Toms Spezialitten, Ltd"/>
    <s v="0221-5554327"/>
    <s v="Mehrheimerstr. 369"/>
    <m/>
    <s v="Koln"/>
    <x v="55"/>
    <m/>
    <n v="50739"/>
    <x v="16"/>
    <x v="16"/>
    <s v="EMEA"/>
    <s v="Pfalzheim"/>
    <s v="Henriette"/>
    <x v="0"/>
  </r>
  <r>
    <n v="10319"/>
    <x v="27"/>
    <n v="59.06"/>
    <n v="4"/>
    <x v="0"/>
    <x v="1192"/>
    <s v="2/24/2003 0:1207"/>
    <x v="0"/>
    <x v="0"/>
    <s v="Shipped"/>
    <x v="3"/>
    <x v="5"/>
    <x v="1"/>
    <x v="0"/>
    <n v="62"/>
    <s v="S18_3782"/>
    <s v="Microscale Inc."/>
    <n v="2125551957"/>
    <s v="5290 North Pendale Street"/>
    <s v="Suite 200"/>
    <s v="Nyc"/>
    <x v="0"/>
    <s v="NY"/>
    <n v="10022"/>
    <x v="0"/>
    <x v="0"/>
    <s v="NA"/>
    <s v="Kuo"/>
    <s v="Kee"/>
    <x v="0"/>
  </r>
  <r>
    <n v="10330"/>
    <x v="6"/>
    <n v="69.63"/>
    <n v="2"/>
    <x v="0"/>
    <x v="1193"/>
    <s v="2/24/2003 0:1208"/>
    <x v="0"/>
    <x v="0"/>
    <s v="Shipped"/>
    <x v="3"/>
    <x v="5"/>
    <x v="1"/>
    <x v="0"/>
    <n v="62"/>
    <s v="S18_3782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0"/>
  </r>
  <r>
    <n v="10342"/>
    <x v="18"/>
    <n v="55.95"/>
    <n v="8"/>
    <x v="0"/>
    <x v="1194"/>
    <s v="2/24/2003 0:1209"/>
    <x v="0"/>
    <x v="0"/>
    <s v="Shipped"/>
    <x v="3"/>
    <x v="5"/>
    <x v="1"/>
    <x v="0"/>
    <n v="62"/>
    <s v="S18_3782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355"/>
    <x v="28"/>
    <n v="53.47"/>
    <n v="1"/>
    <x v="0"/>
    <x v="1195"/>
    <s v="2/24/2003 0:1210"/>
    <x v="0"/>
    <x v="0"/>
    <s v="Shipped"/>
    <x v="3"/>
    <x v="6"/>
    <x v="1"/>
    <x v="0"/>
    <n v="62"/>
    <s v="S18_378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63"/>
    <x v="22"/>
    <n v="89.12"/>
    <n v="12"/>
    <x v="0"/>
    <x v="1196"/>
    <s v="2/24/2003 0:1211"/>
    <x v="0"/>
    <x v="0"/>
    <s v="Shipped"/>
    <x v="0"/>
    <x v="7"/>
    <x v="2"/>
    <x v="0"/>
    <n v="62"/>
    <s v="S18_3782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378"/>
    <x v="11"/>
    <n v="100"/>
    <n v="9"/>
    <x v="1"/>
    <x v="1197"/>
    <s v="2/24/2003 0:1212"/>
    <x v="0"/>
    <x v="0"/>
    <s v="Shipped"/>
    <x v="0"/>
    <x v="0"/>
    <x v="2"/>
    <x v="0"/>
    <n v="62"/>
    <s v="S18_378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0"/>
    <x v="5"/>
    <n v="100"/>
    <n v="2"/>
    <x v="1"/>
    <x v="1198"/>
    <s v="2/24/2003 0:1213"/>
    <x v="0"/>
    <x v="0"/>
    <s v="Shipped"/>
    <x v="0"/>
    <x v="11"/>
    <x v="2"/>
    <x v="0"/>
    <n v="62"/>
    <s v="S18_378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03"/>
    <x v="5"/>
    <n v="52.22"/>
    <n v="1"/>
    <x v="0"/>
    <x v="1199"/>
    <s v="2/24/2003 0:1214"/>
    <x v="0"/>
    <x v="0"/>
    <s v="Shipped"/>
    <x v="1"/>
    <x v="8"/>
    <x v="2"/>
    <x v="0"/>
    <n v="62"/>
    <s v="S18_3782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0"/>
  </r>
  <r>
    <n v="10106"/>
    <x v="2"/>
    <n v="100"/>
    <n v="17"/>
    <x v="1"/>
    <x v="1200"/>
    <s v="2/24/2003 0:1215"/>
    <x v="0"/>
    <x v="0"/>
    <s v="Shipped"/>
    <x v="0"/>
    <x v="0"/>
    <x v="0"/>
    <x v="3"/>
    <n v="105"/>
    <s v="S18_3856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19"/>
    <x v="26"/>
    <n v="99.52"/>
    <n v="8"/>
    <x v="0"/>
    <x v="1201"/>
    <s v="2/24/2003 0:1216"/>
    <x v="0"/>
    <x v="0"/>
    <s v="Shipped"/>
    <x v="1"/>
    <x v="8"/>
    <x v="0"/>
    <x v="3"/>
    <n v="105"/>
    <s v="S18_3856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30"/>
    <x v="29"/>
    <n v="100"/>
    <n v="1"/>
    <x v="0"/>
    <x v="1202"/>
    <s v="2/24/2003 0:1217"/>
    <x v="0"/>
    <x v="0"/>
    <s v="Shipped"/>
    <x v="1"/>
    <x v="9"/>
    <x v="0"/>
    <x v="3"/>
    <n v="105"/>
    <s v="S18_3856"/>
    <s v="Auto-Moto Classics Inc."/>
    <n v="6175558428"/>
    <s v="16780 Pompton St."/>
    <m/>
    <s v="Brickhaven"/>
    <x v="35"/>
    <s v="MA"/>
    <n v="58339"/>
    <x v="0"/>
    <x v="0"/>
    <s v="NA"/>
    <s v="Taylor"/>
    <s v="Leslie"/>
    <x v="1"/>
  </r>
  <r>
    <n v="10143"/>
    <x v="1"/>
    <n v="100"/>
    <n v="12"/>
    <x v="0"/>
    <x v="1203"/>
    <s v="2/24/2003 0:1218"/>
    <x v="0"/>
    <x v="0"/>
    <s v="Shipped"/>
    <x v="2"/>
    <x v="3"/>
    <x v="0"/>
    <x v="3"/>
    <n v="105"/>
    <s v="S18_3856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55"/>
    <x v="6"/>
    <n v="100"/>
    <n v="10"/>
    <x v="0"/>
    <x v="1204"/>
    <s v="2/24/2003 0:1219"/>
    <x v="0"/>
    <x v="0"/>
    <s v="Shipped"/>
    <x v="3"/>
    <x v="4"/>
    <x v="0"/>
    <x v="3"/>
    <n v="105"/>
    <s v="S18_3856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167"/>
    <x v="1"/>
    <n v="100"/>
    <n v="6"/>
    <x v="0"/>
    <x v="1205"/>
    <s v="2/24/2003 0:1220"/>
    <x v="3"/>
    <x v="1"/>
    <s v="Cancelled"/>
    <x v="3"/>
    <x v="4"/>
    <x v="0"/>
    <x v="3"/>
    <n v="105"/>
    <s v="S18_3856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178"/>
    <x v="7"/>
    <n v="100"/>
    <n v="9"/>
    <x v="1"/>
    <x v="1206"/>
    <s v="2/24/2003 0:1221"/>
    <x v="0"/>
    <x v="0"/>
    <s v="Shipped"/>
    <x v="3"/>
    <x v="5"/>
    <x v="0"/>
    <x v="3"/>
    <n v="105"/>
    <s v="S18_3856"/>
    <s v="Alpha Cognac"/>
    <s v="61.77.6555"/>
    <s v="1 rue Alsace-Lorraine"/>
    <m/>
    <s v="Toulouse"/>
    <x v="42"/>
    <m/>
    <n v="31000"/>
    <x v="1"/>
    <x v="1"/>
    <s v="EMEA"/>
    <s v="Roulet"/>
    <s v="Annette"/>
    <x v="1"/>
  </r>
  <r>
    <n v="10186"/>
    <x v="12"/>
    <n v="100"/>
    <n v="6"/>
    <x v="1"/>
    <x v="1207"/>
    <s v="2/24/2003 0:1222"/>
    <x v="0"/>
    <x v="0"/>
    <s v="Shipped"/>
    <x v="3"/>
    <x v="5"/>
    <x v="0"/>
    <x v="3"/>
    <n v="105"/>
    <s v="S18_3856"/>
    <s v="Double Decker Gift Stores, Ltd"/>
    <s v="(171) 555-7555"/>
    <s v="120 Hanover Sq."/>
    <m/>
    <s v="London"/>
    <x v="41"/>
    <m/>
    <s v="WA1 1DP"/>
    <x v="6"/>
    <x v="6"/>
    <s v="EMEA"/>
    <s v="Hardy"/>
    <s v="Thomas"/>
    <x v="1"/>
  </r>
  <r>
    <n v="10197"/>
    <x v="8"/>
    <n v="100"/>
    <n v="3"/>
    <x v="0"/>
    <x v="1208"/>
    <s v="2/24/2003 0:1223"/>
    <x v="0"/>
    <x v="0"/>
    <s v="Shipped"/>
    <x v="3"/>
    <x v="5"/>
    <x v="0"/>
    <x v="3"/>
    <n v="105"/>
    <s v="S18_3856"/>
    <s v="Enaco Distributors"/>
    <s v="(93) 203 4555"/>
    <s v="Rambla de Catalu¤a, 23"/>
    <m/>
    <s v="Barcelona"/>
    <x v="43"/>
    <m/>
    <n v="8022"/>
    <x v="7"/>
    <x v="7"/>
    <s v="EMEA"/>
    <s v="Saavedra"/>
    <s v="Eduardo"/>
    <x v="0"/>
  </r>
  <r>
    <n v="10209"/>
    <x v="14"/>
    <n v="100"/>
    <n v="5"/>
    <x v="0"/>
    <x v="1209"/>
    <s v="2/24/2003 0:1224"/>
    <x v="0"/>
    <x v="0"/>
    <s v="Shipped"/>
    <x v="0"/>
    <x v="7"/>
    <x v="1"/>
    <x v="3"/>
    <n v="105"/>
    <s v="S18_3856"/>
    <s v="Men 'R' US Retailers, Ltd."/>
    <n v="2155554369"/>
    <s v="6047 Douglas Av."/>
    <m/>
    <s v="Los Angeles"/>
    <x v="44"/>
    <s v="CA"/>
    <m/>
    <x v="0"/>
    <x v="0"/>
    <s v="NA"/>
    <s v="Chandler"/>
    <s v="Michael"/>
    <x v="0"/>
  </r>
  <r>
    <n v="10222"/>
    <x v="3"/>
    <n v="85.75"/>
    <n v="9"/>
    <x v="0"/>
    <x v="1210"/>
    <s v="2/24/2003 0:1225"/>
    <x v="0"/>
    <x v="0"/>
    <s v="Shipped"/>
    <x v="0"/>
    <x v="0"/>
    <x v="1"/>
    <x v="3"/>
    <n v="105"/>
    <s v="S18_3856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49"/>
    <x v="12"/>
    <n v="100"/>
    <n v="5"/>
    <x v="1"/>
    <x v="1211"/>
    <s v="2/24/2003 0:1226"/>
    <x v="0"/>
    <x v="0"/>
    <s v="Shipped"/>
    <x v="1"/>
    <x v="1"/>
    <x v="1"/>
    <x v="3"/>
    <n v="105"/>
    <s v="S18_3856"/>
    <s v="Cambridge Collectables Co."/>
    <n v="6175555555"/>
    <s v="4658 Baden Av."/>
    <m/>
    <s v="Cambridge"/>
    <x v="12"/>
    <s v="MA"/>
    <n v="51247"/>
    <x v="0"/>
    <x v="0"/>
    <s v="NA"/>
    <s v="Tseng"/>
    <s v="Kyung"/>
    <x v="1"/>
  </r>
  <r>
    <n v="10262"/>
    <x v="1"/>
    <n v="100"/>
    <n v="14"/>
    <x v="1"/>
    <x v="1212"/>
    <s v="2/24/2003 0:1227"/>
    <x v="3"/>
    <x v="1"/>
    <s v="Cancelled"/>
    <x v="1"/>
    <x v="9"/>
    <x v="1"/>
    <x v="3"/>
    <n v="105"/>
    <s v="S18_385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73"/>
    <x v="24"/>
    <n v="85.75"/>
    <n v="1"/>
    <x v="1"/>
    <x v="1213"/>
    <s v="2/24/2003 0:1228"/>
    <x v="0"/>
    <x v="0"/>
    <s v="Shipped"/>
    <x v="2"/>
    <x v="2"/>
    <x v="1"/>
    <x v="3"/>
    <n v="105"/>
    <s v="S18_3856"/>
    <s v="Petit Auto"/>
    <s v="(02) 5554 67"/>
    <s v="Rue Joseph-Bens 532"/>
    <m/>
    <s v="Bruxelles"/>
    <x v="46"/>
    <m/>
    <s v="B-1180"/>
    <x v="14"/>
    <x v="14"/>
    <s v="EMEA"/>
    <s v="Dewey"/>
    <s v="Catherine"/>
    <x v="1"/>
  </r>
  <r>
    <n v="10283"/>
    <x v="12"/>
    <n v="100"/>
    <n v="3"/>
    <x v="1"/>
    <x v="1214"/>
    <s v="2/24/2003 0:1229"/>
    <x v="0"/>
    <x v="0"/>
    <s v="Shipped"/>
    <x v="2"/>
    <x v="3"/>
    <x v="1"/>
    <x v="3"/>
    <n v="105"/>
    <s v="S18_3856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1"/>
  </r>
  <r>
    <n v="10296"/>
    <x v="8"/>
    <n v="84.7"/>
    <n v="12"/>
    <x v="0"/>
    <x v="1215"/>
    <s v="2/24/2003 0:1230"/>
    <x v="0"/>
    <x v="0"/>
    <s v="Shipped"/>
    <x v="2"/>
    <x v="10"/>
    <x v="1"/>
    <x v="3"/>
    <n v="105"/>
    <s v="S18_3856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0"/>
  </r>
  <r>
    <n v="10307"/>
    <x v="7"/>
    <n v="86.81"/>
    <n v="6"/>
    <x v="1"/>
    <x v="1216"/>
    <s v="2/24/2003 0:1231"/>
    <x v="0"/>
    <x v="0"/>
    <s v="Shipped"/>
    <x v="3"/>
    <x v="4"/>
    <x v="1"/>
    <x v="3"/>
    <n v="105"/>
    <s v="S18_3856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1"/>
  </r>
  <r>
    <n v="10316"/>
    <x v="20"/>
    <n v="86.81"/>
    <n v="14"/>
    <x v="1"/>
    <x v="1217"/>
    <s v="2/24/2003 0:1232"/>
    <x v="0"/>
    <x v="0"/>
    <s v="Shipped"/>
    <x v="3"/>
    <x v="5"/>
    <x v="1"/>
    <x v="3"/>
    <n v="105"/>
    <s v="S18_3856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1"/>
  </r>
  <r>
    <n v="10328"/>
    <x v="1"/>
    <n v="100"/>
    <n v="6"/>
    <x v="0"/>
    <x v="1218"/>
    <s v="2/24/2003 0:1233"/>
    <x v="0"/>
    <x v="0"/>
    <s v="Shipped"/>
    <x v="3"/>
    <x v="5"/>
    <x v="1"/>
    <x v="3"/>
    <n v="105"/>
    <s v="S18_3856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338"/>
    <x v="3"/>
    <n v="100"/>
    <n v="2"/>
    <x v="1"/>
    <x v="1219"/>
    <s v="2/24/2003 0:1234"/>
    <x v="0"/>
    <x v="0"/>
    <s v="Shipped"/>
    <x v="3"/>
    <x v="5"/>
    <x v="1"/>
    <x v="3"/>
    <n v="105"/>
    <s v="S18_3856"/>
    <s v="Royale Belge"/>
    <s v="(071) 23 67 2555"/>
    <s v="Boulevard Tirou, 255"/>
    <m/>
    <s v="Charleroi"/>
    <x v="72"/>
    <m/>
    <s v="B-6000"/>
    <x v="14"/>
    <x v="14"/>
    <s v="EMEA"/>
    <s v="Cartrain"/>
    <s v="Pascale"/>
    <x v="1"/>
  </r>
  <r>
    <n v="10351"/>
    <x v="14"/>
    <n v="100"/>
    <n v="2"/>
    <x v="0"/>
    <x v="1220"/>
    <s v="2/24/2003 0:1235"/>
    <x v="0"/>
    <x v="0"/>
    <s v="Shipped"/>
    <x v="3"/>
    <x v="6"/>
    <x v="1"/>
    <x v="3"/>
    <n v="105"/>
    <s v="S18_3856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373"/>
    <x v="24"/>
    <n v="60.49"/>
    <n v="6"/>
    <x v="0"/>
    <x v="1221"/>
    <s v="2/24/2003 0:1236"/>
    <x v="0"/>
    <x v="0"/>
    <s v="Shipped"/>
    <x v="0"/>
    <x v="7"/>
    <x v="2"/>
    <x v="3"/>
    <n v="105"/>
    <s v="S18_3856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386"/>
    <x v="8"/>
    <n v="57.55"/>
    <n v="6"/>
    <x v="0"/>
    <x v="1222"/>
    <s v="2/24/2003 0:1237"/>
    <x v="5"/>
    <x v="1"/>
    <s v="Resolved"/>
    <x v="0"/>
    <x v="11"/>
    <x v="2"/>
    <x v="3"/>
    <n v="105"/>
    <s v="S18_3856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8"/>
    <x v="3"/>
    <n v="100"/>
    <n v="17"/>
    <x v="1"/>
    <x v="1223"/>
    <s v="2/24/2003 0:1238"/>
    <x v="0"/>
    <x v="0"/>
    <s v="Shipped"/>
    <x v="0"/>
    <x v="11"/>
    <x v="2"/>
    <x v="3"/>
    <n v="105"/>
    <s v="S18_3856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400"/>
    <x v="48"/>
    <n v="100"/>
    <n v="6"/>
    <x v="1"/>
    <x v="1224"/>
    <s v="2/24/2003 0:1239"/>
    <x v="0"/>
    <x v="0"/>
    <s v="Shipped"/>
    <x v="1"/>
    <x v="8"/>
    <x v="2"/>
    <x v="3"/>
    <n v="105"/>
    <s v="S18_3856"/>
    <s v="The Sharp Gifts Warehouse"/>
    <n v="4085553659"/>
    <s v="3086 Ingle Ln."/>
    <m/>
    <s v="San Jose"/>
    <x v="51"/>
    <s v="CA"/>
    <n v="94217"/>
    <x v="0"/>
    <x v="0"/>
    <s v="NA"/>
    <s v="Frick"/>
    <s v="Sue"/>
    <x v="2"/>
  </r>
  <r>
    <n v="10415"/>
    <x v="41"/>
    <n v="100"/>
    <n v="5"/>
    <x v="1"/>
    <x v="1225"/>
    <s v="2/24/2003 0:1240"/>
    <x v="1"/>
    <x v="1"/>
    <s v="Disputed"/>
    <x v="1"/>
    <x v="1"/>
    <x v="2"/>
    <x v="3"/>
    <n v="105"/>
    <s v="S18_3856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1"/>
  </r>
  <r>
    <n v="10104"/>
    <x v="19"/>
    <n v="100"/>
    <n v="3"/>
    <x v="1"/>
    <x v="1226"/>
    <s v="2/24/2003 0:1241"/>
    <x v="0"/>
    <x v="0"/>
    <s v="Shipped"/>
    <x v="0"/>
    <x v="7"/>
    <x v="0"/>
    <x v="1"/>
    <n v="143"/>
    <s v="S18_4027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17"/>
    <x v="8"/>
    <n v="100"/>
    <n v="12"/>
    <x v="0"/>
    <x v="1227"/>
    <s v="2/24/2003 0:1242"/>
    <x v="0"/>
    <x v="0"/>
    <s v="Shipped"/>
    <x v="1"/>
    <x v="8"/>
    <x v="0"/>
    <x v="1"/>
    <n v="143"/>
    <s v="S18_4027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27"/>
    <x v="32"/>
    <n v="100"/>
    <n v="5"/>
    <x v="0"/>
    <x v="1228"/>
    <s v="2/24/2003 0:1243"/>
    <x v="0"/>
    <x v="0"/>
    <s v="Shipped"/>
    <x v="1"/>
    <x v="9"/>
    <x v="0"/>
    <x v="1"/>
    <n v="143"/>
    <s v="S18_4027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142"/>
    <x v="16"/>
    <n v="100"/>
    <n v="15"/>
    <x v="0"/>
    <x v="1229"/>
    <s v="2/24/2003 0:1244"/>
    <x v="0"/>
    <x v="0"/>
    <s v="Shipped"/>
    <x v="2"/>
    <x v="3"/>
    <x v="0"/>
    <x v="1"/>
    <n v="143"/>
    <s v="S18_402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52"/>
    <x v="21"/>
    <n v="100"/>
    <n v="1"/>
    <x v="1"/>
    <x v="1230"/>
    <s v="2/24/2003 0:1245"/>
    <x v="0"/>
    <x v="0"/>
    <s v="Shipped"/>
    <x v="2"/>
    <x v="10"/>
    <x v="0"/>
    <x v="1"/>
    <n v="143"/>
    <s v="S18_4027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1"/>
  </r>
  <r>
    <n v="10165"/>
    <x v="11"/>
    <n v="100"/>
    <n v="6"/>
    <x v="0"/>
    <x v="1231"/>
    <s v="2/24/2003 0:1246"/>
    <x v="0"/>
    <x v="0"/>
    <s v="Shipped"/>
    <x v="3"/>
    <x v="4"/>
    <x v="0"/>
    <x v="1"/>
    <n v="143"/>
    <s v="S18_4027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76"/>
    <x v="5"/>
    <n v="100"/>
    <n v="5"/>
    <x v="1"/>
    <x v="1232"/>
    <s v="2/24/2003 0:1247"/>
    <x v="0"/>
    <x v="0"/>
    <s v="Shipped"/>
    <x v="3"/>
    <x v="5"/>
    <x v="0"/>
    <x v="1"/>
    <n v="143"/>
    <s v="S18_4027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185"/>
    <x v="25"/>
    <n v="100"/>
    <n v="16"/>
    <x v="1"/>
    <x v="1233"/>
    <s v="2/24/2003 0:1248"/>
    <x v="0"/>
    <x v="0"/>
    <s v="Shipped"/>
    <x v="3"/>
    <x v="5"/>
    <x v="0"/>
    <x v="1"/>
    <n v="143"/>
    <s v="S18_4027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96"/>
    <x v="26"/>
    <n v="100"/>
    <n v="8"/>
    <x v="1"/>
    <x v="1234"/>
    <s v="2/24/2003 0:1249"/>
    <x v="0"/>
    <x v="0"/>
    <s v="Shipped"/>
    <x v="3"/>
    <x v="5"/>
    <x v="0"/>
    <x v="1"/>
    <n v="143"/>
    <s v="S18_4027"/>
    <s v="Super Scale Inc."/>
    <n v="2035559545"/>
    <s v="567 North Pendale Street"/>
    <m/>
    <s v="New Haven"/>
    <x v="28"/>
    <s v="CT"/>
    <n v="97823"/>
    <x v="0"/>
    <x v="0"/>
    <s v="NA"/>
    <s v="Murphy"/>
    <s v="Leslie"/>
    <x v="1"/>
  </r>
  <r>
    <n v="10207"/>
    <x v="23"/>
    <n v="100"/>
    <n v="1"/>
    <x v="1"/>
    <x v="1235"/>
    <s v="2/24/2003 0:1250"/>
    <x v="0"/>
    <x v="0"/>
    <s v="Shipped"/>
    <x v="3"/>
    <x v="6"/>
    <x v="0"/>
    <x v="1"/>
    <n v="143"/>
    <s v="S18_4027"/>
    <s v="Diecast Collectables"/>
    <n v="6175552555"/>
    <s v="6251 Ingle Ln."/>
    <m/>
    <s v="Boston"/>
    <x v="48"/>
    <s v="MA"/>
    <n v="51003"/>
    <x v="0"/>
    <x v="0"/>
    <s v="NA"/>
    <s v="Franco"/>
    <s v="Valarie"/>
    <x v="1"/>
  </r>
  <r>
    <n v="10220"/>
    <x v="24"/>
    <n v="100"/>
    <n v="5"/>
    <x v="1"/>
    <x v="1236"/>
    <s v="2/24/2003 0:1251"/>
    <x v="0"/>
    <x v="0"/>
    <s v="Shipped"/>
    <x v="0"/>
    <x v="0"/>
    <x v="1"/>
    <x v="1"/>
    <n v="143"/>
    <s v="S18_4027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2"/>
  </r>
  <r>
    <n v="10230"/>
    <x v="13"/>
    <n v="100"/>
    <n v="3"/>
    <x v="1"/>
    <x v="1237"/>
    <s v="2/24/2003 0:1252"/>
    <x v="0"/>
    <x v="0"/>
    <s v="Shipped"/>
    <x v="0"/>
    <x v="11"/>
    <x v="1"/>
    <x v="1"/>
    <n v="143"/>
    <s v="S18_4027"/>
    <s v="Blauer See Auto, Co."/>
    <s v="+49 69 66 90 2555"/>
    <s v="Lyonerstr. 34"/>
    <m/>
    <s v="Frankfurt"/>
    <x v="58"/>
    <m/>
    <n v="60528"/>
    <x v="16"/>
    <x v="16"/>
    <s v="EMEA"/>
    <s v="Keitel"/>
    <s v="Roland"/>
    <x v="2"/>
  </r>
  <r>
    <n v="10247"/>
    <x v="7"/>
    <n v="100"/>
    <n v="5"/>
    <x v="1"/>
    <x v="1238"/>
    <s v="2/24/2003 0:1253"/>
    <x v="0"/>
    <x v="0"/>
    <s v="Shipped"/>
    <x v="1"/>
    <x v="1"/>
    <x v="1"/>
    <x v="1"/>
    <n v="143"/>
    <s v="S18_4027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272"/>
    <x v="32"/>
    <n v="100"/>
    <n v="5"/>
    <x v="0"/>
    <x v="635"/>
    <s v="2/24/2003 0:1254"/>
    <x v="0"/>
    <x v="0"/>
    <s v="Shipped"/>
    <x v="2"/>
    <x v="2"/>
    <x v="1"/>
    <x v="1"/>
    <n v="143"/>
    <s v="S18_4027"/>
    <s v="Diecast Classics Inc."/>
    <n v="2155551555"/>
    <s v="7586 Pompton St."/>
    <m/>
    <s v="Allentown"/>
    <x v="15"/>
    <s v="PA"/>
    <n v="70267"/>
    <x v="0"/>
    <x v="0"/>
    <s v="NA"/>
    <s v="Yu"/>
    <s v="Kyung"/>
    <x v="1"/>
  </r>
  <r>
    <n v="10282"/>
    <x v="28"/>
    <n v="100"/>
    <n v="8"/>
    <x v="1"/>
    <x v="1239"/>
    <s v="2/24/2003 0:1255"/>
    <x v="0"/>
    <x v="0"/>
    <s v="Shipped"/>
    <x v="2"/>
    <x v="3"/>
    <x v="1"/>
    <x v="1"/>
    <n v="143"/>
    <s v="S18_402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92"/>
    <x v="27"/>
    <n v="100"/>
    <n v="2"/>
    <x v="1"/>
    <x v="1240"/>
    <s v="2/24/2003 0:1256"/>
    <x v="0"/>
    <x v="0"/>
    <s v="Shipped"/>
    <x v="2"/>
    <x v="10"/>
    <x v="1"/>
    <x v="1"/>
    <n v="143"/>
    <s v="S18_4027"/>
    <s v="Land of Toys Inc."/>
    <n v="2125557818"/>
    <s v="897 Long Airport Avenue"/>
    <m/>
    <s v="Nyc"/>
    <x v="0"/>
    <s v="NY"/>
    <n v="10022"/>
    <x v="0"/>
    <x v="0"/>
    <s v="NA"/>
    <s v="Yu"/>
    <s v="Kwai"/>
    <x v="2"/>
  </r>
  <r>
    <n v="10306"/>
    <x v="10"/>
    <n v="100"/>
    <n v="16"/>
    <x v="0"/>
    <x v="1241"/>
    <s v="2/24/2003 0:1257"/>
    <x v="0"/>
    <x v="0"/>
    <s v="Shipped"/>
    <x v="3"/>
    <x v="4"/>
    <x v="1"/>
    <x v="1"/>
    <n v="143"/>
    <s v="S18_4027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14"/>
    <x v="6"/>
    <n v="100"/>
    <n v="8"/>
    <x v="1"/>
    <x v="1242"/>
    <s v="2/24/2003 0:1258"/>
    <x v="0"/>
    <x v="0"/>
    <s v="Shipped"/>
    <x v="3"/>
    <x v="4"/>
    <x v="1"/>
    <x v="1"/>
    <n v="143"/>
    <s v="S18_4027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324"/>
    <x v="4"/>
    <n v="100"/>
    <n v="13"/>
    <x v="1"/>
    <x v="1243"/>
    <s v="2/24/2003 0:1259"/>
    <x v="0"/>
    <x v="0"/>
    <s v="Shipped"/>
    <x v="3"/>
    <x v="5"/>
    <x v="1"/>
    <x v="1"/>
    <n v="143"/>
    <s v="S18_4027"/>
    <s v="Vitachrome Inc."/>
    <n v="2125551500"/>
    <s v="2678 Kingston Rd."/>
    <s v="Suite 101"/>
    <s v="Nyc"/>
    <x v="0"/>
    <s v="NY"/>
    <n v="10022"/>
    <x v="0"/>
    <x v="0"/>
    <s v="NA"/>
    <s v="Frick"/>
    <s v="Michael"/>
    <x v="1"/>
  </r>
  <r>
    <n v="10337"/>
    <x v="5"/>
    <n v="100"/>
    <n v="3"/>
    <x v="1"/>
    <x v="1244"/>
    <s v="2/24/2003 0:1260"/>
    <x v="0"/>
    <x v="0"/>
    <s v="Shipped"/>
    <x v="3"/>
    <x v="5"/>
    <x v="1"/>
    <x v="1"/>
    <n v="143"/>
    <s v="S18_4027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1"/>
  </r>
  <r>
    <n v="10349"/>
    <x v="1"/>
    <n v="100"/>
    <n v="5"/>
    <x v="1"/>
    <x v="1245"/>
    <s v="2/24/2003 0:1261"/>
    <x v="0"/>
    <x v="0"/>
    <s v="Shipped"/>
    <x v="3"/>
    <x v="6"/>
    <x v="1"/>
    <x v="1"/>
    <n v="143"/>
    <s v="S18_4027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358"/>
    <x v="32"/>
    <n v="100"/>
    <n v="13"/>
    <x v="0"/>
    <x v="1246"/>
    <s v="2/24/2003 0:1262"/>
    <x v="0"/>
    <x v="0"/>
    <s v="Shipped"/>
    <x v="3"/>
    <x v="6"/>
    <x v="1"/>
    <x v="1"/>
    <n v="143"/>
    <s v="S18_4027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2"/>
    <x v="7"/>
    <n v="100"/>
    <n v="6"/>
    <x v="1"/>
    <x v="1247"/>
    <s v="2/24/2003 0:1263"/>
    <x v="0"/>
    <x v="0"/>
    <s v="Shipped"/>
    <x v="0"/>
    <x v="7"/>
    <x v="2"/>
    <x v="1"/>
    <n v="143"/>
    <s v="S18_4027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2"/>
  </r>
  <r>
    <n v="10383"/>
    <x v="19"/>
    <n v="100"/>
    <n v="1"/>
    <x v="1"/>
    <x v="1248"/>
    <s v="2/24/2003 0:1264"/>
    <x v="0"/>
    <x v="0"/>
    <s v="Shipped"/>
    <x v="0"/>
    <x v="0"/>
    <x v="2"/>
    <x v="1"/>
    <n v="143"/>
    <s v="S18_4027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4"/>
    <x v="9"/>
    <n v="100"/>
    <n v="1"/>
    <x v="1"/>
    <x v="1249"/>
    <s v="2/24/2003 0:1265"/>
    <x v="0"/>
    <x v="0"/>
    <s v="Shipped"/>
    <x v="0"/>
    <x v="11"/>
    <x v="2"/>
    <x v="1"/>
    <n v="143"/>
    <s v="S18_4027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13"/>
    <x v="4"/>
    <n v="100"/>
    <n v="5"/>
    <x v="1"/>
    <x v="1250"/>
    <s v="2/24/2003 0:1266"/>
    <x v="0"/>
    <x v="0"/>
    <s v="Shipped"/>
    <x v="1"/>
    <x v="1"/>
    <x v="2"/>
    <x v="1"/>
    <n v="143"/>
    <s v="S18_4027"/>
    <s v="Gift Depot Inc."/>
    <n v="2035552570"/>
    <s v="25593 South Bay Ln."/>
    <m/>
    <s v="Bridgewater"/>
    <x v="10"/>
    <s v="CT"/>
    <n v="97562"/>
    <x v="0"/>
    <x v="0"/>
    <s v="NA"/>
    <s v="King"/>
    <s v="Julie"/>
    <x v="1"/>
  </r>
  <r>
    <n v="10100"/>
    <x v="8"/>
    <n v="86.51"/>
    <n v="4"/>
    <x v="0"/>
    <x v="1251"/>
    <s v="2/24/2003 0:1267"/>
    <x v="0"/>
    <x v="0"/>
    <s v="Shipped"/>
    <x v="0"/>
    <x v="7"/>
    <x v="0"/>
    <x v="3"/>
    <n v="92"/>
    <s v="S18_4409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110"/>
    <x v="11"/>
    <n v="89.27"/>
    <n v="8"/>
    <x v="0"/>
    <x v="1252"/>
    <s v="2/24/2003 0:1268"/>
    <x v="0"/>
    <x v="0"/>
    <s v="Shipped"/>
    <x v="0"/>
    <x v="11"/>
    <x v="0"/>
    <x v="3"/>
    <n v="92"/>
    <s v="S18_4409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124"/>
    <x v="5"/>
    <n v="85.59"/>
    <n v="7"/>
    <x v="0"/>
    <x v="1253"/>
    <s v="2/24/2003 0:1269"/>
    <x v="0"/>
    <x v="0"/>
    <s v="Shipped"/>
    <x v="1"/>
    <x v="1"/>
    <x v="0"/>
    <x v="3"/>
    <n v="92"/>
    <s v="S18_4409"/>
    <s v="Signal Gift Stores"/>
    <n v="7025551838"/>
    <s v="8489 Strong St."/>
    <m/>
    <s v="Las Vegas"/>
    <x v="67"/>
    <s v="NV"/>
    <n v="83030"/>
    <x v="0"/>
    <x v="0"/>
    <s v="NA"/>
    <s v="King"/>
    <s v="Sue"/>
    <x v="1"/>
  </r>
  <r>
    <n v="10148"/>
    <x v="1"/>
    <n v="100"/>
    <n v="1"/>
    <x v="0"/>
    <x v="1254"/>
    <s v="2/24/2003 0:1270"/>
    <x v="0"/>
    <x v="0"/>
    <s v="Shipped"/>
    <x v="2"/>
    <x v="10"/>
    <x v="0"/>
    <x v="3"/>
    <n v="92"/>
    <s v="S18_4409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62"/>
    <x v="25"/>
    <n v="100"/>
    <n v="10"/>
    <x v="0"/>
    <x v="1255"/>
    <s v="2/24/2003 0:1271"/>
    <x v="0"/>
    <x v="0"/>
    <s v="Shipped"/>
    <x v="3"/>
    <x v="4"/>
    <x v="0"/>
    <x v="3"/>
    <n v="92"/>
    <s v="S18_4409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173"/>
    <x v="15"/>
    <n v="75.459999999999994"/>
    <n v="14"/>
    <x v="0"/>
    <x v="1256"/>
    <s v="2/24/2003 0:1272"/>
    <x v="0"/>
    <x v="0"/>
    <s v="Shipped"/>
    <x v="3"/>
    <x v="5"/>
    <x v="0"/>
    <x v="3"/>
    <n v="92"/>
    <s v="S18_4409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82"/>
    <x v="5"/>
    <n v="100"/>
    <n v="11"/>
    <x v="0"/>
    <x v="1257"/>
    <s v="2/24/2003 0:1273"/>
    <x v="0"/>
    <x v="0"/>
    <s v="Shipped"/>
    <x v="3"/>
    <x v="5"/>
    <x v="0"/>
    <x v="3"/>
    <n v="92"/>
    <s v="S18_440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93"/>
    <x v="16"/>
    <n v="97.55"/>
    <n v="15"/>
    <x v="0"/>
    <x v="1258"/>
    <s v="2/24/2003 0:1274"/>
    <x v="0"/>
    <x v="0"/>
    <s v="Shipped"/>
    <x v="3"/>
    <x v="5"/>
    <x v="0"/>
    <x v="3"/>
    <n v="92"/>
    <s v="S18_4409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204"/>
    <x v="6"/>
    <n v="85.59"/>
    <n v="5"/>
    <x v="0"/>
    <x v="1259"/>
    <s v="2/24/2003 0:1275"/>
    <x v="0"/>
    <x v="0"/>
    <s v="Shipped"/>
    <x v="3"/>
    <x v="6"/>
    <x v="0"/>
    <x v="3"/>
    <n v="92"/>
    <s v="S18_4409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213"/>
    <x v="19"/>
    <n v="94.79"/>
    <n v="1"/>
    <x v="0"/>
    <x v="1260"/>
    <s v="2/24/2003 0:1276"/>
    <x v="0"/>
    <x v="0"/>
    <s v="Shipped"/>
    <x v="0"/>
    <x v="7"/>
    <x v="1"/>
    <x v="3"/>
    <n v="92"/>
    <s v="S18_4409"/>
    <s v="Double Decker Gift Stores, Ltd"/>
    <s v="(171) 555-7555"/>
    <s v="120 Hanover Sq."/>
    <m/>
    <s v="London"/>
    <x v="41"/>
    <m/>
    <s v="WA1 1DP"/>
    <x v="6"/>
    <x v="6"/>
    <s v="EMEA"/>
    <s v="Hardy"/>
    <s v="Thomas"/>
    <x v="1"/>
  </r>
  <r>
    <n v="10227"/>
    <x v="1"/>
    <n v="100"/>
    <n v="11"/>
    <x v="0"/>
    <x v="1261"/>
    <s v="2/24/2003 0:1277"/>
    <x v="0"/>
    <x v="0"/>
    <s v="Shipped"/>
    <x v="0"/>
    <x v="11"/>
    <x v="1"/>
    <x v="3"/>
    <n v="92"/>
    <s v="S18_4409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41"/>
    <x v="13"/>
    <n v="90.19"/>
    <n v="3"/>
    <x v="0"/>
    <x v="1262"/>
    <s v="2/24/2003 0:1278"/>
    <x v="0"/>
    <x v="0"/>
    <s v="Shipped"/>
    <x v="1"/>
    <x v="8"/>
    <x v="1"/>
    <x v="3"/>
    <n v="92"/>
    <s v="S18_4409"/>
    <s v="Mini Caravy"/>
    <s v="88.60.1555"/>
    <s v="24, place Kluber"/>
    <m/>
    <s v="Strasbourg"/>
    <x v="66"/>
    <m/>
    <n v="67000"/>
    <x v="1"/>
    <x v="1"/>
    <s v="EMEA"/>
    <s v="Citeaux"/>
    <s v="Frederique"/>
    <x v="1"/>
  </r>
  <r>
    <n v="10280"/>
    <x v="21"/>
    <n v="100"/>
    <n v="17"/>
    <x v="0"/>
    <x v="1263"/>
    <s v="2/24/2003 0:1279"/>
    <x v="0"/>
    <x v="0"/>
    <s v="Shipped"/>
    <x v="2"/>
    <x v="3"/>
    <x v="1"/>
    <x v="3"/>
    <n v="92"/>
    <s v="S18_4409"/>
    <s v="Amica Models &amp; Co."/>
    <s v="011-4988555"/>
    <s v="Via Monte Bianco 34"/>
    <m/>
    <s v="Torino"/>
    <x v="30"/>
    <m/>
    <n v="10100"/>
    <x v="12"/>
    <x v="12"/>
    <s v="EMEA"/>
    <s v="Accorti"/>
    <s v="Paolo"/>
    <x v="1"/>
  </r>
  <r>
    <n v="10288"/>
    <x v="21"/>
    <n v="80.989999999999995"/>
    <n v="6"/>
    <x v="0"/>
    <x v="1264"/>
    <s v="2/24/2003 0:1280"/>
    <x v="0"/>
    <x v="0"/>
    <s v="Shipped"/>
    <x v="2"/>
    <x v="10"/>
    <x v="1"/>
    <x v="3"/>
    <n v="92"/>
    <s v="S18_4409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302"/>
    <x v="19"/>
    <n v="89.27"/>
    <n v="2"/>
    <x v="0"/>
    <x v="1265"/>
    <s v="2/24/2003 0:1281"/>
    <x v="0"/>
    <x v="0"/>
    <s v="Shipped"/>
    <x v="3"/>
    <x v="4"/>
    <x v="0"/>
    <x v="3"/>
    <n v="92"/>
    <s v="S18_4409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311"/>
    <x v="2"/>
    <n v="81.91"/>
    <n v="1"/>
    <x v="0"/>
    <x v="1266"/>
    <s v="2/24/2003 0:1282"/>
    <x v="0"/>
    <x v="0"/>
    <s v="Shipped"/>
    <x v="3"/>
    <x v="4"/>
    <x v="1"/>
    <x v="3"/>
    <n v="92"/>
    <s v="S18_440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32"/>
    <x v="24"/>
    <n v="100"/>
    <n v="2"/>
    <x v="1"/>
    <x v="583"/>
    <s v="2/24/2003 0:1283"/>
    <x v="0"/>
    <x v="0"/>
    <s v="Shipped"/>
    <x v="3"/>
    <x v="5"/>
    <x v="1"/>
    <x v="3"/>
    <n v="92"/>
    <s v="S18_4409"/>
    <s v="AV Stores, Co."/>
    <s v="(171) 555-1555"/>
    <s v="Fauntleroy Circus"/>
    <m/>
    <s v="Manchester"/>
    <x v="61"/>
    <m/>
    <s v="EC2 5NT"/>
    <x v="6"/>
    <x v="6"/>
    <s v="EMEA"/>
    <s v="Ashworth"/>
    <s v="Victoria"/>
    <x v="2"/>
  </r>
  <r>
    <n v="10344"/>
    <x v="15"/>
    <n v="100"/>
    <n v="4"/>
    <x v="0"/>
    <x v="1267"/>
    <s v="2/24/2003 0:1284"/>
    <x v="0"/>
    <x v="0"/>
    <s v="Shipped"/>
    <x v="3"/>
    <x v="5"/>
    <x v="1"/>
    <x v="3"/>
    <n v="92"/>
    <s v="S18_4409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367"/>
    <x v="30"/>
    <n v="62.72"/>
    <n v="8"/>
    <x v="0"/>
    <x v="1268"/>
    <s v="2/24/2003 0:1285"/>
    <x v="5"/>
    <x v="1"/>
    <s v="Resolved"/>
    <x v="0"/>
    <x v="7"/>
    <x v="2"/>
    <x v="3"/>
    <n v="92"/>
    <s v="S18_4409"/>
    <s v="Toys4GrownUps.com"/>
    <n v="6265557265"/>
    <s v="78934 Hillside Dr."/>
    <m/>
    <s v="Pasadena"/>
    <x v="3"/>
    <s v="CA"/>
    <n v="90003"/>
    <x v="0"/>
    <x v="0"/>
    <s v="NA"/>
    <s v="Young"/>
    <s v="Julie"/>
    <x v="0"/>
  </r>
  <r>
    <n v="10380"/>
    <x v="22"/>
    <n v="100"/>
    <n v="1"/>
    <x v="0"/>
    <x v="1269"/>
    <s v="2/24/2003 0:1286"/>
    <x v="0"/>
    <x v="0"/>
    <s v="Shipped"/>
    <x v="0"/>
    <x v="0"/>
    <x v="2"/>
    <x v="3"/>
    <n v="92"/>
    <s v="S18_440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07"/>
    <x v="44"/>
    <n v="90.19"/>
    <n v="3"/>
    <x v="0"/>
    <x v="1270"/>
    <s v="2/24/2003 0:1287"/>
    <x v="4"/>
    <x v="1"/>
    <s v="On Hold"/>
    <x v="1"/>
    <x v="8"/>
    <x v="2"/>
    <x v="3"/>
    <n v="92"/>
    <s v="S18_4409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420"/>
    <x v="17"/>
    <n v="92.95"/>
    <n v="6"/>
    <x v="1"/>
    <x v="1271"/>
    <s v="2/24/2003 0:1288"/>
    <x v="2"/>
    <x v="1"/>
    <s v="In Process"/>
    <x v="1"/>
    <x v="1"/>
    <x v="2"/>
    <x v="3"/>
    <n v="92"/>
    <s v="S18_4409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105"/>
    <x v="2"/>
    <n v="82.5"/>
    <n v="10"/>
    <x v="0"/>
    <x v="1272"/>
    <s v="2/24/2003 0:1289"/>
    <x v="0"/>
    <x v="0"/>
    <s v="Shipped"/>
    <x v="0"/>
    <x v="0"/>
    <x v="0"/>
    <x v="3"/>
    <n v="87"/>
    <s v="S18_4522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117"/>
    <x v="10"/>
    <n v="97.42"/>
    <n v="4"/>
    <x v="0"/>
    <x v="1273"/>
    <s v="2/24/2003 0:1290"/>
    <x v="0"/>
    <x v="0"/>
    <s v="Shipped"/>
    <x v="1"/>
    <x v="8"/>
    <x v="0"/>
    <x v="3"/>
    <n v="87"/>
    <s v="S18_4522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28"/>
    <x v="30"/>
    <n v="92.16"/>
    <n v="1"/>
    <x v="0"/>
    <x v="1274"/>
    <s v="2/24/2003 0:1291"/>
    <x v="0"/>
    <x v="0"/>
    <s v="Shipped"/>
    <x v="1"/>
    <x v="9"/>
    <x v="0"/>
    <x v="3"/>
    <n v="87"/>
    <s v="S18_452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42"/>
    <x v="16"/>
    <n v="70.22"/>
    <n v="7"/>
    <x v="0"/>
    <x v="1275"/>
    <s v="2/24/2003 0:1292"/>
    <x v="0"/>
    <x v="0"/>
    <s v="Shipped"/>
    <x v="2"/>
    <x v="3"/>
    <x v="0"/>
    <x v="3"/>
    <n v="87"/>
    <s v="S18_452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53"/>
    <x v="8"/>
    <n v="83.38"/>
    <n v="6"/>
    <x v="0"/>
    <x v="1276"/>
    <s v="2/24/2003 0:1293"/>
    <x v="0"/>
    <x v="0"/>
    <s v="Shipped"/>
    <x v="2"/>
    <x v="10"/>
    <x v="0"/>
    <x v="3"/>
    <n v="87"/>
    <s v="S18_452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66"/>
    <x v="18"/>
    <n v="73.73"/>
    <n v="1"/>
    <x v="0"/>
    <x v="1277"/>
    <s v="2/24/2003 0:1294"/>
    <x v="0"/>
    <x v="0"/>
    <s v="Shipped"/>
    <x v="3"/>
    <x v="4"/>
    <x v="0"/>
    <x v="3"/>
    <n v="87"/>
    <s v="S18_4522"/>
    <s v="FunGiftIdeas.com"/>
    <n v="5085552555"/>
    <s v="1785 First Street"/>
    <m/>
    <s v="New Bedford"/>
    <x v="18"/>
    <s v="MA"/>
    <n v="50553"/>
    <x v="0"/>
    <x v="0"/>
    <s v="NA"/>
    <s v="Benitez"/>
    <s v="Violeta"/>
    <x v="0"/>
  </r>
  <r>
    <n v="10177"/>
    <x v="21"/>
    <n v="74.599999999999994"/>
    <n v="8"/>
    <x v="0"/>
    <x v="1278"/>
    <s v="2/24/2003 0:1295"/>
    <x v="0"/>
    <x v="0"/>
    <s v="Shipped"/>
    <x v="3"/>
    <x v="5"/>
    <x v="0"/>
    <x v="3"/>
    <n v="87"/>
    <s v="S18_4522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0"/>
  </r>
  <r>
    <n v="10185"/>
    <x v="20"/>
    <n v="77.239999999999995"/>
    <n v="8"/>
    <x v="0"/>
    <x v="1279"/>
    <s v="2/24/2003 0:1296"/>
    <x v="0"/>
    <x v="0"/>
    <s v="Shipped"/>
    <x v="3"/>
    <x v="5"/>
    <x v="0"/>
    <x v="3"/>
    <n v="87"/>
    <s v="S18_4522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97"/>
    <x v="24"/>
    <n v="100"/>
    <n v="14"/>
    <x v="1"/>
    <x v="1280"/>
    <s v="2/24/2003 0:1297"/>
    <x v="0"/>
    <x v="0"/>
    <s v="Shipped"/>
    <x v="3"/>
    <x v="5"/>
    <x v="0"/>
    <x v="3"/>
    <n v="87"/>
    <s v="S18_4522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208"/>
    <x v="3"/>
    <n v="87.77"/>
    <n v="8"/>
    <x v="0"/>
    <x v="1281"/>
    <s v="2/24/2003 0:1298"/>
    <x v="0"/>
    <x v="0"/>
    <s v="Shipped"/>
    <x v="0"/>
    <x v="7"/>
    <x v="1"/>
    <x v="3"/>
    <n v="87"/>
    <s v="S18_4522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21"/>
    <x v="25"/>
    <n v="89.53"/>
    <n v="2"/>
    <x v="0"/>
    <x v="1282"/>
    <s v="2/24/2003 0:1299"/>
    <x v="0"/>
    <x v="0"/>
    <s v="Shipped"/>
    <x v="0"/>
    <x v="0"/>
    <x v="1"/>
    <x v="3"/>
    <n v="87"/>
    <s v="S18_4522"/>
    <s v="Petit Auto"/>
    <s v="(02) 5554 67"/>
    <s v="Rue Joseph-Bens 532"/>
    <m/>
    <s v="Bruxelles"/>
    <x v="46"/>
    <m/>
    <s v="B-1180"/>
    <x v="14"/>
    <x v="14"/>
    <s v="EMEA"/>
    <s v="Dewey"/>
    <s v="Catherine"/>
    <x v="1"/>
  </r>
  <r>
    <n v="10232"/>
    <x v="10"/>
    <n v="89.53"/>
    <n v="5"/>
    <x v="0"/>
    <x v="1283"/>
    <s v="2/24/2003 0:1300"/>
    <x v="0"/>
    <x v="0"/>
    <s v="Shipped"/>
    <x v="0"/>
    <x v="11"/>
    <x v="1"/>
    <x v="3"/>
    <n v="87"/>
    <s v="S18_4522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248"/>
    <x v="13"/>
    <n v="75.48"/>
    <n v="11"/>
    <x v="0"/>
    <x v="1284"/>
    <s v="2/24/2003 0:1301"/>
    <x v="3"/>
    <x v="1"/>
    <s v="Cancelled"/>
    <x v="1"/>
    <x v="1"/>
    <x v="1"/>
    <x v="3"/>
    <n v="87"/>
    <s v="S18_4522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261"/>
    <x v="14"/>
    <n v="89.53"/>
    <n v="9"/>
    <x v="0"/>
    <x v="1285"/>
    <s v="2/24/2003 0:1302"/>
    <x v="0"/>
    <x v="0"/>
    <s v="Shipped"/>
    <x v="1"/>
    <x v="9"/>
    <x v="1"/>
    <x v="3"/>
    <n v="87"/>
    <s v="S18_4522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0"/>
  </r>
  <r>
    <n v="10273"/>
    <x v="29"/>
    <n v="71.09"/>
    <n v="12"/>
    <x v="0"/>
    <x v="1286"/>
    <s v="2/24/2003 0:1303"/>
    <x v="0"/>
    <x v="0"/>
    <s v="Shipped"/>
    <x v="2"/>
    <x v="2"/>
    <x v="1"/>
    <x v="3"/>
    <n v="87"/>
    <s v="S18_4522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283"/>
    <x v="1"/>
    <n v="100"/>
    <n v="14"/>
    <x v="0"/>
    <x v="1287"/>
    <s v="2/24/2003 0:1304"/>
    <x v="0"/>
    <x v="0"/>
    <s v="Shipped"/>
    <x v="2"/>
    <x v="3"/>
    <x v="1"/>
    <x v="3"/>
    <n v="87"/>
    <s v="S18_4522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1"/>
  </r>
  <r>
    <n v="10293"/>
    <x v="4"/>
    <n v="100"/>
    <n v="3"/>
    <x v="1"/>
    <x v="1288"/>
    <s v="2/24/2003 0:1305"/>
    <x v="0"/>
    <x v="0"/>
    <s v="Shipped"/>
    <x v="2"/>
    <x v="10"/>
    <x v="1"/>
    <x v="3"/>
    <n v="87"/>
    <s v="S18_4522"/>
    <s v="Amica Models &amp; Co."/>
    <s v="011-4988555"/>
    <s v="Via Monte Bianco 34"/>
    <m/>
    <s v="Torino"/>
    <x v="30"/>
    <m/>
    <n v="10100"/>
    <x v="12"/>
    <x v="12"/>
    <s v="EMEA"/>
    <s v="Accorti"/>
    <s v="Paolo"/>
    <x v="1"/>
  </r>
  <r>
    <n v="10306"/>
    <x v="25"/>
    <n v="90.4"/>
    <n v="8"/>
    <x v="0"/>
    <x v="880"/>
    <s v="2/24/2003 0:1306"/>
    <x v="0"/>
    <x v="0"/>
    <s v="Shipped"/>
    <x v="3"/>
    <x v="4"/>
    <x v="1"/>
    <x v="3"/>
    <n v="87"/>
    <s v="S18_4522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15"/>
    <x v="5"/>
    <n v="100"/>
    <n v="7"/>
    <x v="0"/>
    <x v="1289"/>
    <s v="2/24/2003 0:1307"/>
    <x v="0"/>
    <x v="0"/>
    <s v="Shipped"/>
    <x v="3"/>
    <x v="4"/>
    <x v="1"/>
    <x v="3"/>
    <n v="87"/>
    <s v="S18_4522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26"/>
    <x v="24"/>
    <n v="86.01"/>
    <n v="5"/>
    <x v="1"/>
    <x v="1290"/>
    <s v="2/24/2003 0:1308"/>
    <x v="0"/>
    <x v="0"/>
    <s v="Shipped"/>
    <x v="3"/>
    <x v="5"/>
    <x v="1"/>
    <x v="3"/>
    <n v="87"/>
    <s v="S18_4522"/>
    <s v="Volvo Model Replicas, Co"/>
    <s v="0921-12 3555"/>
    <s v="Berguvsv„gen  8"/>
    <m/>
    <s v="Lule"/>
    <x v="21"/>
    <m/>
    <s v="S-958 22"/>
    <x v="8"/>
    <x v="8"/>
    <s v="EMEA"/>
    <s v="Berglund"/>
    <s v="Christina"/>
    <x v="1"/>
  </r>
  <r>
    <n v="10337"/>
    <x v="6"/>
    <n v="100"/>
    <n v="2"/>
    <x v="1"/>
    <x v="1291"/>
    <s v="2/24/2003 0:1309"/>
    <x v="0"/>
    <x v="0"/>
    <s v="Shipped"/>
    <x v="3"/>
    <x v="5"/>
    <x v="1"/>
    <x v="3"/>
    <n v="87"/>
    <s v="S18_4522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1"/>
  </r>
  <r>
    <n v="10350"/>
    <x v="0"/>
    <n v="100"/>
    <n v="3"/>
    <x v="0"/>
    <x v="1292"/>
    <s v="2/24/2003 0:1310"/>
    <x v="0"/>
    <x v="0"/>
    <s v="Shipped"/>
    <x v="3"/>
    <x v="6"/>
    <x v="1"/>
    <x v="3"/>
    <n v="87"/>
    <s v="S18_452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72"/>
    <x v="2"/>
    <n v="86.89"/>
    <n v="7"/>
    <x v="0"/>
    <x v="1293"/>
    <s v="2/24/2003 0:1311"/>
    <x v="0"/>
    <x v="0"/>
    <s v="Shipped"/>
    <x v="0"/>
    <x v="7"/>
    <x v="2"/>
    <x v="3"/>
    <n v="87"/>
    <s v="S18_4522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383"/>
    <x v="11"/>
    <n v="58.58"/>
    <n v="7"/>
    <x v="0"/>
    <x v="1294"/>
    <s v="2/24/2003 0:1312"/>
    <x v="0"/>
    <x v="0"/>
    <s v="Shipped"/>
    <x v="0"/>
    <x v="0"/>
    <x v="2"/>
    <x v="3"/>
    <n v="87"/>
    <s v="S18_452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6"/>
    <x v="3"/>
    <n v="100"/>
    <n v="5"/>
    <x v="1"/>
    <x v="1295"/>
    <s v="2/24/2003 0:1313"/>
    <x v="0"/>
    <x v="0"/>
    <s v="Shipped"/>
    <x v="0"/>
    <x v="11"/>
    <x v="2"/>
    <x v="3"/>
    <n v="87"/>
    <s v="S18_452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14"/>
    <x v="49"/>
    <n v="75.48"/>
    <n v="11"/>
    <x v="0"/>
    <x v="1296"/>
    <s v="2/24/2003 0:1314"/>
    <x v="4"/>
    <x v="1"/>
    <s v="On Hold"/>
    <x v="1"/>
    <x v="1"/>
    <x v="2"/>
    <x v="3"/>
    <n v="87"/>
    <s v="S18_4522"/>
    <s v="Gifts4AllAges.com"/>
    <n v="6175559555"/>
    <s v="8616 Spinnaker Dr."/>
    <m/>
    <s v="Boston"/>
    <x v="48"/>
    <s v="MA"/>
    <n v="51003"/>
    <x v="0"/>
    <x v="0"/>
    <s v="NA"/>
    <s v="Yoshido"/>
    <s v="Juri"/>
    <x v="0"/>
  </r>
  <r>
    <n v="10103"/>
    <x v="5"/>
    <n v="100"/>
    <n v="5"/>
    <x v="1"/>
    <x v="1297"/>
    <s v="2/24/2003 0:1315"/>
    <x v="0"/>
    <x v="0"/>
    <s v="Shipped"/>
    <x v="0"/>
    <x v="7"/>
    <x v="0"/>
    <x v="2"/>
    <n v="121"/>
    <s v="S18_4600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114"/>
    <x v="2"/>
    <n v="100"/>
    <n v="9"/>
    <x v="1"/>
    <x v="1298"/>
    <s v="2/24/2003 0:1316"/>
    <x v="0"/>
    <x v="0"/>
    <s v="Shipped"/>
    <x v="1"/>
    <x v="8"/>
    <x v="0"/>
    <x v="2"/>
    <n v="121"/>
    <s v="S18_4600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126"/>
    <x v="24"/>
    <n v="100"/>
    <n v="5"/>
    <x v="1"/>
    <x v="1299"/>
    <s v="2/24/2003 0:1317"/>
    <x v="0"/>
    <x v="0"/>
    <s v="Shipped"/>
    <x v="1"/>
    <x v="1"/>
    <x v="0"/>
    <x v="2"/>
    <n v="121"/>
    <s v="S18_4600"/>
    <s v="Corrida Auto Replicas, Ltd"/>
    <s v="(91) 555 22 82"/>
    <s v="C/ Araquil, 67"/>
    <m/>
    <s v="Madrid"/>
    <x v="20"/>
    <m/>
    <n v="28023"/>
    <x v="7"/>
    <x v="7"/>
    <s v="EMEA"/>
    <s v="Sommer"/>
    <s v="Mart¡n"/>
    <x v="2"/>
  </r>
  <r>
    <n v="10140"/>
    <x v="23"/>
    <n v="100"/>
    <n v="5"/>
    <x v="1"/>
    <x v="1300"/>
    <s v="2/24/2003 0:1318"/>
    <x v="0"/>
    <x v="0"/>
    <s v="Shipped"/>
    <x v="2"/>
    <x v="2"/>
    <x v="0"/>
    <x v="2"/>
    <n v="121"/>
    <s v="S18_4600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50"/>
    <x v="4"/>
    <n v="100"/>
    <n v="2"/>
    <x v="1"/>
    <x v="1301"/>
    <s v="2/24/2003 0:1319"/>
    <x v="0"/>
    <x v="0"/>
    <s v="Shipped"/>
    <x v="2"/>
    <x v="10"/>
    <x v="0"/>
    <x v="2"/>
    <n v="121"/>
    <s v="S18_4600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64"/>
    <x v="3"/>
    <n v="100"/>
    <n v="3"/>
    <x v="1"/>
    <x v="1302"/>
    <s v="2/24/2003 0:1320"/>
    <x v="5"/>
    <x v="1"/>
    <s v="Resolved"/>
    <x v="3"/>
    <x v="4"/>
    <x v="0"/>
    <x v="2"/>
    <n v="121"/>
    <s v="S18_4600"/>
    <s v="Mini Auto Werke"/>
    <s v="7675-3555"/>
    <s v="Kirchgasse 6"/>
    <m/>
    <s v="Graz"/>
    <x v="52"/>
    <m/>
    <n v="8010"/>
    <x v="5"/>
    <x v="5"/>
    <s v="EMEA"/>
    <s v="Mendel"/>
    <s v="Roland"/>
    <x v="1"/>
  </r>
  <r>
    <n v="10175"/>
    <x v="20"/>
    <n v="100"/>
    <n v="10"/>
    <x v="1"/>
    <x v="1303"/>
    <s v="2/24/2003 0:1321"/>
    <x v="0"/>
    <x v="0"/>
    <s v="Shipped"/>
    <x v="3"/>
    <x v="5"/>
    <x v="0"/>
    <x v="2"/>
    <n v="121"/>
    <s v="S18_4600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83"/>
    <x v="15"/>
    <n v="100"/>
    <n v="2"/>
    <x v="0"/>
    <x v="1304"/>
    <s v="2/24/2003 0:1322"/>
    <x v="0"/>
    <x v="0"/>
    <s v="Shipped"/>
    <x v="3"/>
    <x v="5"/>
    <x v="0"/>
    <x v="2"/>
    <n v="121"/>
    <s v="S18_4600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0"/>
  </r>
  <r>
    <n v="10194"/>
    <x v="22"/>
    <n v="100"/>
    <n v="5"/>
    <x v="1"/>
    <x v="1305"/>
    <s v="2/24/2003 0:1323"/>
    <x v="0"/>
    <x v="0"/>
    <s v="Shipped"/>
    <x v="3"/>
    <x v="5"/>
    <x v="0"/>
    <x v="2"/>
    <n v="121"/>
    <s v="S18_4600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07"/>
    <x v="20"/>
    <n v="100"/>
    <n v="16"/>
    <x v="1"/>
    <x v="1306"/>
    <s v="2/24/2003 0:1324"/>
    <x v="0"/>
    <x v="0"/>
    <s v="Shipped"/>
    <x v="3"/>
    <x v="6"/>
    <x v="0"/>
    <x v="2"/>
    <n v="121"/>
    <s v="S18_4600"/>
    <s v="Diecast Collectables"/>
    <n v="6175552555"/>
    <s v="6251 Ingle Ln."/>
    <m/>
    <s v="Boston"/>
    <x v="48"/>
    <s v="MA"/>
    <n v="51003"/>
    <x v="0"/>
    <x v="0"/>
    <s v="NA"/>
    <s v="Franco"/>
    <s v="Valarie"/>
    <x v="1"/>
  </r>
  <r>
    <n v="10217"/>
    <x v="19"/>
    <n v="100"/>
    <n v="5"/>
    <x v="1"/>
    <x v="1307"/>
    <s v="2/24/2003 0:1325"/>
    <x v="0"/>
    <x v="0"/>
    <s v="Shipped"/>
    <x v="0"/>
    <x v="0"/>
    <x v="1"/>
    <x v="2"/>
    <n v="121"/>
    <s v="S18_4600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229"/>
    <x v="2"/>
    <n v="100"/>
    <n v="10"/>
    <x v="1"/>
    <x v="1308"/>
    <s v="2/24/2003 0:1326"/>
    <x v="0"/>
    <x v="0"/>
    <s v="Shipped"/>
    <x v="0"/>
    <x v="11"/>
    <x v="1"/>
    <x v="2"/>
    <n v="121"/>
    <s v="S18_460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45"/>
    <x v="15"/>
    <n v="100"/>
    <n v="3"/>
    <x v="0"/>
    <x v="1309"/>
    <s v="2/24/2003 0:1327"/>
    <x v="0"/>
    <x v="0"/>
    <s v="Shipped"/>
    <x v="1"/>
    <x v="1"/>
    <x v="1"/>
    <x v="2"/>
    <n v="121"/>
    <s v="S18_4600"/>
    <s v="Super Scale Inc."/>
    <n v="2035559545"/>
    <s v="567 North Pendale Street"/>
    <m/>
    <s v="New Haven"/>
    <x v="28"/>
    <s v="CT"/>
    <n v="97823"/>
    <x v="0"/>
    <x v="0"/>
    <s v="NA"/>
    <s v="Murphy"/>
    <s v="Leslie"/>
    <x v="0"/>
  </r>
  <r>
    <n v="10259"/>
    <x v="2"/>
    <n v="100"/>
    <n v="13"/>
    <x v="1"/>
    <x v="1310"/>
    <s v="2/24/2003 0:1328"/>
    <x v="0"/>
    <x v="0"/>
    <s v="Shipped"/>
    <x v="1"/>
    <x v="9"/>
    <x v="1"/>
    <x v="2"/>
    <n v="121"/>
    <s v="S18_4600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270"/>
    <x v="19"/>
    <n v="100"/>
    <n v="3"/>
    <x v="1"/>
    <x v="1311"/>
    <s v="2/24/2003 0:1329"/>
    <x v="0"/>
    <x v="0"/>
    <s v="Shipped"/>
    <x v="2"/>
    <x v="2"/>
    <x v="1"/>
    <x v="2"/>
    <n v="121"/>
    <s v="S18_4600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281"/>
    <x v="32"/>
    <n v="99.29"/>
    <n v="10"/>
    <x v="0"/>
    <x v="1312"/>
    <s v="2/24/2003 0:1330"/>
    <x v="0"/>
    <x v="0"/>
    <s v="Shipped"/>
    <x v="2"/>
    <x v="3"/>
    <x v="1"/>
    <x v="2"/>
    <n v="121"/>
    <s v="S18_4600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291"/>
    <x v="7"/>
    <n v="100"/>
    <n v="5"/>
    <x v="1"/>
    <x v="1313"/>
    <s v="2/24/2003 0:1331"/>
    <x v="0"/>
    <x v="0"/>
    <s v="Shipped"/>
    <x v="2"/>
    <x v="10"/>
    <x v="1"/>
    <x v="2"/>
    <n v="121"/>
    <s v="S18_4600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305"/>
    <x v="8"/>
    <n v="99.29"/>
    <n v="14"/>
    <x v="0"/>
    <x v="1314"/>
    <s v="2/24/2003 0:1332"/>
    <x v="0"/>
    <x v="0"/>
    <s v="Shipped"/>
    <x v="3"/>
    <x v="4"/>
    <x v="1"/>
    <x v="2"/>
    <n v="121"/>
    <s v="S18_4600"/>
    <s v="Marta's Replicas Co."/>
    <n v="6175558555"/>
    <s v="39323 Spinnaker Dr."/>
    <m/>
    <s v="Cambridge"/>
    <x v="12"/>
    <s v="MA"/>
    <n v="51247"/>
    <x v="0"/>
    <x v="0"/>
    <s v="NA"/>
    <s v="Hernandez"/>
    <s v="Marta"/>
    <x v="0"/>
  </r>
  <r>
    <n v="10313"/>
    <x v="11"/>
    <n v="100"/>
    <n v="8"/>
    <x v="0"/>
    <x v="1315"/>
    <s v="2/24/2003 0:1333"/>
    <x v="0"/>
    <x v="0"/>
    <s v="Shipped"/>
    <x v="3"/>
    <x v="4"/>
    <x v="1"/>
    <x v="2"/>
    <n v="121"/>
    <s v="S18_4600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0"/>
  </r>
  <r>
    <n v="10323"/>
    <x v="20"/>
    <n v="100"/>
    <n v="1"/>
    <x v="1"/>
    <x v="1316"/>
    <s v="2/24/2003 0:1334"/>
    <x v="0"/>
    <x v="0"/>
    <s v="Shipped"/>
    <x v="3"/>
    <x v="5"/>
    <x v="1"/>
    <x v="2"/>
    <n v="121"/>
    <s v="S18_4600"/>
    <s v="Blauer See Auto, Co."/>
    <s v="+49 69 66 90 2555"/>
    <s v="Lyonerstr. 34"/>
    <m/>
    <s v="Frankfurt"/>
    <x v="58"/>
    <m/>
    <n v="60528"/>
    <x v="16"/>
    <x v="16"/>
    <s v="EMEA"/>
    <s v="Keitel"/>
    <s v="Roland"/>
    <x v="1"/>
  </r>
  <r>
    <n v="10334"/>
    <x v="4"/>
    <n v="100"/>
    <n v="4"/>
    <x v="1"/>
    <x v="1317"/>
    <s v="2/24/2003 0:1335"/>
    <x v="4"/>
    <x v="1"/>
    <s v="On Hold"/>
    <x v="3"/>
    <x v="5"/>
    <x v="1"/>
    <x v="2"/>
    <n v="121"/>
    <s v="S18_4600"/>
    <s v="Volvo Model Replicas, Co"/>
    <s v="0921-12 3555"/>
    <s v="Berguvsv„gen  8"/>
    <m/>
    <s v="Lule"/>
    <x v="21"/>
    <m/>
    <s v="S-958 22"/>
    <x v="8"/>
    <x v="8"/>
    <s v="EMEA"/>
    <s v="Berglund"/>
    <s v="Christina"/>
    <x v="1"/>
  </r>
  <r>
    <n v="10347"/>
    <x v="3"/>
    <n v="100"/>
    <n v="4"/>
    <x v="1"/>
    <x v="1318"/>
    <s v="2/24/2003 0:1336"/>
    <x v="0"/>
    <x v="0"/>
    <s v="Shipped"/>
    <x v="3"/>
    <x v="5"/>
    <x v="1"/>
    <x v="2"/>
    <n v="121"/>
    <s v="S18_4600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7"/>
    <x v="11"/>
    <n v="100"/>
    <n v="2"/>
    <x v="0"/>
    <x v="1319"/>
    <s v="2/24/2003 0:1337"/>
    <x v="0"/>
    <x v="0"/>
    <s v="Shipped"/>
    <x v="3"/>
    <x v="6"/>
    <x v="1"/>
    <x v="2"/>
    <n v="121"/>
    <s v="S18_460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70"/>
    <x v="6"/>
    <n v="57.53"/>
    <n v="6"/>
    <x v="0"/>
    <x v="1320"/>
    <s v="2/24/2003 0:1338"/>
    <x v="0"/>
    <x v="0"/>
    <s v="Shipped"/>
    <x v="0"/>
    <x v="7"/>
    <x v="2"/>
    <x v="2"/>
    <n v="121"/>
    <s v="S18_4600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382"/>
    <x v="25"/>
    <n v="100"/>
    <n v="1"/>
    <x v="1"/>
    <x v="1321"/>
    <s v="2/24/2003 0:1339"/>
    <x v="0"/>
    <x v="0"/>
    <s v="Shipped"/>
    <x v="0"/>
    <x v="0"/>
    <x v="2"/>
    <x v="2"/>
    <n v="121"/>
    <s v="S18_460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11"/>
    <x v="12"/>
    <n v="100"/>
    <n v="3"/>
    <x v="1"/>
    <x v="1322"/>
    <s v="2/24/2003 0:1340"/>
    <x v="0"/>
    <x v="0"/>
    <s v="Shipped"/>
    <x v="1"/>
    <x v="1"/>
    <x v="2"/>
    <x v="2"/>
    <n v="121"/>
    <s v="S18_4600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425"/>
    <x v="19"/>
    <n v="100"/>
    <n v="13"/>
    <x v="1"/>
    <x v="1323"/>
    <s v="2/24/2003 0:1341"/>
    <x v="2"/>
    <x v="1"/>
    <s v="In Process"/>
    <x v="1"/>
    <x v="1"/>
    <x v="2"/>
    <x v="2"/>
    <n v="121"/>
    <s v="S18_4600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103"/>
    <x v="2"/>
    <n v="47.29"/>
    <n v="9"/>
    <x v="0"/>
    <x v="1324"/>
    <s v="2/24/2003 0:1342"/>
    <x v="0"/>
    <x v="0"/>
    <s v="Shipped"/>
    <x v="0"/>
    <x v="7"/>
    <x v="0"/>
    <x v="3"/>
    <n v="50"/>
    <s v="S18_4668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113"/>
    <x v="24"/>
    <n v="49.81"/>
    <n v="3"/>
    <x v="0"/>
    <x v="1325"/>
    <s v="2/24/2003 0:1343"/>
    <x v="0"/>
    <x v="0"/>
    <s v="Shipped"/>
    <x v="0"/>
    <x v="11"/>
    <x v="0"/>
    <x v="3"/>
    <n v="50"/>
    <s v="S18_466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26"/>
    <x v="30"/>
    <n v="53.83"/>
    <n v="9"/>
    <x v="0"/>
    <x v="1326"/>
    <s v="2/24/2003 0:1344"/>
    <x v="0"/>
    <x v="0"/>
    <s v="Shipped"/>
    <x v="1"/>
    <x v="1"/>
    <x v="0"/>
    <x v="3"/>
    <n v="50"/>
    <s v="S18_4668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140"/>
    <x v="6"/>
    <n v="43.27"/>
    <n v="9"/>
    <x v="0"/>
    <x v="1327"/>
    <s v="2/24/2003 0:1345"/>
    <x v="0"/>
    <x v="0"/>
    <s v="Shipped"/>
    <x v="2"/>
    <x v="2"/>
    <x v="0"/>
    <x v="3"/>
    <n v="50"/>
    <s v="S18_4668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150"/>
    <x v="0"/>
    <n v="42.76"/>
    <n v="6"/>
    <x v="0"/>
    <x v="1328"/>
    <s v="2/24/2003 0:1346"/>
    <x v="0"/>
    <x v="0"/>
    <s v="Shipped"/>
    <x v="2"/>
    <x v="10"/>
    <x v="0"/>
    <x v="3"/>
    <n v="50"/>
    <s v="S18_4668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64"/>
    <x v="32"/>
    <n v="53.83"/>
    <n v="7"/>
    <x v="0"/>
    <x v="1329"/>
    <s v="2/24/2003 0:1347"/>
    <x v="5"/>
    <x v="1"/>
    <s v="Resolved"/>
    <x v="3"/>
    <x v="4"/>
    <x v="0"/>
    <x v="3"/>
    <n v="50"/>
    <s v="S18_4668"/>
    <s v="Mini Auto Werke"/>
    <s v="7675-3555"/>
    <s v="Kirchgasse 6"/>
    <m/>
    <s v="Graz"/>
    <x v="52"/>
    <m/>
    <n v="8010"/>
    <x v="5"/>
    <x v="5"/>
    <s v="EMEA"/>
    <s v="Mendel"/>
    <s v="Roland"/>
    <x v="0"/>
  </r>
  <r>
    <n v="10174"/>
    <x v="4"/>
    <n v="44.78"/>
    <n v="2"/>
    <x v="0"/>
    <x v="1330"/>
    <s v="2/24/2003 0:1348"/>
    <x v="0"/>
    <x v="0"/>
    <s v="Shipped"/>
    <x v="3"/>
    <x v="5"/>
    <x v="0"/>
    <x v="3"/>
    <n v="50"/>
    <s v="S18_4668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0"/>
  </r>
  <r>
    <n v="10183"/>
    <x v="23"/>
    <n v="49.3"/>
    <n v="6"/>
    <x v="0"/>
    <x v="1331"/>
    <s v="2/24/2003 0:1349"/>
    <x v="0"/>
    <x v="0"/>
    <s v="Shipped"/>
    <x v="3"/>
    <x v="5"/>
    <x v="0"/>
    <x v="3"/>
    <n v="50"/>
    <s v="S18_4668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0"/>
  </r>
  <r>
    <n v="10194"/>
    <x v="2"/>
    <n v="44.78"/>
    <n v="9"/>
    <x v="0"/>
    <x v="1332"/>
    <s v="2/24/2003 0:1350"/>
    <x v="0"/>
    <x v="0"/>
    <s v="Shipped"/>
    <x v="3"/>
    <x v="5"/>
    <x v="0"/>
    <x v="3"/>
    <n v="50"/>
    <s v="S18_4668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06"/>
    <x v="15"/>
    <n v="53.33"/>
    <n v="4"/>
    <x v="0"/>
    <x v="1333"/>
    <s v="2/24/2003 0:1351"/>
    <x v="0"/>
    <x v="0"/>
    <s v="Shipped"/>
    <x v="3"/>
    <x v="6"/>
    <x v="0"/>
    <x v="3"/>
    <n v="50"/>
    <s v="S18_4668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0"/>
  </r>
  <r>
    <n v="10215"/>
    <x v="12"/>
    <n v="45.28"/>
    <n v="1"/>
    <x v="0"/>
    <x v="1334"/>
    <s v="2/24/2003 0:1352"/>
    <x v="0"/>
    <x v="0"/>
    <s v="Shipped"/>
    <x v="0"/>
    <x v="7"/>
    <x v="1"/>
    <x v="3"/>
    <n v="50"/>
    <s v="S18_4668"/>
    <s v="West Coast Collectables Co."/>
    <n v="3105553722"/>
    <s v="3675 Furth Circle"/>
    <m/>
    <s v="Burbank"/>
    <x v="27"/>
    <s v="CA"/>
    <n v="94019"/>
    <x v="0"/>
    <x v="0"/>
    <s v="NA"/>
    <s v="Thompson"/>
    <s v="Steve"/>
    <x v="0"/>
  </r>
  <r>
    <n v="10229"/>
    <x v="25"/>
    <n v="40.25"/>
    <n v="14"/>
    <x v="0"/>
    <x v="1335"/>
    <s v="2/24/2003 0:1353"/>
    <x v="0"/>
    <x v="0"/>
    <s v="Shipped"/>
    <x v="0"/>
    <x v="11"/>
    <x v="1"/>
    <x v="3"/>
    <n v="50"/>
    <s v="S18_466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45"/>
    <x v="3"/>
    <n v="59.87"/>
    <n v="7"/>
    <x v="0"/>
    <x v="1336"/>
    <s v="2/24/2003 0:1354"/>
    <x v="0"/>
    <x v="0"/>
    <s v="Shipped"/>
    <x v="1"/>
    <x v="1"/>
    <x v="1"/>
    <x v="3"/>
    <n v="50"/>
    <s v="S18_4668"/>
    <s v="Super Scale Inc."/>
    <n v="2035559545"/>
    <s v="567 North Pendale Street"/>
    <m/>
    <s v="New Haven"/>
    <x v="28"/>
    <s v="CT"/>
    <n v="97823"/>
    <x v="0"/>
    <x v="0"/>
    <s v="NA"/>
    <s v="Murphy"/>
    <s v="Leslie"/>
    <x v="0"/>
  </r>
  <r>
    <n v="10258"/>
    <x v="15"/>
    <n v="59.87"/>
    <n v="4"/>
    <x v="0"/>
    <x v="1337"/>
    <s v="2/24/2003 0:1355"/>
    <x v="0"/>
    <x v="0"/>
    <s v="Shipped"/>
    <x v="1"/>
    <x v="9"/>
    <x v="1"/>
    <x v="3"/>
    <n v="50"/>
    <s v="S18_4668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270"/>
    <x v="27"/>
    <n v="58.36"/>
    <n v="7"/>
    <x v="0"/>
    <x v="1338"/>
    <s v="2/24/2003 0:1356"/>
    <x v="0"/>
    <x v="0"/>
    <s v="Shipped"/>
    <x v="2"/>
    <x v="2"/>
    <x v="1"/>
    <x v="3"/>
    <n v="50"/>
    <s v="S18_4668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281"/>
    <x v="27"/>
    <n v="59.87"/>
    <n v="14"/>
    <x v="0"/>
    <x v="1339"/>
    <s v="2/24/2003 0:1357"/>
    <x v="0"/>
    <x v="0"/>
    <s v="Shipped"/>
    <x v="2"/>
    <x v="3"/>
    <x v="1"/>
    <x v="3"/>
    <n v="50"/>
    <s v="S18_4668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291"/>
    <x v="6"/>
    <n v="51.82"/>
    <n v="9"/>
    <x v="0"/>
    <x v="1340"/>
    <s v="2/24/2003 0:1358"/>
    <x v="0"/>
    <x v="0"/>
    <s v="Shipped"/>
    <x v="2"/>
    <x v="10"/>
    <x v="1"/>
    <x v="3"/>
    <n v="50"/>
    <s v="S18_4668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304"/>
    <x v="1"/>
    <n v="49.3"/>
    <n v="4"/>
    <x v="0"/>
    <x v="1341"/>
    <s v="2/24/2003 0:1359"/>
    <x v="0"/>
    <x v="0"/>
    <s v="Shipped"/>
    <x v="3"/>
    <x v="4"/>
    <x v="1"/>
    <x v="3"/>
    <n v="50"/>
    <s v="S18_4668"/>
    <s v="Auto Assoc. &amp; Cie."/>
    <s v="30.59.8555"/>
    <s v="67, avenue de l'Europe"/>
    <m/>
    <s v="Versailles"/>
    <x v="32"/>
    <m/>
    <n v="78000"/>
    <x v="1"/>
    <x v="1"/>
    <s v="EMEA"/>
    <s v="Tonini"/>
    <s v="Daniel"/>
    <x v="0"/>
  </r>
  <r>
    <n v="10312"/>
    <x v="25"/>
    <n v="56.85"/>
    <n v="1"/>
    <x v="0"/>
    <x v="1342"/>
    <s v="2/24/2003 0:1360"/>
    <x v="0"/>
    <x v="0"/>
    <s v="Shipped"/>
    <x v="3"/>
    <x v="4"/>
    <x v="1"/>
    <x v="3"/>
    <n v="50"/>
    <s v="S18_466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24"/>
    <x v="19"/>
    <n v="100"/>
    <n v="6"/>
    <x v="1"/>
    <x v="1343"/>
    <s v="2/24/2003 0:1361"/>
    <x v="0"/>
    <x v="0"/>
    <s v="Shipped"/>
    <x v="3"/>
    <x v="5"/>
    <x v="1"/>
    <x v="3"/>
    <n v="50"/>
    <s v="S18_4668"/>
    <s v="Vitachrome Inc."/>
    <n v="2125551500"/>
    <s v="2678 Kingston Rd."/>
    <s v="Suite 101"/>
    <s v="Nyc"/>
    <x v="0"/>
    <s v="NY"/>
    <n v="10022"/>
    <x v="0"/>
    <x v="0"/>
    <s v="NA"/>
    <s v="Frick"/>
    <s v="Michael"/>
    <x v="1"/>
  </r>
  <r>
    <n v="10333"/>
    <x v="16"/>
    <n v="79.86"/>
    <n v="8"/>
    <x v="0"/>
    <x v="1344"/>
    <s v="2/24/2003 0:1362"/>
    <x v="0"/>
    <x v="0"/>
    <s v="Shipped"/>
    <x v="3"/>
    <x v="5"/>
    <x v="1"/>
    <x v="3"/>
    <n v="50"/>
    <s v="S18_4668"/>
    <s v="Mini Wheels Co."/>
    <n v="6505555787"/>
    <s v="5557 North Pendale Street"/>
    <m/>
    <s v="San Francisco"/>
    <x v="4"/>
    <s v="CA"/>
    <m/>
    <x v="0"/>
    <x v="0"/>
    <s v="NA"/>
    <s v="Murphy"/>
    <s v="Julie"/>
    <x v="0"/>
  </r>
  <r>
    <n v="10348"/>
    <x v="6"/>
    <n v="100"/>
    <n v="6"/>
    <x v="1"/>
    <x v="1345"/>
    <s v="2/24/2003 0:1363"/>
    <x v="0"/>
    <x v="0"/>
    <s v="Shipped"/>
    <x v="3"/>
    <x v="5"/>
    <x v="1"/>
    <x v="3"/>
    <n v="50"/>
    <s v="S18_4668"/>
    <s v="Corrida Auto Replicas, Ltd"/>
    <s v="(91) 555 22 82"/>
    <s v="C/ Araquil, 67"/>
    <m/>
    <s v="Madrid"/>
    <x v="20"/>
    <m/>
    <n v="28023"/>
    <x v="7"/>
    <x v="7"/>
    <s v="EMEA"/>
    <s v="Sommer"/>
    <s v="Mart¡n"/>
    <x v="2"/>
  </r>
  <r>
    <n v="10358"/>
    <x v="0"/>
    <n v="100"/>
    <n v="8"/>
    <x v="1"/>
    <x v="1346"/>
    <s v="2/24/2003 0:1364"/>
    <x v="0"/>
    <x v="0"/>
    <s v="Shipped"/>
    <x v="3"/>
    <x v="6"/>
    <x v="1"/>
    <x v="3"/>
    <n v="50"/>
    <s v="S18_466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70"/>
    <x v="14"/>
    <n v="100"/>
    <n v="2"/>
    <x v="0"/>
    <x v="1085"/>
    <s v="2/24/2003 0:1365"/>
    <x v="0"/>
    <x v="0"/>
    <s v="Shipped"/>
    <x v="0"/>
    <x v="7"/>
    <x v="2"/>
    <x v="3"/>
    <n v="50"/>
    <s v="S18_4668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382"/>
    <x v="25"/>
    <n v="100"/>
    <n v="2"/>
    <x v="1"/>
    <x v="1347"/>
    <s v="2/24/2003 0:1366"/>
    <x v="0"/>
    <x v="0"/>
    <s v="Shipped"/>
    <x v="0"/>
    <x v="0"/>
    <x v="2"/>
    <x v="3"/>
    <n v="50"/>
    <s v="S18_466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2"/>
  </r>
  <r>
    <n v="10411"/>
    <x v="21"/>
    <n v="59.87"/>
    <n v="7"/>
    <x v="0"/>
    <x v="1348"/>
    <s v="2/24/2003 0:1367"/>
    <x v="0"/>
    <x v="0"/>
    <s v="Shipped"/>
    <x v="1"/>
    <x v="1"/>
    <x v="2"/>
    <x v="3"/>
    <n v="50"/>
    <s v="S18_4668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0"/>
  </r>
  <r>
    <n v="10424"/>
    <x v="18"/>
    <n v="59.87"/>
    <n v="4"/>
    <x v="0"/>
    <x v="1349"/>
    <s v="2/24/2003 0:1368"/>
    <x v="2"/>
    <x v="1"/>
    <s v="In Process"/>
    <x v="1"/>
    <x v="1"/>
    <x v="2"/>
    <x v="3"/>
    <n v="50"/>
    <s v="S18_466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08"/>
    <x v="27"/>
    <n v="100"/>
    <n v="11"/>
    <x v="1"/>
    <x v="1350"/>
    <s v="2/24/2003 0:1369"/>
    <x v="0"/>
    <x v="0"/>
    <s v="Shipped"/>
    <x v="0"/>
    <x v="11"/>
    <x v="0"/>
    <x v="1"/>
    <n v="148"/>
    <s v="S18_4721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122"/>
    <x v="11"/>
    <n v="100"/>
    <n v="15"/>
    <x v="0"/>
    <x v="1351"/>
    <s v="2/24/2003 0:1370"/>
    <x v="0"/>
    <x v="0"/>
    <s v="Shipped"/>
    <x v="1"/>
    <x v="1"/>
    <x v="0"/>
    <x v="1"/>
    <n v="148"/>
    <s v="S18_4721"/>
    <s v="Marseille Mini Autos"/>
    <s v="91.24.4555"/>
    <s v="12, rue des Bouchers"/>
    <m/>
    <s v="Marseille"/>
    <x v="54"/>
    <m/>
    <n v="13008"/>
    <x v="1"/>
    <x v="1"/>
    <s v="EMEA"/>
    <s v="Lebihan"/>
    <s v="Laurence"/>
    <x v="1"/>
  </r>
  <r>
    <n v="10135"/>
    <x v="28"/>
    <n v="100"/>
    <n v="12"/>
    <x v="1"/>
    <x v="1352"/>
    <s v="2/24/2003 0:1371"/>
    <x v="0"/>
    <x v="0"/>
    <s v="Shipped"/>
    <x v="2"/>
    <x v="2"/>
    <x v="0"/>
    <x v="1"/>
    <n v="148"/>
    <s v="S18_472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46"/>
    <x v="6"/>
    <n v="100"/>
    <n v="1"/>
    <x v="1"/>
    <x v="1353"/>
    <s v="2/24/2003 0:1372"/>
    <x v="0"/>
    <x v="0"/>
    <s v="Shipped"/>
    <x v="2"/>
    <x v="10"/>
    <x v="0"/>
    <x v="1"/>
    <n v="148"/>
    <s v="S18_4721"/>
    <s v="Gift Ideas Corp."/>
    <n v="2035554407"/>
    <s v="2440 Pompton St."/>
    <m/>
    <s v="Glendale"/>
    <x v="63"/>
    <s v="CT"/>
    <n v="97561"/>
    <x v="0"/>
    <x v="0"/>
    <s v="NA"/>
    <s v="Lewis"/>
    <s v="Dan"/>
    <x v="1"/>
  </r>
  <r>
    <n v="10159"/>
    <x v="22"/>
    <n v="100"/>
    <n v="7"/>
    <x v="1"/>
    <x v="1354"/>
    <s v="2/24/2003 0:1373"/>
    <x v="0"/>
    <x v="0"/>
    <s v="Shipped"/>
    <x v="3"/>
    <x v="4"/>
    <x v="0"/>
    <x v="1"/>
    <n v="148"/>
    <s v="S18_4721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169"/>
    <x v="29"/>
    <n v="100"/>
    <n v="7"/>
    <x v="1"/>
    <x v="852"/>
    <s v="2/24/2003 0:1374"/>
    <x v="0"/>
    <x v="0"/>
    <s v="Shipped"/>
    <x v="3"/>
    <x v="5"/>
    <x v="0"/>
    <x v="1"/>
    <n v="148"/>
    <s v="S18_4721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80"/>
    <x v="27"/>
    <n v="100"/>
    <n v="2"/>
    <x v="1"/>
    <x v="1350"/>
    <s v="2/24/2003 0:1375"/>
    <x v="0"/>
    <x v="0"/>
    <s v="Shipped"/>
    <x v="3"/>
    <x v="5"/>
    <x v="0"/>
    <x v="1"/>
    <n v="148"/>
    <s v="S18_4721"/>
    <s v="Daedalus Designs Imports"/>
    <s v="20.16.1555"/>
    <s v="184, chausse de Tournai"/>
    <m/>
    <s v="Lille"/>
    <x v="6"/>
    <m/>
    <n v="59000"/>
    <x v="1"/>
    <x v="1"/>
    <s v="EMEA"/>
    <s v="Rance"/>
    <s v="Martine"/>
    <x v="1"/>
  </r>
  <r>
    <n v="10191"/>
    <x v="22"/>
    <n v="100"/>
    <n v="8"/>
    <x v="1"/>
    <x v="1355"/>
    <s v="2/24/2003 0:1376"/>
    <x v="0"/>
    <x v="0"/>
    <s v="Shipped"/>
    <x v="3"/>
    <x v="5"/>
    <x v="0"/>
    <x v="1"/>
    <n v="148"/>
    <s v="S18_4721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211"/>
    <x v="2"/>
    <n v="100"/>
    <n v="7"/>
    <x v="1"/>
    <x v="1356"/>
    <s v="2/24/2003 0:1377"/>
    <x v="0"/>
    <x v="0"/>
    <s v="Shipped"/>
    <x v="0"/>
    <x v="7"/>
    <x v="1"/>
    <x v="1"/>
    <n v="148"/>
    <s v="S18_4721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225"/>
    <x v="21"/>
    <n v="100"/>
    <n v="14"/>
    <x v="1"/>
    <x v="1357"/>
    <s v="2/24/2003 0:1378"/>
    <x v="0"/>
    <x v="0"/>
    <s v="Shipped"/>
    <x v="0"/>
    <x v="0"/>
    <x v="1"/>
    <x v="1"/>
    <n v="148"/>
    <s v="S18_4721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238"/>
    <x v="27"/>
    <n v="100"/>
    <n v="8"/>
    <x v="1"/>
    <x v="1358"/>
    <s v="2/24/2003 0:1379"/>
    <x v="0"/>
    <x v="0"/>
    <s v="Shipped"/>
    <x v="1"/>
    <x v="8"/>
    <x v="1"/>
    <x v="1"/>
    <n v="148"/>
    <s v="S18_4721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252"/>
    <x v="18"/>
    <n v="100"/>
    <n v="4"/>
    <x v="0"/>
    <x v="1359"/>
    <s v="2/24/2003 0:1380"/>
    <x v="0"/>
    <x v="0"/>
    <s v="Shipped"/>
    <x v="1"/>
    <x v="1"/>
    <x v="1"/>
    <x v="1"/>
    <n v="148"/>
    <s v="S18_4721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264"/>
    <x v="14"/>
    <n v="100"/>
    <n v="2"/>
    <x v="0"/>
    <x v="1360"/>
    <s v="2/24/2003 0:1381"/>
    <x v="0"/>
    <x v="0"/>
    <s v="Shipped"/>
    <x v="1"/>
    <x v="9"/>
    <x v="1"/>
    <x v="1"/>
    <n v="148"/>
    <s v="S18_4721"/>
    <s v="Gifts4AllAges.com"/>
    <n v="6175559555"/>
    <s v="8616 Spinnaker Dr."/>
    <m/>
    <s v="Boston"/>
    <x v="48"/>
    <s v="MA"/>
    <n v="51003"/>
    <x v="0"/>
    <x v="0"/>
    <s v="NA"/>
    <s v="Yoshido"/>
    <s v="Juri"/>
    <x v="0"/>
  </r>
  <r>
    <n v="10276"/>
    <x v="7"/>
    <n v="100"/>
    <n v="8"/>
    <x v="1"/>
    <x v="1361"/>
    <s v="2/24/2003 0:1382"/>
    <x v="0"/>
    <x v="0"/>
    <s v="Shipped"/>
    <x v="2"/>
    <x v="3"/>
    <x v="1"/>
    <x v="1"/>
    <n v="148"/>
    <s v="S18_4721"/>
    <s v="Online Mini Collectables"/>
    <n v="6175557555"/>
    <s v="7635 Spinnaker Dr."/>
    <m/>
    <s v="Brickhaven"/>
    <x v="35"/>
    <s v="MA"/>
    <n v="58339"/>
    <x v="0"/>
    <x v="0"/>
    <s v="NA"/>
    <s v="Barajas"/>
    <s v="Miguel"/>
    <x v="1"/>
  </r>
  <r>
    <n v="10287"/>
    <x v="1"/>
    <n v="100"/>
    <n v="17"/>
    <x v="1"/>
    <x v="1362"/>
    <s v="2/24/2003 0:1383"/>
    <x v="0"/>
    <x v="0"/>
    <s v="Shipped"/>
    <x v="2"/>
    <x v="3"/>
    <x v="1"/>
    <x v="1"/>
    <n v="148"/>
    <s v="S18_4721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299"/>
    <x v="4"/>
    <n v="100"/>
    <n v="2"/>
    <x v="1"/>
    <x v="1363"/>
    <s v="2/24/2003 0:1384"/>
    <x v="0"/>
    <x v="0"/>
    <s v="Shipped"/>
    <x v="2"/>
    <x v="10"/>
    <x v="1"/>
    <x v="1"/>
    <n v="148"/>
    <s v="S18_4721"/>
    <s v="Toys of Finland, Co."/>
    <s v="90-224 8555"/>
    <s v="Keskuskatu 45"/>
    <m/>
    <s v="Helsinki"/>
    <x v="13"/>
    <m/>
    <n v="21240"/>
    <x v="4"/>
    <x v="4"/>
    <s v="EMEA"/>
    <s v="Karttunen"/>
    <s v="Matti"/>
    <x v="2"/>
  </r>
  <r>
    <n v="10310"/>
    <x v="23"/>
    <n v="100"/>
    <n v="15"/>
    <x v="1"/>
    <x v="1364"/>
    <s v="2/24/2003 0:1385"/>
    <x v="0"/>
    <x v="0"/>
    <s v="Shipped"/>
    <x v="3"/>
    <x v="4"/>
    <x v="1"/>
    <x v="1"/>
    <n v="148"/>
    <s v="S18_4721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319"/>
    <x v="3"/>
    <n v="100"/>
    <n v="3"/>
    <x v="1"/>
    <x v="1365"/>
    <s v="2/24/2003 0:1386"/>
    <x v="0"/>
    <x v="0"/>
    <s v="Shipped"/>
    <x v="3"/>
    <x v="5"/>
    <x v="1"/>
    <x v="1"/>
    <n v="148"/>
    <s v="S18_4721"/>
    <s v="Microscale Inc."/>
    <n v="2125551957"/>
    <s v="5290 North Pendale Street"/>
    <s v="Suite 200"/>
    <s v="Nyc"/>
    <x v="0"/>
    <s v="NY"/>
    <n v="10022"/>
    <x v="0"/>
    <x v="0"/>
    <s v="NA"/>
    <s v="Kuo"/>
    <s v="Kee"/>
    <x v="2"/>
  </r>
  <r>
    <n v="10330"/>
    <x v="24"/>
    <n v="100"/>
    <n v="4"/>
    <x v="1"/>
    <x v="1366"/>
    <s v="2/24/2003 0:1387"/>
    <x v="0"/>
    <x v="0"/>
    <s v="Shipped"/>
    <x v="3"/>
    <x v="5"/>
    <x v="1"/>
    <x v="1"/>
    <n v="148"/>
    <s v="S18_4721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342"/>
    <x v="19"/>
    <n v="100"/>
    <n v="11"/>
    <x v="1"/>
    <x v="1367"/>
    <s v="2/24/2003 0:1388"/>
    <x v="0"/>
    <x v="0"/>
    <s v="Shipped"/>
    <x v="3"/>
    <x v="5"/>
    <x v="1"/>
    <x v="1"/>
    <n v="148"/>
    <s v="S18_4721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5"/>
    <x v="32"/>
    <n v="100"/>
    <n v="2"/>
    <x v="1"/>
    <x v="1368"/>
    <s v="2/24/2003 0:1389"/>
    <x v="0"/>
    <x v="0"/>
    <s v="Shipped"/>
    <x v="3"/>
    <x v="6"/>
    <x v="1"/>
    <x v="1"/>
    <n v="148"/>
    <s v="S18_4721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63"/>
    <x v="11"/>
    <n v="58.18"/>
    <n v="13"/>
    <x v="0"/>
    <x v="1369"/>
    <s v="2/24/2003 0:1390"/>
    <x v="0"/>
    <x v="0"/>
    <s v="Shipped"/>
    <x v="0"/>
    <x v="7"/>
    <x v="2"/>
    <x v="1"/>
    <n v="148"/>
    <s v="S18_4721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378"/>
    <x v="4"/>
    <n v="67.14"/>
    <n v="8"/>
    <x v="0"/>
    <x v="1370"/>
    <s v="2/24/2003 0:1391"/>
    <x v="0"/>
    <x v="0"/>
    <s v="Shipped"/>
    <x v="0"/>
    <x v="0"/>
    <x v="2"/>
    <x v="1"/>
    <n v="148"/>
    <s v="S18_4721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0"/>
    <x v="4"/>
    <n v="100"/>
    <n v="3"/>
    <x v="1"/>
    <x v="1371"/>
    <s v="2/24/2003 0:1392"/>
    <x v="0"/>
    <x v="0"/>
    <s v="Shipped"/>
    <x v="0"/>
    <x v="11"/>
    <x v="2"/>
    <x v="1"/>
    <n v="148"/>
    <s v="S18_472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10"/>
    <x v="13"/>
    <n v="61.29"/>
    <n v="9"/>
    <x v="0"/>
    <x v="1372"/>
    <s v="2/24/2003 0:1393"/>
    <x v="0"/>
    <x v="0"/>
    <s v="Shipped"/>
    <x v="0"/>
    <x v="11"/>
    <x v="0"/>
    <x v="1"/>
    <n v="71"/>
    <s v="S18_4933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124"/>
    <x v="10"/>
    <n v="57.73"/>
    <n v="8"/>
    <x v="0"/>
    <x v="1373"/>
    <s v="2/24/2003 0:1394"/>
    <x v="0"/>
    <x v="0"/>
    <s v="Shipped"/>
    <x v="1"/>
    <x v="1"/>
    <x v="0"/>
    <x v="1"/>
    <n v="71"/>
    <s v="S18_4933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148"/>
    <x v="6"/>
    <n v="81.25"/>
    <n v="2"/>
    <x v="0"/>
    <x v="1374"/>
    <s v="2/24/2003 0:1395"/>
    <x v="0"/>
    <x v="0"/>
    <s v="Shipped"/>
    <x v="2"/>
    <x v="10"/>
    <x v="0"/>
    <x v="1"/>
    <n v="71"/>
    <s v="S18_4933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61"/>
    <x v="32"/>
    <n v="80.540000000000006"/>
    <n v="1"/>
    <x v="0"/>
    <x v="1375"/>
    <s v="2/24/2003 0:1396"/>
    <x v="0"/>
    <x v="0"/>
    <s v="Shipped"/>
    <x v="3"/>
    <x v="4"/>
    <x v="0"/>
    <x v="1"/>
    <n v="71"/>
    <s v="S18_4933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173"/>
    <x v="25"/>
    <n v="71.98"/>
    <n v="15"/>
    <x v="0"/>
    <x v="1376"/>
    <s v="2/24/2003 0:1397"/>
    <x v="0"/>
    <x v="0"/>
    <s v="Shipped"/>
    <x v="3"/>
    <x v="5"/>
    <x v="0"/>
    <x v="1"/>
    <n v="71"/>
    <s v="S18_4933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82"/>
    <x v="27"/>
    <n v="69.84"/>
    <n v="12"/>
    <x v="0"/>
    <x v="1377"/>
    <s v="2/24/2003 0:1398"/>
    <x v="0"/>
    <x v="0"/>
    <s v="Shipped"/>
    <x v="3"/>
    <x v="5"/>
    <x v="0"/>
    <x v="1"/>
    <n v="71"/>
    <s v="S18_4933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93"/>
    <x v="32"/>
    <n v="76.260000000000005"/>
    <n v="16"/>
    <x v="0"/>
    <x v="1378"/>
    <s v="2/24/2003 0:1399"/>
    <x v="0"/>
    <x v="0"/>
    <s v="Shipped"/>
    <x v="3"/>
    <x v="5"/>
    <x v="0"/>
    <x v="1"/>
    <n v="71"/>
    <s v="S18_4933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204"/>
    <x v="3"/>
    <n v="76.260000000000005"/>
    <n v="6"/>
    <x v="0"/>
    <x v="1379"/>
    <s v="2/24/2003 0:1400"/>
    <x v="0"/>
    <x v="0"/>
    <s v="Shipped"/>
    <x v="3"/>
    <x v="6"/>
    <x v="0"/>
    <x v="1"/>
    <n v="71"/>
    <s v="S18_4933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13"/>
    <x v="32"/>
    <n v="83.39"/>
    <n v="2"/>
    <x v="0"/>
    <x v="1380"/>
    <s v="2/24/2003 0:1401"/>
    <x v="0"/>
    <x v="0"/>
    <s v="Shipped"/>
    <x v="0"/>
    <x v="7"/>
    <x v="1"/>
    <x v="1"/>
    <n v="71"/>
    <s v="S18_4933"/>
    <s v="Double Decker Gift Stores, Ltd"/>
    <s v="(171) 555-7555"/>
    <s v="120 Hanover Sq."/>
    <m/>
    <s v="London"/>
    <x v="41"/>
    <m/>
    <s v="WA1 1DP"/>
    <x v="6"/>
    <x v="6"/>
    <s v="EMEA"/>
    <s v="Hardy"/>
    <s v="Thomas"/>
    <x v="0"/>
  </r>
  <r>
    <n v="10227"/>
    <x v="9"/>
    <n v="57.73"/>
    <n v="12"/>
    <x v="0"/>
    <x v="1381"/>
    <s v="2/24/2003 0:1402"/>
    <x v="0"/>
    <x v="0"/>
    <s v="Shipped"/>
    <x v="0"/>
    <x v="11"/>
    <x v="1"/>
    <x v="1"/>
    <n v="71"/>
    <s v="S18_4933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41"/>
    <x v="0"/>
    <n v="66.989999999999995"/>
    <n v="4"/>
    <x v="0"/>
    <x v="1382"/>
    <s v="2/24/2003 0:1403"/>
    <x v="0"/>
    <x v="0"/>
    <s v="Shipped"/>
    <x v="1"/>
    <x v="8"/>
    <x v="1"/>
    <x v="1"/>
    <n v="71"/>
    <s v="S18_4933"/>
    <s v="Mini Caravy"/>
    <s v="88.60.1555"/>
    <s v="24, place Kluber"/>
    <m/>
    <s v="Strasbourg"/>
    <x v="66"/>
    <m/>
    <n v="67000"/>
    <x v="1"/>
    <x v="1"/>
    <s v="EMEA"/>
    <s v="Citeaux"/>
    <s v="Frederique"/>
    <x v="0"/>
  </r>
  <r>
    <n v="10267"/>
    <x v="5"/>
    <n v="75.55"/>
    <n v="1"/>
    <x v="0"/>
    <x v="1383"/>
    <s v="2/24/2003 0:1404"/>
    <x v="0"/>
    <x v="0"/>
    <s v="Shipped"/>
    <x v="2"/>
    <x v="2"/>
    <x v="1"/>
    <x v="1"/>
    <n v="71"/>
    <s v="S18_4933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279"/>
    <x v="18"/>
    <n v="60.58"/>
    <n v="1"/>
    <x v="0"/>
    <x v="1384"/>
    <s v="2/24/2003 0:1405"/>
    <x v="0"/>
    <x v="0"/>
    <s v="Shipped"/>
    <x v="2"/>
    <x v="3"/>
    <x v="1"/>
    <x v="1"/>
    <n v="71"/>
    <s v="S18_4933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88"/>
    <x v="10"/>
    <n v="73.41"/>
    <n v="7"/>
    <x v="0"/>
    <x v="1385"/>
    <s v="2/24/2003 0:1406"/>
    <x v="0"/>
    <x v="0"/>
    <s v="Shipped"/>
    <x v="2"/>
    <x v="10"/>
    <x v="1"/>
    <x v="1"/>
    <n v="71"/>
    <s v="S18_4933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302"/>
    <x v="10"/>
    <n v="72.7"/>
    <n v="3"/>
    <x v="0"/>
    <x v="1386"/>
    <s v="2/24/2003 0:1407"/>
    <x v="0"/>
    <x v="0"/>
    <s v="Shipped"/>
    <x v="3"/>
    <x v="4"/>
    <x v="0"/>
    <x v="1"/>
    <n v="71"/>
    <s v="S18_4933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0"/>
  </r>
  <r>
    <n v="10311"/>
    <x v="32"/>
    <n v="66.989999999999995"/>
    <n v="2"/>
    <x v="0"/>
    <x v="1387"/>
    <s v="2/24/2003 0:1408"/>
    <x v="0"/>
    <x v="0"/>
    <s v="Shipped"/>
    <x v="3"/>
    <x v="4"/>
    <x v="1"/>
    <x v="1"/>
    <n v="71"/>
    <s v="S18_4933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32"/>
    <x v="15"/>
    <n v="100"/>
    <n v="3"/>
    <x v="0"/>
    <x v="1388"/>
    <s v="2/24/2003 0:1409"/>
    <x v="0"/>
    <x v="0"/>
    <s v="Shipped"/>
    <x v="3"/>
    <x v="5"/>
    <x v="1"/>
    <x v="1"/>
    <n v="71"/>
    <s v="S18_4933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44"/>
    <x v="18"/>
    <n v="63.43"/>
    <n v="5"/>
    <x v="0"/>
    <x v="1389"/>
    <s v="2/24/2003 0:1410"/>
    <x v="0"/>
    <x v="0"/>
    <s v="Shipped"/>
    <x v="3"/>
    <x v="5"/>
    <x v="1"/>
    <x v="1"/>
    <n v="71"/>
    <s v="S18_4933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367"/>
    <x v="27"/>
    <n v="85.25"/>
    <n v="9"/>
    <x v="0"/>
    <x v="1390"/>
    <s v="2/24/2003 0:1411"/>
    <x v="5"/>
    <x v="1"/>
    <s v="Resolved"/>
    <x v="0"/>
    <x v="7"/>
    <x v="2"/>
    <x v="1"/>
    <n v="71"/>
    <s v="S18_4933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380"/>
    <x v="16"/>
    <n v="100"/>
    <n v="2"/>
    <x v="1"/>
    <x v="1391"/>
    <s v="2/24/2003 0:1412"/>
    <x v="0"/>
    <x v="0"/>
    <s v="Shipped"/>
    <x v="0"/>
    <x v="0"/>
    <x v="2"/>
    <x v="1"/>
    <n v="71"/>
    <s v="S18_4933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07"/>
    <x v="17"/>
    <n v="66.989999999999995"/>
    <n v="4"/>
    <x v="1"/>
    <x v="1392"/>
    <s v="2/24/2003 0:1413"/>
    <x v="4"/>
    <x v="1"/>
    <s v="On Hold"/>
    <x v="1"/>
    <x v="8"/>
    <x v="2"/>
    <x v="1"/>
    <n v="71"/>
    <s v="S18_4933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420"/>
    <x v="5"/>
    <n v="57.73"/>
    <n v="7"/>
    <x v="0"/>
    <x v="1393"/>
    <s v="2/24/2003 0:1414"/>
    <x v="2"/>
    <x v="1"/>
    <s v="In Process"/>
    <x v="1"/>
    <x v="1"/>
    <x v="2"/>
    <x v="1"/>
    <n v="71"/>
    <s v="S18_4933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110"/>
    <x v="5"/>
    <n v="85.25"/>
    <n v="13"/>
    <x v="0"/>
    <x v="1394"/>
    <s v="2/24/2003 0:1415"/>
    <x v="0"/>
    <x v="0"/>
    <s v="Shipped"/>
    <x v="0"/>
    <x v="11"/>
    <x v="0"/>
    <x v="1"/>
    <n v="73"/>
    <s v="S24_1046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124"/>
    <x v="8"/>
    <n v="77.900000000000006"/>
    <n v="12"/>
    <x v="0"/>
    <x v="1395"/>
    <s v="2/24/2003 0:1416"/>
    <x v="0"/>
    <x v="0"/>
    <s v="Shipped"/>
    <x v="1"/>
    <x v="1"/>
    <x v="0"/>
    <x v="1"/>
    <n v="73"/>
    <s v="S24_1046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148"/>
    <x v="32"/>
    <n v="60.26"/>
    <n v="6"/>
    <x v="0"/>
    <x v="1396"/>
    <s v="2/24/2003 0:1417"/>
    <x v="0"/>
    <x v="0"/>
    <s v="Shipped"/>
    <x v="2"/>
    <x v="10"/>
    <x v="0"/>
    <x v="1"/>
    <n v="73"/>
    <s v="S24_1046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61"/>
    <x v="9"/>
    <n v="72.760000000000005"/>
    <n v="5"/>
    <x v="0"/>
    <x v="1397"/>
    <s v="2/24/2003 0:1418"/>
    <x v="0"/>
    <x v="0"/>
    <s v="Shipped"/>
    <x v="3"/>
    <x v="4"/>
    <x v="0"/>
    <x v="1"/>
    <n v="73"/>
    <s v="S24_1046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172"/>
    <x v="22"/>
    <n v="75.69"/>
    <n v="3"/>
    <x v="0"/>
    <x v="1398"/>
    <s v="2/24/2003 0:1419"/>
    <x v="0"/>
    <x v="0"/>
    <s v="Shipped"/>
    <x v="3"/>
    <x v="5"/>
    <x v="0"/>
    <x v="1"/>
    <n v="73"/>
    <s v="S24_1046"/>
    <s v="Gift Depot Inc."/>
    <n v="2035552570"/>
    <s v="25593 South Bay Ln."/>
    <m/>
    <s v="Bridgewater"/>
    <x v="10"/>
    <s v="CT"/>
    <n v="97562"/>
    <x v="0"/>
    <x v="0"/>
    <s v="NA"/>
    <s v="King"/>
    <s v="Julie"/>
    <x v="0"/>
  </r>
  <r>
    <n v="10182"/>
    <x v="20"/>
    <n v="74.22"/>
    <n v="16"/>
    <x v="0"/>
    <x v="1399"/>
    <s v="2/24/2003 0:1420"/>
    <x v="0"/>
    <x v="0"/>
    <s v="Shipped"/>
    <x v="3"/>
    <x v="5"/>
    <x v="0"/>
    <x v="1"/>
    <n v="73"/>
    <s v="S24_104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92"/>
    <x v="9"/>
    <n v="69.819999999999993"/>
    <n v="4"/>
    <x v="0"/>
    <x v="1400"/>
    <s v="2/24/2003 0:1421"/>
    <x v="0"/>
    <x v="0"/>
    <s v="Shipped"/>
    <x v="3"/>
    <x v="5"/>
    <x v="0"/>
    <x v="1"/>
    <n v="73"/>
    <s v="S24_1046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204"/>
    <x v="14"/>
    <n v="62.47"/>
    <n v="10"/>
    <x v="0"/>
    <x v="1401"/>
    <s v="2/24/2003 0:1422"/>
    <x v="0"/>
    <x v="0"/>
    <s v="Shipped"/>
    <x v="3"/>
    <x v="6"/>
    <x v="0"/>
    <x v="1"/>
    <n v="73"/>
    <s v="S24_1046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212"/>
    <x v="2"/>
    <n v="82.31"/>
    <n v="3"/>
    <x v="0"/>
    <x v="1402"/>
    <s v="2/24/2003 0:1423"/>
    <x v="0"/>
    <x v="0"/>
    <s v="Shipped"/>
    <x v="0"/>
    <x v="7"/>
    <x v="1"/>
    <x v="1"/>
    <n v="73"/>
    <s v="S24_104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26"/>
    <x v="15"/>
    <n v="60.26"/>
    <n v="1"/>
    <x v="0"/>
    <x v="1403"/>
    <s v="2/24/2003 0:1424"/>
    <x v="0"/>
    <x v="0"/>
    <s v="Shipped"/>
    <x v="0"/>
    <x v="0"/>
    <x v="1"/>
    <x v="1"/>
    <n v="73"/>
    <s v="S24_1046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0"/>
  </r>
  <r>
    <n v="10241"/>
    <x v="8"/>
    <n v="76.430000000000007"/>
    <n v="8"/>
    <x v="0"/>
    <x v="1404"/>
    <s v="2/24/2003 0:1425"/>
    <x v="0"/>
    <x v="0"/>
    <s v="Shipped"/>
    <x v="1"/>
    <x v="8"/>
    <x v="1"/>
    <x v="1"/>
    <n v="73"/>
    <s v="S24_1046"/>
    <s v="Mini Caravy"/>
    <s v="88.60.1555"/>
    <s v="24, place Kluber"/>
    <m/>
    <s v="Strasbourg"/>
    <x v="66"/>
    <m/>
    <n v="67000"/>
    <x v="1"/>
    <x v="1"/>
    <s v="EMEA"/>
    <s v="Citeaux"/>
    <s v="Frederique"/>
    <x v="0"/>
  </r>
  <r>
    <n v="10267"/>
    <x v="23"/>
    <n v="80.099999999999994"/>
    <n v="5"/>
    <x v="0"/>
    <x v="1405"/>
    <s v="2/24/2003 0:1426"/>
    <x v="0"/>
    <x v="0"/>
    <s v="Shipped"/>
    <x v="2"/>
    <x v="2"/>
    <x v="1"/>
    <x v="1"/>
    <n v="73"/>
    <s v="S24_1046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79"/>
    <x v="22"/>
    <n v="74.959999999999994"/>
    <n v="5"/>
    <x v="0"/>
    <x v="1406"/>
    <s v="2/24/2003 0:1427"/>
    <x v="0"/>
    <x v="0"/>
    <s v="Shipped"/>
    <x v="2"/>
    <x v="3"/>
    <x v="1"/>
    <x v="1"/>
    <n v="73"/>
    <s v="S24_1046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88"/>
    <x v="5"/>
    <n v="66.14"/>
    <n v="11"/>
    <x v="0"/>
    <x v="1407"/>
    <s v="2/24/2003 0:1428"/>
    <x v="0"/>
    <x v="0"/>
    <s v="Shipped"/>
    <x v="2"/>
    <x v="10"/>
    <x v="1"/>
    <x v="1"/>
    <n v="73"/>
    <s v="S24_1046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301"/>
    <x v="26"/>
    <n v="72.02"/>
    <n v="1"/>
    <x v="0"/>
    <x v="1408"/>
    <s v="2/24/2003 0:1429"/>
    <x v="0"/>
    <x v="0"/>
    <s v="Shipped"/>
    <x v="3"/>
    <x v="4"/>
    <x v="0"/>
    <x v="1"/>
    <n v="73"/>
    <s v="S24_1046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311"/>
    <x v="18"/>
    <n v="87.45"/>
    <n v="6"/>
    <x v="0"/>
    <x v="1409"/>
    <s v="2/24/2003 0:1430"/>
    <x v="0"/>
    <x v="0"/>
    <s v="Shipped"/>
    <x v="3"/>
    <x v="4"/>
    <x v="1"/>
    <x v="1"/>
    <n v="73"/>
    <s v="S24_1046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21"/>
    <x v="0"/>
    <n v="70.55"/>
    <n v="3"/>
    <x v="0"/>
    <x v="1410"/>
    <s v="2/24/2003 0:1431"/>
    <x v="0"/>
    <x v="0"/>
    <s v="Shipped"/>
    <x v="3"/>
    <x v="5"/>
    <x v="1"/>
    <x v="1"/>
    <n v="73"/>
    <s v="S24_1046"/>
    <s v="FunGiftIdeas.com"/>
    <n v="5085552555"/>
    <s v="1785 First Street"/>
    <m/>
    <s v="New Bedford"/>
    <x v="18"/>
    <s v="MA"/>
    <n v="50553"/>
    <x v="0"/>
    <x v="0"/>
    <s v="NA"/>
    <s v="Benitez"/>
    <s v="Violeta"/>
    <x v="0"/>
  </r>
  <r>
    <n v="10332"/>
    <x v="10"/>
    <n v="56.84"/>
    <n v="4"/>
    <x v="0"/>
    <x v="1411"/>
    <s v="2/24/2003 0:1432"/>
    <x v="0"/>
    <x v="0"/>
    <s v="Shipped"/>
    <x v="3"/>
    <x v="5"/>
    <x v="1"/>
    <x v="1"/>
    <n v="73"/>
    <s v="S24_1046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44"/>
    <x v="6"/>
    <n v="59.53"/>
    <n v="7"/>
    <x v="0"/>
    <x v="1412"/>
    <s v="2/24/2003 0:1433"/>
    <x v="0"/>
    <x v="0"/>
    <s v="Shipped"/>
    <x v="3"/>
    <x v="5"/>
    <x v="1"/>
    <x v="1"/>
    <n v="73"/>
    <s v="S24_1046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367"/>
    <x v="15"/>
    <n v="60.37"/>
    <n v="10"/>
    <x v="0"/>
    <x v="1413"/>
    <s v="2/24/2003 0:1434"/>
    <x v="5"/>
    <x v="1"/>
    <s v="Resolved"/>
    <x v="0"/>
    <x v="7"/>
    <x v="2"/>
    <x v="1"/>
    <n v="73"/>
    <s v="S24_1046"/>
    <s v="Toys4GrownUps.com"/>
    <n v="6265557265"/>
    <s v="78934 Hillside Dr."/>
    <m/>
    <s v="Pasadena"/>
    <x v="3"/>
    <s v="CA"/>
    <n v="90003"/>
    <x v="0"/>
    <x v="0"/>
    <s v="NA"/>
    <s v="Young"/>
    <s v="Julie"/>
    <x v="0"/>
  </r>
  <r>
    <n v="10380"/>
    <x v="1"/>
    <n v="100"/>
    <n v="3"/>
    <x v="0"/>
    <x v="1414"/>
    <s v="2/24/2003 0:1435"/>
    <x v="0"/>
    <x v="0"/>
    <s v="Shipped"/>
    <x v="0"/>
    <x v="0"/>
    <x v="2"/>
    <x v="1"/>
    <n v="73"/>
    <s v="S24_104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07"/>
    <x v="18"/>
    <n v="76.430000000000007"/>
    <n v="8"/>
    <x v="0"/>
    <x v="1415"/>
    <s v="2/24/2003 0:1436"/>
    <x v="4"/>
    <x v="1"/>
    <s v="On Hold"/>
    <x v="1"/>
    <x v="8"/>
    <x v="2"/>
    <x v="1"/>
    <n v="73"/>
    <s v="S24_1046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420"/>
    <x v="46"/>
    <n v="64.67"/>
    <n v="11"/>
    <x v="0"/>
    <x v="1416"/>
    <s v="2/24/2003 0:1437"/>
    <x v="2"/>
    <x v="1"/>
    <s v="In Process"/>
    <x v="1"/>
    <x v="1"/>
    <x v="2"/>
    <x v="1"/>
    <n v="73"/>
    <s v="S24_1046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104"/>
    <x v="21"/>
    <n v="55.49"/>
    <n v="6"/>
    <x v="0"/>
    <x v="1417"/>
    <s v="2/24/2003 0:1438"/>
    <x v="0"/>
    <x v="0"/>
    <s v="Shipped"/>
    <x v="0"/>
    <x v="7"/>
    <x v="0"/>
    <x v="1"/>
    <n v="57"/>
    <s v="S24_1444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15"/>
    <x v="20"/>
    <n v="69.36"/>
    <n v="2"/>
    <x v="0"/>
    <x v="1418"/>
    <s v="2/24/2003 0:1439"/>
    <x v="0"/>
    <x v="0"/>
    <s v="Shipped"/>
    <x v="1"/>
    <x v="8"/>
    <x v="0"/>
    <x v="1"/>
    <n v="57"/>
    <s v="S24_1444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1"/>
  </r>
  <r>
    <n v="10127"/>
    <x v="14"/>
    <n v="60.69"/>
    <n v="8"/>
    <x v="0"/>
    <x v="1419"/>
    <s v="2/24/2003 0:1440"/>
    <x v="0"/>
    <x v="0"/>
    <s v="Shipped"/>
    <x v="1"/>
    <x v="9"/>
    <x v="0"/>
    <x v="1"/>
    <n v="57"/>
    <s v="S24_1444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141"/>
    <x v="14"/>
    <n v="54.33"/>
    <n v="2"/>
    <x v="0"/>
    <x v="1420"/>
    <s v="2/24/2003 0:1441"/>
    <x v="0"/>
    <x v="0"/>
    <s v="Shipped"/>
    <x v="2"/>
    <x v="3"/>
    <x v="0"/>
    <x v="1"/>
    <n v="57"/>
    <s v="S24_1444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152"/>
    <x v="32"/>
    <n v="65.31"/>
    <n v="4"/>
    <x v="0"/>
    <x v="1421"/>
    <s v="2/24/2003 0:1442"/>
    <x v="0"/>
    <x v="0"/>
    <s v="Shipped"/>
    <x v="2"/>
    <x v="10"/>
    <x v="0"/>
    <x v="1"/>
    <n v="57"/>
    <s v="S24_1444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0"/>
  </r>
  <r>
    <n v="10165"/>
    <x v="32"/>
    <n v="69.36"/>
    <n v="9"/>
    <x v="0"/>
    <x v="1422"/>
    <s v="2/24/2003 0:1443"/>
    <x v="0"/>
    <x v="0"/>
    <s v="Shipped"/>
    <x v="3"/>
    <x v="4"/>
    <x v="0"/>
    <x v="1"/>
    <n v="57"/>
    <s v="S24_1444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76"/>
    <x v="26"/>
    <n v="68.78"/>
    <n v="8"/>
    <x v="0"/>
    <x v="1423"/>
    <s v="2/24/2003 0:1444"/>
    <x v="0"/>
    <x v="0"/>
    <s v="Shipped"/>
    <x v="3"/>
    <x v="5"/>
    <x v="0"/>
    <x v="1"/>
    <n v="57"/>
    <s v="S24_1444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84"/>
    <x v="28"/>
    <n v="60.11"/>
    <n v="3"/>
    <x v="0"/>
    <x v="1424"/>
    <s v="2/24/2003 0:1445"/>
    <x v="0"/>
    <x v="0"/>
    <s v="Shipped"/>
    <x v="3"/>
    <x v="5"/>
    <x v="0"/>
    <x v="1"/>
    <n v="57"/>
    <s v="S24_1444"/>
    <s v="Iberia Gift Imports, Corp."/>
    <s v="(95) 555 82 82"/>
    <s v="C/ Romero, 33"/>
    <m/>
    <s v="Sevilla"/>
    <x v="64"/>
    <m/>
    <n v="41101"/>
    <x v="7"/>
    <x v="7"/>
    <s v="EMEA"/>
    <s v="Roel"/>
    <s v="Jose Pedro"/>
    <x v="0"/>
  </r>
  <r>
    <n v="10195"/>
    <x v="27"/>
    <n v="66.47"/>
    <n v="3"/>
    <x v="0"/>
    <x v="1425"/>
    <s v="2/24/2003 0:1446"/>
    <x v="0"/>
    <x v="0"/>
    <s v="Shipped"/>
    <x v="3"/>
    <x v="5"/>
    <x v="0"/>
    <x v="1"/>
    <n v="57"/>
    <s v="S24_1444"/>
    <s v="Mini Classics"/>
    <n v="9145554562"/>
    <s v="3758 North Pendale Street"/>
    <m/>
    <s v="White Plains"/>
    <x v="39"/>
    <s v="NY"/>
    <n v="24067"/>
    <x v="0"/>
    <x v="0"/>
    <s v="NA"/>
    <s v="Frick"/>
    <s v="Steve"/>
    <x v="0"/>
  </r>
  <r>
    <n v="10207"/>
    <x v="4"/>
    <n v="46.82"/>
    <n v="4"/>
    <x v="0"/>
    <x v="1426"/>
    <s v="2/24/2003 0:1447"/>
    <x v="0"/>
    <x v="0"/>
    <s v="Shipped"/>
    <x v="3"/>
    <x v="6"/>
    <x v="0"/>
    <x v="1"/>
    <n v="57"/>
    <s v="S24_1444"/>
    <s v="Diecast Collectables"/>
    <n v="6175552555"/>
    <s v="6251 Ingle Ln."/>
    <m/>
    <s v="Boston"/>
    <x v="48"/>
    <s v="MA"/>
    <n v="51003"/>
    <x v="0"/>
    <x v="0"/>
    <s v="NA"/>
    <s v="Franco"/>
    <s v="Valarie"/>
    <x v="0"/>
  </r>
  <r>
    <n v="10220"/>
    <x v="18"/>
    <n v="56.07"/>
    <n v="8"/>
    <x v="0"/>
    <x v="1427"/>
    <s v="2/24/2003 0:1448"/>
    <x v="0"/>
    <x v="0"/>
    <s v="Shipped"/>
    <x v="0"/>
    <x v="0"/>
    <x v="1"/>
    <x v="1"/>
    <n v="57"/>
    <s v="S24_1444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0"/>
  </r>
  <r>
    <n v="10230"/>
    <x v="5"/>
    <n v="54.33"/>
    <n v="6"/>
    <x v="0"/>
    <x v="1428"/>
    <s v="2/24/2003 0:1449"/>
    <x v="0"/>
    <x v="0"/>
    <s v="Shipped"/>
    <x v="0"/>
    <x v="11"/>
    <x v="1"/>
    <x v="1"/>
    <n v="57"/>
    <s v="S24_1444"/>
    <s v="Blauer See Auto, Co."/>
    <s v="+49 69 66 90 2555"/>
    <s v="Lyonerstr. 34"/>
    <m/>
    <s v="Frankfurt"/>
    <x v="58"/>
    <m/>
    <n v="60528"/>
    <x v="16"/>
    <x v="16"/>
    <s v="EMEA"/>
    <s v="Keitel"/>
    <s v="Roland"/>
    <x v="0"/>
  </r>
  <r>
    <n v="10246"/>
    <x v="27"/>
    <n v="52.6"/>
    <n v="2"/>
    <x v="0"/>
    <x v="1429"/>
    <s v="2/24/2003 0:1450"/>
    <x v="0"/>
    <x v="0"/>
    <s v="Shipped"/>
    <x v="1"/>
    <x v="1"/>
    <x v="1"/>
    <x v="1"/>
    <n v="57"/>
    <s v="S24_1444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59"/>
    <x v="11"/>
    <n v="46.82"/>
    <n v="1"/>
    <x v="0"/>
    <x v="1430"/>
    <s v="2/24/2003 0:1451"/>
    <x v="0"/>
    <x v="0"/>
    <s v="Shipped"/>
    <x v="1"/>
    <x v="9"/>
    <x v="1"/>
    <x v="1"/>
    <n v="57"/>
    <s v="S24_1444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271"/>
    <x v="3"/>
    <n v="64.739999999999995"/>
    <n v="2"/>
    <x v="0"/>
    <x v="1431"/>
    <s v="2/24/2003 0:1452"/>
    <x v="0"/>
    <x v="0"/>
    <s v="Shipped"/>
    <x v="2"/>
    <x v="2"/>
    <x v="1"/>
    <x v="1"/>
    <n v="57"/>
    <s v="S24_1444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82"/>
    <x v="6"/>
    <n v="46.82"/>
    <n v="11"/>
    <x v="0"/>
    <x v="1432"/>
    <s v="2/24/2003 0:1453"/>
    <x v="0"/>
    <x v="0"/>
    <s v="Shipped"/>
    <x v="2"/>
    <x v="3"/>
    <x v="1"/>
    <x v="1"/>
    <n v="57"/>
    <s v="S24_1444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92"/>
    <x v="23"/>
    <n v="53.75"/>
    <n v="5"/>
    <x v="0"/>
    <x v="1433"/>
    <s v="2/24/2003 0:1454"/>
    <x v="0"/>
    <x v="0"/>
    <s v="Shipped"/>
    <x v="2"/>
    <x v="10"/>
    <x v="1"/>
    <x v="1"/>
    <n v="57"/>
    <s v="S24_1444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05"/>
    <x v="3"/>
    <n v="61.85"/>
    <n v="2"/>
    <x v="0"/>
    <x v="1434"/>
    <s v="2/24/2003 0:1455"/>
    <x v="0"/>
    <x v="0"/>
    <s v="Shipped"/>
    <x v="3"/>
    <x v="4"/>
    <x v="1"/>
    <x v="1"/>
    <n v="57"/>
    <s v="S24_1444"/>
    <s v="Marta's Replicas Co."/>
    <n v="6175558555"/>
    <s v="39323 Spinnaker Dr."/>
    <m/>
    <s v="Cambridge"/>
    <x v="12"/>
    <s v="MA"/>
    <n v="51247"/>
    <x v="0"/>
    <x v="0"/>
    <s v="NA"/>
    <s v="Hernandez"/>
    <s v="Marta"/>
    <x v="0"/>
  </r>
  <r>
    <n v="10314"/>
    <x v="27"/>
    <n v="53.18"/>
    <n v="11"/>
    <x v="0"/>
    <x v="1435"/>
    <s v="2/24/2003 0:1456"/>
    <x v="0"/>
    <x v="0"/>
    <s v="Shipped"/>
    <x v="3"/>
    <x v="4"/>
    <x v="1"/>
    <x v="1"/>
    <n v="57"/>
    <s v="S24_1444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324"/>
    <x v="32"/>
    <n v="69.16"/>
    <n v="14"/>
    <x v="0"/>
    <x v="683"/>
    <s v="2/24/2003 0:1457"/>
    <x v="0"/>
    <x v="0"/>
    <s v="Shipped"/>
    <x v="3"/>
    <x v="5"/>
    <x v="1"/>
    <x v="1"/>
    <n v="57"/>
    <s v="S24_1444"/>
    <s v="Vitachrome Inc."/>
    <n v="2125551500"/>
    <s v="2678 Kingston Rd."/>
    <s v="Suite 101"/>
    <s v="Nyc"/>
    <x v="0"/>
    <s v="NY"/>
    <n v="10022"/>
    <x v="0"/>
    <x v="0"/>
    <s v="NA"/>
    <s v="Frick"/>
    <s v="Michael"/>
    <x v="0"/>
  </r>
  <r>
    <n v="10336"/>
    <x v="3"/>
    <n v="100"/>
    <n v="4"/>
    <x v="1"/>
    <x v="1436"/>
    <s v="2/24/2003 0:1458"/>
    <x v="0"/>
    <x v="0"/>
    <s v="Shipped"/>
    <x v="3"/>
    <x v="5"/>
    <x v="1"/>
    <x v="1"/>
    <n v="57"/>
    <s v="S24_1444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349"/>
    <x v="7"/>
    <n v="47.4"/>
    <n v="4"/>
    <x v="0"/>
    <x v="1437"/>
    <s v="2/24/2003 0:1459"/>
    <x v="0"/>
    <x v="0"/>
    <s v="Shipped"/>
    <x v="3"/>
    <x v="6"/>
    <x v="1"/>
    <x v="1"/>
    <n v="57"/>
    <s v="S24_1444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358"/>
    <x v="27"/>
    <n v="60.76"/>
    <n v="14"/>
    <x v="0"/>
    <x v="1438"/>
    <s v="2/24/2003 0:1460"/>
    <x v="0"/>
    <x v="0"/>
    <s v="Shipped"/>
    <x v="3"/>
    <x v="6"/>
    <x v="1"/>
    <x v="1"/>
    <n v="57"/>
    <s v="S24_1444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1"/>
    <x v="32"/>
    <n v="97.27"/>
    <n v="12"/>
    <x v="0"/>
    <x v="1439"/>
    <s v="2/24/2003 0:1461"/>
    <x v="0"/>
    <x v="0"/>
    <s v="Shipped"/>
    <x v="0"/>
    <x v="7"/>
    <x v="2"/>
    <x v="1"/>
    <n v="57"/>
    <s v="S24_1444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83"/>
    <x v="8"/>
    <n v="91.76"/>
    <n v="2"/>
    <x v="0"/>
    <x v="1440"/>
    <s v="2/24/2003 0:1462"/>
    <x v="0"/>
    <x v="0"/>
    <s v="Shipped"/>
    <x v="0"/>
    <x v="0"/>
    <x v="2"/>
    <x v="1"/>
    <n v="57"/>
    <s v="S24_1444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4"/>
    <x v="28"/>
    <n v="50.29"/>
    <n v="2"/>
    <x v="0"/>
    <x v="1441"/>
    <s v="2/24/2003 0:1463"/>
    <x v="0"/>
    <x v="0"/>
    <s v="Shipped"/>
    <x v="0"/>
    <x v="11"/>
    <x v="2"/>
    <x v="1"/>
    <n v="57"/>
    <s v="S24_1444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12"/>
    <x v="15"/>
    <n v="52.6"/>
    <n v="2"/>
    <x v="0"/>
    <x v="1442"/>
    <s v="2/24/2003 0:1464"/>
    <x v="0"/>
    <x v="0"/>
    <s v="Shipped"/>
    <x v="1"/>
    <x v="1"/>
    <x v="2"/>
    <x v="1"/>
    <n v="57"/>
    <s v="S24_1444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25"/>
    <x v="36"/>
    <n v="46.82"/>
    <n v="1"/>
    <x v="0"/>
    <x v="1443"/>
    <s v="2/24/2003 0:1465"/>
    <x v="2"/>
    <x v="1"/>
    <s v="In Process"/>
    <x v="1"/>
    <x v="1"/>
    <x v="2"/>
    <x v="1"/>
    <n v="57"/>
    <s v="S24_1444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107"/>
    <x v="32"/>
    <n v="100"/>
    <n v="3"/>
    <x v="0"/>
    <x v="1444"/>
    <s v="2/24/2003 0:1466"/>
    <x v="0"/>
    <x v="0"/>
    <s v="Shipped"/>
    <x v="0"/>
    <x v="0"/>
    <x v="0"/>
    <x v="0"/>
    <n v="112"/>
    <s v="S24_1578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120"/>
    <x v="21"/>
    <n v="98.05"/>
    <n v="1"/>
    <x v="0"/>
    <x v="1445"/>
    <s v="2/24/2003 0:1467"/>
    <x v="0"/>
    <x v="0"/>
    <s v="Shipped"/>
    <x v="1"/>
    <x v="8"/>
    <x v="0"/>
    <x v="0"/>
    <n v="112"/>
    <s v="S24_1578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134"/>
    <x v="21"/>
    <n v="93.54"/>
    <n v="3"/>
    <x v="0"/>
    <x v="1446"/>
    <s v="2/24/2003 0:1468"/>
    <x v="0"/>
    <x v="0"/>
    <s v="Shipped"/>
    <x v="2"/>
    <x v="2"/>
    <x v="0"/>
    <x v="0"/>
    <n v="112"/>
    <s v="S24_1578"/>
    <s v="Lyon Souveniers"/>
    <s v="+33 1 46 62 7555"/>
    <s v="27 rue du Colonel Pierre Avia"/>
    <m/>
    <s v="Paris"/>
    <x v="2"/>
    <m/>
    <n v="75508"/>
    <x v="1"/>
    <x v="1"/>
    <s v="EMEA"/>
    <s v="Da Cunha"/>
    <s v="Daniel"/>
    <x v="1"/>
  </r>
  <r>
    <n v="10145"/>
    <x v="30"/>
    <n v="95.8"/>
    <n v="7"/>
    <x v="1"/>
    <x v="1447"/>
    <s v="2/24/2003 0:1469"/>
    <x v="0"/>
    <x v="0"/>
    <s v="Shipped"/>
    <x v="2"/>
    <x v="3"/>
    <x v="0"/>
    <x v="0"/>
    <n v="112"/>
    <s v="S24_1578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159"/>
    <x v="27"/>
    <n v="100"/>
    <n v="15"/>
    <x v="1"/>
    <x v="1448"/>
    <s v="2/24/2003 0:1470"/>
    <x v="0"/>
    <x v="0"/>
    <s v="Shipped"/>
    <x v="3"/>
    <x v="4"/>
    <x v="0"/>
    <x v="0"/>
    <n v="112"/>
    <s v="S24_1578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168"/>
    <x v="24"/>
    <n v="100"/>
    <n v="2"/>
    <x v="1"/>
    <x v="1449"/>
    <s v="2/24/2003 0:1471"/>
    <x v="0"/>
    <x v="0"/>
    <s v="Shipped"/>
    <x v="3"/>
    <x v="4"/>
    <x v="0"/>
    <x v="0"/>
    <n v="112"/>
    <s v="S24_1578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80"/>
    <x v="7"/>
    <n v="100"/>
    <n v="10"/>
    <x v="1"/>
    <x v="1450"/>
    <s v="2/24/2003 0:1472"/>
    <x v="0"/>
    <x v="0"/>
    <s v="Shipped"/>
    <x v="3"/>
    <x v="5"/>
    <x v="0"/>
    <x v="0"/>
    <n v="112"/>
    <s v="S24_1578"/>
    <s v="Daedalus Designs Imports"/>
    <s v="20.16.1555"/>
    <s v="184, chausse de Tournai"/>
    <m/>
    <s v="Lille"/>
    <x v="6"/>
    <m/>
    <n v="59000"/>
    <x v="1"/>
    <x v="1"/>
    <s v="EMEA"/>
    <s v="Rance"/>
    <s v="Martine"/>
    <x v="1"/>
  </r>
  <r>
    <n v="10188"/>
    <x v="32"/>
    <n v="100"/>
    <n v="2"/>
    <x v="0"/>
    <x v="1451"/>
    <s v="2/24/2003 0:1473"/>
    <x v="0"/>
    <x v="0"/>
    <s v="Shipped"/>
    <x v="3"/>
    <x v="5"/>
    <x v="0"/>
    <x v="0"/>
    <n v="112"/>
    <s v="S24_1578"/>
    <s v="Herkku Gifts"/>
    <s v="+47 2267 3215"/>
    <s v="Drammen 121, PR 744 Sentrum"/>
    <m/>
    <s v="Bergen"/>
    <x v="7"/>
    <m/>
    <s v="N 5804"/>
    <x v="2"/>
    <x v="2"/>
    <s v="EMEA"/>
    <s v="Oeztan"/>
    <s v="Veysel"/>
    <x v="0"/>
  </r>
  <r>
    <n v="10201"/>
    <x v="25"/>
    <n v="100"/>
    <n v="3"/>
    <x v="1"/>
    <x v="1452"/>
    <s v="2/24/2003 0:1474"/>
    <x v="0"/>
    <x v="0"/>
    <s v="Shipped"/>
    <x v="3"/>
    <x v="6"/>
    <x v="0"/>
    <x v="0"/>
    <n v="112"/>
    <s v="S24_1578"/>
    <s v="Mini Wheels Co."/>
    <n v="6505555787"/>
    <s v="5557 North Pendale Street"/>
    <m/>
    <s v="San Francisco"/>
    <x v="4"/>
    <s v="CA"/>
    <m/>
    <x v="0"/>
    <x v="0"/>
    <s v="NA"/>
    <s v="Murphy"/>
    <s v="Julie"/>
    <x v="1"/>
  </r>
  <r>
    <n v="10211"/>
    <x v="32"/>
    <n v="90.16"/>
    <n v="15"/>
    <x v="0"/>
    <x v="1453"/>
    <s v="2/24/2003 0:1475"/>
    <x v="0"/>
    <x v="0"/>
    <s v="Shipped"/>
    <x v="0"/>
    <x v="7"/>
    <x v="1"/>
    <x v="0"/>
    <n v="112"/>
    <s v="S24_1578"/>
    <s v="Auto Canal Petit"/>
    <s v="(1) 47.55.6555"/>
    <s v="25, rue Lauriston"/>
    <m/>
    <s v="Paris"/>
    <x v="2"/>
    <m/>
    <n v="75016"/>
    <x v="1"/>
    <x v="1"/>
    <s v="EMEA"/>
    <s v="Perrier"/>
    <s v="Dominique"/>
    <x v="0"/>
  </r>
  <r>
    <n v="10223"/>
    <x v="22"/>
    <n v="91.29"/>
    <n v="2"/>
    <x v="0"/>
    <x v="1454"/>
    <s v="2/24/2003 0:1476"/>
    <x v="0"/>
    <x v="0"/>
    <s v="Shipped"/>
    <x v="0"/>
    <x v="0"/>
    <x v="1"/>
    <x v="0"/>
    <n v="112"/>
    <s v="S24_1578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237"/>
    <x v="14"/>
    <n v="100"/>
    <n v="8"/>
    <x v="0"/>
    <x v="1455"/>
    <s v="2/24/2003 0:1477"/>
    <x v="0"/>
    <x v="0"/>
    <s v="Shipped"/>
    <x v="1"/>
    <x v="8"/>
    <x v="1"/>
    <x v="0"/>
    <n v="112"/>
    <s v="S24_1578"/>
    <s v="Vitachrome Inc."/>
    <n v="2125551500"/>
    <s v="2678 Kingston Rd."/>
    <s v="Suite 101"/>
    <s v="Nyc"/>
    <x v="0"/>
    <s v="NY"/>
    <n v="10022"/>
    <x v="0"/>
    <x v="0"/>
    <s v="NA"/>
    <s v="Frick"/>
    <s v="Michael"/>
    <x v="0"/>
  </r>
  <r>
    <n v="10251"/>
    <x v="18"/>
    <n v="100"/>
    <n v="3"/>
    <x v="0"/>
    <x v="1456"/>
    <s v="2/24/2003 0:1478"/>
    <x v="0"/>
    <x v="0"/>
    <s v="Shipped"/>
    <x v="1"/>
    <x v="1"/>
    <x v="1"/>
    <x v="0"/>
    <n v="112"/>
    <s v="S24_1578"/>
    <s v="Tekni Collectables Inc."/>
    <n v="2015559350"/>
    <s v="7476 Moss Rd."/>
    <m/>
    <s v="Newark"/>
    <x v="9"/>
    <s v="NJ"/>
    <n v="94019"/>
    <x v="0"/>
    <x v="0"/>
    <s v="NA"/>
    <s v="Brown"/>
    <s v="William"/>
    <x v="0"/>
  </r>
  <r>
    <n v="10263"/>
    <x v="13"/>
    <n v="100"/>
    <n v="3"/>
    <x v="1"/>
    <x v="1457"/>
    <s v="2/24/2003 0:1479"/>
    <x v="0"/>
    <x v="0"/>
    <s v="Shipped"/>
    <x v="1"/>
    <x v="9"/>
    <x v="1"/>
    <x v="0"/>
    <n v="112"/>
    <s v="S24_1578"/>
    <s v="Gift Depot Inc."/>
    <n v="2035552570"/>
    <s v="25593 South Bay Ln."/>
    <m/>
    <s v="Bridgewater"/>
    <x v="10"/>
    <s v="CT"/>
    <n v="97562"/>
    <x v="0"/>
    <x v="0"/>
    <s v="NA"/>
    <s v="King"/>
    <s v="Julie"/>
    <x v="1"/>
  </r>
  <r>
    <n v="10275"/>
    <x v="15"/>
    <n v="100"/>
    <n v="2"/>
    <x v="0"/>
    <x v="1458"/>
    <s v="2/24/2003 0:1480"/>
    <x v="0"/>
    <x v="0"/>
    <s v="Shipped"/>
    <x v="2"/>
    <x v="2"/>
    <x v="1"/>
    <x v="0"/>
    <n v="112"/>
    <s v="S24_1578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285"/>
    <x v="1"/>
    <n v="100"/>
    <n v="7"/>
    <x v="0"/>
    <x v="1459"/>
    <s v="2/24/2003 0:1481"/>
    <x v="0"/>
    <x v="0"/>
    <s v="Shipped"/>
    <x v="2"/>
    <x v="3"/>
    <x v="1"/>
    <x v="0"/>
    <n v="112"/>
    <s v="S24_1578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299"/>
    <x v="20"/>
    <n v="100"/>
    <n v="10"/>
    <x v="1"/>
    <x v="1460"/>
    <s v="2/24/2003 0:1482"/>
    <x v="0"/>
    <x v="0"/>
    <s v="Shipped"/>
    <x v="2"/>
    <x v="10"/>
    <x v="1"/>
    <x v="0"/>
    <n v="112"/>
    <s v="S24_1578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309"/>
    <x v="15"/>
    <n v="100"/>
    <n v="6"/>
    <x v="0"/>
    <x v="1461"/>
    <s v="2/24/2003 0:1483"/>
    <x v="0"/>
    <x v="0"/>
    <s v="Shipped"/>
    <x v="3"/>
    <x v="4"/>
    <x v="1"/>
    <x v="0"/>
    <n v="112"/>
    <s v="S24_1578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318"/>
    <x v="7"/>
    <n v="100"/>
    <n v="2"/>
    <x v="1"/>
    <x v="1462"/>
    <s v="2/24/2003 0:1484"/>
    <x v="0"/>
    <x v="0"/>
    <s v="Shipped"/>
    <x v="3"/>
    <x v="5"/>
    <x v="1"/>
    <x v="0"/>
    <n v="112"/>
    <s v="S24_1578"/>
    <s v="Diecast Classics Inc."/>
    <n v="2155551555"/>
    <s v="7586 Pompton St."/>
    <m/>
    <s v="Allentown"/>
    <x v="15"/>
    <s v="PA"/>
    <n v="70267"/>
    <x v="0"/>
    <x v="0"/>
    <s v="NA"/>
    <s v="Yu"/>
    <s v="Kyung"/>
    <x v="1"/>
  </r>
  <r>
    <n v="10329"/>
    <x v="0"/>
    <n v="87.78"/>
    <n v="7"/>
    <x v="0"/>
    <x v="1463"/>
    <s v="2/24/2003 0:1485"/>
    <x v="0"/>
    <x v="0"/>
    <s v="Shipped"/>
    <x v="3"/>
    <x v="5"/>
    <x v="1"/>
    <x v="0"/>
    <n v="112"/>
    <s v="S24_1578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39"/>
    <x v="26"/>
    <n v="84.39"/>
    <n v="10"/>
    <x v="0"/>
    <x v="1464"/>
    <s v="2/24/2003 0:1486"/>
    <x v="0"/>
    <x v="0"/>
    <s v="Shipped"/>
    <x v="3"/>
    <x v="5"/>
    <x v="1"/>
    <x v="0"/>
    <n v="112"/>
    <s v="S24_1578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62"/>
    <x v="24"/>
    <n v="96.92"/>
    <n v="2"/>
    <x v="1"/>
    <x v="1465"/>
    <s v="2/24/2003 0:1487"/>
    <x v="0"/>
    <x v="0"/>
    <s v="Shipped"/>
    <x v="0"/>
    <x v="7"/>
    <x v="2"/>
    <x v="0"/>
    <n v="112"/>
    <s v="S24_1578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374"/>
    <x v="19"/>
    <n v="100"/>
    <n v="6"/>
    <x v="1"/>
    <x v="1466"/>
    <s v="2/24/2003 0:1488"/>
    <x v="0"/>
    <x v="0"/>
    <s v="Shipped"/>
    <x v="0"/>
    <x v="0"/>
    <x v="2"/>
    <x v="0"/>
    <n v="112"/>
    <s v="S24_1578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1"/>
  </r>
  <r>
    <n v="10389"/>
    <x v="3"/>
    <n v="100"/>
    <n v="1"/>
    <x v="1"/>
    <x v="1467"/>
    <s v="2/24/2003 0:1489"/>
    <x v="0"/>
    <x v="0"/>
    <s v="Shipped"/>
    <x v="0"/>
    <x v="11"/>
    <x v="2"/>
    <x v="0"/>
    <n v="112"/>
    <s v="S24_1578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403"/>
    <x v="12"/>
    <n v="100"/>
    <n v="8"/>
    <x v="1"/>
    <x v="1468"/>
    <s v="2/24/2003 0:1490"/>
    <x v="0"/>
    <x v="0"/>
    <s v="Shipped"/>
    <x v="1"/>
    <x v="8"/>
    <x v="2"/>
    <x v="0"/>
    <n v="112"/>
    <s v="S24_1578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417"/>
    <x v="21"/>
    <n v="100"/>
    <n v="3"/>
    <x v="0"/>
    <x v="1469"/>
    <s v="2/24/2003 0:1491"/>
    <x v="1"/>
    <x v="1"/>
    <s v="Disputed"/>
    <x v="1"/>
    <x v="1"/>
    <x v="2"/>
    <x v="0"/>
    <n v="112"/>
    <s v="S24_157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10"/>
    <x v="6"/>
    <n v="59.37"/>
    <n v="15"/>
    <x v="0"/>
    <x v="1470"/>
    <s v="2/24/2003 0:1492"/>
    <x v="0"/>
    <x v="0"/>
    <s v="Shipped"/>
    <x v="0"/>
    <x v="11"/>
    <x v="0"/>
    <x v="1"/>
    <n v="50"/>
    <s v="S24_1628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123"/>
    <x v="24"/>
    <n v="59.87"/>
    <n v="1"/>
    <x v="0"/>
    <x v="1471"/>
    <s v="2/24/2003 0:1493"/>
    <x v="0"/>
    <x v="0"/>
    <s v="Shipped"/>
    <x v="1"/>
    <x v="1"/>
    <x v="0"/>
    <x v="1"/>
    <n v="50"/>
    <s v="S24_1628"/>
    <s v="Atelier graphique"/>
    <s v="40.32.2555"/>
    <s v="54, rue Royale"/>
    <m/>
    <s v="Nantes"/>
    <x v="11"/>
    <m/>
    <n v="44000"/>
    <x v="1"/>
    <x v="1"/>
    <s v="EMEA"/>
    <s v="Schmitt"/>
    <s v="Carine"/>
    <x v="0"/>
  </r>
  <r>
    <n v="10137"/>
    <x v="18"/>
    <n v="49.81"/>
    <n v="1"/>
    <x v="0"/>
    <x v="1472"/>
    <s v="2/24/2003 0:1494"/>
    <x v="0"/>
    <x v="0"/>
    <s v="Shipped"/>
    <x v="2"/>
    <x v="2"/>
    <x v="0"/>
    <x v="1"/>
    <n v="50"/>
    <s v="S24_1628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148"/>
    <x v="20"/>
    <n v="56.85"/>
    <n v="8"/>
    <x v="0"/>
    <x v="1473"/>
    <s v="2/24/2003 0:1495"/>
    <x v="0"/>
    <x v="0"/>
    <s v="Shipped"/>
    <x v="2"/>
    <x v="10"/>
    <x v="0"/>
    <x v="1"/>
    <n v="50"/>
    <s v="S24_1628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61"/>
    <x v="10"/>
    <n v="53.33"/>
    <n v="7"/>
    <x v="0"/>
    <x v="1474"/>
    <s v="2/24/2003 0:1496"/>
    <x v="0"/>
    <x v="0"/>
    <s v="Shipped"/>
    <x v="3"/>
    <x v="4"/>
    <x v="0"/>
    <x v="1"/>
    <n v="50"/>
    <s v="S24_1628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172"/>
    <x v="1"/>
    <n v="42.76"/>
    <n v="5"/>
    <x v="0"/>
    <x v="1475"/>
    <s v="2/24/2003 0:1497"/>
    <x v="0"/>
    <x v="0"/>
    <s v="Shipped"/>
    <x v="3"/>
    <x v="5"/>
    <x v="0"/>
    <x v="1"/>
    <n v="50"/>
    <s v="S24_1628"/>
    <s v="Gift Depot Inc."/>
    <n v="2035552570"/>
    <s v="25593 South Bay Ln."/>
    <m/>
    <s v="Bridgewater"/>
    <x v="10"/>
    <s v="CT"/>
    <n v="97562"/>
    <x v="0"/>
    <x v="0"/>
    <s v="NA"/>
    <s v="King"/>
    <s v="Julie"/>
    <x v="0"/>
  </r>
  <r>
    <n v="10181"/>
    <x v="1"/>
    <n v="53.83"/>
    <n v="1"/>
    <x v="0"/>
    <x v="1476"/>
    <s v="2/24/2003 0:1498"/>
    <x v="0"/>
    <x v="0"/>
    <s v="Shipped"/>
    <x v="3"/>
    <x v="5"/>
    <x v="0"/>
    <x v="1"/>
    <n v="50"/>
    <s v="S24_1628"/>
    <s v="Herkku Gifts"/>
    <s v="+47 2267 3215"/>
    <s v="Drammen 121, PR 744 Sentrum"/>
    <m/>
    <s v="Bergen"/>
    <x v="7"/>
    <m/>
    <s v="N 5804"/>
    <x v="2"/>
    <x v="2"/>
    <s v="EMEA"/>
    <s v="Oeztan"/>
    <s v="Veysel"/>
    <x v="0"/>
  </r>
  <r>
    <n v="10192"/>
    <x v="20"/>
    <n v="53.83"/>
    <n v="6"/>
    <x v="0"/>
    <x v="1477"/>
    <s v="2/24/2003 0:1499"/>
    <x v="0"/>
    <x v="0"/>
    <s v="Shipped"/>
    <x v="3"/>
    <x v="5"/>
    <x v="0"/>
    <x v="1"/>
    <n v="50"/>
    <s v="S24_1628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204"/>
    <x v="3"/>
    <n v="49.81"/>
    <n v="12"/>
    <x v="0"/>
    <x v="1478"/>
    <s v="2/24/2003 0:1500"/>
    <x v="0"/>
    <x v="0"/>
    <s v="Shipped"/>
    <x v="3"/>
    <x v="6"/>
    <x v="0"/>
    <x v="1"/>
    <n v="50"/>
    <s v="S24_1628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212"/>
    <x v="3"/>
    <n v="53.33"/>
    <n v="5"/>
    <x v="0"/>
    <x v="1479"/>
    <s v="2/24/2003 0:1501"/>
    <x v="0"/>
    <x v="0"/>
    <s v="Shipped"/>
    <x v="0"/>
    <x v="7"/>
    <x v="1"/>
    <x v="1"/>
    <n v="50"/>
    <s v="S24_162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26"/>
    <x v="5"/>
    <n v="43.27"/>
    <n v="3"/>
    <x v="0"/>
    <x v="1480"/>
    <s v="2/24/2003 0:1502"/>
    <x v="0"/>
    <x v="0"/>
    <s v="Shipped"/>
    <x v="0"/>
    <x v="0"/>
    <x v="1"/>
    <x v="1"/>
    <n v="50"/>
    <s v="S24_1628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0"/>
  </r>
  <r>
    <n v="10241"/>
    <x v="15"/>
    <n v="40.25"/>
    <n v="10"/>
    <x v="0"/>
    <x v="1481"/>
    <s v="2/24/2003 0:1503"/>
    <x v="0"/>
    <x v="0"/>
    <s v="Shipped"/>
    <x v="1"/>
    <x v="8"/>
    <x v="1"/>
    <x v="1"/>
    <n v="50"/>
    <s v="S24_1628"/>
    <s v="Mini Caravy"/>
    <s v="88.60.1555"/>
    <s v="24, place Kluber"/>
    <m/>
    <s v="Strasbourg"/>
    <x v="66"/>
    <m/>
    <n v="67000"/>
    <x v="1"/>
    <x v="1"/>
    <s v="EMEA"/>
    <s v="Citeaux"/>
    <s v="Frederique"/>
    <x v="0"/>
  </r>
  <r>
    <n v="10266"/>
    <x v="11"/>
    <n v="48.3"/>
    <n v="1"/>
    <x v="0"/>
    <x v="1482"/>
    <s v="2/24/2003 0:1504"/>
    <x v="0"/>
    <x v="0"/>
    <s v="Shipped"/>
    <x v="2"/>
    <x v="2"/>
    <x v="1"/>
    <x v="1"/>
    <n v="50"/>
    <s v="S24_1628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278"/>
    <x v="21"/>
    <n v="45.28"/>
    <n v="1"/>
    <x v="0"/>
    <x v="1483"/>
    <s v="2/24/2003 0:1505"/>
    <x v="0"/>
    <x v="0"/>
    <s v="Shipped"/>
    <x v="2"/>
    <x v="3"/>
    <x v="1"/>
    <x v="1"/>
    <n v="50"/>
    <s v="S24_1628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288"/>
    <x v="24"/>
    <n v="52.32"/>
    <n v="13"/>
    <x v="0"/>
    <x v="1484"/>
    <s v="2/24/2003 0:1506"/>
    <x v="0"/>
    <x v="0"/>
    <s v="Shipped"/>
    <x v="2"/>
    <x v="10"/>
    <x v="1"/>
    <x v="1"/>
    <n v="50"/>
    <s v="S24_1628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301"/>
    <x v="8"/>
    <n v="51.32"/>
    <n v="3"/>
    <x v="0"/>
    <x v="1485"/>
    <s v="2/24/2003 0:1507"/>
    <x v="0"/>
    <x v="0"/>
    <s v="Shipped"/>
    <x v="3"/>
    <x v="4"/>
    <x v="0"/>
    <x v="1"/>
    <n v="50"/>
    <s v="S24_1628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311"/>
    <x v="3"/>
    <n v="49.3"/>
    <n v="8"/>
    <x v="0"/>
    <x v="1486"/>
    <s v="2/24/2003 0:1508"/>
    <x v="0"/>
    <x v="0"/>
    <s v="Shipped"/>
    <x v="3"/>
    <x v="4"/>
    <x v="1"/>
    <x v="1"/>
    <n v="50"/>
    <s v="S24_162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21"/>
    <x v="7"/>
    <n v="42.26"/>
    <n v="5"/>
    <x v="0"/>
    <x v="1487"/>
    <s v="2/24/2003 0:1509"/>
    <x v="0"/>
    <x v="0"/>
    <s v="Shipped"/>
    <x v="3"/>
    <x v="5"/>
    <x v="1"/>
    <x v="1"/>
    <n v="50"/>
    <s v="S24_1628"/>
    <s v="FunGiftIdeas.com"/>
    <n v="5085552555"/>
    <s v="1785 First Street"/>
    <m/>
    <s v="New Bedford"/>
    <x v="18"/>
    <s v="MA"/>
    <n v="50553"/>
    <x v="0"/>
    <x v="0"/>
    <s v="NA"/>
    <s v="Benitez"/>
    <s v="Violeta"/>
    <x v="0"/>
  </r>
  <r>
    <n v="10332"/>
    <x v="14"/>
    <n v="87.96"/>
    <n v="5"/>
    <x v="0"/>
    <x v="1488"/>
    <s v="2/24/2003 0:1510"/>
    <x v="0"/>
    <x v="0"/>
    <s v="Shipped"/>
    <x v="3"/>
    <x v="5"/>
    <x v="1"/>
    <x v="1"/>
    <n v="50"/>
    <s v="S24_1628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43"/>
    <x v="26"/>
    <n v="36.21"/>
    <n v="6"/>
    <x v="0"/>
    <x v="1489"/>
    <s v="2/24/2003 0:1511"/>
    <x v="0"/>
    <x v="0"/>
    <s v="Shipped"/>
    <x v="3"/>
    <x v="5"/>
    <x v="1"/>
    <x v="1"/>
    <n v="50"/>
    <s v="S24_1628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367"/>
    <x v="19"/>
    <n v="38.5"/>
    <n v="11"/>
    <x v="0"/>
    <x v="1490"/>
    <s v="2/24/2003 0:1512"/>
    <x v="5"/>
    <x v="1"/>
    <s v="Resolved"/>
    <x v="0"/>
    <x v="7"/>
    <x v="2"/>
    <x v="1"/>
    <n v="50"/>
    <s v="S24_1628"/>
    <s v="Toys4GrownUps.com"/>
    <n v="6265557265"/>
    <s v="78934 Hillside Dr."/>
    <m/>
    <s v="Pasadena"/>
    <x v="3"/>
    <s v="CA"/>
    <n v="90003"/>
    <x v="0"/>
    <x v="0"/>
    <s v="NA"/>
    <s v="Young"/>
    <s v="Julie"/>
    <x v="0"/>
  </r>
  <r>
    <n v="10379"/>
    <x v="22"/>
    <n v="100"/>
    <n v="3"/>
    <x v="0"/>
    <x v="1491"/>
    <s v="2/24/2003 0:1513"/>
    <x v="0"/>
    <x v="0"/>
    <s v="Shipped"/>
    <x v="0"/>
    <x v="0"/>
    <x v="2"/>
    <x v="1"/>
    <n v="50"/>
    <s v="S24_162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07"/>
    <x v="33"/>
    <n v="40.25"/>
    <n v="10"/>
    <x v="0"/>
    <x v="1492"/>
    <s v="2/24/2003 0:1514"/>
    <x v="4"/>
    <x v="1"/>
    <s v="On Hold"/>
    <x v="1"/>
    <x v="8"/>
    <x v="2"/>
    <x v="1"/>
    <n v="50"/>
    <s v="S24_1628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420"/>
    <x v="9"/>
    <n v="60.37"/>
    <n v="13"/>
    <x v="0"/>
    <x v="1493"/>
    <s v="2/24/2003 0:1515"/>
    <x v="2"/>
    <x v="1"/>
    <s v="In Process"/>
    <x v="1"/>
    <x v="1"/>
    <x v="2"/>
    <x v="1"/>
    <n v="50"/>
    <s v="S24_1628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106"/>
    <x v="11"/>
    <n v="88.63"/>
    <n v="4"/>
    <x v="0"/>
    <x v="1494"/>
    <s v="2/24/2003 0:1516"/>
    <x v="0"/>
    <x v="0"/>
    <s v="Shipped"/>
    <x v="0"/>
    <x v="0"/>
    <x v="0"/>
    <x v="4"/>
    <n v="109"/>
    <s v="S24_1785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20"/>
    <x v="25"/>
    <n v="100"/>
    <n v="10"/>
    <x v="1"/>
    <x v="1495"/>
    <s v="2/24/2003 0:1517"/>
    <x v="0"/>
    <x v="0"/>
    <s v="Shipped"/>
    <x v="1"/>
    <x v="8"/>
    <x v="0"/>
    <x v="4"/>
    <n v="109"/>
    <s v="S24_1785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133"/>
    <x v="2"/>
    <n v="94.1"/>
    <n v="5"/>
    <x v="0"/>
    <x v="1496"/>
    <s v="2/24/2003 0:1518"/>
    <x v="0"/>
    <x v="0"/>
    <s v="Shipped"/>
    <x v="1"/>
    <x v="9"/>
    <x v="0"/>
    <x v="4"/>
    <n v="109"/>
    <s v="S24_1785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45"/>
    <x v="23"/>
    <n v="87.54"/>
    <n v="16"/>
    <x v="0"/>
    <x v="1497"/>
    <s v="2/24/2003 0:1519"/>
    <x v="0"/>
    <x v="0"/>
    <s v="Shipped"/>
    <x v="2"/>
    <x v="3"/>
    <x v="0"/>
    <x v="4"/>
    <n v="109"/>
    <s v="S24_1785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168"/>
    <x v="4"/>
    <n v="100"/>
    <n v="11"/>
    <x v="1"/>
    <x v="1498"/>
    <s v="2/24/2003 0:1520"/>
    <x v="0"/>
    <x v="0"/>
    <s v="Shipped"/>
    <x v="3"/>
    <x v="4"/>
    <x v="0"/>
    <x v="4"/>
    <n v="109"/>
    <s v="S24_1785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210"/>
    <x v="26"/>
    <n v="98.48"/>
    <n v="9"/>
    <x v="0"/>
    <x v="1499"/>
    <s v="2/24/2003 0:1521"/>
    <x v="0"/>
    <x v="0"/>
    <s v="Shipped"/>
    <x v="0"/>
    <x v="7"/>
    <x v="1"/>
    <x v="4"/>
    <n v="109"/>
    <s v="S24_1785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0"/>
  </r>
  <r>
    <n v="10223"/>
    <x v="1"/>
    <n v="100"/>
    <n v="11"/>
    <x v="0"/>
    <x v="1500"/>
    <s v="2/24/2003 0:1522"/>
    <x v="0"/>
    <x v="0"/>
    <s v="Shipped"/>
    <x v="0"/>
    <x v="0"/>
    <x v="1"/>
    <x v="4"/>
    <n v="109"/>
    <s v="S24_1785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235"/>
    <x v="10"/>
    <n v="96.29"/>
    <n v="5"/>
    <x v="0"/>
    <x v="1501"/>
    <s v="2/24/2003 0:1523"/>
    <x v="0"/>
    <x v="0"/>
    <s v="Shipped"/>
    <x v="1"/>
    <x v="8"/>
    <x v="1"/>
    <x v="4"/>
    <n v="109"/>
    <s v="S24_1785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50"/>
    <x v="28"/>
    <n v="88.63"/>
    <n v="6"/>
    <x v="0"/>
    <x v="1502"/>
    <s v="2/24/2003 0:1524"/>
    <x v="0"/>
    <x v="0"/>
    <s v="Shipped"/>
    <x v="1"/>
    <x v="1"/>
    <x v="1"/>
    <x v="4"/>
    <n v="109"/>
    <s v="S24_1785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262"/>
    <x v="1"/>
    <n v="97.38"/>
    <n v="1"/>
    <x v="0"/>
    <x v="1503"/>
    <s v="2/24/2003 0:1525"/>
    <x v="3"/>
    <x v="1"/>
    <s v="Cancelled"/>
    <x v="1"/>
    <x v="9"/>
    <x v="1"/>
    <x v="4"/>
    <n v="109"/>
    <s v="S24_1785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75"/>
    <x v="32"/>
    <n v="95.2"/>
    <n v="11"/>
    <x v="0"/>
    <x v="1504"/>
    <s v="2/24/2003 0:1526"/>
    <x v="0"/>
    <x v="0"/>
    <s v="Shipped"/>
    <x v="2"/>
    <x v="2"/>
    <x v="1"/>
    <x v="4"/>
    <n v="109"/>
    <s v="S24_1785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284"/>
    <x v="8"/>
    <n v="100"/>
    <n v="3"/>
    <x v="0"/>
    <x v="1505"/>
    <s v="2/24/2003 0:1527"/>
    <x v="0"/>
    <x v="0"/>
    <s v="Shipped"/>
    <x v="2"/>
    <x v="3"/>
    <x v="1"/>
    <x v="4"/>
    <n v="109"/>
    <s v="S24_1785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297"/>
    <x v="22"/>
    <n v="100"/>
    <n v="6"/>
    <x v="1"/>
    <x v="1506"/>
    <s v="2/24/2003 0:1528"/>
    <x v="0"/>
    <x v="0"/>
    <s v="Shipped"/>
    <x v="2"/>
    <x v="10"/>
    <x v="1"/>
    <x v="4"/>
    <n v="109"/>
    <s v="S24_1785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1"/>
  </r>
  <r>
    <n v="10308"/>
    <x v="28"/>
    <n v="100"/>
    <n v="9"/>
    <x v="0"/>
    <x v="1507"/>
    <s v="2/24/2003 0:1529"/>
    <x v="0"/>
    <x v="0"/>
    <s v="Shipped"/>
    <x v="3"/>
    <x v="4"/>
    <x v="1"/>
    <x v="4"/>
    <n v="109"/>
    <s v="S24_1785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316"/>
    <x v="32"/>
    <n v="100"/>
    <n v="1"/>
    <x v="0"/>
    <x v="1508"/>
    <s v="2/24/2003 0:1530"/>
    <x v="0"/>
    <x v="0"/>
    <s v="Shipped"/>
    <x v="3"/>
    <x v="5"/>
    <x v="1"/>
    <x v="4"/>
    <n v="109"/>
    <s v="S24_1785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328"/>
    <x v="20"/>
    <n v="87.54"/>
    <n v="14"/>
    <x v="1"/>
    <x v="1509"/>
    <s v="2/24/2003 0:1531"/>
    <x v="0"/>
    <x v="0"/>
    <s v="Shipped"/>
    <x v="3"/>
    <x v="5"/>
    <x v="1"/>
    <x v="4"/>
    <n v="109"/>
    <s v="S24_1785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339"/>
    <x v="15"/>
    <n v="50.65"/>
    <n v="7"/>
    <x v="0"/>
    <x v="1510"/>
    <s v="2/24/2003 0:1532"/>
    <x v="0"/>
    <x v="0"/>
    <s v="Shipped"/>
    <x v="3"/>
    <x v="5"/>
    <x v="1"/>
    <x v="4"/>
    <n v="109"/>
    <s v="S24_1785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53"/>
    <x v="11"/>
    <n v="71.73"/>
    <n v="2"/>
    <x v="0"/>
    <x v="1511"/>
    <s v="2/24/2003 0:1533"/>
    <x v="0"/>
    <x v="0"/>
    <s v="Shipped"/>
    <x v="3"/>
    <x v="6"/>
    <x v="1"/>
    <x v="4"/>
    <n v="109"/>
    <s v="S24_1785"/>
    <s v="Gift Ideas Corp."/>
    <n v="2035554407"/>
    <s v="2440 Pompton St."/>
    <m/>
    <s v="Glendale"/>
    <x v="63"/>
    <s v="CT"/>
    <n v="97561"/>
    <x v="0"/>
    <x v="0"/>
    <s v="NA"/>
    <s v="Lewis"/>
    <s v="Dan"/>
    <x v="0"/>
  </r>
  <r>
    <n v="10374"/>
    <x v="12"/>
    <n v="94.1"/>
    <n v="3"/>
    <x v="1"/>
    <x v="1512"/>
    <s v="2/24/2003 0:1534"/>
    <x v="0"/>
    <x v="0"/>
    <s v="Shipped"/>
    <x v="0"/>
    <x v="0"/>
    <x v="2"/>
    <x v="4"/>
    <n v="109"/>
    <s v="S24_1785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1"/>
  </r>
  <r>
    <n v="10386"/>
    <x v="29"/>
    <n v="41.71"/>
    <n v="11"/>
    <x v="0"/>
    <x v="1513"/>
    <s v="2/24/2003 0:1535"/>
    <x v="5"/>
    <x v="1"/>
    <s v="Resolved"/>
    <x v="0"/>
    <x v="11"/>
    <x v="2"/>
    <x v="4"/>
    <n v="109"/>
    <s v="S24_1785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8"/>
    <x v="30"/>
    <n v="100"/>
    <n v="16"/>
    <x v="1"/>
    <x v="1514"/>
    <s v="2/24/2003 0:1536"/>
    <x v="0"/>
    <x v="0"/>
    <s v="Shipped"/>
    <x v="0"/>
    <x v="11"/>
    <x v="2"/>
    <x v="4"/>
    <n v="109"/>
    <s v="S24_1785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401"/>
    <x v="19"/>
    <n v="96.29"/>
    <n v="5"/>
    <x v="0"/>
    <x v="1515"/>
    <s v="2/24/2003 0:1537"/>
    <x v="4"/>
    <x v="1"/>
    <s v="On Hold"/>
    <x v="1"/>
    <x v="8"/>
    <x v="2"/>
    <x v="4"/>
    <n v="109"/>
    <s v="S24_1785"/>
    <s v="Tekni Collectables Inc."/>
    <n v="2015559350"/>
    <s v="7476 Moss Rd."/>
    <m/>
    <s v="Newark"/>
    <x v="9"/>
    <s v="NJ"/>
    <n v="94019"/>
    <x v="0"/>
    <x v="0"/>
    <s v="NA"/>
    <s v="Brown"/>
    <s v="William"/>
    <x v="1"/>
  </r>
  <r>
    <n v="10416"/>
    <x v="20"/>
    <n v="88.63"/>
    <n v="6"/>
    <x v="1"/>
    <x v="1516"/>
    <s v="2/24/2003 0:1538"/>
    <x v="0"/>
    <x v="0"/>
    <s v="Shipped"/>
    <x v="1"/>
    <x v="1"/>
    <x v="2"/>
    <x v="4"/>
    <n v="109"/>
    <s v="S24_1785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101"/>
    <x v="3"/>
    <n v="31.2"/>
    <n v="3"/>
    <x v="0"/>
    <x v="1517"/>
    <s v="2/24/2003 0:1539"/>
    <x v="0"/>
    <x v="0"/>
    <s v="Shipped"/>
    <x v="0"/>
    <x v="7"/>
    <x v="0"/>
    <x v="3"/>
    <n v="33"/>
    <s v="S24_1937"/>
    <s v="Blauer See Auto, Co."/>
    <s v="+49 69 66 90 2555"/>
    <s v="Lyonerstr. 34"/>
    <m/>
    <s v="Frankfurt"/>
    <x v="58"/>
    <m/>
    <n v="60528"/>
    <x v="16"/>
    <x v="16"/>
    <s v="EMEA"/>
    <s v="Keitel"/>
    <s v="Roland"/>
    <x v="0"/>
  </r>
  <r>
    <n v="10110"/>
    <x v="14"/>
    <n v="35.51"/>
    <n v="3"/>
    <x v="0"/>
    <x v="1518"/>
    <s v="2/24/2003 0:1540"/>
    <x v="0"/>
    <x v="0"/>
    <s v="Shipped"/>
    <x v="0"/>
    <x v="11"/>
    <x v="0"/>
    <x v="3"/>
    <n v="33"/>
    <s v="S24_1937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124"/>
    <x v="3"/>
    <n v="37.840000000000003"/>
    <n v="2"/>
    <x v="0"/>
    <x v="1519"/>
    <s v="2/24/2003 0:1541"/>
    <x v="0"/>
    <x v="0"/>
    <s v="Shipped"/>
    <x v="1"/>
    <x v="1"/>
    <x v="0"/>
    <x v="3"/>
    <n v="33"/>
    <s v="S24_1937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149"/>
    <x v="5"/>
    <n v="33.19"/>
    <n v="7"/>
    <x v="0"/>
    <x v="1520"/>
    <s v="2/24/2003 0:1542"/>
    <x v="0"/>
    <x v="0"/>
    <s v="Shipped"/>
    <x v="2"/>
    <x v="10"/>
    <x v="0"/>
    <x v="3"/>
    <n v="33"/>
    <s v="S24_1937"/>
    <s v="Signal Collectibles Ltd."/>
    <n v="4155554312"/>
    <s v="2793 Furth Circle"/>
    <m/>
    <s v="Brisbane"/>
    <x v="65"/>
    <s v="CA"/>
    <n v="94217"/>
    <x v="0"/>
    <x v="0"/>
    <s v="NA"/>
    <s v="Taylor"/>
    <s v="Sue"/>
    <x v="0"/>
  </r>
  <r>
    <n v="10162"/>
    <x v="9"/>
    <n v="27.22"/>
    <n v="5"/>
    <x v="0"/>
    <x v="1521"/>
    <s v="2/24/2003 0:1543"/>
    <x v="0"/>
    <x v="0"/>
    <s v="Shipped"/>
    <x v="3"/>
    <x v="4"/>
    <x v="0"/>
    <x v="3"/>
    <n v="33"/>
    <s v="S24_1937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73"/>
    <x v="28"/>
    <n v="31.53"/>
    <n v="9"/>
    <x v="0"/>
    <x v="1522"/>
    <s v="2/24/2003 0:1544"/>
    <x v="0"/>
    <x v="0"/>
    <s v="Shipped"/>
    <x v="3"/>
    <x v="5"/>
    <x v="0"/>
    <x v="3"/>
    <n v="33"/>
    <s v="S24_1937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82"/>
    <x v="25"/>
    <n v="36.840000000000003"/>
    <n v="6"/>
    <x v="0"/>
    <x v="1523"/>
    <s v="2/24/2003 0:1545"/>
    <x v="0"/>
    <x v="0"/>
    <s v="Shipped"/>
    <x v="3"/>
    <x v="5"/>
    <x v="0"/>
    <x v="3"/>
    <n v="33"/>
    <s v="S24_193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93"/>
    <x v="18"/>
    <n v="29.21"/>
    <n v="10"/>
    <x v="0"/>
    <x v="1524"/>
    <s v="2/24/2003 0:1546"/>
    <x v="0"/>
    <x v="0"/>
    <s v="Shipped"/>
    <x v="3"/>
    <x v="5"/>
    <x v="0"/>
    <x v="3"/>
    <n v="33"/>
    <s v="S24_1937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205"/>
    <x v="22"/>
    <n v="37.17"/>
    <n v="5"/>
    <x v="0"/>
    <x v="1525"/>
    <s v="2/24/2003 0:1547"/>
    <x v="0"/>
    <x v="0"/>
    <s v="Shipped"/>
    <x v="3"/>
    <x v="6"/>
    <x v="0"/>
    <x v="3"/>
    <n v="33"/>
    <s v="S24_1937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14"/>
    <x v="14"/>
    <n v="34.19"/>
    <n v="3"/>
    <x v="0"/>
    <x v="1526"/>
    <s v="2/24/2003 0:1548"/>
    <x v="0"/>
    <x v="0"/>
    <s v="Shipped"/>
    <x v="0"/>
    <x v="7"/>
    <x v="1"/>
    <x v="3"/>
    <n v="33"/>
    <s v="S24_1937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227"/>
    <x v="13"/>
    <n v="29.21"/>
    <n v="6"/>
    <x v="0"/>
    <x v="1527"/>
    <s v="2/24/2003 0:1549"/>
    <x v="0"/>
    <x v="0"/>
    <s v="Shipped"/>
    <x v="0"/>
    <x v="11"/>
    <x v="1"/>
    <x v="3"/>
    <n v="33"/>
    <s v="S24_1937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43"/>
    <x v="29"/>
    <n v="29.54"/>
    <n v="1"/>
    <x v="0"/>
    <x v="1528"/>
    <s v="2/24/2003 0:1550"/>
    <x v="0"/>
    <x v="0"/>
    <s v="Shipped"/>
    <x v="1"/>
    <x v="8"/>
    <x v="1"/>
    <x v="3"/>
    <n v="33"/>
    <s v="S24_1937"/>
    <s v="Diecast Collectables"/>
    <n v="6175552555"/>
    <s v="6251 Ingle Ln."/>
    <m/>
    <s v="Boston"/>
    <x v="48"/>
    <s v="MA"/>
    <n v="51003"/>
    <x v="0"/>
    <x v="0"/>
    <s v="NA"/>
    <s v="Franco"/>
    <s v="Valarie"/>
    <x v="0"/>
  </r>
  <r>
    <n v="10280"/>
    <x v="14"/>
    <n v="28.88"/>
    <n v="12"/>
    <x v="0"/>
    <x v="1529"/>
    <s v="2/24/2003 0:1551"/>
    <x v="0"/>
    <x v="0"/>
    <s v="Shipped"/>
    <x v="2"/>
    <x v="3"/>
    <x v="1"/>
    <x v="3"/>
    <n v="33"/>
    <s v="S24_1937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288"/>
    <x v="6"/>
    <n v="38.17"/>
    <n v="1"/>
    <x v="0"/>
    <x v="1530"/>
    <s v="2/24/2003 0:1552"/>
    <x v="0"/>
    <x v="0"/>
    <s v="Shipped"/>
    <x v="2"/>
    <x v="10"/>
    <x v="1"/>
    <x v="3"/>
    <n v="33"/>
    <s v="S24_1937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304"/>
    <x v="10"/>
    <n v="30.2"/>
    <n v="16"/>
    <x v="0"/>
    <x v="1531"/>
    <s v="2/24/2003 0:1553"/>
    <x v="0"/>
    <x v="0"/>
    <s v="Shipped"/>
    <x v="3"/>
    <x v="4"/>
    <x v="1"/>
    <x v="3"/>
    <n v="33"/>
    <s v="S24_1937"/>
    <s v="Auto Assoc. &amp; Cie."/>
    <s v="30.59.8555"/>
    <s v="67, avenue de l'Europe"/>
    <m/>
    <s v="Versailles"/>
    <x v="32"/>
    <m/>
    <n v="78000"/>
    <x v="1"/>
    <x v="1"/>
    <s v="EMEA"/>
    <s v="Tonini"/>
    <s v="Daniel"/>
    <x v="0"/>
  </r>
  <r>
    <n v="10312"/>
    <x v="25"/>
    <n v="29.54"/>
    <n v="13"/>
    <x v="0"/>
    <x v="1532"/>
    <s v="2/24/2003 0:1554"/>
    <x v="0"/>
    <x v="0"/>
    <s v="Shipped"/>
    <x v="3"/>
    <x v="4"/>
    <x v="1"/>
    <x v="3"/>
    <n v="33"/>
    <s v="S24_193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22"/>
    <x v="14"/>
    <n v="100"/>
    <n v="3"/>
    <x v="0"/>
    <x v="1533"/>
    <s v="2/24/2003 0:1555"/>
    <x v="0"/>
    <x v="0"/>
    <s v="Shipped"/>
    <x v="3"/>
    <x v="5"/>
    <x v="1"/>
    <x v="3"/>
    <n v="33"/>
    <s v="S24_1937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332"/>
    <x v="3"/>
    <n v="81.91"/>
    <n v="6"/>
    <x v="0"/>
    <x v="1534"/>
    <s v="2/24/2003 0:1556"/>
    <x v="0"/>
    <x v="0"/>
    <s v="Shipped"/>
    <x v="3"/>
    <x v="5"/>
    <x v="1"/>
    <x v="3"/>
    <n v="33"/>
    <s v="S24_1937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44"/>
    <x v="14"/>
    <n v="35.18"/>
    <n v="6"/>
    <x v="0"/>
    <x v="1535"/>
    <s v="2/24/2003 0:1557"/>
    <x v="0"/>
    <x v="0"/>
    <s v="Shipped"/>
    <x v="3"/>
    <x v="5"/>
    <x v="1"/>
    <x v="3"/>
    <n v="33"/>
    <s v="S24_1937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356"/>
    <x v="7"/>
    <n v="100"/>
    <n v="5"/>
    <x v="1"/>
    <x v="1536"/>
    <s v="2/24/2003 0:1558"/>
    <x v="0"/>
    <x v="0"/>
    <s v="Shipped"/>
    <x v="3"/>
    <x v="6"/>
    <x v="1"/>
    <x v="3"/>
    <n v="33"/>
    <s v="S24_1937"/>
    <s v="Lyon Souveniers"/>
    <s v="+33 1 46 62 7555"/>
    <s v="27 rue du Colonel Pierre Avia"/>
    <m/>
    <s v="Paris"/>
    <x v="2"/>
    <m/>
    <n v="75508"/>
    <x v="1"/>
    <x v="1"/>
    <s v="EMEA"/>
    <s v="Da Cunha"/>
    <s v="Daniel"/>
    <x v="2"/>
  </r>
  <r>
    <n v="10367"/>
    <x v="10"/>
    <n v="36.29"/>
    <n v="13"/>
    <x v="0"/>
    <x v="1537"/>
    <s v="2/24/2003 0:1559"/>
    <x v="5"/>
    <x v="1"/>
    <s v="Resolved"/>
    <x v="0"/>
    <x v="7"/>
    <x v="2"/>
    <x v="3"/>
    <n v="33"/>
    <s v="S24_1937"/>
    <s v="Toys4GrownUps.com"/>
    <n v="6265557265"/>
    <s v="78934 Hillside Dr."/>
    <m/>
    <s v="Pasadena"/>
    <x v="3"/>
    <s v="CA"/>
    <n v="90003"/>
    <x v="0"/>
    <x v="0"/>
    <s v="NA"/>
    <s v="Young"/>
    <s v="Julie"/>
    <x v="0"/>
  </r>
  <r>
    <n v="10380"/>
    <x v="22"/>
    <n v="70.56"/>
    <n v="4"/>
    <x v="0"/>
    <x v="966"/>
    <s v="2/24/2003 0:1560"/>
    <x v="0"/>
    <x v="0"/>
    <s v="Shipped"/>
    <x v="0"/>
    <x v="0"/>
    <x v="2"/>
    <x v="3"/>
    <n v="33"/>
    <s v="S24_1937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1"/>
    <x v="29"/>
    <n v="100"/>
    <n v="8"/>
    <x v="1"/>
    <x v="1538"/>
    <s v="2/24/2003 0:1561"/>
    <x v="0"/>
    <x v="0"/>
    <s v="Shipped"/>
    <x v="0"/>
    <x v="11"/>
    <x v="2"/>
    <x v="3"/>
    <n v="33"/>
    <s v="S24_1937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2"/>
  </r>
  <r>
    <n v="10409"/>
    <x v="40"/>
    <n v="29.54"/>
    <n v="1"/>
    <x v="0"/>
    <x v="1539"/>
    <s v="2/24/2003 0:1562"/>
    <x v="0"/>
    <x v="0"/>
    <s v="Shipped"/>
    <x v="1"/>
    <x v="8"/>
    <x v="2"/>
    <x v="3"/>
    <n v="33"/>
    <s v="S24_1937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420"/>
    <x v="3"/>
    <n v="26.88"/>
    <n v="1"/>
    <x v="0"/>
    <x v="1540"/>
    <s v="2/24/2003 0:1563"/>
    <x v="2"/>
    <x v="1"/>
    <s v="In Process"/>
    <x v="1"/>
    <x v="1"/>
    <x v="2"/>
    <x v="3"/>
    <n v="33"/>
    <s v="S24_1937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107"/>
    <x v="19"/>
    <n v="83.03"/>
    <n v="7"/>
    <x v="0"/>
    <x v="1541"/>
    <s v="2/24/2003 0:1564"/>
    <x v="0"/>
    <x v="0"/>
    <s v="Shipped"/>
    <x v="0"/>
    <x v="0"/>
    <x v="0"/>
    <x v="0"/>
    <n v="76"/>
    <s v="S24_2000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120"/>
    <x v="1"/>
    <n v="83.79"/>
    <n v="5"/>
    <x v="0"/>
    <x v="1542"/>
    <s v="2/24/2003 0:1565"/>
    <x v="0"/>
    <x v="0"/>
    <s v="Shipped"/>
    <x v="1"/>
    <x v="8"/>
    <x v="0"/>
    <x v="0"/>
    <n v="76"/>
    <s v="S24_2000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134"/>
    <x v="30"/>
    <n v="83.03"/>
    <n v="7"/>
    <x v="0"/>
    <x v="1543"/>
    <s v="2/24/2003 0:1566"/>
    <x v="0"/>
    <x v="0"/>
    <s v="Shipped"/>
    <x v="2"/>
    <x v="2"/>
    <x v="0"/>
    <x v="0"/>
    <n v="76"/>
    <s v="S24_2000"/>
    <s v="Lyon Souveniers"/>
    <s v="+33 1 46 62 7555"/>
    <s v="27 rue du Colonel Pierre Avia"/>
    <m/>
    <s v="Paris"/>
    <x v="2"/>
    <m/>
    <n v="75508"/>
    <x v="1"/>
    <x v="1"/>
    <s v="EMEA"/>
    <s v="Da Cunha"/>
    <s v="Daniel"/>
    <x v="1"/>
  </r>
  <r>
    <n v="10145"/>
    <x v="20"/>
    <n v="83.03"/>
    <n v="11"/>
    <x v="0"/>
    <x v="1544"/>
    <s v="2/24/2003 0:1567"/>
    <x v="0"/>
    <x v="0"/>
    <s v="Shipped"/>
    <x v="2"/>
    <x v="3"/>
    <x v="0"/>
    <x v="0"/>
    <n v="76"/>
    <s v="S24_2000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158"/>
    <x v="8"/>
    <n v="67.03"/>
    <n v="1"/>
    <x v="0"/>
    <x v="1545"/>
    <s v="2/24/2003 0:1568"/>
    <x v="0"/>
    <x v="0"/>
    <s v="Shipped"/>
    <x v="3"/>
    <x v="4"/>
    <x v="0"/>
    <x v="0"/>
    <n v="76"/>
    <s v="S24_2000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168"/>
    <x v="6"/>
    <n v="75.41"/>
    <n v="6"/>
    <x v="0"/>
    <x v="1546"/>
    <s v="2/24/2003 0:1569"/>
    <x v="0"/>
    <x v="0"/>
    <s v="Shipped"/>
    <x v="3"/>
    <x v="4"/>
    <x v="0"/>
    <x v="0"/>
    <n v="76"/>
    <s v="S24_2000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180"/>
    <x v="11"/>
    <n v="68.55"/>
    <n v="14"/>
    <x v="0"/>
    <x v="1547"/>
    <s v="2/24/2003 0:1570"/>
    <x v="0"/>
    <x v="0"/>
    <s v="Shipped"/>
    <x v="3"/>
    <x v="5"/>
    <x v="0"/>
    <x v="0"/>
    <n v="76"/>
    <s v="S24_2000"/>
    <s v="Daedalus Designs Imports"/>
    <s v="20.16.1555"/>
    <s v="184, chausse de Tournai"/>
    <m/>
    <s v="Lille"/>
    <x v="6"/>
    <m/>
    <n v="59000"/>
    <x v="1"/>
    <x v="1"/>
    <s v="EMEA"/>
    <s v="Rance"/>
    <s v="Martine"/>
    <x v="0"/>
  </r>
  <r>
    <n v="10188"/>
    <x v="23"/>
    <n v="91.4"/>
    <n v="6"/>
    <x v="0"/>
    <x v="1548"/>
    <s v="2/24/2003 0:1571"/>
    <x v="0"/>
    <x v="0"/>
    <s v="Shipped"/>
    <x v="3"/>
    <x v="5"/>
    <x v="0"/>
    <x v="0"/>
    <n v="76"/>
    <s v="S24_2000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201"/>
    <x v="32"/>
    <n v="73.88"/>
    <n v="7"/>
    <x v="0"/>
    <x v="1549"/>
    <s v="2/24/2003 0:1572"/>
    <x v="0"/>
    <x v="0"/>
    <s v="Shipped"/>
    <x v="3"/>
    <x v="6"/>
    <x v="0"/>
    <x v="0"/>
    <n v="76"/>
    <s v="S24_2000"/>
    <s v="Mini Wheels Co."/>
    <n v="6505555787"/>
    <s v="5557 North Pendale Street"/>
    <m/>
    <s v="San Francisco"/>
    <x v="4"/>
    <s v="CA"/>
    <m/>
    <x v="0"/>
    <x v="0"/>
    <s v="NA"/>
    <s v="Murphy"/>
    <s v="Julie"/>
    <x v="0"/>
  </r>
  <r>
    <n v="10210"/>
    <x v="0"/>
    <n v="61.7"/>
    <n v="4"/>
    <x v="0"/>
    <x v="1550"/>
    <s v="2/24/2003 0:1573"/>
    <x v="0"/>
    <x v="0"/>
    <s v="Shipped"/>
    <x v="0"/>
    <x v="7"/>
    <x v="1"/>
    <x v="0"/>
    <n v="76"/>
    <s v="S24_2000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0"/>
  </r>
  <r>
    <n v="10223"/>
    <x v="19"/>
    <n v="69.31"/>
    <n v="6"/>
    <x v="0"/>
    <x v="1551"/>
    <s v="2/24/2003 0:1574"/>
    <x v="0"/>
    <x v="0"/>
    <s v="Shipped"/>
    <x v="0"/>
    <x v="0"/>
    <x v="1"/>
    <x v="0"/>
    <n v="76"/>
    <s v="S24_2000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236"/>
    <x v="5"/>
    <n v="87.6"/>
    <n v="3"/>
    <x v="0"/>
    <x v="1552"/>
    <s v="2/24/2003 0:1575"/>
    <x v="0"/>
    <x v="0"/>
    <s v="Shipped"/>
    <x v="1"/>
    <x v="8"/>
    <x v="1"/>
    <x v="0"/>
    <n v="76"/>
    <s v="S24_2000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250"/>
    <x v="22"/>
    <n v="87.6"/>
    <n v="1"/>
    <x v="0"/>
    <x v="1553"/>
    <s v="2/24/2003 0:1576"/>
    <x v="0"/>
    <x v="0"/>
    <s v="Shipped"/>
    <x v="1"/>
    <x v="1"/>
    <x v="1"/>
    <x v="0"/>
    <n v="76"/>
    <s v="S24_2000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263"/>
    <x v="9"/>
    <n v="62.46"/>
    <n v="7"/>
    <x v="0"/>
    <x v="1554"/>
    <s v="2/24/2003 0:1577"/>
    <x v="0"/>
    <x v="0"/>
    <s v="Shipped"/>
    <x v="1"/>
    <x v="9"/>
    <x v="1"/>
    <x v="0"/>
    <n v="76"/>
    <s v="S24_2000"/>
    <s v="Gift Depot Inc."/>
    <n v="2035552570"/>
    <s v="25593 South Bay Ln."/>
    <m/>
    <s v="Bridgewater"/>
    <x v="10"/>
    <s v="CT"/>
    <n v="97562"/>
    <x v="0"/>
    <x v="0"/>
    <s v="NA"/>
    <s v="King"/>
    <s v="Julie"/>
    <x v="0"/>
  </r>
  <r>
    <n v="10275"/>
    <x v="0"/>
    <n v="79.98"/>
    <n v="6"/>
    <x v="0"/>
    <x v="1555"/>
    <s v="2/24/2003 0:1578"/>
    <x v="0"/>
    <x v="0"/>
    <s v="Shipped"/>
    <x v="2"/>
    <x v="2"/>
    <x v="1"/>
    <x v="0"/>
    <n v="76"/>
    <s v="S24_2000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285"/>
    <x v="25"/>
    <n v="70.08"/>
    <n v="11"/>
    <x v="0"/>
    <x v="1556"/>
    <s v="2/24/2003 0:1579"/>
    <x v="0"/>
    <x v="0"/>
    <s v="Shipped"/>
    <x v="2"/>
    <x v="3"/>
    <x v="1"/>
    <x v="0"/>
    <n v="76"/>
    <s v="S24_2000"/>
    <s v="Marta's Replicas Co."/>
    <n v="6175558555"/>
    <s v="39323 Spinnaker Dr."/>
    <m/>
    <s v="Cambridge"/>
    <x v="12"/>
    <s v="MA"/>
    <n v="51247"/>
    <x v="0"/>
    <x v="0"/>
    <s v="NA"/>
    <s v="Hernandez"/>
    <s v="Marta"/>
    <x v="0"/>
  </r>
  <r>
    <n v="10297"/>
    <x v="22"/>
    <n v="65.510000000000005"/>
    <n v="1"/>
    <x v="0"/>
    <x v="1557"/>
    <s v="2/24/2003 0:1580"/>
    <x v="0"/>
    <x v="0"/>
    <s v="Shipped"/>
    <x v="2"/>
    <x v="10"/>
    <x v="1"/>
    <x v="0"/>
    <n v="76"/>
    <s v="S24_2000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0"/>
  </r>
  <r>
    <n v="10308"/>
    <x v="20"/>
    <n v="63.22"/>
    <n v="4"/>
    <x v="0"/>
    <x v="1558"/>
    <s v="2/24/2003 0:1581"/>
    <x v="0"/>
    <x v="0"/>
    <s v="Shipped"/>
    <x v="3"/>
    <x v="4"/>
    <x v="1"/>
    <x v="0"/>
    <n v="76"/>
    <s v="S24_2000"/>
    <s v="Mini Classics"/>
    <n v="9145554562"/>
    <s v="3758 North Pendale Street"/>
    <m/>
    <s v="White Plains"/>
    <x v="39"/>
    <s v="NY"/>
    <n v="24067"/>
    <x v="0"/>
    <x v="0"/>
    <s v="NA"/>
    <s v="Frick"/>
    <s v="Steve"/>
    <x v="0"/>
  </r>
  <r>
    <n v="10318"/>
    <x v="18"/>
    <n v="86.83"/>
    <n v="6"/>
    <x v="0"/>
    <x v="1559"/>
    <s v="2/24/2003 0:1582"/>
    <x v="0"/>
    <x v="0"/>
    <s v="Shipped"/>
    <x v="3"/>
    <x v="5"/>
    <x v="1"/>
    <x v="0"/>
    <n v="76"/>
    <s v="S24_2000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329"/>
    <x v="9"/>
    <n v="94.43"/>
    <n v="4"/>
    <x v="0"/>
    <x v="1560"/>
    <s v="2/24/2003 0:1583"/>
    <x v="0"/>
    <x v="0"/>
    <s v="Shipped"/>
    <x v="3"/>
    <x v="5"/>
    <x v="1"/>
    <x v="0"/>
    <n v="76"/>
    <s v="S24_2000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40"/>
    <x v="36"/>
    <n v="79.98"/>
    <n v="8"/>
    <x v="1"/>
    <x v="1561"/>
    <s v="2/24/2003 0:1584"/>
    <x v="0"/>
    <x v="0"/>
    <s v="Shipped"/>
    <x v="3"/>
    <x v="5"/>
    <x v="1"/>
    <x v="0"/>
    <n v="76"/>
    <s v="S24_2000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363"/>
    <x v="15"/>
    <n v="100"/>
    <n v="8"/>
    <x v="0"/>
    <x v="1562"/>
    <s v="2/24/2003 0:1585"/>
    <x v="0"/>
    <x v="0"/>
    <s v="Shipped"/>
    <x v="0"/>
    <x v="7"/>
    <x v="2"/>
    <x v="0"/>
    <n v="76"/>
    <s v="S24_2000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375"/>
    <x v="10"/>
    <n v="100"/>
    <n v="9"/>
    <x v="0"/>
    <x v="1563"/>
    <s v="2/24/2003 0:1586"/>
    <x v="0"/>
    <x v="0"/>
    <s v="Shipped"/>
    <x v="0"/>
    <x v="0"/>
    <x v="2"/>
    <x v="0"/>
    <n v="76"/>
    <s v="S24_2000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389"/>
    <x v="4"/>
    <n v="81.400000000000006"/>
    <n v="2"/>
    <x v="0"/>
    <x v="356"/>
    <s v="2/24/2003 0:1587"/>
    <x v="0"/>
    <x v="0"/>
    <s v="Shipped"/>
    <x v="0"/>
    <x v="11"/>
    <x v="2"/>
    <x v="0"/>
    <n v="76"/>
    <s v="S24_2000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402"/>
    <x v="42"/>
    <n v="87.6"/>
    <n v="3"/>
    <x v="1"/>
    <x v="1564"/>
    <s v="2/24/2003 0:1588"/>
    <x v="0"/>
    <x v="0"/>
    <s v="Shipped"/>
    <x v="1"/>
    <x v="8"/>
    <x v="2"/>
    <x v="0"/>
    <n v="76"/>
    <s v="S24_2000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416"/>
    <x v="22"/>
    <n v="87.6"/>
    <n v="1"/>
    <x v="0"/>
    <x v="1553"/>
    <s v="2/24/2003 0:1589"/>
    <x v="0"/>
    <x v="0"/>
    <s v="Shipped"/>
    <x v="1"/>
    <x v="1"/>
    <x v="2"/>
    <x v="0"/>
    <n v="76"/>
    <s v="S24_2000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05"/>
    <x v="30"/>
    <n v="100"/>
    <n v="9"/>
    <x v="1"/>
    <x v="1565"/>
    <s v="2/24/2003 0:1590"/>
    <x v="0"/>
    <x v="0"/>
    <s v="Shipped"/>
    <x v="0"/>
    <x v="0"/>
    <x v="0"/>
    <x v="5"/>
    <n v="122"/>
    <s v="S24_2011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117"/>
    <x v="2"/>
    <n v="100"/>
    <n v="3"/>
    <x v="1"/>
    <x v="1566"/>
    <s v="2/24/2003 0:1591"/>
    <x v="0"/>
    <x v="0"/>
    <s v="Shipped"/>
    <x v="1"/>
    <x v="8"/>
    <x v="0"/>
    <x v="5"/>
    <n v="122"/>
    <s v="S24_2011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29"/>
    <x v="3"/>
    <n v="100"/>
    <n v="9"/>
    <x v="1"/>
    <x v="1567"/>
    <s v="2/24/2003 0:1592"/>
    <x v="0"/>
    <x v="0"/>
    <s v="Shipped"/>
    <x v="1"/>
    <x v="9"/>
    <x v="0"/>
    <x v="5"/>
    <n v="122"/>
    <s v="S24_2011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42"/>
    <x v="29"/>
    <n v="100"/>
    <n v="6"/>
    <x v="0"/>
    <x v="1568"/>
    <s v="2/24/2003 0:1593"/>
    <x v="0"/>
    <x v="0"/>
    <s v="Shipped"/>
    <x v="2"/>
    <x v="3"/>
    <x v="0"/>
    <x v="5"/>
    <n v="122"/>
    <s v="S24_201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53"/>
    <x v="23"/>
    <n v="100"/>
    <n v="5"/>
    <x v="1"/>
    <x v="1569"/>
    <s v="2/24/2003 0:1594"/>
    <x v="0"/>
    <x v="0"/>
    <s v="Shipped"/>
    <x v="2"/>
    <x v="10"/>
    <x v="0"/>
    <x v="5"/>
    <n v="122"/>
    <s v="S24_2011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67"/>
    <x v="29"/>
    <n v="100"/>
    <n v="16"/>
    <x v="0"/>
    <x v="1570"/>
    <s v="2/24/2003 0:1595"/>
    <x v="3"/>
    <x v="1"/>
    <s v="Cancelled"/>
    <x v="3"/>
    <x v="4"/>
    <x v="0"/>
    <x v="5"/>
    <n v="122"/>
    <s v="S24_2011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177"/>
    <x v="24"/>
    <n v="100"/>
    <n v="7"/>
    <x v="1"/>
    <x v="1571"/>
    <s v="2/24/2003 0:1596"/>
    <x v="0"/>
    <x v="0"/>
    <s v="Shipped"/>
    <x v="3"/>
    <x v="5"/>
    <x v="0"/>
    <x v="5"/>
    <n v="122"/>
    <s v="S24_2011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1"/>
  </r>
  <r>
    <n v="10185"/>
    <x v="0"/>
    <n v="100"/>
    <n v="7"/>
    <x v="0"/>
    <x v="1572"/>
    <s v="2/24/2003 0:1597"/>
    <x v="0"/>
    <x v="0"/>
    <s v="Shipped"/>
    <x v="3"/>
    <x v="5"/>
    <x v="0"/>
    <x v="5"/>
    <n v="122"/>
    <s v="S24_2011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97"/>
    <x v="2"/>
    <n v="100"/>
    <n v="13"/>
    <x v="1"/>
    <x v="1573"/>
    <s v="2/24/2003 0:1598"/>
    <x v="0"/>
    <x v="0"/>
    <s v="Shipped"/>
    <x v="3"/>
    <x v="5"/>
    <x v="0"/>
    <x v="5"/>
    <n v="122"/>
    <s v="S24_2011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208"/>
    <x v="21"/>
    <n v="100"/>
    <n v="7"/>
    <x v="1"/>
    <x v="1574"/>
    <s v="2/24/2003 0:1599"/>
    <x v="0"/>
    <x v="0"/>
    <s v="Shipped"/>
    <x v="0"/>
    <x v="7"/>
    <x v="1"/>
    <x v="5"/>
    <n v="122"/>
    <s v="S24_2011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21"/>
    <x v="4"/>
    <n v="100"/>
    <n v="1"/>
    <x v="1"/>
    <x v="1575"/>
    <s v="2/24/2003 0:1600"/>
    <x v="0"/>
    <x v="0"/>
    <s v="Shipped"/>
    <x v="0"/>
    <x v="0"/>
    <x v="1"/>
    <x v="5"/>
    <n v="122"/>
    <s v="S24_2011"/>
    <s v="Petit Auto"/>
    <s v="(02) 5554 67"/>
    <s v="Rue Joseph-Bens 532"/>
    <m/>
    <s v="Bruxelles"/>
    <x v="46"/>
    <m/>
    <s v="B-1180"/>
    <x v="14"/>
    <x v="14"/>
    <s v="EMEA"/>
    <s v="Dewey"/>
    <s v="Catherine"/>
    <x v="1"/>
  </r>
  <r>
    <n v="10232"/>
    <x v="12"/>
    <n v="100"/>
    <n v="4"/>
    <x v="1"/>
    <x v="1576"/>
    <s v="2/24/2003 0:1601"/>
    <x v="0"/>
    <x v="0"/>
    <s v="Shipped"/>
    <x v="0"/>
    <x v="11"/>
    <x v="1"/>
    <x v="5"/>
    <n v="122"/>
    <s v="S24_2011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1"/>
  </r>
  <r>
    <n v="10248"/>
    <x v="7"/>
    <n v="100"/>
    <n v="10"/>
    <x v="1"/>
    <x v="1577"/>
    <s v="2/24/2003 0:1602"/>
    <x v="3"/>
    <x v="1"/>
    <s v="Cancelled"/>
    <x v="1"/>
    <x v="1"/>
    <x v="1"/>
    <x v="5"/>
    <n v="122"/>
    <s v="S24_2011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261"/>
    <x v="5"/>
    <n v="100"/>
    <n v="8"/>
    <x v="1"/>
    <x v="1578"/>
    <s v="2/24/2003 0:1603"/>
    <x v="0"/>
    <x v="0"/>
    <s v="Shipped"/>
    <x v="1"/>
    <x v="9"/>
    <x v="1"/>
    <x v="5"/>
    <n v="122"/>
    <s v="S24_2011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273"/>
    <x v="8"/>
    <n v="100"/>
    <n v="11"/>
    <x v="0"/>
    <x v="1579"/>
    <s v="2/24/2003 0:1604"/>
    <x v="0"/>
    <x v="0"/>
    <s v="Shipped"/>
    <x v="2"/>
    <x v="2"/>
    <x v="1"/>
    <x v="5"/>
    <n v="122"/>
    <s v="S24_2011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283"/>
    <x v="13"/>
    <n v="100"/>
    <n v="13"/>
    <x v="1"/>
    <x v="1580"/>
    <s v="2/24/2003 0:1605"/>
    <x v="0"/>
    <x v="0"/>
    <s v="Shipped"/>
    <x v="2"/>
    <x v="3"/>
    <x v="1"/>
    <x v="5"/>
    <n v="122"/>
    <s v="S24_2011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1"/>
  </r>
  <r>
    <n v="10293"/>
    <x v="15"/>
    <n v="100"/>
    <n v="2"/>
    <x v="0"/>
    <x v="1581"/>
    <s v="2/24/2003 0:1606"/>
    <x v="0"/>
    <x v="0"/>
    <s v="Shipped"/>
    <x v="2"/>
    <x v="10"/>
    <x v="1"/>
    <x v="5"/>
    <n v="122"/>
    <s v="S24_2011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306"/>
    <x v="6"/>
    <n v="100"/>
    <n v="7"/>
    <x v="0"/>
    <x v="1582"/>
    <s v="2/24/2003 0:1607"/>
    <x v="0"/>
    <x v="0"/>
    <s v="Shipped"/>
    <x v="3"/>
    <x v="4"/>
    <x v="1"/>
    <x v="5"/>
    <n v="122"/>
    <s v="S24_2011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15"/>
    <x v="21"/>
    <n v="100"/>
    <n v="6"/>
    <x v="1"/>
    <x v="1583"/>
    <s v="2/24/2003 0:1608"/>
    <x v="0"/>
    <x v="0"/>
    <s v="Shipped"/>
    <x v="3"/>
    <x v="4"/>
    <x v="1"/>
    <x v="5"/>
    <n v="122"/>
    <s v="S24_2011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26"/>
    <x v="2"/>
    <n v="100"/>
    <n v="4"/>
    <x v="1"/>
    <x v="1584"/>
    <s v="2/24/2003 0:1609"/>
    <x v="0"/>
    <x v="0"/>
    <s v="Shipped"/>
    <x v="3"/>
    <x v="5"/>
    <x v="1"/>
    <x v="5"/>
    <n v="122"/>
    <s v="S24_2011"/>
    <s v="Volvo Model Replicas, Co"/>
    <s v="0921-12 3555"/>
    <s v="Berguvsv„gen  8"/>
    <m/>
    <s v="Lule"/>
    <x v="21"/>
    <m/>
    <s v="S-958 22"/>
    <x v="8"/>
    <x v="8"/>
    <s v="EMEA"/>
    <s v="Berglund"/>
    <s v="Christina"/>
    <x v="1"/>
  </r>
  <r>
    <n v="10337"/>
    <x v="6"/>
    <n v="71.97"/>
    <n v="4"/>
    <x v="0"/>
    <x v="1585"/>
    <s v="2/24/2003 0:1610"/>
    <x v="0"/>
    <x v="0"/>
    <s v="Shipped"/>
    <x v="3"/>
    <x v="5"/>
    <x v="1"/>
    <x v="5"/>
    <n v="122"/>
    <s v="S24_2011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0"/>
  </r>
  <r>
    <n v="10350"/>
    <x v="1"/>
    <n v="50.33"/>
    <n v="7"/>
    <x v="0"/>
    <x v="1586"/>
    <s v="2/24/2003 0:1611"/>
    <x v="0"/>
    <x v="0"/>
    <s v="Shipped"/>
    <x v="3"/>
    <x v="6"/>
    <x v="1"/>
    <x v="5"/>
    <n v="122"/>
    <s v="S24_201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2"/>
    <x v="9"/>
    <n v="100"/>
    <n v="8"/>
    <x v="0"/>
    <x v="1587"/>
    <s v="2/24/2003 0:1612"/>
    <x v="0"/>
    <x v="0"/>
    <s v="Shipped"/>
    <x v="0"/>
    <x v="7"/>
    <x v="2"/>
    <x v="5"/>
    <n v="122"/>
    <s v="S24_2011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384"/>
    <x v="11"/>
    <n v="80.540000000000006"/>
    <n v="3"/>
    <x v="0"/>
    <x v="1588"/>
    <s v="2/24/2003 0:1613"/>
    <x v="0"/>
    <x v="0"/>
    <s v="Shipped"/>
    <x v="0"/>
    <x v="0"/>
    <x v="2"/>
    <x v="5"/>
    <n v="122"/>
    <s v="S24_2011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396"/>
    <x v="4"/>
    <n v="100"/>
    <n v="6"/>
    <x v="1"/>
    <x v="1589"/>
    <s v="2/24/2003 0:1614"/>
    <x v="0"/>
    <x v="0"/>
    <s v="Shipped"/>
    <x v="0"/>
    <x v="11"/>
    <x v="2"/>
    <x v="5"/>
    <n v="122"/>
    <s v="S24_201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14"/>
    <x v="10"/>
    <n v="100"/>
    <n v="10"/>
    <x v="0"/>
    <x v="1590"/>
    <s v="2/24/2003 0:1615"/>
    <x v="4"/>
    <x v="1"/>
    <s v="On Hold"/>
    <x v="1"/>
    <x v="1"/>
    <x v="2"/>
    <x v="5"/>
    <n v="122"/>
    <s v="S24_2011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101"/>
    <x v="12"/>
    <n v="53.76"/>
    <n v="2"/>
    <x v="0"/>
    <x v="1591"/>
    <s v="2/24/2003 0:1616"/>
    <x v="0"/>
    <x v="0"/>
    <s v="Shipped"/>
    <x v="0"/>
    <x v="7"/>
    <x v="0"/>
    <x v="3"/>
    <n v="44"/>
    <s v="S24_2022"/>
    <s v="Blauer See Auto, Co."/>
    <s v="+49 69 66 90 2555"/>
    <s v="Lyonerstr. 34"/>
    <m/>
    <s v="Frankfurt"/>
    <x v="58"/>
    <m/>
    <n v="60528"/>
    <x v="16"/>
    <x v="16"/>
    <s v="EMEA"/>
    <s v="Keitel"/>
    <s v="Roland"/>
    <x v="0"/>
  </r>
  <r>
    <n v="10110"/>
    <x v="25"/>
    <n v="44.35"/>
    <n v="2"/>
    <x v="0"/>
    <x v="1592"/>
    <s v="2/24/2003 0:1617"/>
    <x v="0"/>
    <x v="0"/>
    <s v="Shipped"/>
    <x v="0"/>
    <x v="11"/>
    <x v="0"/>
    <x v="3"/>
    <n v="44"/>
    <s v="S24_2022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124"/>
    <x v="8"/>
    <n v="45.25"/>
    <n v="1"/>
    <x v="0"/>
    <x v="1593"/>
    <s v="2/24/2003 0:1618"/>
    <x v="0"/>
    <x v="0"/>
    <s v="Shipped"/>
    <x v="1"/>
    <x v="1"/>
    <x v="0"/>
    <x v="3"/>
    <n v="44"/>
    <s v="S24_2022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149"/>
    <x v="4"/>
    <n v="49.28"/>
    <n v="6"/>
    <x v="0"/>
    <x v="1594"/>
    <s v="2/24/2003 0:1619"/>
    <x v="0"/>
    <x v="0"/>
    <s v="Shipped"/>
    <x v="2"/>
    <x v="10"/>
    <x v="0"/>
    <x v="3"/>
    <n v="44"/>
    <s v="S24_2022"/>
    <s v="Signal Collectibles Ltd."/>
    <n v="4155554312"/>
    <s v="2793 Furth Circle"/>
    <m/>
    <s v="Brisbane"/>
    <x v="65"/>
    <s v="CA"/>
    <n v="94217"/>
    <x v="0"/>
    <x v="0"/>
    <s v="NA"/>
    <s v="Taylor"/>
    <s v="Sue"/>
    <x v="0"/>
  </r>
  <r>
    <n v="10162"/>
    <x v="30"/>
    <n v="36.29"/>
    <n v="4"/>
    <x v="0"/>
    <x v="1595"/>
    <s v="2/24/2003 0:1620"/>
    <x v="0"/>
    <x v="0"/>
    <s v="Shipped"/>
    <x v="3"/>
    <x v="4"/>
    <x v="0"/>
    <x v="3"/>
    <n v="44"/>
    <s v="S24_2022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73"/>
    <x v="26"/>
    <n v="41.22"/>
    <n v="8"/>
    <x v="0"/>
    <x v="1596"/>
    <s v="2/24/2003 0:1621"/>
    <x v="0"/>
    <x v="0"/>
    <s v="Shipped"/>
    <x v="3"/>
    <x v="5"/>
    <x v="0"/>
    <x v="3"/>
    <n v="44"/>
    <s v="S24_2022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82"/>
    <x v="28"/>
    <n v="36.74"/>
    <n v="5"/>
    <x v="0"/>
    <x v="1597"/>
    <s v="2/24/2003 0:1622"/>
    <x v="0"/>
    <x v="0"/>
    <s v="Shipped"/>
    <x v="3"/>
    <x v="5"/>
    <x v="0"/>
    <x v="3"/>
    <n v="44"/>
    <s v="S24_202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93"/>
    <x v="14"/>
    <n v="50.62"/>
    <n v="9"/>
    <x v="0"/>
    <x v="1598"/>
    <s v="2/24/2003 0:1623"/>
    <x v="0"/>
    <x v="0"/>
    <s v="Shipped"/>
    <x v="3"/>
    <x v="5"/>
    <x v="0"/>
    <x v="3"/>
    <n v="44"/>
    <s v="S24_2022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205"/>
    <x v="16"/>
    <n v="38.08"/>
    <n v="4"/>
    <x v="0"/>
    <x v="1599"/>
    <s v="2/24/2003 0:1624"/>
    <x v="0"/>
    <x v="0"/>
    <s v="Shipped"/>
    <x v="3"/>
    <x v="6"/>
    <x v="0"/>
    <x v="3"/>
    <n v="44"/>
    <s v="S24_202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14"/>
    <x v="4"/>
    <n v="47.94"/>
    <n v="2"/>
    <x v="0"/>
    <x v="1600"/>
    <s v="2/24/2003 0:1625"/>
    <x v="0"/>
    <x v="0"/>
    <s v="Shipped"/>
    <x v="0"/>
    <x v="7"/>
    <x v="1"/>
    <x v="3"/>
    <n v="44"/>
    <s v="S24_2022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227"/>
    <x v="16"/>
    <n v="48.38"/>
    <n v="5"/>
    <x v="0"/>
    <x v="1601"/>
    <s v="2/24/2003 0:1626"/>
    <x v="0"/>
    <x v="0"/>
    <s v="Shipped"/>
    <x v="0"/>
    <x v="11"/>
    <x v="1"/>
    <x v="3"/>
    <n v="44"/>
    <s v="S24_2022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44"/>
    <x v="25"/>
    <n v="45.25"/>
    <n v="9"/>
    <x v="0"/>
    <x v="1602"/>
    <s v="2/24/2003 0:1627"/>
    <x v="0"/>
    <x v="0"/>
    <s v="Shipped"/>
    <x v="1"/>
    <x v="8"/>
    <x v="1"/>
    <x v="3"/>
    <n v="44"/>
    <s v="S24_202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55"/>
    <x v="9"/>
    <n v="45.7"/>
    <n v="2"/>
    <x v="0"/>
    <x v="1603"/>
    <s v="2/24/2003 0:1628"/>
    <x v="0"/>
    <x v="0"/>
    <s v="Shipped"/>
    <x v="1"/>
    <x v="9"/>
    <x v="1"/>
    <x v="3"/>
    <n v="44"/>
    <s v="S24_2022"/>
    <s v="Mini Caravy"/>
    <s v="88.60.1555"/>
    <s v="24, place Kluber"/>
    <m/>
    <s v="Strasbourg"/>
    <x v="66"/>
    <m/>
    <n v="67000"/>
    <x v="1"/>
    <x v="1"/>
    <s v="EMEA"/>
    <s v="Citeaux"/>
    <s v="Frederique"/>
    <x v="0"/>
  </r>
  <r>
    <n v="10280"/>
    <x v="3"/>
    <n v="47.49"/>
    <n v="11"/>
    <x v="0"/>
    <x v="1604"/>
    <s v="2/24/2003 0:1629"/>
    <x v="0"/>
    <x v="0"/>
    <s v="Shipped"/>
    <x v="2"/>
    <x v="3"/>
    <x v="1"/>
    <x v="3"/>
    <n v="44"/>
    <s v="S24_2022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289"/>
    <x v="3"/>
    <n v="48.38"/>
    <n v="4"/>
    <x v="0"/>
    <x v="1605"/>
    <s v="2/24/2003 0:1630"/>
    <x v="0"/>
    <x v="0"/>
    <s v="Shipped"/>
    <x v="2"/>
    <x v="10"/>
    <x v="1"/>
    <x v="3"/>
    <n v="44"/>
    <s v="S24_2022"/>
    <s v="Herkku Gifts"/>
    <s v="+47 2267 3215"/>
    <s v="Drammen 121, PR 744 Sentrum"/>
    <m/>
    <s v="Bergen"/>
    <x v="7"/>
    <m/>
    <s v="N 5804"/>
    <x v="2"/>
    <x v="2"/>
    <s v="EMEA"/>
    <s v="Oeztan"/>
    <s v="Veysel"/>
    <x v="0"/>
  </r>
  <r>
    <n v="10304"/>
    <x v="27"/>
    <n v="39.42"/>
    <n v="15"/>
    <x v="0"/>
    <x v="1606"/>
    <s v="2/24/2003 0:1631"/>
    <x v="0"/>
    <x v="0"/>
    <s v="Shipped"/>
    <x v="3"/>
    <x v="4"/>
    <x v="1"/>
    <x v="3"/>
    <n v="44"/>
    <s v="S24_2022"/>
    <s v="Auto Assoc. &amp; Cie."/>
    <s v="30.59.8555"/>
    <s v="67, avenue de l'Europe"/>
    <m/>
    <s v="Versailles"/>
    <x v="32"/>
    <m/>
    <n v="78000"/>
    <x v="1"/>
    <x v="1"/>
    <s v="EMEA"/>
    <s v="Tonini"/>
    <s v="Daniel"/>
    <x v="0"/>
  </r>
  <r>
    <n v="10312"/>
    <x v="10"/>
    <n v="37.630000000000003"/>
    <n v="12"/>
    <x v="0"/>
    <x v="1607"/>
    <s v="2/24/2003 0:1632"/>
    <x v="0"/>
    <x v="0"/>
    <s v="Shipped"/>
    <x v="3"/>
    <x v="4"/>
    <x v="1"/>
    <x v="3"/>
    <n v="44"/>
    <s v="S24_202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22"/>
    <x v="0"/>
    <n v="100"/>
    <n v="4"/>
    <x v="0"/>
    <x v="1608"/>
    <s v="2/24/2003 0:1633"/>
    <x v="0"/>
    <x v="0"/>
    <s v="Shipped"/>
    <x v="3"/>
    <x v="5"/>
    <x v="1"/>
    <x v="3"/>
    <n v="44"/>
    <s v="S24_2022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332"/>
    <x v="18"/>
    <n v="85.52"/>
    <n v="10"/>
    <x v="0"/>
    <x v="1609"/>
    <s v="2/24/2003 0:1634"/>
    <x v="0"/>
    <x v="0"/>
    <s v="Shipped"/>
    <x v="3"/>
    <x v="5"/>
    <x v="1"/>
    <x v="3"/>
    <n v="44"/>
    <s v="S24_2022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45"/>
    <x v="30"/>
    <n v="53.76"/>
    <n v="1"/>
    <x v="0"/>
    <x v="1610"/>
    <s v="2/24/2003 0:1635"/>
    <x v="0"/>
    <x v="0"/>
    <s v="Shipped"/>
    <x v="3"/>
    <x v="5"/>
    <x v="1"/>
    <x v="3"/>
    <n v="44"/>
    <s v="S24_2022"/>
    <s v="Atelier graphique"/>
    <s v="40.32.2555"/>
    <s v="54, rue Royale"/>
    <m/>
    <s v="Nantes"/>
    <x v="11"/>
    <m/>
    <n v="44000"/>
    <x v="1"/>
    <x v="1"/>
    <s v="EMEA"/>
    <s v="Schmitt"/>
    <s v="Carine"/>
    <x v="0"/>
  </r>
  <r>
    <n v="10356"/>
    <x v="18"/>
    <n v="31.86"/>
    <n v="7"/>
    <x v="0"/>
    <x v="1611"/>
    <s v="2/24/2003 0:1636"/>
    <x v="0"/>
    <x v="0"/>
    <s v="Shipped"/>
    <x v="3"/>
    <x v="6"/>
    <x v="1"/>
    <x v="3"/>
    <n v="44"/>
    <s v="S24_2022"/>
    <s v="Lyon Souveniers"/>
    <s v="+33 1 46 62 7555"/>
    <s v="27 rue du Colonel Pierre Avia"/>
    <m/>
    <s v="Paris"/>
    <x v="2"/>
    <m/>
    <n v="75508"/>
    <x v="1"/>
    <x v="1"/>
    <s v="EMEA"/>
    <s v="Da Cunha"/>
    <s v="Daniel"/>
    <x v="0"/>
  </r>
  <r>
    <n v="10367"/>
    <x v="11"/>
    <n v="30.59"/>
    <n v="12"/>
    <x v="0"/>
    <x v="1612"/>
    <s v="2/24/2003 0:1637"/>
    <x v="5"/>
    <x v="1"/>
    <s v="Resolved"/>
    <x v="0"/>
    <x v="7"/>
    <x v="2"/>
    <x v="3"/>
    <n v="44"/>
    <s v="S24_2022"/>
    <s v="Toys4GrownUps.com"/>
    <n v="6265557265"/>
    <s v="78934 Hillside Dr."/>
    <m/>
    <s v="Pasadena"/>
    <x v="3"/>
    <s v="CA"/>
    <n v="90003"/>
    <x v="0"/>
    <x v="0"/>
    <s v="NA"/>
    <s v="Young"/>
    <s v="Julie"/>
    <x v="0"/>
  </r>
  <r>
    <n v="10380"/>
    <x v="26"/>
    <n v="68.349999999999994"/>
    <n v="5"/>
    <x v="0"/>
    <x v="1613"/>
    <s v="2/24/2003 0:1638"/>
    <x v="0"/>
    <x v="0"/>
    <s v="Shipped"/>
    <x v="0"/>
    <x v="0"/>
    <x v="2"/>
    <x v="3"/>
    <n v="44"/>
    <s v="S24_202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1"/>
    <x v="16"/>
    <n v="100"/>
    <n v="1"/>
    <x v="1"/>
    <x v="1614"/>
    <s v="2/24/2003 0:1639"/>
    <x v="0"/>
    <x v="0"/>
    <s v="Shipped"/>
    <x v="0"/>
    <x v="11"/>
    <x v="2"/>
    <x v="3"/>
    <n v="44"/>
    <s v="S24_2022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421"/>
    <x v="23"/>
    <n v="45.7"/>
    <n v="2"/>
    <x v="0"/>
    <x v="1615"/>
    <s v="2/24/2003 0:1640"/>
    <x v="2"/>
    <x v="1"/>
    <s v="In Process"/>
    <x v="1"/>
    <x v="1"/>
    <x v="2"/>
    <x v="3"/>
    <n v="44"/>
    <s v="S24_202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03"/>
    <x v="5"/>
    <n v="100"/>
    <n v="1"/>
    <x v="0"/>
    <x v="1616"/>
    <s v="2/24/2003 0:1641"/>
    <x v="0"/>
    <x v="0"/>
    <s v="Shipped"/>
    <x v="0"/>
    <x v="7"/>
    <x v="0"/>
    <x v="2"/>
    <n v="127"/>
    <s v="S24_2300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114"/>
    <x v="15"/>
    <n v="100"/>
    <n v="5"/>
    <x v="0"/>
    <x v="1617"/>
    <s v="2/24/2003 0:1642"/>
    <x v="0"/>
    <x v="0"/>
    <s v="Shipped"/>
    <x v="1"/>
    <x v="8"/>
    <x v="0"/>
    <x v="2"/>
    <n v="127"/>
    <s v="S24_2300"/>
    <s v="La Corne D'abondance, Co."/>
    <s v="(1) 42.34.2555"/>
    <s v="265, boulevard Charonne"/>
    <m/>
    <s v="Paris"/>
    <x v="2"/>
    <m/>
    <n v="75012"/>
    <x v="1"/>
    <x v="1"/>
    <s v="EMEA"/>
    <s v="Bertrand"/>
    <s v="Marie"/>
    <x v="0"/>
  </r>
  <r>
    <n v="10126"/>
    <x v="26"/>
    <n v="100"/>
    <n v="1"/>
    <x v="0"/>
    <x v="1618"/>
    <s v="2/24/2003 0:1643"/>
    <x v="0"/>
    <x v="0"/>
    <s v="Shipped"/>
    <x v="1"/>
    <x v="1"/>
    <x v="0"/>
    <x v="2"/>
    <n v="127"/>
    <s v="S24_2300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140"/>
    <x v="20"/>
    <n v="100"/>
    <n v="1"/>
    <x v="1"/>
    <x v="1619"/>
    <s v="2/24/2003 0:1644"/>
    <x v="0"/>
    <x v="0"/>
    <s v="Shipped"/>
    <x v="2"/>
    <x v="2"/>
    <x v="0"/>
    <x v="2"/>
    <n v="127"/>
    <s v="S24_2300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51"/>
    <x v="13"/>
    <n v="100"/>
    <n v="8"/>
    <x v="1"/>
    <x v="1620"/>
    <s v="2/24/2003 0:1645"/>
    <x v="0"/>
    <x v="0"/>
    <s v="Shipped"/>
    <x v="2"/>
    <x v="10"/>
    <x v="0"/>
    <x v="2"/>
    <n v="127"/>
    <s v="S24_2300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165"/>
    <x v="22"/>
    <n v="100"/>
    <n v="17"/>
    <x v="1"/>
    <x v="1621"/>
    <s v="2/24/2003 0:1646"/>
    <x v="0"/>
    <x v="0"/>
    <s v="Shipped"/>
    <x v="3"/>
    <x v="4"/>
    <x v="0"/>
    <x v="2"/>
    <n v="127"/>
    <s v="S24_2300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75"/>
    <x v="11"/>
    <n v="100"/>
    <n v="6"/>
    <x v="0"/>
    <x v="1622"/>
    <s v="2/24/2003 0:1647"/>
    <x v="0"/>
    <x v="0"/>
    <s v="Shipped"/>
    <x v="3"/>
    <x v="5"/>
    <x v="0"/>
    <x v="2"/>
    <n v="127"/>
    <s v="S24_2300"/>
    <s v="Stylish Desk Decors, Co."/>
    <s v="(171) 555-0297"/>
    <s v="35 King George"/>
    <m/>
    <s v="London"/>
    <x v="41"/>
    <m/>
    <s v="WX3 6FW"/>
    <x v="6"/>
    <x v="6"/>
    <s v="EMEA"/>
    <s v="Brown"/>
    <s v="Ann"/>
    <x v="0"/>
  </r>
  <r>
    <n v="10184"/>
    <x v="16"/>
    <n v="100"/>
    <n v="11"/>
    <x v="0"/>
    <x v="1623"/>
    <s v="2/24/2003 0:1648"/>
    <x v="0"/>
    <x v="0"/>
    <s v="Shipped"/>
    <x v="3"/>
    <x v="5"/>
    <x v="0"/>
    <x v="2"/>
    <n v="127"/>
    <s v="S24_2300"/>
    <s v="Iberia Gift Imports, Corp."/>
    <s v="(95) 555 82 82"/>
    <s v="C/ Romero, 33"/>
    <m/>
    <s v="Sevilla"/>
    <x v="64"/>
    <m/>
    <n v="41101"/>
    <x v="7"/>
    <x v="7"/>
    <s v="EMEA"/>
    <s v="Roel"/>
    <s v="Jose Pedro"/>
    <x v="1"/>
  </r>
  <r>
    <n v="10194"/>
    <x v="4"/>
    <n v="100"/>
    <n v="1"/>
    <x v="1"/>
    <x v="1624"/>
    <s v="2/24/2003 0:1649"/>
    <x v="0"/>
    <x v="0"/>
    <s v="Shipped"/>
    <x v="3"/>
    <x v="5"/>
    <x v="0"/>
    <x v="2"/>
    <n v="127"/>
    <s v="S24_2300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07"/>
    <x v="12"/>
    <n v="100"/>
    <n v="12"/>
    <x v="1"/>
    <x v="1625"/>
    <s v="2/24/2003 0:1650"/>
    <x v="0"/>
    <x v="0"/>
    <s v="Shipped"/>
    <x v="3"/>
    <x v="6"/>
    <x v="0"/>
    <x v="2"/>
    <n v="127"/>
    <s v="S24_2300"/>
    <s v="Diecast Collectables"/>
    <n v="6175552555"/>
    <s v="6251 Ingle Ln."/>
    <m/>
    <s v="Boston"/>
    <x v="48"/>
    <s v="MA"/>
    <n v="51003"/>
    <x v="0"/>
    <x v="0"/>
    <s v="NA"/>
    <s v="Franco"/>
    <s v="Valarie"/>
    <x v="1"/>
  </r>
  <r>
    <n v="10217"/>
    <x v="11"/>
    <n v="100"/>
    <n v="1"/>
    <x v="0"/>
    <x v="1626"/>
    <s v="2/24/2003 0:1651"/>
    <x v="0"/>
    <x v="0"/>
    <s v="Shipped"/>
    <x v="0"/>
    <x v="0"/>
    <x v="1"/>
    <x v="2"/>
    <n v="127"/>
    <s v="S24_2300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229"/>
    <x v="7"/>
    <n v="100"/>
    <n v="6"/>
    <x v="1"/>
    <x v="1627"/>
    <s v="2/24/2003 0:1652"/>
    <x v="0"/>
    <x v="0"/>
    <s v="Shipped"/>
    <x v="0"/>
    <x v="11"/>
    <x v="1"/>
    <x v="2"/>
    <n v="127"/>
    <s v="S24_230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46"/>
    <x v="6"/>
    <n v="100"/>
    <n v="10"/>
    <x v="0"/>
    <x v="1628"/>
    <s v="2/24/2003 0:1653"/>
    <x v="0"/>
    <x v="0"/>
    <s v="Shipped"/>
    <x v="1"/>
    <x v="1"/>
    <x v="1"/>
    <x v="2"/>
    <n v="127"/>
    <s v="S24_230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59"/>
    <x v="20"/>
    <n v="100"/>
    <n v="9"/>
    <x v="1"/>
    <x v="1629"/>
    <s v="2/24/2003 0:1654"/>
    <x v="0"/>
    <x v="0"/>
    <s v="Shipped"/>
    <x v="1"/>
    <x v="9"/>
    <x v="1"/>
    <x v="2"/>
    <n v="127"/>
    <s v="S24_2300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271"/>
    <x v="30"/>
    <n v="100"/>
    <n v="10"/>
    <x v="1"/>
    <x v="1630"/>
    <s v="2/24/2003 0:1655"/>
    <x v="0"/>
    <x v="0"/>
    <s v="Shipped"/>
    <x v="2"/>
    <x v="2"/>
    <x v="1"/>
    <x v="2"/>
    <n v="127"/>
    <s v="S24_230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81"/>
    <x v="32"/>
    <n v="100"/>
    <n v="6"/>
    <x v="0"/>
    <x v="1631"/>
    <s v="2/24/2003 0:1656"/>
    <x v="0"/>
    <x v="0"/>
    <s v="Shipped"/>
    <x v="2"/>
    <x v="3"/>
    <x v="1"/>
    <x v="2"/>
    <n v="127"/>
    <s v="S24_2300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291"/>
    <x v="7"/>
    <n v="100"/>
    <n v="1"/>
    <x v="1"/>
    <x v="1632"/>
    <s v="2/24/2003 0:1657"/>
    <x v="0"/>
    <x v="0"/>
    <s v="Shipped"/>
    <x v="2"/>
    <x v="10"/>
    <x v="1"/>
    <x v="2"/>
    <n v="127"/>
    <s v="S24_2300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305"/>
    <x v="16"/>
    <n v="100"/>
    <n v="10"/>
    <x v="0"/>
    <x v="1633"/>
    <s v="2/24/2003 0:1658"/>
    <x v="0"/>
    <x v="0"/>
    <s v="Shipped"/>
    <x v="3"/>
    <x v="4"/>
    <x v="1"/>
    <x v="2"/>
    <n v="127"/>
    <s v="S24_2300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313"/>
    <x v="13"/>
    <n v="100"/>
    <n v="4"/>
    <x v="1"/>
    <x v="1634"/>
    <s v="2/24/2003 0:1659"/>
    <x v="0"/>
    <x v="0"/>
    <s v="Shipped"/>
    <x v="3"/>
    <x v="4"/>
    <x v="1"/>
    <x v="2"/>
    <n v="127"/>
    <s v="S24_2300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1"/>
  </r>
  <r>
    <n v="10324"/>
    <x v="28"/>
    <n v="100"/>
    <n v="2"/>
    <x v="0"/>
    <x v="1635"/>
    <s v="2/24/2003 0:1660"/>
    <x v="0"/>
    <x v="0"/>
    <s v="Shipped"/>
    <x v="3"/>
    <x v="5"/>
    <x v="1"/>
    <x v="2"/>
    <n v="127"/>
    <s v="S24_2300"/>
    <s v="Vitachrome Inc."/>
    <n v="2125551500"/>
    <s v="2678 Kingston Rd."/>
    <s v="Suite 101"/>
    <s v="Nyc"/>
    <x v="0"/>
    <s v="NY"/>
    <n v="10022"/>
    <x v="0"/>
    <x v="0"/>
    <s v="NA"/>
    <s v="Frick"/>
    <s v="Michael"/>
    <x v="1"/>
  </r>
  <r>
    <n v="10334"/>
    <x v="13"/>
    <n v="100"/>
    <n v="5"/>
    <x v="1"/>
    <x v="1636"/>
    <s v="2/24/2003 0:1661"/>
    <x v="4"/>
    <x v="1"/>
    <s v="On Hold"/>
    <x v="3"/>
    <x v="5"/>
    <x v="1"/>
    <x v="2"/>
    <n v="127"/>
    <s v="S24_2300"/>
    <s v="Volvo Model Replicas, Co"/>
    <s v="0921-12 3555"/>
    <s v="Berguvsv„gen  8"/>
    <m/>
    <s v="Lule"/>
    <x v="21"/>
    <m/>
    <s v="S-958 22"/>
    <x v="8"/>
    <x v="8"/>
    <s v="EMEA"/>
    <s v="Berglund"/>
    <s v="Christina"/>
    <x v="1"/>
  </r>
  <r>
    <n v="10348"/>
    <x v="9"/>
    <n v="100"/>
    <n v="1"/>
    <x v="1"/>
    <x v="1637"/>
    <s v="2/24/2003 0:1662"/>
    <x v="0"/>
    <x v="0"/>
    <s v="Shipped"/>
    <x v="3"/>
    <x v="5"/>
    <x v="1"/>
    <x v="2"/>
    <n v="127"/>
    <s v="S24_2300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358"/>
    <x v="2"/>
    <n v="100"/>
    <n v="7"/>
    <x v="1"/>
    <x v="1638"/>
    <s v="2/24/2003 0:1663"/>
    <x v="0"/>
    <x v="0"/>
    <s v="Shipped"/>
    <x v="3"/>
    <x v="6"/>
    <x v="1"/>
    <x v="2"/>
    <n v="127"/>
    <s v="S24_230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71"/>
    <x v="14"/>
    <n v="100"/>
    <n v="5"/>
    <x v="0"/>
    <x v="1639"/>
    <s v="2/24/2003 0:1664"/>
    <x v="0"/>
    <x v="0"/>
    <s v="Shipped"/>
    <x v="0"/>
    <x v="7"/>
    <x v="2"/>
    <x v="2"/>
    <n v="127"/>
    <s v="S24_230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82"/>
    <x v="14"/>
    <n v="100"/>
    <n v="3"/>
    <x v="0"/>
    <x v="1640"/>
    <s v="2/24/2003 0:1665"/>
    <x v="0"/>
    <x v="0"/>
    <s v="Shipped"/>
    <x v="0"/>
    <x v="0"/>
    <x v="2"/>
    <x v="2"/>
    <n v="127"/>
    <s v="S24_230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12"/>
    <x v="50"/>
    <n v="100"/>
    <n v="10"/>
    <x v="1"/>
    <x v="1641"/>
    <s v="2/24/2003 0:1666"/>
    <x v="0"/>
    <x v="0"/>
    <s v="Shipped"/>
    <x v="1"/>
    <x v="1"/>
    <x v="2"/>
    <x v="2"/>
    <n v="127"/>
    <s v="S24_2300"/>
    <s v="Euro Shopping Channel"/>
    <s v="(91) 555 94 44"/>
    <s v="C/ Moralzarzal, 86"/>
    <m/>
    <s v="Madrid"/>
    <x v="20"/>
    <m/>
    <n v="28034"/>
    <x v="7"/>
    <x v="7"/>
    <s v="EMEA"/>
    <s v="Freyre"/>
    <s v="Diego"/>
    <x v="2"/>
  </r>
  <r>
    <n v="10425"/>
    <x v="4"/>
    <n v="100"/>
    <n v="9"/>
    <x v="1"/>
    <x v="1642"/>
    <s v="2/24/2003 0:1667"/>
    <x v="2"/>
    <x v="1"/>
    <s v="In Process"/>
    <x v="1"/>
    <x v="1"/>
    <x v="2"/>
    <x v="2"/>
    <n v="127"/>
    <s v="S24_2300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108"/>
    <x v="21"/>
    <n v="58.87"/>
    <n v="15"/>
    <x v="0"/>
    <x v="1643"/>
    <s v="2/24/2003 0:1668"/>
    <x v="0"/>
    <x v="0"/>
    <s v="Shipped"/>
    <x v="0"/>
    <x v="11"/>
    <x v="0"/>
    <x v="0"/>
    <n v="69"/>
    <s v="S24_2360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0"/>
  </r>
  <r>
    <n v="10121"/>
    <x v="22"/>
    <n v="76.88"/>
    <n v="2"/>
    <x v="0"/>
    <x v="1644"/>
    <s v="2/24/2003 0:1669"/>
    <x v="0"/>
    <x v="0"/>
    <s v="Shipped"/>
    <x v="1"/>
    <x v="1"/>
    <x v="0"/>
    <x v="0"/>
    <n v="69"/>
    <s v="S24_2360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135"/>
    <x v="6"/>
    <n v="61.64"/>
    <n v="16"/>
    <x v="0"/>
    <x v="1645"/>
    <s v="2/24/2003 0:1670"/>
    <x v="0"/>
    <x v="0"/>
    <s v="Shipped"/>
    <x v="2"/>
    <x v="2"/>
    <x v="0"/>
    <x v="0"/>
    <n v="69"/>
    <s v="S24_236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45"/>
    <x v="26"/>
    <n v="60.95"/>
    <n v="3"/>
    <x v="0"/>
    <x v="1646"/>
    <s v="2/24/2003 0:1671"/>
    <x v="0"/>
    <x v="0"/>
    <s v="Shipped"/>
    <x v="2"/>
    <x v="3"/>
    <x v="0"/>
    <x v="0"/>
    <n v="69"/>
    <s v="S24_2360"/>
    <s v="Toys4GrownUps.com"/>
    <n v="6265557265"/>
    <s v="78934 Hillside Dr."/>
    <m/>
    <s v="Pasadena"/>
    <x v="3"/>
    <s v="CA"/>
    <n v="90003"/>
    <x v="0"/>
    <x v="0"/>
    <s v="NA"/>
    <s v="Young"/>
    <s v="Julie"/>
    <x v="0"/>
  </r>
  <r>
    <n v="10159"/>
    <x v="26"/>
    <n v="80.34"/>
    <n v="11"/>
    <x v="0"/>
    <x v="1647"/>
    <s v="2/24/2003 0:1672"/>
    <x v="0"/>
    <x v="0"/>
    <s v="Shipped"/>
    <x v="3"/>
    <x v="4"/>
    <x v="0"/>
    <x v="0"/>
    <n v="69"/>
    <s v="S24_2360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69"/>
    <x v="19"/>
    <n v="74.11"/>
    <n v="11"/>
    <x v="0"/>
    <x v="1648"/>
    <s v="2/24/2003 0:1673"/>
    <x v="0"/>
    <x v="0"/>
    <s v="Shipped"/>
    <x v="3"/>
    <x v="5"/>
    <x v="0"/>
    <x v="0"/>
    <n v="69"/>
    <s v="S24_2360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80"/>
    <x v="21"/>
    <n v="72.03"/>
    <n v="6"/>
    <x v="0"/>
    <x v="1649"/>
    <s v="2/24/2003 0:1674"/>
    <x v="0"/>
    <x v="0"/>
    <s v="Shipped"/>
    <x v="3"/>
    <x v="5"/>
    <x v="0"/>
    <x v="0"/>
    <n v="69"/>
    <s v="S24_2360"/>
    <s v="Daedalus Designs Imports"/>
    <s v="20.16.1555"/>
    <s v="184, chausse de Tournai"/>
    <m/>
    <s v="Lille"/>
    <x v="6"/>
    <m/>
    <n v="59000"/>
    <x v="1"/>
    <x v="1"/>
    <s v="EMEA"/>
    <s v="Rance"/>
    <s v="Martine"/>
    <x v="0"/>
  </r>
  <r>
    <n v="10190"/>
    <x v="13"/>
    <n v="76.19"/>
    <n v="3"/>
    <x v="0"/>
    <x v="1650"/>
    <s v="2/24/2003 0:1675"/>
    <x v="0"/>
    <x v="0"/>
    <s v="Shipped"/>
    <x v="3"/>
    <x v="5"/>
    <x v="0"/>
    <x v="0"/>
    <n v="69"/>
    <s v="S24_236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11"/>
    <x v="15"/>
    <n v="63.72"/>
    <n v="11"/>
    <x v="0"/>
    <x v="1651"/>
    <s v="2/24/2003 0:1676"/>
    <x v="0"/>
    <x v="0"/>
    <s v="Shipped"/>
    <x v="0"/>
    <x v="7"/>
    <x v="1"/>
    <x v="0"/>
    <n v="69"/>
    <s v="S24_2360"/>
    <s v="Auto Canal Petit"/>
    <s v="(1) 47.55.6555"/>
    <s v="25, rue Lauriston"/>
    <m/>
    <s v="Paris"/>
    <x v="2"/>
    <m/>
    <n v="75016"/>
    <x v="1"/>
    <x v="1"/>
    <s v="EMEA"/>
    <s v="Perrier"/>
    <s v="Dominique"/>
    <x v="0"/>
  </r>
  <r>
    <n v="10224"/>
    <x v="9"/>
    <n v="80.34"/>
    <n v="4"/>
    <x v="0"/>
    <x v="1652"/>
    <s v="2/24/2003 0:1677"/>
    <x v="0"/>
    <x v="0"/>
    <s v="Shipped"/>
    <x v="0"/>
    <x v="0"/>
    <x v="1"/>
    <x v="0"/>
    <n v="69"/>
    <s v="S24_2360"/>
    <s v="Daedalus Designs Imports"/>
    <s v="20.16.1555"/>
    <s v="184, chausse de Tournai"/>
    <m/>
    <s v="Lille"/>
    <x v="6"/>
    <m/>
    <n v="59000"/>
    <x v="1"/>
    <x v="1"/>
    <s v="EMEA"/>
    <s v="Rance"/>
    <s v="Martine"/>
    <x v="0"/>
  </r>
  <r>
    <n v="10237"/>
    <x v="18"/>
    <n v="79.650000000000006"/>
    <n v="4"/>
    <x v="0"/>
    <x v="1653"/>
    <s v="2/24/2003 0:1678"/>
    <x v="0"/>
    <x v="0"/>
    <s v="Shipped"/>
    <x v="1"/>
    <x v="8"/>
    <x v="1"/>
    <x v="0"/>
    <n v="69"/>
    <s v="S24_2360"/>
    <s v="Vitachrome Inc."/>
    <n v="2125551500"/>
    <s v="2678 Kingston Rd."/>
    <s v="Suite 101"/>
    <s v="Nyc"/>
    <x v="0"/>
    <s v="NY"/>
    <n v="10022"/>
    <x v="0"/>
    <x v="0"/>
    <s v="NA"/>
    <s v="Frick"/>
    <s v="Michael"/>
    <x v="0"/>
  </r>
  <r>
    <n v="10252"/>
    <x v="20"/>
    <n v="65.8"/>
    <n v="8"/>
    <x v="0"/>
    <x v="1654"/>
    <s v="2/24/2003 0:1679"/>
    <x v="0"/>
    <x v="0"/>
    <s v="Shipped"/>
    <x v="1"/>
    <x v="1"/>
    <x v="1"/>
    <x v="0"/>
    <n v="69"/>
    <s v="S24_2360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264"/>
    <x v="9"/>
    <n v="65.099999999999994"/>
    <n v="6"/>
    <x v="0"/>
    <x v="1655"/>
    <s v="2/24/2003 0:1680"/>
    <x v="0"/>
    <x v="0"/>
    <s v="Shipped"/>
    <x v="1"/>
    <x v="9"/>
    <x v="1"/>
    <x v="0"/>
    <n v="69"/>
    <s v="S24_2360"/>
    <s v="Gifts4AllAges.com"/>
    <n v="6175559555"/>
    <s v="8616 Spinnaker Dr."/>
    <m/>
    <s v="Boston"/>
    <x v="48"/>
    <s v="MA"/>
    <n v="51003"/>
    <x v="0"/>
    <x v="0"/>
    <s v="NA"/>
    <s v="Yoshido"/>
    <s v="Juri"/>
    <x v="0"/>
  </r>
  <r>
    <n v="10276"/>
    <x v="12"/>
    <n v="75.489999999999995"/>
    <n v="12"/>
    <x v="0"/>
    <x v="1656"/>
    <s v="2/24/2003 0:1681"/>
    <x v="0"/>
    <x v="0"/>
    <s v="Shipped"/>
    <x v="2"/>
    <x v="3"/>
    <x v="1"/>
    <x v="0"/>
    <n v="69"/>
    <s v="S24_2360"/>
    <s v="Online Mini Collectables"/>
    <n v="6175557555"/>
    <s v="7635 Spinnaker Dr."/>
    <m/>
    <s v="Brickhaven"/>
    <x v="35"/>
    <s v="MA"/>
    <n v="58339"/>
    <x v="0"/>
    <x v="0"/>
    <s v="NA"/>
    <s v="Barajas"/>
    <s v="Miguel"/>
    <x v="1"/>
  </r>
  <r>
    <n v="10285"/>
    <x v="19"/>
    <n v="59.56"/>
    <n v="3"/>
    <x v="0"/>
    <x v="1657"/>
    <s v="2/24/2003 0:1682"/>
    <x v="0"/>
    <x v="0"/>
    <s v="Shipped"/>
    <x v="2"/>
    <x v="3"/>
    <x v="1"/>
    <x v="0"/>
    <n v="69"/>
    <s v="S24_2360"/>
    <s v="Marta's Replicas Co."/>
    <n v="6175558555"/>
    <s v="39323 Spinnaker Dr."/>
    <m/>
    <s v="Cambridge"/>
    <x v="12"/>
    <s v="MA"/>
    <n v="51247"/>
    <x v="0"/>
    <x v="0"/>
    <s v="NA"/>
    <s v="Hernandez"/>
    <s v="Marta"/>
    <x v="0"/>
  </r>
  <r>
    <n v="10299"/>
    <x v="29"/>
    <n v="66.489999999999995"/>
    <n v="6"/>
    <x v="0"/>
    <x v="1658"/>
    <s v="2/24/2003 0:1683"/>
    <x v="0"/>
    <x v="0"/>
    <s v="Shipped"/>
    <x v="2"/>
    <x v="10"/>
    <x v="1"/>
    <x v="0"/>
    <n v="69"/>
    <s v="S24_2360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309"/>
    <x v="16"/>
    <n v="56.1"/>
    <n v="2"/>
    <x v="0"/>
    <x v="1659"/>
    <s v="2/24/2003 0:1684"/>
    <x v="0"/>
    <x v="0"/>
    <s v="Shipped"/>
    <x v="3"/>
    <x v="4"/>
    <x v="1"/>
    <x v="0"/>
    <n v="69"/>
    <s v="S24_2360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319"/>
    <x v="28"/>
    <n v="81.73"/>
    <n v="7"/>
    <x v="0"/>
    <x v="1660"/>
    <s v="2/24/2003 0:1685"/>
    <x v="0"/>
    <x v="0"/>
    <s v="Shipped"/>
    <x v="3"/>
    <x v="5"/>
    <x v="1"/>
    <x v="0"/>
    <n v="69"/>
    <s v="S24_2360"/>
    <s v="Microscale Inc."/>
    <n v="2125551957"/>
    <s v="5290 North Pendale Street"/>
    <s v="Suite 200"/>
    <s v="Nyc"/>
    <x v="0"/>
    <s v="NY"/>
    <n v="10022"/>
    <x v="0"/>
    <x v="0"/>
    <s v="NA"/>
    <s v="Kuo"/>
    <s v="Kee"/>
    <x v="0"/>
  </r>
  <r>
    <n v="10330"/>
    <x v="13"/>
    <n v="81.03"/>
    <n v="1"/>
    <x v="0"/>
    <x v="1661"/>
    <s v="2/24/2003 0:1686"/>
    <x v="0"/>
    <x v="0"/>
    <s v="Shipped"/>
    <x v="3"/>
    <x v="5"/>
    <x v="1"/>
    <x v="0"/>
    <n v="69"/>
    <s v="S24_2360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341"/>
    <x v="22"/>
    <n v="100"/>
    <n v="6"/>
    <x v="0"/>
    <x v="1662"/>
    <s v="2/24/2003 0:1687"/>
    <x v="0"/>
    <x v="0"/>
    <s v="Shipped"/>
    <x v="3"/>
    <x v="5"/>
    <x v="1"/>
    <x v="0"/>
    <n v="69"/>
    <s v="S24_2360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355"/>
    <x v="2"/>
    <n v="70.650000000000006"/>
    <n v="3"/>
    <x v="0"/>
    <x v="1663"/>
    <s v="2/24/2003 0:1688"/>
    <x v="0"/>
    <x v="0"/>
    <s v="Shipped"/>
    <x v="3"/>
    <x v="6"/>
    <x v="1"/>
    <x v="0"/>
    <n v="69"/>
    <s v="S24_2360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63"/>
    <x v="30"/>
    <n v="61.23"/>
    <n v="14"/>
    <x v="0"/>
    <x v="1664"/>
    <s v="2/24/2003 0:1689"/>
    <x v="0"/>
    <x v="0"/>
    <s v="Shipped"/>
    <x v="0"/>
    <x v="7"/>
    <x v="2"/>
    <x v="0"/>
    <n v="69"/>
    <s v="S24_2360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375"/>
    <x v="14"/>
    <n v="100"/>
    <n v="14"/>
    <x v="0"/>
    <x v="1665"/>
    <s v="2/24/2003 0:1690"/>
    <x v="0"/>
    <x v="0"/>
    <s v="Shipped"/>
    <x v="0"/>
    <x v="0"/>
    <x v="2"/>
    <x v="0"/>
    <n v="69"/>
    <s v="S24_2360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390"/>
    <x v="21"/>
    <n v="65.13"/>
    <n v="4"/>
    <x v="0"/>
    <x v="1666"/>
    <s v="2/24/2003 0:1691"/>
    <x v="0"/>
    <x v="0"/>
    <s v="Shipped"/>
    <x v="0"/>
    <x v="11"/>
    <x v="2"/>
    <x v="0"/>
    <n v="69"/>
    <s v="S24_236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03"/>
    <x v="26"/>
    <n v="79.650000000000006"/>
    <n v="4"/>
    <x v="0"/>
    <x v="1667"/>
    <s v="2/24/2003 0:1692"/>
    <x v="0"/>
    <x v="0"/>
    <s v="Shipped"/>
    <x v="1"/>
    <x v="8"/>
    <x v="2"/>
    <x v="0"/>
    <n v="69"/>
    <s v="S24_2360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0"/>
  </r>
  <r>
    <n v="10110"/>
    <x v="30"/>
    <n v="78.150000000000006"/>
    <n v="11"/>
    <x v="0"/>
    <x v="1668"/>
    <s v="2/24/2003 0:1693"/>
    <x v="0"/>
    <x v="0"/>
    <s v="Shipped"/>
    <x v="0"/>
    <x v="11"/>
    <x v="0"/>
    <x v="1"/>
    <n v="90"/>
    <s v="S24_2766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124"/>
    <x v="22"/>
    <n v="72.7"/>
    <n v="10"/>
    <x v="0"/>
    <x v="1669"/>
    <s v="2/24/2003 0:1694"/>
    <x v="0"/>
    <x v="0"/>
    <s v="Shipped"/>
    <x v="1"/>
    <x v="1"/>
    <x v="0"/>
    <x v="1"/>
    <n v="90"/>
    <s v="S24_2766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148"/>
    <x v="15"/>
    <n v="73.599999999999994"/>
    <n v="4"/>
    <x v="0"/>
    <x v="1670"/>
    <s v="2/24/2003 0:1695"/>
    <x v="0"/>
    <x v="0"/>
    <s v="Shipped"/>
    <x v="2"/>
    <x v="10"/>
    <x v="0"/>
    <x v="1"/>
    <n v="90"/>
    <s v="S24_2766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61"/>
    <x v="14"/>
    <n v="100"/>
    <n v="3"/>
    <x v="0"/>
    <x v="1671"/>
    <s v="2/24/2003 0:1696"/>
    <x v="0"/>
    <x v="0"/>
    <s v="Shipped"/>
    <x v="3"/>
    <x v="4"/>
    <x v="0"/>
    <x v="1"/>
    <n v="90"/>
    <s v="S24_2766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172"/>
    <x v="8"/>
    <n v="74.510000000000005"/>
    <n v="1"/>
    <x v="0"/>
    <x v="1672"/>
    <s v="2/24/2003 0:1697"/>
    <x v="0"/>
    <x v="0"/>
    <s v="Shipped"/>
    <x v="3"/>
    <x v="5"/>
    <x v="0"/>
    <x v="1"/>
    <n v="90"/>
    <s v="S24_2766"/>
    <s v="Gift Depot Inc."/>
    <n v="2035552570"/>
    <s v="25593 South Bay Ln."/>
    <m/>
    <s v="Bridgewater"/>
    <x v="10"/>
    <s v="CT"/>
    <n v="97562"/>
    <x v="0"/>
    <x v="0"/>
    <s v="NA"/>
    <s v="King"/>
    <s v="Julie"/>
    <x v="0"/>
  </r>
  <r>
    <n v="10182"/>
    <x v="5"/>
    <n v="73.599999999999994"/>
    <n v="14"/>
    <x v="0"/>
    <x v="1673"/>
    <s v="2/24/2003 0:1698"/>
    <x v="0"/>
    <x v="0"/>
    <s v="Shipped"/>
    <x v="3"/>
    <x v="5"/>
    <x v="0"/>
    <x v="1"/>
    <n v="90"/>
    <s v="S24_276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92"/>
    <x v="12"/>
    <n v="83.6"/>
    <n v="2"/>
    <x v="0"/>
    <x v="1674"/>
    <s v="2/24/2003 0:1699"/>
    <x v="0"/>
    <x v="0"/>
    <s v="Shipped"/>
    <x v="3"/>
    <x v="5"/>
    <x v="0"/>
    <x v="1"/>
    <n v="90"/>
    <s v="S24_2766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204"/>
    <x v="20"/>
    <n v="96.32"/>
    <n v="8"/>
    <x v="1"/>
    <x v="1675"/>
    <s v="2/24/2003 0:1700"/>
    <x v="0"/>
    <x v="0"/>
    <s v="Shipped"/>
    <x v="3"/>
    <x v="6"/>
    <x v="0"/>
    <x v="1"/>
    <n v="90"/>
    <s v="S24_2766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12"/>
    <x v="3"/>
    <n v="88.14"/>
    <n v="1"/>
    <x v="0"/>
    <x v="1676"/>
    <s v="2/24/2003 0:1701"/>
    <x v="0"/>
    <x v="0"/>
    <s v="Shipped"/>
    <x v="0"/>
    <x v="7"/>
    <x v="1"/>
    <x v="1"/>
    <n v="90"/>
    <s v="S24_276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27"/>
    <x v="20"/>
    <n v="88.14"/>
    <n v="14"/>
    <x v="1"/>
    <x v="1677"/>
    <s v="2/24/2003 0:1702"/>
    <x v="0"/>
    <x v="0"/>
    <s v="Shipped"/>
    <x v="0"/>
    <x v="11"/>
    <x v="1"/>
    <x v="1"/>
    <n v="90"/>
    <s v="S24_2766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41"/>
    <x v="20"/>
    <n v="94.5"/>
    <n v="6"/>
    <x v="1"/>
    <x v="1678"/>
    <s v="2/24/2003 0:1703"/>
    <x v="0"/>
    <x v="0"/>
    <s v="Shipped"/>
    <x v="1"/>
    <x v="8"/>
    <x v="1"/>
    <x v="1"/>
    <n v="90"/>
    <s v="S24_2766"/>
    <s v="Mini Caravy"/>
    <s v="88.60.1555"/>
    <s v="24, place Kluber"/>
    <m/>
    <s v="Strasbourg"/>
    <x v="66"/>
    <m/>
    <n v="67000"/>
    <x v="1"/>
    <x v="1"/>
    <s v="EMEA"/>
    <s v="Citeaux"/>
    <s v="Frederique"/>
    <x v="1"/>
  </r>
  <r>
    <n v="10267"/>
    <x v="19"/>
    <n v="87.24"/>
    <n v="3"/>
    <x v="0"/>
    <x v="1679"/>
    <s v="2/24/2003 0:1704"/>
    <x v="0"/>
    <x v="0"/>
    <s v="Shipped"/>
    <x v="2"/>
    <x v="2"/>
    <x v="1"/>
    <x v="1"/>
    <n v="90"/>
    <s v="S24_2766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79"/>
    <x v="4"/>
    <n v="79.97"/>
    <n v="3"/>
    <x v="0"/>
    <x v="1680"/>
    <s v="2/24/2003 0:1705"/>
    <x v="0"/>
    <x v="0"/>
    <s v="Shipped"/>
    <x v="2"/>
    <x v="3"/>
    <x v="1"/>
    <x v="1"/>
    <n v="90"/>
    <s v="S24_276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88"/>
    <x v="21"/>
    <n v="80.87"/>
    <n v="9"/>
    <x v="0"/>
    <x v="1681"/>
    <s v="2/24/2003 0:1706"/>
    <x v="0"/>
    <x v="0"/>
    <s v="Shipped"/>
    <x v="2"/>
    <x v="10"/>
    <x v="1"/>
    <x v="1"/>
    <n v="90"/>
    <s v="S24_2766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302"/>
    <x v="4"/>
    <n v="100"/>
    <n v="5"/>
    <x v="1"/>
    <x v="1682"/>
    <s v="2/24/2003 0:1707"/>
    <x v="0"/>
    <x v="0"/>
    <s v="Shipped"/>
    <x v="3"/>
    <x v="4"/>
    <x v="0"/>
    <x v="1"/>
    <n v="90"/>
    <s v="S24_2766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311"/>
    <x v="11"/>
    <n v="93.6"/>
    <n v="4"/>
    <x v="0"/>
    <x v="1683"/>
    <s v="2/24/2003 0:1708"/>
    <x v="0"/>
    <x v="0"/>
    <s v="Shipped"/>
    <x v="3"/>
    <x v="4"/>
    <x v="1"/>
    <x v="1"/>
    <n v="90"/>
    <s v="S24_2766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21"/>
    <x v="0"/>
    <n v="72.7"/>
    <n v="1"/>
    <x v="0"/>
    <x v="1684"/>
    <s v="2/24/2003 0:1709"/>
    <x v="0"/>
    <x v="0"/>
    <s v="Shipped"/>
    <x v="3"/>
    <x v="5"/>
    <x v="1"/>
    <x v="1"/>
    <n v="90"/>
    <s v="S24_2766"/>
    <s v="FunGiftIdeas.com"/>
    <n v="5085552555"/>
    <s v="1785 First Street"/>
    <m/>
    <s v="New Bedford"/>
    <x v="18"/>
    <s v="MA"/>
    <n v="50553"/>
    <x v="0"/>
    <x v="0"/>
    <s v="NA"/>
    <s v="Benitez"/>
    <s v="Violeta"/>
    <x v="0"/>
  </r>
  <r>
    <n v="10332"/>
    <x v="25"/>
    <n v="86.72"/>
    <n v="7"/>
    <x v="0"/>
    <x v="1685"/>
    <s v="2/24/2003 0:1710"/>
    <x v="0"/>
    <x v="0"/>
    <s v="Shipped"/>
    <x v="3"/>
    <x v="5"/>
    <x v="1"/>
    <x v="1"/>
    <n v="90"/>
    <s v="S24_2766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46"/>
    <x v="32"/>
    <n v="100"/>
    <n v="1"/>
    <x v="0"/>
    <x v="1686"/>
    <s v="2/24/2003 0:1711"/>
    <x v="0"/>
    <x v="0"/>
    <s v="Shipped"/>
    <x v="3"/>
    <x v="5"/>
    <x v="1"/>
    <x v="1"/>
    <n v="90"/>
    <s v="S24_2766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368"/>
    <x v="23"/>
    <n v="100"/>
    <n v="2"/>
    <x v="1"/>
    <x v="1687"/>
    <s v="2/24/2003 0:1712"/>
    <x v="0"/>
    <x v="0"/>
    <s v="Shipped"/>
    <x v="0"/>
    <x v="7"/>
    <x v="2"/>
    <x v="1"/>
    <n v="90"/>
    <s v="S24_276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80"/>
    <x v="5"/>
    <n v="37.5"/>
    <n v="6"/>
    <x v="0"/>
    <x v="1688"/>
    <s v="2/24/2003 0:1713"/>
    <x v="0"/>
    <x v="0"/>
    <s v="Shipped"/>
    <x v="0"/>
    <x v="0"/>
    <x v="2"/>
    <x v="1"/>
    <n v="90"/>
    <s v="S24_2766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07"/>
    <x v="43"/>
    <n v="94.5"/>
    <n v="6"/>
    <x v="1"/>
    <x v="441"/>
    <s v="2/24/2003 0:1714"/>
    <x v="4"/>
    <x v="1"/>
    <s v="On Hold"/>
    <x v="1"/>
    <x v="8"/>
    <x v="2"/>
    <x v="1"/>
    <n v="90"/>
    <s v="S24_2766"/>
    <s v="The Sharp Gifts Warehouse"/>
    <n v="4085553659"/>
    <s v="3086 Ingle Ln."/>
    <m/>
    <s v="San Jose"/>
    <x v="51"/>
    <s v="CA"/>
    <n v="94217"/>
    <x v="0"/>
    <x v="0"/>
    <s v="NA"/>
    <s v="Frick"/>
    <s v="Sue"/>
    <x v="2"/>
  </r>
  <r>
    <n v="10420"/>
    <x v="25"/>
    <n v="100"/>
    <n v="9"/>
    <x v="0"/>
    <x v="1689"/>
    <s v="2/24/2003 0:1715"/>
    <x v="2"/>
    <x v="1"/>
    <s v="In Process"/>
    <x v="1"/>
    <x v="1"/>
    <x v="2"/>
    <x v="1"/>
    <n v="90"/>
    <s v="S24_2766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104"/>
    <x v="27"/>
    <n v="39.6"/>
    <n v="10"/>
    <x v="0"/>
    <x v="500"/>
    <s v="2/24/2003 0:1716"/>
    <x v="0"/>
    <x v="0"/>
    <s v="Shipped"/>
    <x v="0"/>
    <x v="7"/>
    <x v="0"/>
    <x v="1"/>
    <n v="35"/>
    <s v="S24_2840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14"/>
    <x v="16"/>
    <n v="30.06"/>
    <n v="1"/>
    <x v="0"/>
    <x v="1690"/>
    <s v="2/24/2003 0:1717"/>
    <x v="0"/>
    <x v="0"/>
    <s v="Shipped"/>
    <x v="1"/>
    <x v="8"/>
    <x v="0"/>
    <x v="1"/>
    <n v="35"/>
    <s v="S24_2840"/>
    <s v="La Corne D'abondance, Co."/>
    <s v="(1) 42.34.2555"/>
    <s v="265, boulevard Charonne"/>
    <m/>
    <s v="Paris"/>
    <x v="2"/>
    <m/>
    <n v="75012"/>
    <x v="1"/>
    <x v="1"/>
    <s v="EMEA"/>
    <s v="Bertrand"/>
    <s v="Marie"/>
    <x v="0"/>
  </r>
  <r>
    <n v="10127"/>
    <x v="25"/>
    <n v="38.19"/>
    <n v="12"/>
    <x v="0"/>
    <x v="1691"/>
    <s v="2/24/2003 0:1718"/>
    <x v="0"/>
    <x v="0"/>
    <s v="Shipped"/>
    <x v="1"/>
    <x v="9"/>
    <x v="0"/>
    <x v="1"/>
    <n v="35"/>
    <s v="S24_2840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141"/>
    <x v="15"/>
    <n v="42.43"/>
    <n v="6"/>
    <x v="0"/>
    <x v="1692"/>
    <s v="2/24/2003 0:1719"/>
    <x v="0"/>
    <x v="0"/>
    <s v="Shipped"/>
    <x v="2"/>
    <x v="3"/>
    <x v="0"/>
    <x v="1"/>
    <n v="35"/>
    <s v="S24_2840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151"/>
    <x v="0"/>
    <n v="40.31"/>
    <n v="4"/>
    <x v="0"/>
    <x v="1693"/>
    <s v="2/24/2003 0:1720"/>
    <x v="0"/>
    <x v="0"/>
    <s v="Shipped"/>
    <x v="2"/>
    <x v="10"/>
    <x v="0"/>
    <x v="1"/>
    <n v="35"/>
    <s v="S24_2840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165"/>
    <x v="26"/>
    <n v="31.82"/>
    <n v="13"/>
    <x v="0"/>
    <x v="1694"/>
    <s v="2/24/2003 0:1721"/>
    <x v="0"/>
    <x v="0"/>
    <s v="Shipped"/>
    <x v="3"/>
    <x v="4"/>
    <x v="0"/>
    <x v="1"/>
    <n v="35"/>
    <s v="S24_2840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75"/>
    <x v="9"/>
    <n v="31.12"/>
    <n v="2"/>
    <x v="0"/>
    <x v="1695"/>
    <s v="2/24/2003 0:1722"/>
    <x v="0"/>
    <x v="0"/>
    <s v="Shipped"/>
    <x v="3"/>
    <x v="5"/>
    <x v="0"/>
    <x v="1"/>
    <n v="35"/>
    <s v="S24_2840"/>
    <s v="Stylish Desk Decors, Co."/>
    <s v="(171) 555-0297"/>
    <s v="35 King George"/>
    <m/>
    <s v="London"/>
    <x v="41"/>
    <m/>
    <s v="WX3 6FW"/>
    <x v="6"/>
    <x v="6"/>
    <s v="EMEA"/>
    <s v="Brown"/>
    <s v="Ann"/>
    <x v="0"/>
  </r>
  <r>
    <n v="10184"/>
    <x v="13"/>
    <n v="31.82"/>
    <n v="7"/>
    <x v="0"/>
    <x v="1696"/>
    <s v="2/24/2003 0:1723"/>
    <x v="0"/>
    <x v="0"/>
    <s v="Shipped"/>
    <x v="3"/>
    <x v="5"/>
    <x v="0"/>
    <x v="1"/>
    <n v="35"/>
    <s v="S24_2840"/>
    <s v="Iberia Gift Imports, Corp."/>
    <s v="(95) 555 82 82"/>
    <s v="C/ Romero, 33"/>
    <m/>
    <s v="Sevilla"/>
    <x v="64"/>
    <m/>
    <n v="41101"/>
    <x v="7"/>
    <x v="7"/>
    <s v="EMEA"/>
    <s v="Roel"/>
    <s v="Jose Pedro"/>
    <x v="0"/>
  </r>
  <r>
    <n v="10195"/>
    <x v="22"/>
    <n v="28.29"/>
    <n v="7"/>
    <x v="0"/>
    <x v="1697"/>
    <s v="2/24/2003 0:1724"/>
    <x v="0"/>
    <x v="0"/>
    <s v="Shipped"/>
    <x v="3"/>
    <x v="5"/>
    <x v="0"/>
    <x v="1"/>
    <n v="35"/>
    <s v="S24_2840"/>
    <s v="Mini Classics"/>
    <n v="9145554562"/>
    <s v="3758 North Pendale Street"/>
    <m/>
    <s v="White Plains"/>
    <x v="39"/>
    <s v="NY"/>
    <n v="24067"/>
    <x v="0"/>
    <x v="0"/>
    <s v="NA"/>
    <s v="Frick"/>
    <s v="Steve"/>
    <x v="0"/>
  </r>
  <r>
    <n v="10207"/>
    <x v="13"/>
    <n v="29.7"/>
    <n v="8"/>
    <x v="0"/>
    <x v="1698"/>
    <s v="2/24/2003 0:1725"/>
    <x v="0"/>
    <x v="0"/>
    <s v="Shipped"/>
    <x v="3"/>
    <x v="6"/>
    <x v="0"/>
    <x v="1"/>
    <n v="35"/>
    <s v="S24_2840"/>
    <s v="Diecast Collectables"/>
    <n v="6175552555"/>
    <s v="6251 Ingle Ln."/>
    <m/>
    <s v="Boston"/>
    <x v="48"/>
    <s v="MA"/>
    <n v="51003"/>
    <x v="0"/>
    <x v="0"/>
    <s v="NA"/>
    <s v="Franco"/>
    <s v="Valarie"/>
    <x v="0"/>
  </r>
  <r>
    <n v="10219"/>
    <x v="15"/>
    <n v="40.31"/>
    <n v="3"/>
    <x v="0"/>
    <x v="1699"/>
    <s v="2/24/2003 0:1726"/>
    <x v="0"/>
    <x v="0"/>
    <s v="Shipped"/>
    <x v="0"/>
    <x v="0"/>
    <x v="1"/>
    <x v="1"/>
    <n v="35"/>
    <s v="S24_2840"/>
    <s v="Signal Collectibles Ltd."/>
    <n v="4155554312"/>
    <s v="2793 Furth Circle"/>
    <m/>
    <s v="Brisbane"/>
    <x v="65"/>
    <s v="CA"/>
    <n v="94217"/>
    <x v="0"/>
    <x v="0"/>
    <s v="NA"/>
    <s v="Taylor"/>
    <s v="Sue"/>
    <x v="0"/>
  </r>
  <r>
    <n v="10229"/>
    <x v="29"/>
    <n v="32.880000000000003"/>
    <n v="2"/>
    <x v="0"/>
    <x v="1700"/>
    <s v="2/24/2003 0:1727"/>
    <x v="0"/>
    <x v="0"/>
    <s v="Shipped"/>
    <x v="0"/>
    <x v="11"/>
    <x v="1"/>
    <x v="1"/>
    <n v="35"/>
    <s v="S24_284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46"/>
    <x v="4"/>
    <n v="36.07"/>
    <n v="6"/>
    <x v="0"/>
    <x v="1701"/>
    <s v="2/24/2003 0:1728"/>
    <x v="0"/>
    <x v="0"/>
    <s v="Shipped"/>
    <x v="1"/>
    <x v="1"/>
    <x v="1"/>
    <x v="1"/>
    <n v="35"/>
    <s v="S24_2840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59"/>
    <x v="28"/>
    <n v="33.24"/>
    <n v="5"/>
    <x v="0"/>
    <x v="1702"/>
    <s v="2/24/2003 0:1729"/>
    <x v="0"/>
    <x v="0"/>
    <s v="Shipped"/>
    <x v="1"/>
    <x v="9"/>
    <x v="1"/>
    <x v="1"/>
    <n v="35"/>
    <s v="S24_2840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271"/>
    <x v="19"/>
    <n v="41.72"/>
    <n v="6"/>
    <x v="0"/>
    <x v="1703"/>
    <s v="2/24/2003 0:1730"/>
    <x v="0"/>
    <x v="0"/>
    <s v="Shipped"/>
    <x v="2"/>
    <x v="2"/>
    <x v="1"/>
    <x v="1"/>
    <n v="35"/>
    <s v="S24_284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81"/>
    <x v="14"/>
    <n v="40.659999999999997"/>
    <n v="2"/>
    <x v="0"/>
    <x v="1704"/>
    <s v="2/24/2003 0:1731"/>
    <x v="0"/>
    <x v="0"/>
    <s v="Shipped"/>
    <x v="2"/>
    <x v="3"/>
    <x v="1"/>
    <x v="1"/>
    <n v="35"/>
    <s v="S24_2840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292"/>
    <x v="25"/>
    <n v="30.06"/>
    <n v="9"/>
    <x v="0"/>
    <x v="1705"/>
    <s v="2/24/2003 0:1732"/>
    <x v="0"/>
    <x v="0"/>
    <s v="Shipped"/>
    <x v="2"/>
    <x v="10"/>
    <x v="1"/>
    <x v="1"/>
    <n v="35"/>
    <s v="S24_2840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05"/>
    <x v="7"/>
    <n v="31.47"/>
    <n v="6"/>
    <x v="0"/>
    <x v="1706"/>
    <s v="2/24/2003 0:1733"/>
    <x v="0"/>
    <x v="0"/>
    <s v="Shipped"/>
    <x v="3"/>
    <x v="4"/>
    <x v="1"/>
    <x v="1"/>
    <n v="35"/>
    <s v="S24_2840"/>
    <s v="Marta's Replicas Co."/>
    <n v="6175558555"/>
    <s v="39323 Spinnaker Dr."/>
    <m/>
    <s v="Cambridge"/>
    <x v="12"/>
    <s v="MA"/>
    <n v="51247"/>
    <x v="0"/>
    <x v="0"/>
    <s v="NA"/>
    <s v="Hernandez"/>
    <s v="Marta"/>
    <x v="0"/>
  </r>
  <r>
    <n v="10314"/>
    <x v="25"/>
    <n v="37.130000000000003"/>
    <n v="15"/>
    <x v="0"/>
    <x v="1707"/>
    <s v="2/24/2003 0:1734"/>
    <x v="0"/>
    <x v="0"/>
    <s v="Shipped"/>
    <x v="3"/>
    <x v="4"/>
    <x v="1"/>
    <x v="1"/>
    <n v="35"/>
    <s v="S24_2840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324"/>
    <x v="0"/>
    <n v="100"/>
    <n v="9"/>
    <x v="0"/>
    <x v="1708"/>
    <s v="2/24/2003 0:1735"/>
    <x v="0"/>
    <x v="0"/>
    <s v="Shipped"/>
    <x v="3"/>
    <x v="5"/>
    <x v="1"/>
    <x v="1"/>
    <n v="35"/>
    <s v="S24_2840"/>
    <s v="Vitachrome Inc."/>
    <n v="2125551500"/>
    <s v="2678 Kingston Rd."/>
    <s v="Suite 101"/>
    <s v="Nyc"/>
    <x v="0"/>
    <s v="NY"/>
    <n v="10022"/>
    <x v="0"/>
    <x v="0"/>
    <s v="NA"/>
    <s v="Frick"/>
    <s v="Michael"/>
    <x v="1"/>
  </r>
  <r>
    <n v="10335"/>
    <x v="29"/>
    <n v="37.130000000000003"/>
    <n v="2"/>
    <x v="0"/>
    <x v="1709"/>
    <s v="2/24/2003 0:1736"/>
    <x v="0"/>
    <x v="0"/>
    <s v="Shipped"/>
    <x v="3"/>
    <x v="5"/>
    <x v="1"/>
    <x v="1"/>
    <n v="35"/>
    <s v="S24_284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49"/>
    <x v="5"/>
    <n v="37.130000000000003"/>
    <n v="3"/>
    <x v="0"/>
    <x v="1710"/>
    <s v="2/24/2003 0:1737"/>
    <x v="0"/>
    <x v="0"/>
    <s v="Shipped"/>
    <x v="3"/>
    <x v="6"/>
    <x v="1"/>
    <x v="1"/>
    <n v="35"/>
    <s v="S24_2840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358"/>
    <x v="5"/>
    <n v="82.94"/>
    <n v="4"/>
    <x v="0"/>
    <x v="1711"/>
    <s v="2/24/2003 0:1738"/>
    <x v="0"/>
    <x v="0"/>
    <s v="Shipped"/>
    <x v="3"/>
    <x v="6"/>
    <x v="1"/>
    <x v="1"/>
    <n v="35"/>
    <s v="S24_2840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1"/>
    <x v="3"/>
    <n v="100"/>
    <n v="8"/>
    <x v="1"/>
    <x v="1712"/>
    <s v="2/24/2003 0:1739"/>
    <x v="0"/>
    <x v="0"/>
    <s v="Shipped"/>
    <x v="0"/>
    <x v="7"/>
    <x v="2"/>
    <x v="1"/>
    <n v="35"/>
    <s v="S24_284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83"/>
    <x v="23"/>
    <n v="100"/>
    <n v="3"/>
    <x v="1"/>
    <x v="1713"/>
    <s v="2/24/2003 0:1740"/>
    <x v="0"/>
    <x v="0"/>
    <s v="Shipped"/>
    <x v="0"/>
    <x v="0"/>
    <x v="2"/>
    <x v="1"/>
    <n v="35"/>
    <s v="S24_284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4"/>
    <x v="12"/>
    <n v="38.9"/>
    <n v="6"/>
    <x v="0"/>
    <x v="1714"/>
    <s v="2/24/2003 0:1741"/>
    <x v="0"/>
    <x v="0"/>
    <s v="Shipped"/>
    <x v="0"/>
    <x v="11"/>
    <x v="2"/>
    <x v="1"/>
    <n v="35"/>
    <s v="S24_2840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12"/>
    <x v="0"/>
    <n v="36.07"/>
    <n v="6"/>
    <x v="0"/>
    <x v="1715"/>
    <s v="2/24/2003 0:1742"/>
    <x v="0"/>
    <x v="0"/>
    <s v="Shipped"/>
    <x v="1"/>
    <x v="1"/>
    <x v="2"/>
    <x v="1"/>
    <n v="35"/>
    <s v="S24_2840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25"/>
    <x v="28"/>
    <n v="33.24"/>
    <n v="5"/>
    <x v="0"/>
    <x v="1702"/>
    <s v="2/24/2003 0:1743"/>
    <x v="2"/>
    <x v="1"/>
    <s v="In Process"/>
    <x v="1"/>
    <x v="1"/>
    <x v="2"/>
    <x v="1"/>
    <n v="35"/>
    <s v="S24_2840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106"/>
    <x v="4"/>
    <n v="74.680000000000007"/>
    <n v="13"/>
    <x v="0"/>
    <x v="1716"/>
    <s v="2/24/2003 0:1744"/>
    <x v="0"/>
    <x v="0"/>
    <s v="Shipped"/>
    <x v="0"/>
    <x v="0"/>
    <x v="0"/>
    <x v="4"/>
    <n v="68"/>
    <s v="S24_2841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19"/>
    <x v="2"/>
    <n v="59.6"/>
    <n v="4"/>
    <x v="0"/>
    <x v="1717"/>
    <s v="2/24/2003 0:1745"/>
    <x v="0"/>
    <x v="0"/>
    <s v="Shipped"/>
    <x v="1"/>
    <x v="8"/>
    <x v="0"/>
    <x v="4"/>
    <n v="68"/>
    <s v="S24_2841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31"/>
    <x v="21"/>
    <n v="67.14"/>
    <n v="5"/>
    <x v="0"/>
    <x v="1718"/>
    <s v="2/24/2003 0:1746"/>
    <x v="0"/>
    <x v="0"/>
    <s v="Shipped"/>
    <x v="1"/>
    <x v="9"/>
    <x v="0"/>
    <x v="4"/>
    <n v="68"/>
    <s v="S24_2841"/>
    <s v="Gift Ideas Corp."/>
    <n v="2035554407"/>
    <s v="2440 Pompton St."/>
    <m/>
    <s v="Glendale"/>
    <x v="63"/>
    <s v="CT"/>
    <n v="97561"/>
    <x v="0"/>
    <x v="0"/>
    <s v="NA"/>
    <s v="Lewis"/>
    <s v="Dan"/>
    <x v="0"/>
  </r>
  <r>
    <n v="10143"/>
    <x v="26"/>
    <n v="60.97"/>
    <n v="8"/>
    <x v="0"/>
    <x v="1719"/>
    <s v="2/24/2003 0:1747"/>
    <x v="0"/>
    <x v="0"/>
    <s v="Shipped"/>
    <x v="2"/>
    <x v="3"/>
    <x v="0"/>
    <x v="4"/>
    <n v="68"/>
    <s v="S24_2841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55"/>
    <x v="10"/>
    <n v="72.62"/>
    <n v="6"/>
    <x v="0"/>
    <x v="1720"/>
    <s v="2/24/2003 0:1748"/>
    <x v="0"/>
    <x v="0"/>
    <s v="Shipped"/>
    <x v="3"/>
    <x v="4"/>
    <x v="0"/>
    <x v="4"/>
    <n v="68"/>
    <s v="S24_2841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167"/>
    <x v="15"/>
    <n v="69.88"/>
    <n v="2"/>
    <x v="0"/>
    <x v="1721"/>
    <s v="2/24/2003 0:1749"/>
    <x v="3"/>
    <x v="1"/>
    <s v="Cancelled"/>
    <x v="3"/>
    <x v="4"/>
    <x v="0"/>
    <x v="4"/>
    <n v="68"/>
    <s v="S24_2841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178"/>
    <x v="1"/>
    <n v="80.84"/>
    <n v="5"/>
    <x v="0"/>
    <x v="1722"/>
    <s v="2/24/2003 0:1750"/>
    <x v="0"/>
    <x v="0"/>
    <s v="Shipped"/>
    <x v="3"/>
    <x v="5"/>
    <x v="0"/>
    <x v="4"/>
    <n v="68"/>
    <s v="S24_2841"/>
    <s v="Alpha Cognac"/>
    <s v="61.77.6555"/>
    <s v="1 rue Alsace-Lorraine"/>
    <m/>
    <s v="Toulouse"/>
    <x v="42"/>
    <m/>
    <n v="31000"/>
    <x v="1"/>
    <x v="1"/>
    <s v="EMEA"/>
    <s v="Roulet"/>
    <s v="Annette"/>
    <x v="0"/>
  </r>
  <r>
    <n v="10186"/>
    <x v="8"/>
    <n v="69.2"/>
    <n v="2"/>
    <x v="0"/>
    <x v="1723"/>
    <s v="2/24/2003 0:1751"/>
    <x v="0"/>
    <x v="0"/>
    <s v="Shipped"/>
    <x v="3"/>
    <x v="5"/>
    <x v="0"/>
    <x v="4"/>
    <n v="68"/>
    <s v="S24_2841"/>
    <s v="Double Decker Gift Stores, Ltd"/>
    <s v="(171) 555-7555"/>
    <s v="120 Hanover Sq."/>
    <m/>
    <s v="London"/>
    <x v="41"/>
    <m/>
    <s v="WA1 1DP"/>
    <x v="6"/>
    <x v="6"/>
    <s v="EMEA"/>
    <s v="Hardy"/>
    <s v="Thomas"/>
    <x v="0"/>
  </r>
  <r>
    <n v="10198"/>
    <x v="7"/>
    <n v="67.819999999999993"/>
    <n v="5"/>
    <x v="0"/>
    <x v="1724"/>
    <s v="2/24/2003 0:1752"/>
    <x v="0"/>
    <x v="0"/>
    <s v="Shipped"/>
    <x v="3"/>
    <x v="5"/>
    <x v="0"/>
    <x v="4"/>
    <n v="68"/>
    <s v="S24_2841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209"/>
    <x v="30"/>
    <n v="82.21"/>
    <n v="1"/>
    <x v="0"/>
    <x v="1725"/>
    <s v="2/24/2003 0:1753"/>
    <x v="0"/>
    <x v="0"/>
    <s v="Shipped"/>
    <x v="0"/>
    <x v="7"/>
    <x v="1"/>
    <x v="4"/>
    <n v="68"/>
    <s v="S24_2841"/>
    <s v="Men 'R' US Retailers, Ltd."/>
    <n v="2155554369"/>
    <s v="6047 Douglas Av."/>
    <m/>
    <s v="Los Angeles"/>
    <x v="44"/>
    <s v="CA"/>
    <m/>
    <x v="0"/>
    <x v="0"/>
    <s v="NA"/>
    <s v="Chandler"/>
    <s v="Michael"/>
    <x v="1"/>
  </r>
  <r>
    <n v="10222"/>
    <x v="22"/>
    <n v="81.53"/>
    <n v="5"/>
    <x v="0"/>
    <x v="1726"/>
    <s v="2/24/2003 0:1754"/>
    <x v="0"/>
    <x v="0"/>
    <s v="Shipped"/>
    <x v="0"/>
    <x v="0"/>
    <x v="1"/>
    <x v="4"/>
    <n v="68"/>
    <s v="S24_2841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0"/>
  </r>
  <r>
    <n v="10249"/>
    <x v="14"/>
    <n v="67.819999999999993"/>
    <n v="1"/>
    <x v="0"/>
    <x v="1727"/>
    <s v="2/24/2003 0:1755"/>
    <x v="0"/>
    <x v="0"/>
    <s v="Shipped"/>
    <x v="1"/>
    <x v="1"/>
    <x v="1"/>
    <x v="4"/>
    <n v="68"/>
    <s v="S24_2841"/>
    <s v="Cambridge Collectables Co."/>
    <n v="6175555555"/>
    <s v="4658 Baden Av."/>
    <m/>
    <s v="Cambridge"/>
    <x v="12"/>
    <s v="MA"/>
    <n v="51247"/>
    <x v="0"/>
    <x v="0"/>
    <s v="NA"/>
    <s v="Tseng"/>
    <s v="Kyung"/>
    <x v="0"/>
  </r>
  <r>
    <n v="10262"/>
    <x v="16"/>
    <n v="67.14"/>
    <n v="10"/>
    <x v="0"/>
    <x v="1728"/>
    <s v="2/24/2003 0:1756"/>
    <x v="3"/>
    <x v="1"/>
    <s v="Cancelled"/>
    <x v="1"/>
    <x v="9"/>
    <x v="1"/>
    <x v="4"/>
    <n v="68"/>
    <s v="S24_284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74"/>
    <x v="23"/>
    <n v="65.08"/>
    <n v="2"/>
    <x v="0"/>
    <x v="1729"/>
    <s v="2/24/2003 0:1757"/>
    <x v="0"/>
    <x v="0"/>
    <s v="Shipped"/>
    <x v="2"/>
    <x v="2"/>
    <x v="1"/>
    <x v="4"/>
    <n v="68"/>
    <s v="S24_2841"/>
    <s v="Collectables For Less Inc."/>
    <n v="6175558555"/>
    <s v="7825 Douglas Av."/>
    <m/>
    <s v="Brickhaven"/>
    <x v="35"/>
    <s v="MA"/>
    <n v="58339"/>
    <x v="0"/>
    <x v="0"/>
    <s v="NA"/>
    <s v="Nelson"/>
    <s v="Allen"/>
    <x v="0"/>
  </r>
  <r>
    <n v="10284"/>
    <x v="0"/>
    <n v="73.989999999999995"/>
    <n v="12"/>
    <x v="0"/>
    <x v="1730"/>
    <s v="2/24/2003 0:1758"/>
    <x v="0"/>
    <x v="0"/>
    <s v="Shipped"/>
    <x v="2"/>
    <x v="3"/>
    <x v="1"/>
    <x v="4"/>
    <n v="68"/>
    <s v="S24_2841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296"/>
    <x v="15"/>
    <n v="71.25"/>
    <n v="8"/>
    <x v="0"/>
    <x v="1731"/>
    <s v="2/24/2003 0:1759"/>
    <x v="0"/>
    <x v="0"/>
    <s v="Shipped"/>
    <x v="2"/>
    <x v="10"/>
    <x v="1"/>
    <x v="4"/>
    <n v="68"/>
    <s v="S24_2841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0"/>
  </r>
  <r>
    <n v="10307"/>
    <x v="32"/>
    <n v="75.36"/>
    <n v="2"/>
    <x v="0"/>
    <x v="1732"/>
    <s v="2/24/2003 0:1760"/>
    <x v="0"/>
    <x v="0"/>
    <s v="Shipped"/>
    <x v="3"/>
    <x v="4"/>
    <x v="1"/>
    <x v="4"/>
    <n v="68"/>
    <s v="S24_2841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0"/>
  </r>
  <r>
    <n v="10316"/>
    <x v="1"/>
    <n v="63.71"/>
    <n v="10"/>
    <x v="0"/>
    <x v="1733"/>
    <s v="2/24/2003 0:1761"/>
    <x v="0"/>
    <x v="0"/>
    <s v="Shipped"/>
    <x v="3"/>
    <x v="5"/>
    <x v="1"/>
    <x v="4"/>
    <n v="68"/>
    <s v="S24_2841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328"/>
    <x v="7"/>
    <n v="58.92"/>
    <n v="1"/>
    <x v="0"/>
    <x v="1734"/>
    <s v="2/24/2003 0:1762"/>
    <x v="0"/>
    <x v="0"/>
    <s v="Shipped"/>
    <x v="3"/>
    <x v="5"/>
    <x v="1"/>
    <x v="4"/>
    <n v="68"/>
    <s v="S24_2841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339"/>
    <x v="36"/>
    <n v="100"/>
    <n v="12"/>
    <x v="1"/>
    <x v="1735"/>
    <s v="2/24/2003 0:1763"/>
    <x v="0"/>
    <x v="0"/>
    <s v="Shipped"/>
    <x v="3"/>
    <x v="5"/>
    <x v="1"/>
    <x v="4"/>
    <n v="68"/>
    <s v="S24_2841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351"/>
    <x v="32"/>
    <n v="74.680000000000007"/>
    <n v="5"/>
    <x v="0"/>
    <x v="1736"/>
    <s v="2/24/2003 0:1764"/>
    <x v="0"/>
    <x v="0"/>
    <s v="Shipped"/>
    <x v="3"/>
    <x v="6"/>
    <x v="1"/>
    <x v="4"/>
    <n v="68"/>
    <s v="S24_2841"/>
    <s v="Stylish Desk Decors, Co."/>
    <s v="(171) 555-0297"/>
    <s v="35 King George"/>
    <m/>
    <s v="London"/>
    <x v="41"/>
    <m/>
    <s v="WX3 6FW"/>
    <x v="6"/>
    <x v="6"/>
    <s v="EMEA"/>
    <s v="Brown"/>
    <s v="Ann"/>
    <x v="0"/>
  </r>
  <r>
    <n v="10373"/>
    <x v="19"/>
    <n v="70.44"/>
    <n v="7"/>
    <x v="0"/>
    <x v="1737"/>
    <s v="2/24/2003 0:1765"/>
    <x v="0"/>
    <x v="0"/>
    <s v="Shipped"/>
    <x v="0"/>
    <x v="7"/>
    <x v="2"/>
    <x v="4"/>
    <n v="68"/>
    <s v="S24_2841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386"/>
    <x v="25"/>
    <n v="55.96"/>
    <n v="1"/>
    <x v="0"/>
    <x v="1738"/>
    <s v="2/24/2003 0:1766"/>
    <x v="5"/>
    <x v="1"/>
    <s v="Resolved"/>
    <x v="0"/>
    <x v="11"/>
    <x v="2"/>
    <x v="4"/>
    <n v="68"/>
    <s v="S24_284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8"/>
    <x v="11"/>
    <n v="57.55"/>
    <n v="3"/>
    <x v="0"/>
    <x v="565"/>
    <s v="2/24/2003 0:1767"/>
    <x v="0"/>
    <x v="0"/>
    <s v="Shipped"/>
    <x v="0"/>
    <x v="11"/>
    <x v="2"/>
    <x v="4"/>
    <n v="68"/>
    <s v="S24_2841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400"/>
    <x v="16"/>
    <n v="61.66"/>
    <n v="2"/>
    <x v="0"/>
    <x v="1739"/>
    <s v="2/24/2003 0:1768"/>
    <x v="0"/>
    <x v="0"/>
    <s v="Shipped"/>
    <x v="1"/>
    <x v="8"/>
    <x v="2"/>
    <x v="4"/>
    <n v="68"/>
    <s v="S24_2841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415"/>
    <x v="15"/>
    <n v="67.819999999999993"/>
    <n v="1"/>
    <x v="0"/>
    <x v="1740"/>
    <s v="2/24/2003 0:1769"/>
    <x v="1"/>
    <x v="1"/>
    <s v="Disputed"/>
    <x v="1"/>
    <x v="1"/>
    <x v="2"/>
    <x v="4"/>
    <n v="68"/>
    <s v="S24_2841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110"/>
    <x v="12"/>
    <n v="100"/>
    <n v="10"/>
    <x v="1"/>
    <x v="1741"/>
    <s v="2/24/2003 0:1770"/>
    <x v="0"/>
    <x v="0"/>
    <s v="Shipped"/>
    <x v="0"/>
    <x v="11"/>
    <x v="0"/>
    <x v="1"/>
    <n v="117"/>
    <s v="S24_2887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124"/>
    <x v="32"/>
    <n v="93.95"/>
    <n v="9"/>
    <x v="0"/>
    <x v="1742"/>
    <s v="2/24/2003 0:1771"/>
    <x v="0"/>
    <x v="0"/>
    <s v="Shipped"/>
    <x v="1"/>
    <x v="1"/>
    <x v="0"/>
    <x v="1"/>
    <n v="117"/>
    <s v="S24_2887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148"/>
    <x v="1"/>
    <n v="100"/>
    <n v="3"/>
    <x v="1"/>
    <x v="1743"/>
    <s v="2/24/2003 0:1772"/>
    <x v="0"/>
    <x v="0"/>
    <s v="Shipped"/>
    <x v="2"/>
    <x v="10"/>
    <x v="0"/>
    <x v="1"/>
    <n v="117"/>
    <s v="S24_2887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61"/>
    <x v="32"/>
    <n v="100"/>
    <n v="2"/>
    <x v="0"/>
    <x v="1744"/>
    <s v="2/24/2003 0:1773"/>
    <x v="0"/>
    <x v="0"/>
    <s v="Shipped"/>
    <x v="3"/>
    <x v="4"/>
    <x v="0"/>
    <x v="1"/>
    <n v="117"/>
    <s v="S24_2887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173"/>
    <x v="10"/>
    <n v="100"/>
    <n v="16"/>
    <x v="0"/>
    <x v="1745"/>
    <s v="2/24/2003 0:1774"/>
    <x v="0"/>
    <x v="0"/>
    <s v="Shipped"/>
    <x v="3"/>
    <x v="5"/>
    <x v="0"/>
    <x v="1"/>
    <n v="117"/>
    <s v="S24_2887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82"/>
    <x v="14"/>
    <n v="100"/>
    <n v="13"/>
    <x v="0"/>
    <x v="1746"/>
    <s v="2/24/2003 0:1775"/>
    <x v="0"/>
    <x v="0"/>
    <s v="Shipped"/>
    <x v="3"/>
    <x v="5"/>
    <x v="0"/>
    <x v="1"/>
    <n v="117"/>
    <s v="S24_288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92"/>
    <x v="10"/>
    <n v="100"/>
    <n v="1"/>
    <x v="0"/>
    <x v="1747"/>
    <s v="2/24/2003 0:1776"/>
    <x v="0"/>
    <x v="0"/>
    <s v="Shipped"/>
    <x v="3"/>
    <x v="5"/>
    <x v="0"/>
    <x v="1"/>
    <n v="117"/>
    <s v="S24_2887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204"/>
    <x v="13"/>
    <n v="100"/>
    <n v="7"/>
    <x v="1"/>
    <x v="1748"/>
    <s v="2/24/2003 0:1777"/>
    <x v="0"/>
    <x v="0"/>
    <s v="Shipped"/>
    <x v="3"/>
    <x v="6"/>
    <x v="0"/>
    <x v="1"/>
    <n v="117"/>
    <s v="S24_2887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13"/>
    <x v="26"/>
    <n v="100"/>
    <n v="3"/>
    <x v="0"/>
    <x v="1749"/>
    <s v="2/24/2003 0:1778"/>
    <x v="0"/>
    <x v="0"/>
    <s v="Shipped"/>
    <x v="0"/>
    <x v="7"/>
    <x v="1"/>
    <x v="1"/>
    <n v="117"/>
    <s v="S24_2887"/>
    <s v="Double Decker Gift Stores, Ltd"/>
    <s v="(171) 555-7555"/>
    <s v="120 Hanover Sq."/>
    <m/>
    <s v="London"/>
    <x v="41"/>
    <m/>
    <s v="WA1 1DP"/>
    <x v="6"/>
    <x v="6"/>
    <s v="EMEA"/>
    <s v="Hardy"/>
    <s v="Thomas"/>
    <x v="0"/>
  </r>
  <r>
    <n v="10227"/>
    <x v="29"/>
    <n v="100"/>
    <n v="13"/>
    <x v="1"/>
    <x v="1750"/>
    <s v="2/24/2003 0:1779"/>
    <x v="0"/>
    <x v="0"/>
    <s v="Shipped"/>
    <x v="0"/>
    <x v="11"/>
    <x v="1"/>
    <x v="1"/>
    <n v="117"/>
    <s v="S24_2887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41"/>
    <x v="11"/>
    <n v="98.65"/>
    <n v="5"/>
    <x v="0"/>
    <x v="1751"/>
    <s v="2/24/2003 0:1780"/>
    <x v="0"/>
    <x v="0"/>
    <s v="Shipped"/>
    <x v="1"/>
    <x v="8"/>
    <x v="1"/>
    <x v="1"/>
    <n v="117"/>
    <s v="S24_2887"/>
    <s v="Mini Caravy"/>
    <s v="88.60.1555"/>
    <s v="24, place Kluber"/>
    <m/>
    <s v="Strasbourg"/>
    <x v="66"/>
    <m/>
    <n v="67000"/>
    <x v="1"/>
    <x v="1"/>
    <s v="EMEA"/>
    <s v="Citeaux"/>
    <s v="Frederique"/>
    <x v="0"/>
  </r>
  <r>
    <n v="10267"/>
    <x v="30"/>
    <n v="100"/>
    <n v="2"/>
    <x v="1"/>
    <x v="1752"/>
    <s v="2/24/2003 0:1781"/>
    <x v="0"/>
    <x v="0"/>
    <s v="Shipped"/>
    <x v="2"/>
    <x v="2"/>
    <x v="1"/>
    <x v="1"/>
    <n v="117"/>
    <s v="S24_2887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79"/>
    <x v="7"/>
    <n v="100"/>
    <n v="2"/>
    <x v="1"/>
    <x v="1753"/>
    <s v="2/24/2003 0:1782"/>
    <x v="0"/>
    <x v="0"/>
    <s v="Shipped"/>
    <x v="2"/>
    <x v="3"/>
    <x v="1"/>
    <x v="1"/>
    <n v="117"/>
    <s v="S24_2887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88"/>
    <x v="7"/>
    <n v="100"/>
    <n v="8"/>
    <x v="1"/>
    <x v="1754"/>
    <s v="2/24/2003 0:1783"/>
    <x v="0"/>
    <x v="0"/>
    <s v="Shipped"/>
    <x v="2"/>
    <x v="10"/>
    <x v="1"/>
    <x v="1"/>
    <n v="117"/>
    <s v="S24_2887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302"/>
    <x v="3"/>
    <n v="100"/>
    <n v="4"/>
    <x v="1"/>
    <x v="1755"/>
    <s v="2/24/2003 0:1784"/>
    <x v="0"/>
    <x v="0"/>
    <s v="Shipped"/>
    <x v="3"/>
    <x v="4"/>
    <x v="0"/>
    <x v="1"/>
    <n v="117"/>
    <s v="S24_2887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311"/>
    <x v="30"/>
    <n v="100"/>
    <n v="3"/>
    <x v="1"/>
    <x v="1756"/>
    <s v="2/24/2003 0:1785"/>
    <x v="0"/>
    <x v="0"/>
    <s v="Shipped"/>
    <x v="3"/>
    <x v="4"/>
    <x v="1"/>
    <x v="1"/>
    <n v="117"/>
    <s v="S24_2887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32"/>
    <x v="27"/>
    <n v="42.26"/>
    <n v="11"/>
    <x v="0"/>
    <x v="1757"/>
    <s v="2/24/2003 0:1786"/>
    <x v="0"/>
    <x v="0"/>
    <s v="Shipped"/>
    <x v="3"/>
    <x v="5"/>
    <x v="1"/>
    <x v="1"/>
    <n v="117"/>
    <s v="S24_2887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46"/>
    <x v="16"/>
    <n v="87.24"/>
    <n v="5"/>
    <x v="0"/>
    <x v="1758"/>
    <s v="2/24/2003 0:1787"/>
    <x v="0"/>
    <x v="0"/>
    <s v="Shipped"/>
    <x v="3"/>
    <x v="5"/>
    <x v="1"/>
    <x v="1"/>
    <n v="117"/>
    <s v="S24_2887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368"/>
    <x v="28"/>
    <n v="100"/>
    <n v="5"/>
    <x v="1"/>
    <x v="1759"/>
    <s v="2/24/2003 0:1788"/>
    <x v="0"/>
    <x v="0"/>
    <s v="Shipped"/>
    <x v="0"/>
    <x v="7"/>
    <x v="2"/>
    <x v="1"/>
    <n v="117"/>
    <s v="S24_288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80"/>
    <x v="27"/>
    <n v="36.29"/>
    <n v="7"/>
    <x v="0"/>
    <x v="1760"/>
    <s v="2/24/2003 0:1789"/>
    <x v="0"/>
    <x v="0"/>
    <s v="Shipped"/>
    <x v="0"/>
    <x v="0"/>
    <x v="2"/>
    <x v="1"/>
    <n v="117"/>
    <s v="S24_2887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07"/>
    <x v="42"/>
    <n v="98.65"/>
    <n v="5"/>
    <x v="1"/>
    <x v="1761"/>
    <s v="2/24/2003 0:1790"/>
    <x v="4"/>
    <x v="1"/>
    <s v="On Hold"/>
    <x v="1"/>
    <x v="8"/>
    <x v="2"/>
    <x v="1"/>
    <n v="117"/>
    <s v="S24_2887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420"/>
    <x v="36"/>
    <n v="96.3"/>
    <n v="8"/>
    <x v="1"/>
    <x v="1762"/>
    <s v="2/24/2003 0:1791"/>
    <x v="2"/>
    <x v="1"/>
    <s v="In Process"/>
    <x v="1"/>
    <x v="1"/>
    <x v="2"/>
    <x v="1"/>
    <n v="117"/>
    <s v="S24_2887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109"/>
    <x v="6"/>
    <n v="32.1"/>
    <n v="6"/>
    <x v="0"/>
    <x v="1763"/>
    <s v="2/24/2003 0:1792"/>
    <x v="0"/>
    <x v="0"/>
    <s v="Shipped"/>
    <x v="0"/>
    <x v="11"/>
    <x v="0"/>
    <x v="1"/>
    <n v="37"/>
    <s v="S24_2972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0"/>
  </r>
  <r>
    <n v="10122"/>
    <x v="25"/>
    <n v="30.96"/>
    <n v="4"/>
    <x v="0"/>
    <x v="1764"/>
    <s v="2/24/2003 0:1793"/>
    <x v="0"/>
    <x v="0"/>
    <s v="Shipped"/>
    <x v="1"/>
    <x v="1"/>
    <x v="0"/>
    <x v="1"/>
    <n v="37"/>
    <s v="S24_2972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135"/>
    <x v="14"/>
    <n v="35.869999999999997"/>
    <n v="1"/>
    <x v="0"/>
    <x v="1765"/>
    <s v="2/24/2003 0:1794"/>
    <x v="0"/>
    <x v="0"/>
    <s v="Shipped"/>
    <x v="2"/>
    <x v="2"/>
    <x v="0"/>
    <x v="1"/>
    <n v="37"/>
    <s v="S24_297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47"/>
    <x v="32"/>
    <n v="42.67"/>
    <n v="1"/>
    <x v="0"/>
    <x v="1766"/>
    <s v="2/24/2003 0:1795"/>
    <x v="0"/>
    <x v="0"/>
    <s v="Shipped"/>
    <x v="2"/>
    <x v="10"/>
    <x v="0"/>
    <x v="1"/>
    <n v="37"/>
    <s v="S24_2972"/>
    <s v="Collectables For Less Inc."/>
    <n v="6175558555"/>
    <s v="7825 Douglas Av."/>
    <m/>
    <s v="Brickhaven"/>
    <x v="35"/>
    <s v="MA"/>
    <n v="58339"/>
    <x v="0"/>
    <x v="0"/>
    <s v="NA"/>
    <s v="Nelson"/>
    <s v="Allen"/>
    <x v="0"/>
  </r>
  <r>
    <n v="10160"/>
    <x v="13"/>
    <n v="37"/>
    <n v="2"/>
    <x v="0"/>
    <x v="1767"/>
    <s v="2/24/2003 0:1796"/>
    <x v="0"/>
    <x v="0"/>
    <s v="Shipped"/>
    <x v="3"/>
    <x v="4"/>
    <x v="0"/>
    <x v="1"/>
    <n v="37"/>
    <s v="S24_2972"/>
    <s v="Men 'R' US Retailers, Ltd."/>
    <n v="2155554369"/>
    <s v="6047 Douglas Av."/>
    <m/>
    <s v="Los Angeles"/>
    <x v="44"/>
    <s v="CA"/>
    <m/>
    <x v="0"/>
    <x v="0"/>
    <s v="NA"/>
    <s v="Chandler"/>
    <s v="Michael"/>
    <x v="0"/>
  </r>
  <r>
    <n v="10171"/>
    <x v="5"/>
    <n v="35.49"/>
    <n v="4"/>
    <x v="0"/>
    <x v="1768"/>
    <s v="2/24/2003 0:1797"/>
    <x v="0"/>
    <x v="0"/>
    <s v="Shipped"/>
    <x v="3"/>
    <x v="5"/>
    <x v="0"/>
    <x v="1"/>
    <n v="37"/>
    <s v="S24_2972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0"/>
  </r>
  <r>
    <n v="10181"/>
    <x v="9"/>
    <n v="42.67"/>
    <n v="8"/>
    <x v="0"/>
    <x v="1769"/>
    <s v="2/24/2003 0:1798"/>
    <x v="0"/>
    <x v="0"/>
    <s v="Shipped"/>
    <x v="3"/>
    <x v="5"/>
    <x v="0"/>
    <x v="1"/>
    <n v="37"/>
    <s v="S24_2972"/>
    <s v="Herkku Gifts"/>
    <s v="+47 2267 3215"/>
    <s v="Drammen 121, PR 744 Sentrum"/>
    <m/>
    <s v="Bergen"/>
    <x v="7"/>
    <m/>
    <s v="N 5804"/>
    <x v="2"/>
    <x v="2"/>
    <s v="EMEA"/>
    <s v="Oeztan"/>
    <s v="Veysel"/>
    <x v="0"/>
  </r>
  <r>
    <n v="10192"/>
    <x v="0"/>
    <n v="30.59"/>
    <n v="13"/>
    <x v="0"/>
    <x v="1770"/>
    <s v="2/24/2003 0:1799"/>
    <x v="0"/>
    <x v="0"/>
    <s v="Shipped"/>
    <x v="3"/>
    <x v="5"/>
    <x v="0"/>
    <x v="1"/>
    <n v="37"/>
    <s v="S24_2972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203"/>
    <x v="15"/>
    <n v="37"/>
    <n v="2"/>
    <x v="0"/>
    <x v="1771"/>
    <s v="2/24/2003 0:1800"/>
    <x v="0"/>
    <x v="0"/>
    <s v="Shipped"/>
    <x v="3"/>
    <x v="6"/>
    <x v="0"/>
    <x v="1"/>
    <n v="37"/>
    <s v="S24_297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12"/>
    <x v="1"/>
    <n v="43.42"/>
    <n v="12"/>
    <x v="0"/>
    <x v="1772"/>
    <s v="2/24/2003 0:1801"/>
    <x v="0"/>
    <x v="0"/>
    <s v="Shipped"/>
    <x v="0"/>
    <x v="7"/>
    <x v="1"/>
    <x v="1"/>
    <n v="37"/>
    <s v="S24_297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25"/>
    <x v="13"/>
    <n v="36.630000000000003"/>
    <n v="3"/>
    <x v="0"/>
    <x v="1773"/>
    <s v="2/24/2003 0:1802"/>
    <x v="0"/>
    <x v="0"/>
    <s v="Shipped"/>
    <x v="0"/>
    <x v="0"/>
    <x v="1"/>
    <x v="1"/>
    <n v="37"/>
    <s v="S24_2972"/>
    <s v="Vida Sport, Ltd"/>
    <s v="0897-034555"/>
    <s v="Grenzacherweg 237"/>
    <m/>
    <s v="Gensve"/>
    <x v="56"/>
    <m/>
    <n v="1203"/>
    <x v="17"/>
    <x v="17"/>
    <s v="EMEA"/>
    <s v="Holz"/>
    <s v="Michael"/>
    <x v="0"/>
  </r>
  <r>
    <n v="10239"/>
    <x v="14"/>
    <n v="44.56"/>
    <n v="2"/>
    <x v="0"/>
    <x v="1774"/>
    <s v="2/24/2003 0:1803"/>
    <x v="0"/>
    <x v="0"/>
    <s v="Shipped"/>
    <x v="1"/>
    <x v="8"/>
    <x v="1"/>
    <x v="1"/>
    <n v="37"/>
    <s v="S24_2972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253"/>
    <x v="23"/>
    <n v="42.67"/>
    <n v="7"/>
    <x v="0"/>
    <x v="1775"/>
    <s v="2/24/2003 0:1804"/>
    <x v="3"/>
    <x v="1"/>
    <s v="Cancelled"/>
    <x v="1"/>
    <x v="9"/>
    <x v="1"/>
    <x v="1"/>
    <n v="37"/>
    <s v="S24_2972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0"/>
  </r>
  <r>
    <n v="10266"/>
    <x v="1"/>
    <n v="40.4"/>
    <n v="8"/>
    <x v="0"/>
    <x v="1776"/>
    <s v="2/24/2003 0:1805"/>
    <x v="0"/>
    <x v="0"/>
    <s v="Shipped"/>
    <x v="2"/>
    <x v="2"/>
    <x v="1"/>
    <x v="1"/>
    <n v="37"/>
    <s v="S24_2972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278"/>
    <x v="28"/>
    <n v="38.89"/>
    <n v="8"/>
    <x v="0"/>
    <x v="1777"/>
    <s v="2/24/2003 0:1806"/>
    <x v="0"/>
    <x v="0"/>
    <s v="Shipped"/>
    <x v="2"/>
    <x v="3"/>
    <x v="1"/>
    <x v="1"/>
    <n v="37"/>
    <s v="S24_2972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287"/>
    <x v="5"/>
    <n v="39.65"/>
    <n v="6"/>
    <x v="0"/>
    <x v="1778"/>
    <s v="2/24/2003 0:1807"/>
    <x v="0"/>
    <x v="0"/>
    <s v="Shipped"/>
    <x v="2"/>
    <x v="3"/>
    <x v="1"/>
    <x v="1"/>
    <n v="37"/>
    <s v="S24_2972"/>
    <s v="Vida Sport, Ltd"/>
    <s v="0897-034555"/>
    <s v="Grenzacherweg 237"/>
    <m/>
    <s v="Gensve"/>
    <x v="56"/>
    <m/>
    <n v="1203"/>
    <x v="17"/>
    <x v="17"/>
    <s v="EMEA"/>
    <s v="Holz"/>
    <s v="Michael"/>
    <x v="0"/>
  </r>
  <r>
    <n v="10301"/>
    <x v="7"/>
    <n v="34.36"/>
    <n v="10"/>
    <x v="0"/>
    <x v="1779"/>
    <s v="2/24/2003 0:1808"/>
    <x v="0"/>
    <x v="0"/>
    <s v="Shipped"/>
    <x v="3"/>
    <x v="4"/>
    <x v="0"/>
    <x v="1"/>
    <n v="37"/>
    <s v="S24_2972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310"/>
    <x v="29"/>
    <n v="41.91"/>
    <n v="4"/>
    <x v="0"/>
    <x v="1780"/>
    <s v="2/24/2003 0:1809"/>
    <x v="0"/>
    <x v="0"/>
    <s v="Shipped"/>
    <x v="3"/>
    <x v="4"/>
    <x v="1"/>
    <x v="1"/>
    <n v="37"/>
    <s v="S24_2972"/>
    <s v="Toms Spezialitten, Ltd"/>
    <s v="0221-5554327"/>
    <s v="Mehrheimerstr. 369"/>
    <m/>
    <s v="Koln"/>
    <x v="55"/>
    <m/>
    <n v="50739"/>
    <x v="16"/>
    <x v="16"/>
    <s v="EMEA"/>
    <s v="Pfalzheim"/>
    <s v="Henriette"/>
    <x v="0"/>
  </r>
  <r>
    <n v="10321"/>
    <x v="9"/>
    <n v="33.229999999999997"/>
    <n v="12"/>
    <x v="0"/>
    <x v="1781"/>
    <s v="2/24/2003 0:1810"/>
    <x v="0"/>
    <x v="0"/>
    <s v="Shipped"/>
    <x v="3"/>
    <x v="5"/>
    <x v="1"/>
    <x v="1"/>
    <n v="37"/>
    <s v="S24_2972"/>
    <s v="FunGiftIdeas.com"/>
    <n v="5085552555"/>
    <s v="1785 First Street"/>
    <m/>
    <s v="New Bedford"/>
    <x v="18"/>
    <s v="MA"/>
    <n v="50553"/>
    <x v="0"/>
    <x v="0"/>
    <s v="NA"/>
    <s v="Benitez"/>
    <s v="Violeta"/>
    <x v="0"/>
  </r>
  <r>
    <n v="10331"/>
    <x v="26"/>
    <n v="42.24"/>
    <n v="13"/>
    <x v="0"/>
    <x v="1782"/>
    <s v="2/24/2003 0:1811"/>
    <x v="0"/>
    <x v="0"/>
    <s v="Shipped"/>
    <x v="3"/>
    <x v="5"/>
    <x v="1"/>
    <x v="1"/>
    <n v="37"/>
    <s v="S24_2972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0"/>
  </r>
  <r>
    <n v="10342"/>
    <x v="25"/>
    <n v="40.4"/>
    <n v="9"/>
    <x v="0"/>
    <x v="1783"/>
    <s v="2/24/2003 0:1812"/>
    <x v="0"/>
    <x v="0"/>
    <s v="Shipped"/>
    <x v="3"/>
    <x v="5"/>
    <x v="1"/>
    <x v="1"/>
    <n v="37"/>
    <s v="S24_2972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355"/>
    <x v="5"/>
    <n v="38.520000000000003"/>
    <n v="4"/>
    <x v="0"/>
    <x v="1784"/>
    <s v="2/24/2003 0:1813"/>
    <x v="0"/>
    <x v="0"/>
    <s v="Shipped"/>
    <x v="3"/>
    <x v="6"/>
    <x v="1"/>
    <x v="1"/>
    <n v="37"/>
    <s v="S24_297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67"/>
    <x v="5"/>
    <n v="100"/>
    <n v="2"/>
    <x v="1"/>
    <x v="1785"/>
    <s v="2/24/2003 0:1814"/>
    <x v="5"/>
    <x v="1"/>
    <s v="Resolved"/>
    <x v="0"/>
    <x v="7"/>
    <x v="2"/>
    <x v="1"/>
    <n v="37"/>
    <s v="S24_2972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378"/>
    <x v="2"/>
    <n v="100"/>
    <n v="7"/>
    <x v="1"/>
    <x v="1786"/>
    <s v="2/24/2003 0:1815"/>
    <x v="0"/>
    <x v="0"/>
    <s v="Shipped"/>
    <x v="0"/>
    <x v="0"/>
    <x v="2"/>
    <x v="1"/>
    <n v="37"/>
    <s v="S24_297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0"/>
    <x v="9"/>
    <n v="100"/>
    <n v="5"/>
    <x v="1"/>
    <x v="1787"/>
    <s v="2/24/2003 0:1816"/>
    <x v="0"/>
    <x v="0"/>
    <s v="Shipped"/>
    <x v="0"/>
    <x v="11"/>
    <x v="2"/>
    <x v="1"/>
    <n v="37"/>
    <s v="S24_297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05"/>
    <x v="20"/>
    <n v="44.56"/>
    <n v="2"/>
    <x v="0"/>
    <x v="1788"/>
    <s v="2/24/2003 0:1817"/>
    <x v="0"/>
    <x v="0"/>
    <s v="Shipped"/>
    <x v="1"/>
    <x v="8"/>
    <x v="2"/>
    <x v="1"/>
    <n v="37"/>
    <s v="S24_2972"/>
    <s v="Mini Caravy"/>
    <s v="88.60.1555"/>
    <s v="24, place Kluber"/>
    <m/>
    <s v="Strasbourg"/>
    <x v="66"/>
    <m/>
    <n v="67000"/>
    <x v="1"/>
    <x v="1"/>
    <s v="EMEA"/>
    <s v="Citeaux"/>
    <s v="Frederique"/>
    <x v="0"/>
  </r>
  <r>
    <n v="10419"/>
    <x v="45"/>
    <n v="42.67"/>
    <n v="7"/>
    <x v="0"/>
    <x v="1789"/>
    <s v="2/24/2003 0:1818"/>
    <x v="0"/>
    <x v="0"/>
    <s v="Shipped"/>
    <x v="1"/>
    <x v="1"/>
    <x v="2"/>
    <x v="1"/>
    <n v="37"/>
    <s v="S24_2972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05"/>
    <x v="27"/>
    <n v="72.58"/>
    <n v="4"/>
    <x v="0"/>
    <x v="1790"/>
    <s v="2/24/2003 0:1819"/>
    <x v="0"/>
    <x v="0"/>
    <s v="Shipped"/>
    <x v="0"/>
    <x v="0"/>
    <x v="0"/>
    <x v="3"/>
    <n v="88"/>
    <s v="S24_3151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119"/>
    <x v="21"/>
    <n v="87.62"/>
    <n v="13"/>
    <x v="0"/>
    <x v="1791"/>
    <s v="2/24/2003 0:1820"/>
    <x v="0"/>
    <x v="0"/>
    <s v="Shipped"/>
    <x v="1"/>
    <x v="8"/>
    <x v="0"/>
    <x v="3"/>
    <n v="88"/>
    <s v="S24_3151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129"/>
    <x v="2"/>
    <n v="94.71"/>
    <n v="4"/>
    <x v="0"/>
    <x v="1792"/>
    <s v="2/24/2003 0:1821"/>
    <x v="0"/>
    <x v="0"/>
    <s v="Shipped"/>
    <x v="1"/>
    <x v="9"/>
    <x v="0"/>
    <x v="3"/>
    <n v="88"/>
    <s v="S24_3151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42"/>
    <x v="4"/>
    <n v="98.25"/>
    <n v="1"/>
    <x v="1"/>
    <x v="1793"/>
    <s v="2/24/2003 0:1822"/>
    <x v="0"/>
    <x v="0"/>
    <s v="Shipped"/>
    <x v="2"/>
    <x v="3"/>
    <x v="0"/>
    <x v="3"/>
    <n v="88"/>
    <s v="S24_315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54"/>
    <x v="28"/>
    <n v="91.17"/>
    <n v="2"/>
    <x v="0"/>
    <x v="1794"/>
    <s v="2/24/2003 0:1823"/>
    <x v="0"/>
    <x v="0"/>
    <s v="Shipped"/>
    <x v="3"/>
    <x v="4"/>
    <x v="0"/>
    <x v="3"/>
    <n v="88"/>
    <s v="S24_3151"/>
    <s v="Boards &amp; Toys Co."/>
    <n v="3105552373"/>
    <s v="4097 Douglas Av."/>
    <m/>
    <s v="Glendale"/>
    <x v="63"/>
    <s v="CA"/>
    <n v="92561"/>
    <x v="0"/>
    <x v="0"/>
    <s v="NA"/>
    <s v="Young"/>
    <s v="Leslie"/>
    <x v="0"/>
  </r>
  <r>
    <n v="10167"/>
    <x v="14"/>
    <n v="79.66"/>
    <n v="11"/>
    <x v="0"/>
    <x v="1795"/>
    <s v="2/24/2003 0:1824"/>
    <x v="3"/>
    <x v="1"/>
    <s v="Cancelled"/>
    <x v="3"/>
    <x v="4"/>
    <x v="0"/>
    <x v="3"/>
    <n v="88"/>
    <s v="S24_3151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177"/>
    <x v="3"/>
    <n v="72.58"/>
    <n v="2"/>
    <x v="0"/>
    <x v="1796"/>
    <s v="2/24/2003 0:1825"/>
    <x v="0"/>
    <x v="0"/>
    <s v="Shipped"/>
    <x v="3"/>
    <x v="5"/>
    <x v="0"/>
    <x v="3"/>
    <n v="88"/>
    <s v="S24_3151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1"/>
  </r>
  <r>
    <n v="10185"/>
    <x v="29"/>
    <n v="74.349999999999994"/>
    <n v="2"/>
    <x v="0"/>
    <x v="1797"/>
    <s v="2/24/2003 0:1826"/>
    <x v="0"/>
    <x v="0"/>
    <s v="Shipped"/>
    <x v="3"/>
    <x v="5"/>
    <x v="0"/>
    <x v="3"/>
    <n v="88"/>
    <s v="S24_3151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97"/>
    <x v="20"/>
    <n v="83.2"/>
    <n v="8"/>
    <x v="0"/>
    <x v="1798"/>
    <s v="2/24/2003 0:1827"/>
    <x v="0"/>
    <x v="0"/>
    <s v="Shipped"/>
    <x v="3"/>
    <x v="5"/>
    <x v="0"/>
    <x v="3"/>
    <n v="88"/>
    <s v="S24_3151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208"/>
    <x v="14"/>
    <n v="89.4"/>
    <n v="2"/>
    <x v="0"/>
    <x v="1799"/>
    <s v="2/24/2003 0:1828"/>
    <x v="0"/>
    <x v="0"/>
    <s v="Shipped"/>
    <x v="0"/>
    <x v="7"/>
    <x v="1"/>
    <x v="3"/>
    <n v="88"/>
    <s v="S24_3151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22"/>
    <x v="20"/>
    <n v="70.81"/>
    <n v="14"/>
    <x v="0"/>
    <x v="1800"/>
    <s v="2/24/2003 0:1829"/>
    <x v="0"/>
    <x v="0"/>
    <s v="Shipped"/>
    <x v="0"/>
    <x v="0"/>
    <x v="1"/>
    <x v="3"/>
    <n v="88"/>
    <s v="S24_3151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33"/>
    <x v="23"/>
    <n v="94.71"/>
    <n v="2"/>
    <x v="0"/>
    <x v="607"/>
    <s v="2/24/2003 0:1830"/>
    <x v="0"/>
    <x v="0"/>
    <s v="Shipped"/>
    <x v="0"/>
    <x v="11"/>
    <x v="1"/>
    <x v="3"/>
    <n v="88"/>
    <s v="S24_3151"/>
    <s v="Tekni Collectables Inc."/>
    <n v="2015559350"/>
    <s v="7476 Moss Rd."/>
    <m/>
    <s v="Newark"/>
    <x v="9"/>
    <s v="NJ"/>
    <n v="94019"/>
    <x v="0"/>
    <x v="0"/>
    <s v="NA"/>
    <s v="Brown"/>
    <s v="William"/>
    <x v="1"/>
  </r>
  <r>
    <n v="10248"/>
    <x v="0"/>
    <n v="100"/>
    <n v="5"/>
    <x v="0"/>
    <x v="1801"/>
    <s v="2/24/2003 0:1831"/>
    <x v="3"/>
    <x v="1"/>
    <s v="Cancelled"/>
    <x v="1"/>
    <x v="1"/>
    <x v="1"/>
    <x v="3"/>
    <n v="88"/>
    <s v="S24_3151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261"/>
    <x v="8"/>
    <n v="91.17"/>
    <n v="3"/>
    <x v="0"/>
    <x v="1802"/>
    <s v="2/24/2003 0:1832"/>
    <x v="0"/>
    <x v="0"/>
    <s v="Shipped"/>
    <x v="1"/>
    <x v="9"/>
    <x v="1"/>
    <x v="3"/>
    <n v="88"/>
    <s v="S24_3151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0"/>
  </r>
  <r>
    <n v="10273"/>
    <x v="26"/>
    <n v="100"/>
    <n v="6"/>
    <x v="0"/>
    <x v="1803"/>
    <s v="2/24/2003 0:1833"/>
    <x v="0"/>
    <x v="0"/>
    <s v="Shipped"/>
    <x v="2"/>
    <x v="2"/>
    <x v="1"/>
    <x v="3"/>
    <n v="88"/>
    <s v="S24_3151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283"/>
    <x v="1"/>
    <n v="92.94"/>
    <n v="8"/>
    <x v="0"/>
    <x v="1804"/>
    <s v="2/24/2003 0:1834"/>
    <x v="0"/>
    <x v="0"/>
    <s v="Shipped"/>
    <x v="2"/>
    <x v="3"/>
    <x v="1"/>
    <x v="3"/>
    <n v="88"/>
    <s v="S24_3151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1"/>
  </r>
  <r>
    <n v="10295"/>
    <x v="12"/>
    <n v="84.97"/>
    <n v="3"/>
    <x v="0"/>
    <x v="1805"/>
    <s v="2/24/2003 0:1835"/>
    <x v="0"/>
    <x v="0"/>
    <s v="Shipped"/>
    <x v="2"/>
    <x v="10"/>
    <x v="1"/>
    <x v="3"/>
    <n v="88"/>
    <s v="S24_3151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306"/>
    <x v="28"/>
    <n v="84.08"/>
    <n v="2"/>
    <x v="0"/>
    <x v="1806"/>
    <s v="2/24/2003 0:1836"/>
    <x v="0"/>
    <x v="0"/>
    <s v="Shipped"/>
    <x v="3"/>
    <x v="4"/>
    <x v="1"/>
    <x v="3"/>
    <n v="88"/>
    <s v="S24_3151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15"/>
    <x v="16"/>
    <n v="86.74"/>
    <n v="1"/>
    <x v="0"/>
    <x v="1807"/>
    <s v="2/24/2003 0:1837"/>
    <x v="0"/>
    <x v="0"/>
    <s v="Shipped"/>
    <x v="3"/>
    <x v="4"/>
    <x v="1"/>
    <x v="3"/>
    <n v="88"/>
    <s v="S24_3151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326"/>
    <x v="2"/>
    <n v="85.85"/>
    <n v="3"/>
    <x v="0"/>
    <x v="1808"/>
    <s v="2/24/2003 0:1838"/>
    <x v="0"/>
    <x v="0"/>
    <s v="Shipped"/>
    <x v="3"/>
    <x v="5"/>
    <x v="1"/>
    <x v="3"/>
    <n v="88"/>
    <s v="S24_3151"/>
    <s v="Volvo Model Replicas, Co"/>
    <s v="0921-12 3555"/>
    <s v="Berguvsv„gen  8"/>
    <m/>
    <s v="Lule"/>
    <x v="21"/>
    <m/>
    <s v="S-958 22"/>
    <x v="8"/>
    <x v="8"/>
    <s v="EMEA"/>
    <s v="Berglund"/>
    <s v="Christina"/>
    <x v="1"/>
  </r>
  <r>
    <n v="10339"/>
    <x v="36"/>
    <n v="100"/>
    <n v="13"/>
    <x v="1"/>
    <x v="1809"/>
    <s v="2/24/2003 0:1839"/>
    <x v="0"/>
    <x v="0"/>
    <s v="Shipped"/>
    <x v="3"/>
    <x v="5"/>
    <x v="1"/>
    <x v="3"/>
    <n v="88"/>
    <s v="S24_3151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2"/>
  </r>
  <r>
    <n v="10350"/>
    <x v="0"/>
    <n v="100"/>
    <n v="9"/>
    <x v="0"/>
    <x v="1810"/>
    <s v="2/24/2003 0:1840"/>
    <x v="0"/>
    <x v="0"/>
    <s v="Shipped"/>
    <x v="3"/>
    <x v="6"/>
    <x v="1"/>
    <x v="3"/>
    <n v="88"/>
    <s v="S24_3151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73"/>
    <x v="29"/>
    <n v="57.32"/>
    <n v="12"/>
    <x v="0"/>
    <x v="1811"/>
    <s v="2/24/2003 0:1841"/>
    <x v="0"/>
    <x v="0"/>
    <s v="Shipped"/>
    <x v="0"/>
    <x v="7"/>
    <x v="2"/>
    <x v="3"/>
    <n v="88"/>
    <s v="S24_3151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384"/>
    <x v="30"/>
    <n v="97.87"/>
    <n v="2"/>
    <x v="1"/>
    <x v="1812"/>
    <s v="2/24/2003 0:1842"/>
    <x v="0"/>
    <x v="0"/>
    <s v="Shipped"/>
    <x v="0"/>
    <x v="0"/>
    <x v="2"/>
    <x v="3"/>
    <n v="88"/>
    <s v="S24_3151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396"/>
    <x v="26"/>
    <n v="83.2"/>
    <n v="7"/>
    <x v="0"/>
    <x v="1813"/>
    <s v="2/24/2003 0:1843"/>
    <x v="0"/>
    <x v="0"/>
    <s v="Shipped"/>
    <x v="0"/>
    <x v="11"/>
    <x v="2"/>
    <x v="3"/>
    <n v="88"/>
    <s v="S24_315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14"/>
    <x v="46"/>
    <n v="100"/>
    <n v="5"/>
    <x v="1"/>
    <x v="1814"/>
    <s v="2/24/2003 0:1844"/>
    <x v="4"/>
    <x v="1"/>
    <s v="On Hold"/>
    <x v="1"/>
    <x v="1"/>
    <x v="2"/>
    <x v="3"/>
    <n v="88"/>
    <s v="S24_3151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110"/>
    <x v="26"/>
    <n v="73.62"/>
    <n v="12"/>
    <x v="0"/>
    <x v="1815"/>
    <s v="2/24/2003 0:1845"/>
    <x v="0"/>
    <x v="0"/>
    <s v="Shipped"/>
    <x v="0"/>
    <x v="11"/>
    <x v="0"/>
    <x v="1"/>
    <n v="85"/>
    <s v="S24_3191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124"/>
    <x v="4"/>
    <n v="83.04"/>
    <n v="11"/>
    <x v="1"/>
    <x v="1816"/>
    <s v="2/24/2003 0:1846"/>
    <x v="0"/>
    <x v="0"/>
    <s v="Shipped"/>
    <x v="1"/>
    <x v="1"/>
    <x v="0"/>
    <x v="1"/>
    <n v="85"/>
    <s v="S24_3191"/>
    <s v="Signal Gift Stores"/>
    <n v="7025551838"/>
    <s v="8489 Strong St."/>
    <m/>
    <s v="Las Vegas"/>
    <x v="67"/>
    <s v="NV"/>
    <n v="83030"/>
    <x v="0"/>
    <x v="0"/>
    <s v="NA"/>
    <s v="King"/>
    <s v="Sue"/>
    <x v="1"/>
  </r>
  <r>
    <n v="10148"/>
    <x v="28"/>
    <n v="73.62"/>
    <n v="5"/>
    <x v="0"/>
    <x v="1817"/>
    <s v="2/24/2003 0:1847"/>
    <x v="0"/>
    <x v="0"/>
    <s v="Shipped"/>
    <x v="2"/>
    <x v="10"/>
    <x v="0"/>
    <x v="1"/>
    <n v="85"/>
    <s v="S24_3191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61"/>
    <x v="14"/>
    <n v="77.05"/>
    <n v="4"/>
    <x v="0"/>
    <x v="1818"/>
    <s v="2/24/2003 0:1848"/>
    <x v="0"/>
    <x v="0"/>
    <s v="Shipped"/>
    <x v="3"/>
    <x v="4"/>
    <x v="0"/>
    <x v="1"/>
    <n v="85"/>
    <s v="S24_3191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172"/>
    <x v="16"/>
    <n v="81.33"/>
    <n v="2"/>
    <x v="0"/>
    <x v="1819"/>
    <s v="2/24/2003 0:1849"/>
    <x v="0"/>
    <x v="0"/>
    <s v="Shipped"/>
    <x v="3"/>
    <x v="5"/>
    <x v="0"/>
    <x v="1"/>
    <n v="85"/>
    <s v="S24_3191"/>
    <s v="Gift Depot Inc."/>
    <n v="2035552570"/>
    <s v="25593 South Bay Ln."/>
    <m/>
    <s v="Bridgewater"/>
    <x v="10"/>
    <s v="CT"/>
    <n v="97562"/>
    <x v="0"/>
    <x v="0"/>
    <s v="NA"/>
    <s v="King"/>
    <s v="Julie"/>
    <x v="0"/>
  </r>
  <r>
    <n v="10182"/>
    <x v="29"/>
    <n v="94.17"/>
    <n v="15"/>
    <x v="0"/>
    <x v="1820"/>
    <s v="2/24/2003 0:1850"/>
    <x v="0"/>
    <x v="0"/>
    <s v="Shipped"/>
    <x v="3"/>
    <x v="5"/>
    <x v="0"/>
    <x v="1"/>
    <n v="85"/>
    <s v="S24_319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92"/>
    <x v="22"/>
    <n v="72.77"/>
    <n v="3"/>
    <x v="0"/>
    <x v="1821"/>
    <s v="2/24/2003 0:1851"/>
    <x v="0"/>
    <x v="0"/>
    <s v="Shipped"/>
    <x v="3"/>
    <x v="5"/>
    <x v="0"/>
    <x v="1"/>
    <n v="85"/>
    <s v="S24_3191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204"/>
    <x v="23"/>
    <n v="79.62"/>
    <n v="9"/>
    <x v="0"/>
    <x v="1822"/>
    <s v="2/24/2003 0:1852"/>
    <x v="0"/>
    <x v="0"/>
    <s v="Shipped"/>
    <x v="3"/>
    <x v="6"/>
    <x v="0"/>
    <x v="1"/>
    <n v="85"/>
    <s v="S24_3191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12"/>
    <x v="26"/>
    <n v="79.62"/>
    <n v="2"/>
    <x v="0"/>
    <x v="1823"/>
    <s v="2/24/2003 0:1853"/>
    <x v="0"/>
    <x v="0"/>
    <s v="Shipped"/>
    <x v="0"/>
    <x v="7"/>
    <x v="1"/>
    <x v="1"/>
    <n v="85"/>
    <s v="S24_319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27"/>
    <x v="23"/>
    <n v="79.62"/>
    <n v="15"/>
    <x v="0"/>
    <x v="1822"/>
    <s v="2/24/2003 0:1854"/>
    <x v="0"/>
    <x v="0"/>
    <s v="Shipped"/>
    <x v="0"/>
    <x v="11"/>
    <x v="1"/>
    <x v="1"/>
    <n v="85"/>
    <s v="S24_3191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41"/>
    <x v="18"/>
    <n v="81.33"/>
    <n v="7"/>
    <x v="0"/>
    <x v="1824"/>
    <s v="2/24/2003 0:1855"/>
    <x v="0"/>
    <x v="0"/>
    <s v="Shipped"/>
    <x v="1"/>
    <x v="8"/>
    <x v="1"/>
    <x v="1"/>
    <n v="85"/>
    <s v="S24_3191"/>
    <s v="Mini Caravy"/>
    <s v="88.60.1555"/>
    <s v="24, place Kluber"/>
    <m/>
    <s v="Strasbourg"/>
    <x v="66"/>
    <m/>
    <n v="67000"/>
    <x v="1"/>
    <x v="1"/>
    <s v="EMEA"/>
    <s v="Citeaux"/>
    <s v="Frederique"/>
    <x v="0"/>
  </r>
  <r>
    <n v="10267"/>
    <x v="27"/>
    <n v="96.74"/>
    <n v="4"/>
    <x v="1"/>
    <x v="1825"/>
    <s v="2/24/2003 0:1856"/>
    <x v="0"/>
    <x v="0"/>
    <s v="Shipped"/>
    <x v="2"/>
    <x v="2"/>
    <x v="1"/>
    <x v="1"/>
    <n v="85"/>
    <s v="S24_3191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79"/>
    <x v="29"/>
    <n v="71.06"/>
    <n v="4"/>
    <x v="0"/>
    <x v="1826"/>
    <s v="2/24/2003 0:1857"/>
    <x v="0"/>
    <x v="0"/>
    <s v="Shipped"/>
    <x v="2"/>
    <x v="3"/>
    <x v="1"/>
    <x v="1"/>
    <n v="85"/>
    <s v="S24_319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88"/>
    <x v="1"/>
    <n v="68.489999999999995"/>
    <n v="10"/>
    <x v="0"/>
    <x v="1827"/>
    <s v="2/24/2003 0:1858"/>
    <x v="0"/>
    <x v="0"/>
    <s v="Shipped"/>
    <x v="2"/>
    <x v="10"/>
    <x v="1"/>
    <x v="1"/>
    <n v="85"/>
    <s v="S24_3191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302"/>
    <x v="7"/>
    <n v="74.48"/>
    <n v="6"/>
    <x v="0"/>
    <x v="1828"/>
    <s v="2/24/2003 0:1859"/>
    <x v="0"/>
    <x v="0"/>
    <s v="Shipped"/>
    <x v="3"/>
    <x v="4"/>
    <x v="0"/>
    <x v="1"/>
    <n v="85"/>
    <s v="S24_3191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311"/>
    <x v="32"/>
    <n v="83.04"/>
    <n v="5"/>
    <x v="0"/>
    <x v="1829"/>
    <s v="2/24/2003 0:1860"/>
    <x v="0"/>
    <x v="0"/>
    <s v="Shipped"/>
    <x v="3"/>
    <x v="4"/>
    <x v="1"/>
    <x v="1"/>
    <n v="85"/>
    <s v="S24_319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21"/>
    <x v="25"/>
    <n v="84.75"/>
    <n v="2"/>
    <x v="0"/>
    <x v="1830"/>
    <s v="2/24/2003 0:1861"/>
    <x v="0"/>
    <x v="0"/>
    <s v="Shipped"/>
    <x v="3"/>
    <x v="5"/>
    <x v="1"/>
    <x v="1"/>
    <n v="85"/>
    <s v="S24_3191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332"/>
    <x v="3"/>
    <n v="34.19"/>
    <n v="12"/>
    <x v="0"/>
    <x v="1831"/>
    <s v="2/24/2003 0:1862"/>
    <x v="0"/>
    <x v="0"/>
    <s v="Shipped"/>
    <x v="3"/>
    <x v="5"/>
    <x v="1"/>
    <x v="1"/>
    <n v="85"/>
    <s v="S24_3191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46"/>
    <x v="16"/>
    <n v="100"/>
    <n v="2"/>
    <x v="0"/>
    <x v="1832"/>
    <s v="2/24/2003 0:1863"/>
    <x v="0"/>
    <x v="0"/>
    <s v="Shipped"/>
    <x v="3"/>
    <x v="5"/>
    <x v="1"/>
    <x v="1"/>
    <n v="85"/>
    <s v="S24_3191"/>
    <s v="Signal Gift Stores"/>
    <n v="7025551838"/>
    <s v="8489 Strong St."/>
    <m/>
    <s v="Las Vegas"/>
    <x v="67"/>
    <s v="NV"/>
    <n v="83030"/>
    <x v="0"/>
    <x v="0"/>
    <s v="NA"/>
    <s v="King"/>
    <s v="Sue"/>
    <x v="1"/>
  </r>
  <r>
    <n v="10368"/>
    <x v="12"/>
    <n v="79.62"/>
    <n v="1"/>
    <x v="0"/>
    <x v="1833"/>
    <s v="2/24/2003 0:1864"/>
    <x v="0"/>
    <x v="0"/>
    <s v="Shipped"/>
    <x v="0"/>
    <x v="7"/>
    <x v="2"/>
    <x v="1"/>
    <n v="85"/>
    <s v="S24_319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80"/>
    <x v="27"/>
    <n v="79.06"/>
    <n v="9"/>
    <x v="0"/>
    <x v="1834"/>
    <s v="2/24/2003 0:1865"/>
    <x v="0"/>
    <x v="0"/>
    <s v="Shipped"/>
    <x v="0"/>
    <x v="0"/>
    <x v="2"/>
    <x v="1"/>
    <n v="85"/>
    <s v="S24_3191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07"/>
    <x v="51"/>
    <n v="81.33"/>
    <n v="7"/>
    <x v="0"/>
    <x v="1835"/>
    <s v="2/24/2003 0:1866"/>
    <x v="4"/>
    <x v="1"/>
    <s v="On Hold"/>
    <x v="1"/>
    <x v="8"/>
    <x v="2"/>
    <x v="1"/>
    <n v="85"/>
    <s v="S24_3191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420"/>
    <x v="21"/>
    <n v="96.74"/>
    <n v="10"/>
    <x v="0"/>
    <x v="1836"/>
    <s v="2/24/2003 0:1867"/>
    <x v="2"/>
    <x v="1"/>
    <s v="In Process"/>
    <x v="1"/>
    <x v="1"/>
    <x v="2"/>
    <x v="1"/>
    <n v="85"/>
    <s v="S24_3191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108"/>
    <x v="0"/>
    <n v="63.07"/>
    <n v="5"/>
    <x v="0"/>
    <x v="1837"/>
    <s v="2/24/2003 0:1868"/>
    <x v="0"/>
    <x v="0"/>
    <s v="Shipped"/>
    <x v="0"/>
    <x v="11"/>
    <x v="0"/>
    <x v="1"/>
    <n v="61"/>
    <s v="S24_3371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0"/>
  </r>
  <r>
    <n v="10122"/>
    <x v="1"/>
    <n v="50.21"/>
    <n v="9"/>
    <x v="0"/>
    <x v="1838"/>
    <s v="2/24/2003 0:1869"/>
    <x v="0"/>
    <x v="0"/>
    <s v="Shipped"/>
    <x v="1"/>
    <x v="1"/>
    <x v="0"/>
    <x v="1"/>
    <n v="61"/>
    <s v="S24_3371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135"/>
    <x v="26"/>
    <n v="66.13"/>
    <n v="6"/>
    <x v="0"/>
    <x v="1839"/>
    <s v="2/24/2003 0:1870"/>
    <x v="0"/>
    <x v="0"/>
    <s v="Shipped"/>
    <x v="2"/>
    <x v="2"/>
    <x v="0"/>
    <x v="1"/>
    <n v="61"/>
    <s v="S24_337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47"/>
    <x v="0"/>
    <n v="68.58"/>
    <n v="6"/>
    <x v="0"/>
    <x v="1840"/>
    <s v="2/24/2003 0:1871"/>
    <x v="0"/>
    <x v="0"/>
    <s v="Shipped"/>
    <x v="2"/>
    <x v="10"/>
    <x v="0"/>
    <x v="1"/>
    <n v="61"/>
    <s v="S24_3371"/>
    <s v="Collectables For Less Inc."/>
    <n v="6175558555"/>
    <s v="7825 Douglas Av."/>
    <m/>
    <s v="Brickhaven"/>
    <x v="35"/>
    <s v="MA"/>
    <n v="58339"/>
    <x v="0"/>
    <x v="0"/>
    <s v="NA"/>
    <s v="Nelson"/>
    <s v="Allen"/>
    <x v="0"/>
  </r>
  <r>
    <n v="10159"/>
    <x v="24"/>
    <n v="69.8"/>
    <n v="1"/>
    <x v="0"/>
    <x v="1841"/>
    <s v="2/24/2003 0:1872"/>
    <x v="0"/>
    <x v="0"/>
    <s v="Shipped"/>
    <x v="3"/>
    <x v="4"/>
    <x v="0"/>
    <x v="1"/>
    <n v="61"/>
    <s v="S24_3371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169"/>
    <x v="1"/>
    <n v="50.21"/>
    <n v="1"/>
    <x v="0"/>
    <x v="1838"/>
    <s v="2/24/2003 0:1873"/>
    <x v="0"/>
    <x v="0"/>
    <s v="Shipped"/>
    <x v="3"/>
    <x v="5"/>
    <x v="0"/>
    <x v="1"/>
    <n v="61"/>
    <s v="S24_3371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81"/>
    <x v="10"/>
    <n v="65.52"/>
    <n v="13"/>
    <x v="0"/>
    <x v="1842"/>
    <s v="2/24/2003 0:1874"/>
    <x v="0"/>
    <x v="0"/>
    <s v="Shipped"/>
    <x v="3"/>
    <x v="5"/>
    <x v="0"/>
    <x v="1"/>
    <n v="61"/>
    <s v="S24_3371"/>
    <s v="Herkku Gifts"/>
    <s v="+47 2267 3215"/>
    <s v="Drammen 121, PR 744 Sentrum"/>
    <m/>
    <s v="Bergen"/>
    <x v="7"/>
    <m/>
    <s v="N 5804"/>
    <x v="2"/>
    <x v="2"/>
    <s v="EMEA"/>
    <s v="Oeztan"/>
    <s v="Veysel"/>
    <x v="0"/>
  </r>
  <r>
    <n v="10191"/>
    <x v="7"/>
    <n v="60.01"/>
    <n v="2"/>
    <x v="0"/>
    <x v="1843"/>
    <s v="2/24/2003 0:1875"/>
    <x v="0"/>
    <x v="0"/>
    <s v="Shipped"/>
    <x v="3"/>
    <x v="5"/>
    <x v="0"/>
    <x v="1"/>
    <n v="61"/>
    <s v="S24_3371"/>
    <s v="Toms Spezialitten, Ltd"/>
    <s v="0221-5554327"/>
    <s v="Mehrheimerstr. 369"/>
    <m/>
    <s v="Koln"/>
    <x v="55"/>
    <m/>
    <n v="50739"/>
    <x v="16"/>
    <x v="16"/>
    <s v="EMEA"/>
    <s v="Pfalzheim"/>
    <s v="Henriette"/>
    <x v="0"/>
  </r>
  <r>
    <n v="10203"/>
    <x v="1"/>
    <n v="64.900000000000006"/>
    <n v="7"/>
    <x v="0"/>
    <x v="1844"/>
    <s v="2/24/2003 0:1876"/>
    <x v="0"/>
    <x v="0"/>
    <s v="Shipped"/>
    <x v="3"/>
    <x v="6"/>
    <x v="0"/>
    <x v="1"/>
    <n v="61"/>
    <s v="S24_337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11"/>
    <x v="7"/>
    <n v="48.98"/>
    <n v="1"/>
    <x v="0"/>
    <x v="1845"/>
    <s v="2/24/2003 0:1877"/>
    <x v="0"/>
    <x v="0"/>
    <s v="Shipped"/>
    <x v="0"/>
    <x v="7"/>
    <x v="1"/>
    <x v="1"/>
    <n v="61"/>
    <s v="S24_3371"/>
    <s v="Auto Canal Petit"/>
    <s v="(1) 47.55.6555"/>
    <s v="25, rue Lauriston"/>
    <m/>
    <s v="Paris"/>
    <x v="2"/>
    <m/>
    <n v="75016"/>
    <x v="1"/>
    <x v="1"/>
    <s v="EMEA"/>
    <s v="Perrier"/>
    <s v="Dominique"/>
    <x v="0"/>
  </r>
  <r>
    <n v="10225"/>
    <x v="16"/>
    <n v="50.21"/>
    <n v="8"/>
    <x v="0"/>
    <x v="1846"/>
    <s v="2/24/2003 0:1878"/>
    <x v="0"/>
    <x v="0"/>
    <s v="Shipped"/>
    <x v="0"/>
    <x v="0"/>
    <x v="1"/>
    <x v="1"/>
    <n v="61"/>
    <s v="S24_3371"/>
    <s v="Vida Sport, Ltd"/>
    <s v="0897-034555"/>
    <s v="Grenzacherweg 237"/>
    <m/>
    <s v="Gensve"/>
    <x v="56"/>
    <m/>
    <n v="1203"/>
    <x v="17"/>
    <x v="17"/>
    <s v="EMEA"/>
    <s v="Holz"/>
    <s v="Michael"/>
    <x v="0"/>
  </r>
  <r>
    <n v="10238"/>
    <x v="20"/>
    <n v="62.45"/>
    <n v="2"/>
    <x v="0"/>
    <x v="1847"/>
    <s v="2/24/2003 0:1879"/>
    <x v="0"/>
    <x v="0"/>
    <s v="Shipped"/>
    <x v="1"/>
    <x v="8"/>
    <x v="1"/>
    <x v="1"/>
    <n v="61"/>
    <s v="S24_3371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253"/>
    <x v="16"/>
    <n v="52.66"/>
    <n v="12"/>
    <x v="0"/>
    <x v="1848"/>
    <s v="2/24/2003 0:1880"/>
    <x v="3"/>
    <x v="1"/>
    <s v="Cancelled"/>
    <x v="1"/>
    <x v="9"/>
    <x v="1"/>
    <x v="1"/>
    <n v="61"/>
    <s v="S24_3371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0"/>
  </r>
  <r>
    <n v="10266"/>
    <x v="20"/>
    <n v="62.45"/>
    <n v="13"/>
    <x v="0"/>
    <x v="1847"/>
    <s v="2/24/2003 0:1881"/>
    <x v="0"/>
    <x v="0"/>
    <s v="Shipped"/>
    <x v="2"/>
    <x v="2"/>
    <x v="1"/>
    <x v="1"/>
    <n v="61"/>
    <s v="S24_3371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276"/>
    <x v="14"/>
    <n v="61.23"/>
    <n v="2"/>
    <x v="0"/>
    <x v="1849"/>
    <s v="2/24/2003 0:1882"/>
    <x v="0"/>
    <x v="0"/>
    <s v="Shipped"/>
    <x v="2"/>
    <x v="3"/>
    <x v="1"/>
    <x v="1"/>
    <n v="61"/>
    <s v="S24_3371"/>
    <s v="Online Mini Collectables"/>
    <n v="6175557555"/>
    <s v="7635 Spinnaker Dr."/>
    <m/>
    <s v="Brickhaven"/>
    <x v="35"/>
    <s v="MA"/>
    <n v="58339"/>
    <x v="0"/>
    <x v="0"/>
    <s v="NA"/>
    <s v="Barajas"/>
    <s v="Miguel"/>
    <x v="0"/>
  </r>
  <r>
    <n v="10287"/>
    <x v="14"/>
    <n v="67.97"/>
    <n v="11"/>
    <x v="0"/>
    <x v="1850"/>
    <s v="2/24/2003 0:1883"/>
    <x v="0"/>
    <x v="0"/>
    <s v="Shipped"/>
    <x v="2"/>
    <x v="3"/>
    <x v="1"/>
    <x v="1"/>
    <n v="61"/>
    <s v="S24_3371"/>
    <s v="Vida Sport, Ltd"/>
    <s v="0897-034555"/>
    <s v="Grenzacherweg 237"/>
    <m/>
    <s v="Gensve"/>
    <x v="56"/>
    <m/>
    <n v="1203"/>
    <x v="17"/>
    <x v="17"/>
    <s v="EMEA"/>
    <s v="Holz"/>
    <s v="Michael"/>
    <x v="0"/>
  </r>
  <r>
    <n v="10300"/>
    <x v="28"/>
    <n v="58.78"/>
    <n v="4"/>
    <x v="0"/>
    <x v="1851"/>
    <s v="2/24/2003 0:1884"/>
    <x v="0"/>
    <x v="0"/>
    <s v="Shipped"/>
    <x v="3"/>
    <x v="4"/>
    <x v="0"/>
    <x v="1"/>
    <n v="61"/>
    <s v="S24_3371"/>
    <s v="Blauer See Auto, Co."/>
    <s v="+49 69 66 90 2555"/>
    <s v="Lyonerstr. 34"/>
    <m/>
    <s v="Frankfurt"/>
    <x v="58"/>
    <m/>
    <n v="60528"/>
    <x v="16"/>
    <x v="16"/>
    <s v="EMEA"/>
    <s v="Keitel"/>
    <s v="Roland"/>
    <x v="0"/>
  </r>
  <r>
    <n v="10310"/>
    <x v="19"/>
    <n v="56.94"/>
    <n v="9"/>
    <x v="0"/>
    <x v="1852"/>
    <s v="2/24/2003 0:1885"/>
    <x v="0"/>
    <x v="0"/>
    <s v="Shipped"/>
    <x v="3"/>
    <x v="4"/>
    <x v="1"/>
    <x v="1"/>
    <n v="61"/>
    <s v="S24_3371"/>
    <s v="Toms Spezialitten, Ltd"/>
    <s v="0221-5554327"/>
    <s v="Mehrheimerstr. 369"/>
    <m/>
    <s v="Koln"/>
    <x v="55"/>
    <m/>
    <n v="50739"/>
    <x v="16"/>
    <x v="16"/>
    <s v="EMEA"/>
    <s v="Pfalzheim"/>
    <s v="Henriette"/>
    <x v="0"/>
  </r>
  <r>
    <n v="10320"/>
    <x v="18"/>
    <n v="61.23"/>
    <n v="2"/>
    <x v="0"/>
    <x v="1853"/>
    <s v="2/24/2003 0:1886"/>
    <x v="0"/>
    <x v="0"/>
    <s v="Shipped"/>
    <x v="3"/>
    <x v="5"/>
    <x v="1"/>
    <x v="1"/>
    <n v="61"/>
    <s v="S24_3371"/>
    <s v="Volvo Model Replicas, Co"/>
    <s v="0921-12 3555"/>
    <s v="Berguvsv„gen  8"/>
    <m/>
    <s v="Lule"/>
    <x v="21"/>
    <m/>
    <s v="S-958 22"/>
    <x v="8"/>
    <x v="8"/>
    <s v="EMEA"/>
    <s v="Berglund"/>
    <s v="Christina"/>
    <x v="0"/>
  </r>
  <r>
    <n v="10331"/>
    <x v="32"/>
    <n v="100"/>
    <n v="9"/>
    <x v="0"/>
    <x v="1854"/>
    <s v="2/24/2003 0:1887"/>
    <x v="0"/>
    <x v="0"/>
    <s v="Shipped"/>
    <x v="3"/>
    <x v="5"/>
    <x v="1"/>
    <x v="1"/>
    <n v="61"/>
    <s v="S24_3371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342"/>
    <x v="7"/>
    <n v="62.45"/>
    <n v="10"/>
    <x v="0"/>
    <x v="1855"/>
    <s v="2/24/2003 0:1888"/>
    <x v="0"/>
    <x v="0"/>
    <s v="Shipped"/>
    <x v="3"/>
    <x v="5"/>
    <x v="1"/>
    <x v="1"/>
    <n v="61"/>
    <s v="S24_3371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355"/>
    <x v="27"/>
    <n v="62.45"/>
    <n v="6"/>
    <x v="0"/>
    <x v="1856"/>
    <s v="2/24/2003 0:1889"/>
    <x v="0"/>
    <x v="0"/>
    <s v="Shipped"/>
    <x v="3"/>
    <x v="6"/>
    <x v="1"/>
    <x v="1"/>
    <n v="61"/>
    <s v="S24_337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63"/>
    <x v="15"/>
    <n v="100"/>
    <n v="15"/>
    <x v="0"/>
    <x v="1857"/>
    <s v="2/24/2003 0:1890"/>
    <x v="0"/>
    <x v="0"/>
    <s v="Shipped"/>
    <x v="0"/>
    <x v="7"/>
    <x v="2"/>
    <x v="1"/>
    <n v="61"/>
    <s v="S24_3371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378"/>
    <x v="12"/>
    <n v="41.54"/>
    <n v="6"/>
    <x v="0"/>
    <x v="1858"/>
    <s v="2/24/2003 0:1891"/>
    <x v="0"/>
    <x v="0"/>
    <s v="Shipped"/>
    <x v="0"/>
    <x v="0"/>
    <x v="2"/>
    <x v="1"/>
    <n v="61"/>
    <s v="S24_337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0"/>
    <x v="12"/>
    <n v="52.84"/>
    <n v="6"/>
    <x v="0"/>
    <x v="1859"/>
    <s v="2/24/2003 0:1892"/>
    <x v="0"/>
    <x v="0"/>
    <s v="Shipped"/>
    <x v="0"/>
    <x v="11"/>
    <x v="2"/>
    <x v="1"/>
    <n v="61"/>
    <s v="S24_3371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19"/>
    <x v="36"/>
    <n v="52.66"/>
    <n v="12"/>
    <x v="0"/>
    <x v="1860"/>
    <s v="2/24/2003 0:1893"/>
    <x v="0"/>
    <x v="0"/>
    <s v="Shipped"/>
    <x v="1"/>
    <x v="1"/>
    <x v="2"/>
    <x v="1"/>
    <n v="61"/>
    <s v="S24_3371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06"/>
    <x v="28"/>
    <n v="52.6"/>
    <n v="14"/>
    <x v="0"/>
    <x v="1861"/>
    <s v="2/24/2003 0:1894"/>
    <x v="0"/>
    <x v="0"/>
    <s v="Shipped"/>
    <x v="0"/>
    <x v="0"/>
    <x v="0"/>
    <x v="3"/>
    <n v="65"/>
    <s v="S24_3420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19"/>
    <x v="14"/>
    <n v="72.98"/>
    <n v="5"/>
    <x v="0"/>
    <x v="1862"/>
    <s v="2/24/2003 0:1895"/>
    <x v="0"/>
    <x v="0"/>
    <s v="Shipped"/>
    <x v="1"/>
    <x v="8"/>
    <x v="0"/>
    <x v="3"/>
    <n v="65"/>
    <s v="S24_3420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31"/>
    <x v="6"/>
    <n v="59.18"/>
    <n v="6"/>
    <x v="0"/>
    <x v="1863"/>
    <s v="2/24/2003 0:1896"/>
    <x v="0"/>
    <x v="0"/>
    <s v="Shipped"/>
    <x v="1"/>
    <x v="9"/>
    <x v="0"/>
    <x v="3"/>
    <n v="65"/>
    <s v="S24_3420"/>
    <s v="Gift Ideas Corp."/>
    <n v="2035554407"/>
    <s v="2440 Pompton St."/>
    <m/>
    <s v="Glendale"/>
    <x v="63"/>
    <s v="CT"/>
    <n v="97561"/>
    <x v="0"/>
    <x v="0"/>
    <s v="NA"/>
    <s v="Lewis"/>
    <s v="Dan"/>
    <x v="0"/>
  </r>
  <r>
    <n v="10143"/>
    <x v="29"/>
    <n v="77.59"/>
    <n v="9"/>
    <x v="0"/>
    <x v="1864"/>
    <s v="2/24/2003 0:1897"/>
    <x v="0"/>
    <x v="0"/>
    <s v="Shipped"/>
    <x v="2"/>
    <x v="3"/>
    <x v="0"/>
    <x v="3"/>
    <n v="65"/>
    <s v="S24_3420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55"/>
    <x v="1"/>
    <n v="55.89"/>
    <n v="7"/>
    <x v="0"/>
    <x v="1865"/>
    <s v="2/24/2003 0:1898"/>
    <x v="0"/>
    <x v="0"/>
    <s v="Shipped"/>
    <x v="3"/>
    <x v="4"/>
    <x v="0"/>
    <x v="3"/>
    <n v="65"/>
    <s v="S24_3420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167"/>
    <x v="22"/>
    <n v="63.12"/>
    <n v="3"/>
    <x v="0"/>
    <x v="1866"/>
    <s v="2/24/2003 0:1899"/>
    <x v="3"/>
    <x v="1"/>
    <s v="Cancelled"/>
    <x v="3"/>
    <x v="4"/>
    <x v="0"/>
    <x v="3"/>
    <n v="65"/>
    <s v="S24_3420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178"/>
    <x v="26"/>
    <n v="73.64"/>
    <n v="6"/>
    <x v="0"/>
    <x v="1867"/>
    <s v="2/24/2003 0:1900"/>
    <x v="0"/>
    <x v="0"/>
    <s v="Shipped"/>
    <x v="3"/>
    <x v="5"/>
    <x v="0"/>
    <x v="3"/>
    <n v="65"/>
    <s v="S24_3420"/>
    <s v="Alpha Cognac"/>
    <s v="61.77.6555"/>
    <s v="1 rue Alsace-Lorraine"/>
    <m/>
    <s v="Toulouse"/>
    <x v="42"/>
    <m/>
    <n v="31000"/>
    <x v="1"/>
    <x v="1"/>
    <s v="EMEA"/>
    <s v="Roulet"/>
    <s v="Annette"/>
    <x v="0"/>
  </r>
  <r>
    <n v="10186"/>
    <x v="15"/>
    <n v="69.040000000000006"/>
    <n v="3"/>
    <x v="0"/>
    <x v="1868"/>
    <s v="2/24/2003 0:1901"/>
    <x v="0"/>
    <x v="0"/>
    <s v="Shipped"/>
    <x v="3"/>
    <x v="5"/>
    <x v="0"/>
    <x v="3"/>
    <n v="65"/>
    <s v="S24_3420"/>
    <s v="Double Decker Gift Stores, Ltd"/>
    <s v="(171) 555-7555"/>
    <s v="120 Hanover Sq."/>
    <m/>
    <s v="London"/>
    <x v="41"/>
    <m/>
    <s v="WA1 1DP"/>
    <x v="6"/>
    <x v="6"/>
    <s v="EMEA"/>
    <s v="Hardy"/>
    <s v="Thomas"/>
    <x v="0"/>
  </r>
  <r>
    <n v="10198"/>
    <x v="26"/>
    <n v="71.67"/>
    <n v="6"/>
    <x v="0"/>
    <x v="1869"/>
    <s v="2/24/2003 0:1902"/>
    <x v="0"/>
    <x v="0"/>
    <s v="Shipped"/>
    <x v="3"/>
    <x v="5"/>
    <x v="0"/>
    <x v="3"/>
    <n v="65"/>
    <s v="S24_3420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0"/>
  </r>
  <r>
    <n v="10209"/>
    <x v="5"/>
    <n v="77.59"/>
    <n v="2"/>
    <x v="0"/>
    <x v="1870"/>
    <s v="2/24/2003 0:1903"/>
    <x v="0"/>
    <x v="0"/>
    <s v="Shipped"/>
    <x v="0"/>
    <x v="7"/>
    <x v="1"/>
    <x v="3"/>
    <n v="65"/>
    <s v="S24_3420"/>
    <s v="Men 'R' US Retailers, Ltd."/>
    <n v="2155554369"/>
    <s v="6047 Douglas Av."/>
    <m/>
    <s v="Los Angeles"/>
    <x v="44"/>
    <s v="CA"/>
    <m/>
    <x v="0"/>
    <x v="0"/>
    <s v="NA"/>
    <s v="Chandler"/>
    <s v="Michael"/>
    <x v="0"/>
  </r>
  <r>
    <n v="10222"/>
    <x v="30"/>
    <n v="70.349999999999994"/>
    <n v="6"/>
    <x v="0"/>
    <x v="1871"/>
    <s v="2/24/2003 0:1904"/>
    <x v="0"/>
    <x v="0"/>
    <s v="Shipped"/>
    <x v="0"/>
    <x v="0"/>
    <x v="1"/>
    <x v="3"/>
    <n v="65"/>
    <s v="S24_3420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49"/>
    <x v="32"/>
    <n v="69.7"/>
    <n v="2"/>
    <x v="0"/>
    <x v="1872"/>
    <s v="2/24/2003 0:1905"/>
    <x v="0"/>
    <x v="0"/>
    <s v="Shipped"/>
    <x v="1"/>
    <x v="1"/>
    <x v="1"/>
    <x v="3"/>
    <n v="65"/>
    <s v="S24_3420"/>
    <s v="Cambridge Collectables Co."/>
    <n v="6175555555"/>
    <s v="4658 Baden Av."/>
    <m/>
    <s v="Cambridge"/>
    <x v="12"/>
    <s v="MA"/>
    <n v="51247"/>
    <x v="0"/>
    <x v="0"/>
    <s v="NA"/>
    <s v="Tseng"/>
    <s v="Kyung"/>
    <x v="0"/>
  </r>
  <r>
    <n v="10262"/>
    <x v="12"/>
    <n v="70.349999999999994"/>
    <n v="11"/>
    <x v="0"/>
    <x v="1873"/>
    <s v="2/24/2003 0:1906"/>
    <x v="3"/>
    <x v="1"/>
    <s v="Cancelled"/>
    <x v="1"/>
    <x v="9"/>
    <x v="1"/>
    <x v="3"/>
    <n v="65"/>
    <s v="S24_342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74"/>
    <x v="16"/>
    <n v="72.33"/>
    <n v="3"/>
    <x v="0"/>
    <x v="1874"/>
    <s v="2/24/2003 0:1907"/>
    <x v="0"/>
    <x v="0"/>
    <s v="Shipped"/>
    <x v="2"/>
    <x v="2"/>
    <x v="1"/>
    <x v="3"/>
    <n v="65"/>
    <s v="S24_3420"/>
    <s v="Collectables For Less Inc."/>
    <n v="6175558555"/>
    <s v="7825 Douglas Av."/>
    <m/>
    <s v="Brickhaven"/>
    <x v="35"/>
    <s v="MA"/>
    <n v="58339"/>
    <x v="0"/>
    <x v="0"/>
    <s v="NA"/>
    <s v="Nelson"/>
    <s v="Allen"/>
    <x v="0"/>
  </r>
  <r>
    <n v="10284"/>
    <x v="25"/>
    <n v="71.67"/>
    <n v="13"/>
    <x v="0"/>
    <x v="1875"/>
    <s v="2/24/2003 0:1908"/>
    <x v="0"/>
    <x v="0"/>
    <s v="Shipped"/>
    <x v="2"/>
    <x v="3"/>
    <x v="1"/>
    <x v="3"/>
    <n v="65"/>
    <s v="S24_3420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296"/>
    <x v="28"/>
    <n v="53.92"/>
    <n v="9"/>
    <x v="0"/>
    <x v="1876"/>
    <s v="2/24/2003 0:1909"/>
    <x v="0"/>
    <x v="0"/>
    <s v="Shipped"/>
    <x v="2"/>
    <x v="10"/>
    <x v="1"/>
    <x v="3"/>
    <n v="65"/>
    <s v="S24_3420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0"/>
  </r>
  <r>
    <n v="10307"/>
    <x v="8"/>
    <n v="71.67"/>
    <n v="3"/>
    <x v="0"/>
    <x v="1877"/>
    <s v="2/24/2003 0:1910"/>
    <x v="0"/>
    <x v="0"/>
    <s v="Shipped"/>
    <x v="3"/>
    <x v="4"/>
    <x v="1"/>
    <x v="3"/>
    <n v="65"/>
    <s v="S24_3420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0"/>
  </r>
  <r>
    <n v="10316"/>
    <x v="20"/>
    <n v="76.930000000000007"/>
    <n v="11"/>
    <x v="0"/>
    <x v="1878"/>
    <s v="2/24/2003 0:1911"/>
    <x v="0"/>
    <x v="0"/>
    <s v="Shipped"/>
    <x v="3"/>
    <x v="5"/>
    <x v="1"/>
    <x v="3"/>
    <n v="65"/>
    <s v="S24_3420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1"/>
  </r>
  <r>
    <n v="10328"/>
    <x v="14"/>
    <n v="72.98"/>
    <n v="2"/>
    <x v="0"/>
    <x v="1862"/>
    <s v="2/24/2003 0:1912"/>
    <x v="0"/>
    <x v="0"/>
    <s v="Shipped"/>
    <x v="3"/>
    <x v="5"/>
    <x v="1"/>
    <x v="3"/>
    <n v="65"/>
    <s v="S24_3420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339"/>
    <x v="6"/>
    <n v="99.69"/>
    <n v="14"/>
    <x v="0"/>
    <x v="1879"/>
    <s v="2/24/2003 0:1913"/>
    <x v="0"/>
    <x v="0"/>
    <s v="Shipped"/>
    <x v="3"/>
    <x v="5"/>
    <x v="1"/>
    <x v="3"/>
    <n v="65"/>
    <s v="S24_3420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51"/>
    <x v="19"/>
    <n v="68.38"/>
    <n v="4"/>
    <x v="0"/>
    <x v="1880"/>
    <s v="2/24/2003 0:1914"/>
    <x v="0"/>
    <x v="0"/>
    <s v="Shipped"/>
    <x v="3"/>
    <x v="6"/>
    <x v="1"/>
    <x v="3"/>
    <n v="65"/>
    <s v="S24_3420"/>
    <s v="Stylish Desk Decors, Co."/>
    <s v="(171) 555-0297"/>
    <s v="35 King George"/>
    <m/>
    <s v="London"/>
    <x v="41"/>
    <m/>
    <s v="WX3 6FW"/>
    <x v="6"/>
    <x v="6"/>
    <s v="EMEA"/>
    <s v="Brown"/>
    <s v="Ann"/>
    <x v="0"/>
  </r>
  <r>
    <n v="10361"/>
    <x v="1"/>
    <n v="100"/>
    <n v="6"/>
    <x v="0"/>
    <x v="1881"/>
    <s v="2/24/2003 0:1915"/>
    <x v="0"/>
    <x v="0"/>
    <s v="Shipped"/>
    <x v="3"/>
    <x v="6"/>
    <x v="1"/>
    <x v="3"/>
    <n v="65"/>
    <s v="S24_3420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373"/>
    <x v="12"/>
    <n v="66"/>
    <n v="11"/>
    <x v="0"/>
    <x v="1882"/>
    <s v="2/24/2003 0:1916"/>
    <x v="0"/>
    <x v="0"/>
    <s v="Shipped"/>
    <x v="0"/>
    <x v="7"/>
    <x v="2"/>
    <x v="3"/>
    <n v="65"/>
    <s v="S24_3420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386"/>
    <x v="21"/>
    <n v="63.76"/>
    <n v="9"/>
    <x v="0"/>
    <x v="1883"/>
    <s v="2/24/2003 0:1917"/>
    <x v="5"/>
    <x v="1"/>
    <s v="Resolved"/>
    <x v="0"/>
    <x v="11"/>
    <x v="2"/>
    <x v="3"/>
    <n v="65"/>
    <s v="S24_3420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8"/>
    <x v="1"/>
    <n v="71.67"/>
    <n v="13"/>
    <x v="0"/>
    <x v="1884"/>
    <s v="2/24/2003 0:1918"/>
    <x v="0"/>
    <x v="0"/>
    <s v="Shipped"/>
    <x v="0"/>
    <x v="11"/>
    <x v="2"/>
    <x v="3"/>
    <n v="65"/>
    <s v="S24_3420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400"/>
    <x v="19"/>
    <n v="57.2"/>
    <n v="3"/>
    <x v="0"/>
    <x v="1189"/>
    <s v="2/24/2003 0:1919"/>
    <x v="0"/>
    <x v="0"/>
    <s v="Shipped"/>
    <x v="1"/>
    <x v="8"/>
    <x v="2"/>
    <x v="3"/>
    <n v="65"/>
    <s v="S24_3420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415"/>
    <x v="52"/>
    <n v="69.7"/>
    <n v="2"/>
    <x v="0"/>
    <x v="1885"/>
    <s v="2/24/2003 0:1920"/>
    <x v="1"/>
    <x v="1"/>
    <s v="Disputed"/>
    <x v="1"/>
    <x v="1"/>
    <x v="2"/>
    <x v="3"/>
    <n v="65"/>
    <s v="S24_3420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110"/>
    <x v="9"/>
    <n v="100"/>
    <n v="14"/>
    <x v="0"/>
    <x v="1886"/>
    <s v="2/24/2003 0:1921"/>
    <x v="0"/>
    <x v="0"/>
    <s v="Shipped"/>
    <x v="0"/>
    <x v="11"/>
    <x v="0"/>
    <x v="1"/>
    <n v="107"/>
    <s v="S24_3432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124"/>
    <x v="30"/>
    <n v="100"/>
    <n v="13"/>
    <x v="1"/>
    <x v="1887"/>
    <s v="2/24/2003 0:1922"/>
    <x v="0"/>
    <x v="0"/>
    <s v="Shipped"/>
    <x v="1"/>
    <x v="1"/>
    <x v="0"/>
    <x v="1"/>
    <n v="107"/>
    <s v="S24_3432"/>
    <s v="Signal Gift Stores"/>
    <n v="7025551838"/>
    <s v="8489 Strong St."/>
    <m/>
    <s v="Las Vegas"/>
    <x v="67"/>
    <s v="NV"/>
    <n v="83030"/>
    <x v="0"/>
    <x v="0"/>
    <s v="NA"/>
    <s v="King"/>
    <s v="Sue"/>
    <x v="1"/>
  </r>
  <r>
    <n v="10148"/>
    <x v="26"/>
    <n v="100"/>
    <n v="7"/>
    <x v="0"/>
    <x v="1888"/>
    <s v="2/24/2003 0:1923"/>
    <x v="0"/>
    <x v="0"/>
    <s v="Shipped"/>
    <x v="2"/>
    <x v="10"/>
    <x v="0"/>
    <x v="1"/>
    <n v="107"/>
    <s v="S24_3432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61"/>
    <x v="0"/>
    <n v="100"/>
    <n v="6"/>
    <x v="0"/>
    <x v="1889"/>
    <s v="2/24/2003 0:1924"/>
    <x v="0"/>
    <x v="0"/>
    <s v="Shipped"/>
    <x v="3"/>
    <x v="4"/>
    <x v="0"/>
    <x v="1"/>
    <n v="107"/>
    <s v="S24_3432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172"/>
    <x v="8"/>
    <n v="98.51"/>
    <n v="4"/>
    <x v="0"/>
    <x v="1890"/>
    <s v="2/24/2003 0:1925"/>
    <x v="0"/>
    <x v="0"/>
    <s v="Shipped"/>
    <x v="3"/>
    <x v="5"/>
    <x v="0"/>
    <x v="1"/>
    <n v="107"/>
    <s v="S24_3432"/>
    <s v="Gift Depot Inc."/>
    <n v="2035552570"/>
    <s v="25593 South Bay Ln."/>
    <m/>
    <s v="Bridgewater"/>
    <x v="10"/>
    <s v="CT"/>
    <n v="97562"/>
    <x v="0"/>
    <x v="0"/>
    <s v="NA"/>
    <s v="King"/>
    <s v="Julie"/>
    <x v="0"/>
  </r>
  <r>
    <n v="10182"/>
    <x v="4"/>
    <n v="100"/>
    <n v="17"/>
    <x v="1"/>
    <x v="1891"/>
    <s v="2/24/2003 0:1926"/>
    <x v="0"/>
    <x v="0"/>
    <s v="Shipped"/>
    <x v="3"/>
    <x v="5"/>
    <x v="0"/>
    <x v="1"/>
    <n v="107"/>
    <s v="S24_343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92"/>
    <x v="12"/>
    <n v="100"/>
    <n v="5"/>
    <x v="1"/>
    <x v="1892"/>
    <s v="2/24/2003 0:1927"/>
    <x v="0"/>
    <x v="0"/>
    <s v="Shipped"/>
    <x v="3"/>
    <x v="5"/>
    <x v="0"/>
    <x v="1"/>
    <n v="107"/>
    <s v="S24_3432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204"/>
    <x v="7"/>
    <n v="91.02"/>
    <n v="11"/>
    <x v="1"/>
    <x v="1893"/>
    <s v="2/24/2003 0:1928"/>
    <x v="0"/>
    <x v="0"/>
    <s v="Shipped"/>
    <x v="3"/>
    <x v="6"/>
    <x v="0"/>
    <x v="1"/>
    <n v="107"/>
    <s v="S24_3432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12"/>
    <x v="12"/>
    <n v="87.81"/>
    <n v="4"/>
    <x v="1"/>
    <x v="1894"/>
    <s v="2/24/2003 0:1929"/>
    <x v="0"/>
    <x v="0"/>
    <s v="Shipped"/>
    <x v="0"/>
    <x v="7"/>
    <x v="1"/>
    <x v="1"/>
    <n v="107"/>
    <s v="S24_343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26"/>
    <x v="7"/>
    <n v="92.09"/>
    <n v="2"/>
    <x v="1"/>
    <x v="1895"/>
    <s v="2/24/2003 0:1930"/>
    <x v="0"/>
    <x v="0"/>
    <s v="Shipped"/>
    <x v="0"/>
    <x v="0"/>
    <x v="1"/>
    <x v="1"/>
    <n v="107"/>
    <s v="S24_3432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41"/>
    <x v="26"/>
    <n v="86.73"/>
    <n v="9"/>
    <x v="0"/>
    <x v="1896"/>
    <s v="2/24/2003 0:1931"/>
    <x v="0"/>
    <x v="0"/>
    <s v="Shipped"/>
    <x v="1"/>
    <x v="8"/>
    <x v="1"/>
    <x v="1"/>
    <n v="107"/>
    <s v="S24_3432"/>
    <s v="Mini Caravy"/>
    <s v="88.60.1555"/>
    <s v="24, place Kluber"/>
    <m/>
    <s v="Strasbourg"/>
    <x v="66"/>
    <m/>
    <n v="67000"/>
    <x v="1"/>
    <x v="1"/>
    <s v="EMEA"/>
    <s v="Citeaux"/>
    <s v="Frederique"/>
    <x v="0"/>
  </r>
  <r>
    <n v="10267"/>
    <x v="30"/>
    <n v="100"/>
    <n v="6"/>
    <x v="1"/>
    <x v="1897"/>
    <s v="2/24/2003 0:1932"/>
    <x v="0"/>
    <x v="0"/>
    <s v="Shipped"/>
    <x v="2"/>
    <x v="2"/>
    <x v="1"/>
    <x v="1"/>
    <n v="107"/>
    <s v="S24_3432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279"/>
    <x v="7"/>
    <n v="100"/>
    <n v="6"/>
    <x v="1"/>
    <x v="1898"/>
    <s v="2/24/2003 0:1933"/>
    <x v="0"/>
    <x v="0"/>
    <s v="Shipped"/>
    <x v="2"/>
    <x v="3"/>
    <x v="1"/>
    <x v="1"/>
    <n v="107"/>
    <s v="S24_343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88"/>
    <x v="2"/>
    <n v="100"/>
    <n v="12"/>
    <x v="1"/>
    <x v="1899"/>
    <s v="2/24/2003 0:1934"/>
    <x v="0"/>
    <x v="0"/>
    <s v="Shipped"/>
    <x v="2"/>
    <x v="10"/>
    <x v="1"/>
    <x v="1"/>
    <n v="107"/>
    <s v="S24_3432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301"/>
    <x v="8"/>
    <n v="96.37"/>
    <n v="2"/>
    <x v="0"/>
    <x v="1900"/>
    <s v="2/24/2003 0:1935"/>
    <x v="0"/>
    <x v="0"/>
    <s v="Shipped"/>
    <x v="3"/>
    <x v="4"/>
    <x v="0"/>
    <x v="1"/>
    <n v="107"/>
    <s v="S24_3432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311"/>
    <x v="12"/>
    <n v="92.09"/>
    <n v="7"/>
    <x v="1"/>
    <x v="1901"/>
    <s v="2/24/2003 0:1936"/>
    <x v="0"/>
    <x v="0"/>
    <s v="Shipped"/>
    <x v="3"/>
    <x v="4"/>
    <x v="1"/>
    <x v="1"/>
    <n v="107"/>
    <s v="S24_343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21"/>
    <x v="15"/>
    <n v="89.95"/>
    <n v="4"/>
    <x v="0"/>
    <x v="1902"/>
    <s v="2/24/2003 0:1937"/>
    <x v="0"/>
    <x v="0"/>
    <s v="Shipped"/>
    <x v="3"/>
    <x v="5"/>
    <x v="1"/>
    <x v="1"/>
    <n v="107"/>
    <s v="S24_3432"/>
    <s v="FunGiftIdeas.com"/>
    <n v="5085552555"/>
    <s v="1785 First Street"/>
    <m/>
    <s v="New Bedford"/>
    <x v="18"/>
    <s v="MA"/>
    <n v="50553"/>
    <x v="0"/>
    <x v="0"/>
    <s v="NA"/>
    <s v="Benitez"/>
    <s v="Violeta"/>
    <x v="0"/>
  </r>
  <r>
    <n v="10332"/>
    <x v="28"/>
    <n v="37.18"/>
    <n v="13"/>
    <x v="0"/>
    <x v="1903"/>
    <s v="2/24/2003 0:1938"/>
    <x v="0"/>
    <x v="0"/>
    <s v="Shipped"/>
    <x v="3"/>
    <x v="5"/>
    <x v="1"/>
    <x v="1"/>
    <n v="107"/>
    <s v="S24_3432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46"/>
    <x v="18"/>
    <n v="95.88"/>
    <n v="6"/>
    <x v="0"/>
    <x v="1904"/>
    <s v="2/24/2003 0:1939"/>
    <x v="0"/>
    <x v="0"/>
    <s v="Shipped"/>
    <x v="3"/>
    <x v="5"/>
    <x v="1"/>
    <x v="1"/>
    <n v="107"/>
    <s v="S24_3432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368"/>
    <x v="14"/>
    <n v="99.58"/>
    <n v="4"/>
    <x v="0"/>
    <x v="1905"/>
    <s v="2/24/2003 0:1940"/>
    <x v="0"/>
    <x v="0"/>
    <s v="Shipped"/>
    <x v="0"/>
    <x v="7"/>
    <x v="2"/>
    <x v="1"/>
    <n v="107"/>
    <s v="S24_343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80"/>
    <x v="1"/>
    <n v="100"/>
    <n v="11"/>
    <x v="0"/>
    <x v="1906"/>
    <s v="2/24/2003 0:1941"/>
    <x v="0"/>
    <x v="0"/>
    <s v="Shipped"/>
    <x v="0"/>
    <x v="0"/>
    <x v="2"/>
    <x v="1"/>
    <n v="107"/>
    <s v="S24_343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07"/>
    <x v="30"/>
    <n v="86.73"/>
    <n v="9"/>
    <x v="0"/>
    <x v="1907"/>
    <s v="2/24/2003 0:1942"/>
    <x v="4"/>
    <x v="1"/>
    <s v="On Hold"/>
    <x v="1"/>
    <x v="8"/>
    <x v="2"/>
    <x v="1"/>
    <n v="107"/>
    <s v="S24_3432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420"/>
    <x v="18"/>
    <n v="100"/>
    <n v="12"/>
    <x v="0"/>
    <x v="1908"/>
    <s v="2/24/2003 0:1943"/>
    <x v="2"/>
    <x v="1"/>
    <s v="In Process"/>
    <x v="1"/>
    <x v="1"/>
    <x v="2"/>
    <x v="1"/>
    <n v="107"/>
    <s v="S24_3432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105"/>
    <x v="24"/>
    <n v="79.67"/>
    <n v="1"/>
    <x v="0"/>
    <x v="1909"/>
    <s v="2/24/2003 0:1944"/>
    <x v="0"/>
    <x v="0"/>
    <s v="Shipped"/>
    <x v="0"/>
    <x v="0"/>
    <x v="0"/>
    <x v="3"/>
    <n v="83"/>
    <s v="S24_3816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119"/>
    <x v="21"/>
    <n v="90.57"/>
    <n v="10"/>
    <x v="0"/>
    <x v="1910"/>
    <s v="2/24/2003 0:1945"/>
    <x v="0"/>
    <x v="0"/>
    <s v="Shipped"/>
    <x v="1"/>
    <x v="8"/>
    <x v="0"/>
    <x v="3"/>
    <n v="83"/>
    <s v="S24_3816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129"/>
    <x v="24"/>
    <n v="77.989999999999995"/>
    <n v="1"/>
    <x v="0"/>
    <x v="1911"/>
    <s v="2/24/2003 0:1946"/>
    <x v="0"/>
    <x v="0"/>
    <s v="Shipped"/>
    <x v="1"/>
    <x v="9"/>
    <x v="0"/>
    <x v="3"/>
    <n v="83"/>
    <s v="S24_3816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43"/>
    <x v="10"/>
    <n v="80.510000000000005"/>
    <n v="14"/>
    <x v="0"/>
    <x v="1912"/>
    <s v="2/24/2003 0:1947"/>
    <x v="0"/>
    <x v="0"/>
    <s v="Shipped"/>
    <x v="2"/>
    <x v="3"/>
    <x v="0"/>
    <x v="3"/>
    <n v="83"/>
    <s v="S24_3816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55"/>
    <x v="9"/>
    <n v="67.930000000000007"/>
    <n v="12"/>
    <x v="0"/>
    <x v="1913"/>
    <s v="2/24/2003 0:1948"/>
    <x v="0"/>
    <x v="0"/>
    <s v="Shipped"/>
    <x v="3"/>
    <x v="4"/>
    <x v="0"/>
    <x v="3"/>
    <n v="83"/>
    <s v="S24_3816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167"/>
    <x v="6"/>
    <n v="83.86"/>
    <n v="8"/>
    <x v="0"/>
    <x v="1914"/>
    <s v="2/24/2003 0:1949"/>
    <x v="3"/>
    <x v="1"/>
    <s v="Cancelled"/>
    <x v="3"/>
    <x v="4"/>
    <x v="0"/>
    <x v="3"/>
    <n v="83"/>
    <s v="S24_3816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178"/>
    <x v="15"/>
    <n v="72.12"/>
    <n v="11"/>
    <x v="0"/>
    <x v="1915"/>
    <s v="2/24/2003 0:1950"/>
    <x v="0"/>
    <x v="0"/>
    <s v="Shipped"/>
    <x v="3"/>
    <x v="5"/>
    <x v="0"/>
    <x v="3"/>
    <n v="83"/>
    <s v="S24_3816"/>
    <s v="Alpha Cognac"/>
    <s v="61.77.6555"/>
    <s v="1 rue Alsace-Lorraine"/>
    <m/>
    <s v="Toulouse"/>
    <x v="42"/>
    <m/>
    <n v="31000"/>
    <x v="1"/>
    <x v="1"/>
    <s v="EMEA"/>
    <s v="Roulet"/>
    <s v="Annette"/>
    <x v="0"/>
  </r>
  <r>
    <n v="10186"/>
    <x v="5"/>
    <n v="85.54"/>
    <n v="8"/>
    <x v="0"/>
    <x v="1916"/>
    <s v="2/24/2003 0:1951"/>
    <x v="0"/>
    <x v="0"/>
    <s v="Shipped"/>
    <x v="3"/>
    <x v="5"/>
    <x v="0"/>
    <x v="3"/>
    <n v="83"/>
    <s v="S24_3816"/>
    <s v="Double Decker Gift Stores, Ltd"/>
    <s v="(171) 555-7555"/>
    <s v="120 Hanover Sq."/>
    <m/>
    <s v="London"/>
    <x v="41"/>
    <m/>
    <s v="WA1 1DP"/>
    <x v="6"/>
    <x v="6"/>
    <s v="EMEA"/>
    <s v="Hardy"/>
    <s v="Thomas"/>
    <x v="1"/>
  </r>
  <r>
    <n v="10197"/>
    <x v="8"/>
    <n v="86.38"/>
    <n v="5"/>
    <x v="0"/>
    <x v="1917"/>
    <s v="2/24/2003 0:1952"/>
    <x v="0"/>
    <x v="0"/>
    <s v="Shipped"/>
    <x v="3"/>
    <x v="5"/>
    <x v="0"/>
    <x v="3"/>
    <n v="83"/>
    <s v="S24_3816"/>
    <s v="Enaco Distributors"/>
    <s v="(93) 203 4555"/>
    <s v="Rambla de Catalu¤a, 23"/>
    <m/>
    <s v="Barcelona"/>
    <x v="43"/>
    <m/>
    <n v="8022"/>
    <x v="7"/>
    <x v="7"/>
    <s v="EMEA"/>
    <s v="Saavedra"/>
    <s v="Eduardo"/>
    <x v="0"/>
  </r>
  <r>
    <n v="10209"/>
    <x v="8"/>
    <n v="89.73"/>
    <n v="7"/>
    <x v="0"/>
    <x v="1918"/>
    <s v="2/24/2003 0:1953"/>
    <x v="0"/>
    <x v="0"/>
    <s v="Shipped"/>
    <x v="0"/>
    <x v="7"/>
    <x v="1"/>
    <x v="3"/>
    <n v="83"/>
    <s v="S24_3816"/>
    <s v="Men 'R' US Retailers, Ltd."/>
    <n v="2155554369"/>
    <s v="6047 Douglas Av."/>
    <m/>
    <s v="Los Angeles"/>
    <x v="44"/>
    <s v="CA"/>
    <m/>
    <x v="0"/>
    <x v="0"/>
    <s v="NA"/>
    <s v="Chandler"/>
    <s v="Michael"/>
    <x v="0"/>
  </r>
  <r>
    <n v="10222"/>
    <x v="12"/>
    <n v="80.510000000000005"/>
    <n v="11"/>
    <x v="0"/>
    <x v="1919"/>
    <s v="2/24/2003 0:1954"/>
    <x v="0"/>
    <x v="0"/>
    <s v="Shipped"/>
    <x v="0"/>
    <x v="0"/>
    <x v="1"/>
    <x v="3"/>
    <n v="83"/>
    <s v="S24_3816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48"/>
    <x v="10"/>
    <n v="76.31"/>
    <n v="2"/>
    <x v="0"/>
    <x v="1920"/>
    <s v="2/24/2003 0:1955"/>
    <x v="3"/>
    <x v="1"/>
    <s v="Cancelled"/>
    <x v="1"/>
    <x v="1"/>
    <x v="1"/>
    <x v="3"/>
    <n v="83"/>
    <s v="S24_3816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262"/>
    <x v="4"/>
    <n v="87.21"/>
    <n v="16"/>
    <x v="1"/>
    <x v="1921"/>
    <s v="2/24/2003 0:1956"/>
    <x v="3"/>
    <x v="1"/>
    <s v="Cancelled"/>
    <x v="1"/>
    <x v="9"/>
    <x v="1"/>
    <x v="3"/>
    <n v="83"/>
    <s v="S24_381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73"/>
    <x v="7"/>
    <n v="83.02"/>
    <n v="3"/>
    <x v="0"/>
    <x v="1922"/>
    <s v="2/24/2003 0:1957"/>
    <x v="0"/>
    <x v="0"/>
    <s v="Shipped"/>
    <x v="2"/>
    <x v="2"/>
    <x v="1"/>
    <x v="3"/>
    <n v="83"/>
    <s v="S24_3816"/>
    <s v="Petit Auto"/>
    <s v="(02) 5554 67"/>
    <s v="Rue Joseph-Bens 532"/>
    <m/>
    <s v="Bruxelles"/>
    <x v="46"/>
    <m/>
    <s v="B-1180"/>
    <x v="14"/>
    <x v="14"/>
    <s v="EMEA"/>
    <s v="Dewey"/>
    <s v="Catherine"/>
    <x v="1"/>
  </r>
  <r>
    <n v="10283"/>
    <x v="29"/>
    <n v="72.959999999999994"/>
    <n v="5"/>
    <x v="0"/>
    <x v="1923"/>
    <s v="2/24/2003 0:1958"/>
    <x v="0"/>
    <x v="0"/>
    <s v="Shipped"/>
    <x v="2"/>
    <x v="3"/>
    <x v="1"/>
    <x v="3"/>
    <n v="83"/>
    <s v="S24_3816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96"/>
    <x v="8"/>
    <n v="77.150000000000006"/>
    <n v="14"/>
    <x v="0"/>
    <x v="1924"/>
    <s v="2/24/2003 0:1959"/>
    <x v="0"/>
    <x v="0"/>
    <s v="Shipped"/>
    <x v="2"/>
    <x v="10"/>
    <x v="1"/>
    <x v="3"/>
    <n v="83"/>
    <s v="S24_3816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0"/>
  </r>
  <r>
    <n v="10307"/>
    <x v="8"/>
    <n v="91.41"/>
    <n v="8"/>
    <x v="0"/>
    <x v="1925"/>
    <s v="2/24/2003 0:1960"/>
    <x v="0"/>
    <x v="0"/>
    <s v="Shipped"/>
    <x v="3"/>
    <x v="4"/>
    <x v="1"/>
    <x v="3"/>
    <n v="83"/>
    <s v="S24_3816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0"/>
  </r>
  <r>
    <n v="10316"/>
    <x v="32"/>
    <n v="92.25"/>
    <n v="16"/>
    <x v="0"/>
    <x v="1926"/>
    <s v="2/24/2003 0:1961"/>
    <x v="0"/>
    <x v="0"/>
    <s v="Shipped"/>
    <x v="3"/>
    <x v="5"/>
    <x v="1"/>
    <x v="3"/>
    <n v="83"/>
    <s v="S24_3816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326"/>
    <x v="14"/>
    <n v="92.25"/>
    <n v="2"/>
    <x v="0"/>
    <x v="1927"/>
    <s v="2/24/2003 0:1962"/>
    <x v="0"/>
    <x v="0"/>
    <s v="Shipped"/>
    <x v="3"/>
    <x v="5"/>
    <x v="1"/>
    <x v="3"/>
    <n v="83"/>
    <s v="S24_3816"/>
    <s v="Volvo Model Replicas, Co"/>
    <s v="0921-12 3555"/>
    <s v="Berguvsv„gen  8"/>
    <m/>
    <s v="Lule"/>
    <x v="21"/>
    <m/>
    <s v="S-958 22"/>
    <x v="8"/>
    <x v="8"/>
    <s v="EMEA"/>
    <s v="Berglund"/>
    <s v="Christina"/>
    <x v="0"/>
  </r>
  <r>
    <n v="10339"/>
    <x v="13"/>
    <n v="59.36"/>
    <n v="16"/>
    <x v="0"/>
    <x v="1928"/>
    <s v="2/24/2003 0:1963"/>
    <x v="0"/>
    <x v="0"/>
    <s v="Shipped"/>
    <x v="3"/>
    <x v="5"/>
    <x v="1"/>
    <x v="3"/>
    <n v="83"/>
    <s v="S24_3816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50"/>
    <x v="32"/>
    <n v="60.34"/>
    <n v="10"/>
    <x v="0"/>
    <x v="1929"/>
    <s v="2/24/2003 0:1964"/>
    <x v="0"/>
    <x v="0"/>
    <s v="Shipped"/>
    <x v="3"/>
    <x v="6"/>
    <x v="1"/>
    <x v="3"/>
    <n v="83"/>
    <s v="S24_3816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3"/>
    <x v="10"/>
    <n v="100"/>
    <n v="10"/>
    <x v="0"/>
    <x v="1930"/>
    <s v="2/24/2003 0:1965"/>
    <x v="0"/>
    <x v="0"/>
    <s v="Shipped"/>
    <x v="0"/>
    <x v="7"/>
    <x v="2"/>
    <x v="3"/>
    <n v="83"/>
    <s v="S24_3816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385"/>
    <x v="9"/>
    <n v="85.54"/>
    <n v="2"/>
    <x v="0"/>
    <x v="1931"/>
    <s v="2/24/2003 0:1966"/>
    <x v="0"/>
    <x v="0"/>
    <s v="Shipped"/>
    <x v="0"/>
    <x v="0"/>
    <x v="2"/>
    <x v="3"/>
    <n v="83"/>
    <s v="S24_381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96"/>
    <x v="9"/>
    <n v="90.57"/>
    <n v="8"/>
    <x v="0"/>
    <x v="1932"/>
    <s v="2/24/2003 0:1967"/>
    <x v="0"/>
    <x v="0"/>
    <s v="Shipped"/>
    <x v="0"/>
    <x v="11"/>
    <x v="2"/>
    <x v="3"/>
    <n v="83"/>
    <s v="S24_381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00"/>
    <x v="13"/>
    <n v="72.959999999999994"/>
    <n v="8"/>
    <x v="0"/>
    <x v="1933"/>
    <s v="2/24/2003 0:1968"/>
    <x v="0"/>
    <x v="0"/>
    <s v="Shipped"/>
    <x v="1"/>
    <x v="8"/>
    <x v="2"/>
    <x v="3"/>
    <n v="83"/>
    <s v="S24_3816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414"/>
    <x v="41"/>
    <n v="76.31"/>
    <n v="2"/>
    <x v="0"/>
    <x v="1934"/>
    <s v="2/24/2003 0:1969"/>
    <x v="4"/>
    <x v="1"/>
    <s v="On Hold"/>
    <x v="1"/>
    <x v="1"/>
    <x v="2"/>
    <x v="3"/>
    <n v="83"/>
    <s v="S24_3816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108"/>
    <x v="23"/>
    <n v="100"/>
    <n v="1"/>
    <x v="1"/>
    <x v="1935"/>
    <s v="2/24/2003 0:1970"/>
    <x v="0"/>
    <x v="0"/>
    <s v="Shipped"/>
    <x v="0"/>
    <x v="11"/>
    <x v="0"/>
    <x v="1"/>
    <n v="140"/>
    <s v="S24_3856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122"/>
    <x v="30"/>
    <n v="100"/>
    <n v="5"/>
    <x v="1"/>
    <x v="1936"/>
    <s v="2/24/2003 0:1971"/>
    <x v="0"/>
    <x v="0"/>
    <s v="Shipped"/>
    <x v="1"/>
    <x v="1"/>
    <x v="0"/>
    <x v="1"/>
    <n v="140"/>
    <s v="S24_3856"/>
    <s v="Marseille Mini Autos"/>
    <s v="91.24.4555"/>
    <s v="12, rue des Bouchers"/>
    <m/>
    <s v="Marseille"/>
    <x v="54"/>
    <m/>
    <n v="13008"/>
    <x v="1"/>
    <x v="1"/>
    <s v="EMEA"/>
    <s v="Lebihan"/>
    <s v="Laurence"/>
    <x v="1"/>
  </r>
  <r>
    <n v="10135"/>
    <x v="20"/>
    <n v="100"/>
    <n v="2"/>
    <x v="1"/>
    <x v="1937"/>
    <s v="2/24/2003 0:1972"/>
    <x v="0"/>
    <x v="0"/>
    <s v="Shipped"/>
    <x v="2"/>
    <x v="2"/>
    <x v="0"/>
    <x v="1"/>
    <n v="140"/>
    <s v="S24_385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47"/>
    <x v="10"/>
    <n v="100"/>
    <n v="2"/>
    <x v="0"/>
    <x v="1938"/>
    <s v="2/24/2003 0:1973"/>
    <x v="0"/>
    <x v="0"/>
    <s v="Shipped"/>
    <x v="2"/>
    <x v="10"/>
    <x v="0"/>
    <x v="1"/>
    <n v="140"/>
    <s v="S24_3856"/>
    <s v="Collectables For Less Inc."/>
    <n v="6175558555"/>
    <s v="7825 Douglas Av."/>
    <m/>
    <s v="Brickhaven"/>
    <x v="35"/>
    <s v="MA"/>
    <n v="58339"/>
    <x v="0"/>
    <x v="0"/>
    <s v="NA"/>
    <s v="Nelson"/>
    <s v="Allen"/>
    <x v="0"/>
  </r>
  <r>
    <n v="10160"/>
    <x v="21"/>
    <n v="100"/>
    <n v="3"/>
    <x v="1"/>
    <x v="1939"/>
    <s v="2/24/2003 0:1974"/>
    <x v="0"/>
    <x v="0"/>
    <s v="Shipped"/>
    <x v="3"/>
    <x v="4"/>
    <x v="0"/>
    <x v="1"/>
    <n v="140"/>
    <s v="S24_3856"/>
    <s v="Men 'R' US Retailers, Ltd."/>
    <n v="2155554369"/>
    <s v="6047 Douglas Av."/>
    <m/>
    <s v="Los Angeles"/>
    <x v="44"/>
    <s v="CA"/>
    <m/>
    <x v="0"/>
    <x v="0"/>
    <s v="NA"/>
    <s v="Chandler"/>
    <s v="Michael"/>
    <x v="1"/>
  </r>
  <r>
    <n v="10170"/>
    <x v="1"/>
    <n v="100"/>
    <n v="1"/>
    <x v="0"/>
    <x v="1940"/>
    <s v="2/24/2003 0:1975"/>
    <x v="0"/>
    <x v="0"/>
    <s v="Shipped"/>
    <x v="3"/>
    <x v="5"/>
    <x v="0"/>
    <x v="1"/>
    <n v="140"/>
    <s v="S24_3856"/>
    <s v="Mini Auto Werke"/>
    <s v="7675-3555"/>
    <s v="Kirchgasse 6"/>
    <m/>
    <s v="Graz"/>
    <x v="52"/>
    <m/>
    <n v="8010"/>
    <x v="5"/>
    <x v="5"/>
    <s v="EMEA"/>
    <s v="Mendel"/>
    <s v="Roland"/>
    <x v="1"/>
  </r>
  <r>
    <n v="10181"/>
    <x v="32"/>
    <n v="100"/>
    <n v="9"/>
    <x v="0"/>
    <x v="1941"/>
    <s v="2/24/2003 0:1976"/>
    <x v="0"/>
    <x v="0"/>
    <s v="Shipped"/>
    <x v="3"/>
    <x v="5"/>
    <x v="0"/>
    <x v="1"/>
    <n v="140"/>
    <s v="S24_3856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192"/>
    <x v="3"/>
    <n v="100"/>
    <n v="14"/>
    <x v="1"/>
    <x v="1942"/>
    <s v="2/24/2003 0:1977"/>
    <x v="0"/>
    <x v="0"/>
    <s v="Shipped"/>
    <x v="3"/>
    <x v="5"/>
    <x v="0"/>
    <x v="1"/>
    <n v="140"/>
    <s v="S24_3856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1"/>
  </r>
  <r>
    <n v="10203"/>
    <x v="20"/>
    <n v="100"/>
    <n v="3"/>
    <x v="1"/>
    <x v="1943"/>
    <s v="2/24/2003 0:1978"/>
    <x v="0"/>
    <x v="0"/>
    <s v="Shipped"/>
    <x v="3"/>
    <x v="6"/>
    <x v="0"/>
    <x v="1"/>
    <n v="140"/>
    <s v="S24_385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12"/>
    <x v="4"/>
    <n v="100"/>
    <n v="13"/>
    <x v="1"/>
    <x v="1944"/>
    <s v="2/24/2003 0:1979"/>
    <x v="0"/>
    <x v="0"/>
    <s v="Shipped"/>
    <x v="0"/>
    <x v="7"/>
    <x v="1"/>
    <x v="1"/>
    <n v="140"/>
    <s v="S24_385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25"/>
    <x v="23"/>
    <n v="100"/>
    <n v="4"/>
    <x v="1"/>
    <x v="1945"/>
    <s v="2/24/2003 0:1980"/>
    <x v="0"/>
    <x v="0"/>
    <s v="Shipped"/>
    <x v="0"/>
    <x v="0"/>
    <x v="1"/>
    <x v="1"/>
    <n v="140"/>
    <s v="S24_3856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239"/>
    <x v="6"/>
    <n v="100"/>
    <n v="3"/>
    <x v="1"/>
    <x v="1946"/>
    <s v="2/24/2003 0:1981"/>
    <x v="0"/>
    <x v="0"/>
    <s v="Shipped"/>
    <x v="1"/>
    <x v="8"/>
    <x v="1"/>
    <x v="1"/>
    <n v="140"/>
    <s v="S24_3856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253"/>
    <x v="25"/>
    <n v="100"/>
    <n v="8"/>
    <x v="1"/>
    <x v="1947"/>
    <s v="2/24/2003 0:1982"/>
    <x v="3"/>
    <x v="1"/>
    <s v="Cancelled"/>
    <x v="1"/>
    <x v="9"/>
    <x v="1"/>
    <x v="1"/>
    <n v="140"/>
    <s v="S24_3856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266"/>
    <x v="16"/>
    <n v="100"/>
    <n v="9"/>
    <x v="0"/>
    <x v="1948"/>
    <s v="2/24/2003 0:1983"/>
    <x v="0"/>
    <x v="0"/>
    <s v="Shipped"/>
    <x v="2"/>
    <x v="2"/>
    <x v="1"/>
    <x v="1"/>
    <n v="140"/>
    <s v="S24_3856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278"/>
    <x v="32"/>
    <n v="100"/>
    <n v="9"/>
    <x v="0"/>
    <x v="1949"/>
    <s v="2/24/2003 0:1984"/>
    <x v="0"/>
    <x v="0"/>
    <s v="Shipped"/>
    <x v="2"/>
    <x v="3"/>
    <x v="1"/>
    <x v="1"/>
    <n v="140"/>
    <s v="S24_3856"/>
    <s v="Signal Gift Stores"/>
    <n v="7025551838"/>
    <s v="8489 Strong St."/>
    <m/>
    <s v="Las Vegas"/>
    <x v="67"/>
    <s v="NV"/>
    <n v="83030"/>
    <x v="0"/>
    <x v="0"/>
    <s v="NA"/>
    <s v="King"/>
    <s v="Sue"/>
    <x v="1"/>
  </r>
  <r>
    <n v="10287"/>
    <x v="5"/>
    <n v="100"/>
    <n v="7"/>
    <x v="1"/>
    <x v="1950"/>
    <s v="2/24/2003 0:1985"/>
    <x v="0"/>
    <x v="0"/>
    <s v="Shipped"/>
    <x v="2"/>
    <x v="3"/>
    <x v="1"/>
    <x v="1"/>
    <n v="140"/>
    <s v="S24_3856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301"/>
    <x v="24"/>
    <n v="100"/>
    <n v="11"/>
    <x v="1"/>
    <x v="1951"/>
    <s v="2/24/2003 0:1986"/>
    <x v="0"/>
    <x v="0"/>
    <s v="Shipped"/>
    <x v="3"/>
    <x v="4"/>
    <x v="0"/>
    <x v="1"/>
    <n v="140"/>
    <s v="S24_3856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2"/>
  </r>
  <r>
    <n v="10310"/>
    <x v="3"/>
    <n v="100"/>
    <n v="5"/>
    <x v="1"/>
    <x v="1952"/>
    <s v="2/24/2003 0:1987"/>
    <x v="0"/>
    <x v="0"/>
    <s v="Shipped"/>
    <x v="3"/>
    <x v="4"/>
    <x v="1"/>
    <x v="1"/>
    <n v="140"/>
    <s v="S24_3856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321"/>
    <x v="18"/>
    <n v="100"/>
    <n v="13"/>
    <x v="1"/>
    <x v="1953"/>
    <s v="2/24/2003 0:1988"/>
    <x v="0"/>
    <x v="0"/>
    <s v="Shipped"/>
    <x v="3"/>
    <x v="5"/>
    <x v="1"/>
    <x v="1"/>
    <n v="140"/>
    <s v="S24_3856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331"/>
    <x v="15"/>
    <n v="100"/>
    <n v="1"/>
    <x v="0"/>
    <x v="1954"/>
    <s v="2/24/2003 0:1989"/>
    <x v="0"/>
    <x v="0"/>
    <s v="Shipped"/>
    <x v="3"/>
    <x v="5"/>
    <x v="1"/>
    <x v="1"/>
    <n v="140"/>
    <s v="S24_3856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342"/>
    <x v="13"/>
    <n v="100"/>
    <n v="6"/>
    <x v="1"/>
    <x v="1955"/>
    <s v="2/24/2003 0:1990"/>
    <x v="0"/>
    <x v="0"/>
    <s v="Shipped"/>
    <x v="3"/>
    <x v="5"/>
    <x v="1"/>
    <x v="1"/>
    <n v="140"/>
    <s v="S24_3856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355"/>
    <x v="22"/>
    <n v="100"/>
    <n v="8"/>
    <x v="1"/>
    <x v="1956"/>
    <s v="2/24/2003 0:1991"/>
    <x v="0"/>
    <x v="0"/>
    <s v="Shipped"/>
    <x v="3"/>
    <x v="6"/>
    <x v="1"/>
    <x v="1"/>
    <n v="140"/>
    <s v="S24_385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63"/>
    <x v="28"/>
    <n v="94.58"/>
    <n v="1"/>
    <x v="0"/>
    <x v="1957"/>
    <s v="2/24/2003 0:1992"/>
    <x v="0"/>
    <x v="0"/>
    <s v="Shipped"/>
    <x v="0"/>
    <x v="7"/>
    <x v="2"/>
    <x v="1"/>
    <n v="140"/>
    <s v="S24_3856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378"/>
    <x v="29"/>
    <n v="53.27"/>
    <n v="3"/>
    <x v="0"/>
    <x v="1958"/>
    <s v="2/24/2003 0:1993"/>
    <x v="0"/>
    <x v="0"/>
    <s v="Shipped"/>
    <x v="0"/>
    <x v="0"/>
    <x v="2"/>
    <x v="1"/>
    <n v="140"/>
    <s v="S24_3856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0"/>
    <x v="3"/>
    <n v="100"/>
    <n v="8"/>
    <x v="1"/>
    <x v="1959"/>
    <s v="2/24/2003 0:1994"/>
    <x v="0"/>
    <x v="0"/>
    <s v="Shipped"/>
    <x v="0"/>
    <x v="11"/>
    <x v="2"/>
    <x v="1"/>
    <n v="140"/>
    <s v="S24_385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05"/>
    <x v="43"/>
    <n v="100"/>
    <n v="3"/>
    <x v="1"/>
    <x v="1960"/>
    <s v="2/24/2003 0:1995"/>
    <x v="0"/>
    <x v="0"/>
    <s v="Shipped"/>
    <x v="1"/>
    <x v="8"/>
    <x v="2"/>
    <x v="1"/>
    <n v="140"/>
    <s v="S24_3856"/>
    <s v="Mini Caravy"/>
    <s v="88.60.1555"/>
    <s v="24, place Kluber"/>
    <m/>
    <s v="Strasbourg"/>
    <x v="66"/>
    <m/>
    <n v="67000"/>
    <x v="1"/>
    <x v="1"/>
    <s v="EMEA"/>
    <s v="Citeaux"/>
    <s v="Frederique"/>
    <x v="2"/>
  </r>
  <r>
    <n v="10419"/>
    <x v="50"/>
    <n v="100"/>
    <n v="8"/>
    <x v="1"/>
    <x v="1961"/>
    <s v="2/24/2003 0:1996"/>
    <x v="0"/>
    <x v="0"/>
    <s v="Shipped"/>
    <x v="1"/>
    <x v="1"/>
    <x v="2"/>
    <x v="1"/>
    <n v="140"/>
    <s v="S24_3856"/>
    <s v="Salzburg Collectables"/>
    <s v="6562-9555"/>
    <s v="Geislweg 14"/>
    <m/>
    <s v="Salzburg"/>
    <x v="16"/>
    <m/>
    <n v="5020"/>
    <x v="5"/>
    <x v="5"/>
    <s v="EMEA"/>
    <s v="Pipps"/>
    <s v="Georg"/>
    <x v="2"/>
  </r>
  <r>
    <n v="10106"/>
    <x v="24"/>
    <n v="64.83"/>
    <n v="11"/>
    <x v="0"/>
    <x v="1962"/>
    <s v="2/24/2003 0:1997"/>
    <x v="0"/>
    <x v="0"/>
    <s v="Shipped"/>
    <x v="0"/>
    <x v="0"/>
    <x v="0"/>
    <x v="4"/>
    <n v="68"/>
    <s v="S24_3949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19"/>
    <x v="11"/>
    <n v="70.290000000000006"/>
    <n v="2"/>
    <x v="0"/>
    <x v="1963"/>
    <s v="2/24/2003 0:1998"/>
    <x v="0"/>
    <x v="0"/>
    <s v="Shipped"/>
    <x v="1"/>
    <x v="8"/>
    <x v="0"/>
    <x v="4"/>
    <n v="68"/>
    <s v="S24_3949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31"/>
    <x v="24"/>
    <n v="81.89"/>
    <n v="3"/>
    <x v="1"/>
    <x v="1964"/>
    <s v="2/24/2003 0:1999"/>
    <x v="0"/>
    <x v="0"/>
    <s v="Shipped"/>
    <x v="1"/>
    <x v="9"/>
    <x v="0"/>
    <x v="4"/>
    <n v="68"/>
    <s v="S24_3949"/>
    <s v="Gift Ideas Corp."/>
    <n v="2035554407"/>
    <s v="2440 Pompton St."/>
    <m/>
    <s v="Glendale"/>
    <x v="63"/>
    <s v="CT"/>
    <n v="97561"/>
    <x v="0"/>
    <x v="0"/>
    <s v="NA"/>
    <s v="Lewis"/>
    <s v="Dan"/>
    <x v="1"/>
  </r>
  <r>
    <n v="10143"/>
    <x v="11"/>
    <n v="66.19"/>
    <n v="6"/>
    <x v="0"/>
    <x v="1965"/>
    <s v="2/24/2003 0:2000"/>
    <x v="0"/>
    <x v="0"/>
    <s v="Shipped"/>
    <x v="2"/>
    <x v="3"/>
    <x v="0"/>
    <x v="4"/>
    <n v="68"/>
    <s v="S24_3949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55"/>
    <x v="27"/>
    <n v="77.11"/>
    <n v="4"/>
    <x v="0"/>
    <x v="1966"/>
    <s v="2/24/2003 0:2001"/>
    <x v="0"/>
    <x v="0"/>
    <s v="Shipped"/>
    <x v="3"/>
    <x v="4"/>
    <x v="0"/>
    <x v="4"/>
    <n v="68"/>
    <s v="S24_3949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168"/>
    <x v="26"/>
    <n v="73.02"/>
    <n v="18"/>
    <x v="0"/>
    <x v="1967"/>
    <s v="2/24/2003 0:2002"/>
    <x v="0"/>
    <x v="0"/>
    <s v="Shipped"/>
    <x v="3"/>
    <x v="4"/>
    <x v="0"/>
    <x v="4"/>
    <n v="68"/>
    <s v="S24_3949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178"/>
    <x v="0"/>
    <n v="72.33"/>
    <n v="3"/>
    <x v="0"/>
    <x v="1968"/>
    <s v="2/24/2003 0:2003"/>
    <x v="0"/>
    <x v="0"/>
    <s v="Shipped"/>
    <x v="3"/>
    <x v="5"/>
    <x v="0"/>
    <x v="4"/>
    <n v="68"/>
    <s v="S24_3949"/>
    <s v="Alpha Cognac"/>
    <s v="61.77.6555"/>
    <s v="1 rue Alsace-Lorraine"/>
    <m/>
    <s v="Toulouse"/>
    <x v="42"/>
    <m/>
    <n v="31000"/>
    <x v="1"/>
    <x v="1"/>
    <s v="EMEA"/>
    <s v="Roulet"/>
    <s v="Annette"/>
    <x v="0"/>
  </r>
  <r>
    <n v="10198"/>
    <x v="30"/>
    <n v="66.19"/>
    <n v="3"/>
    <x v="0"/>
    <x v="1969"/>
    <s v="2/24/2003 0:2004"/>
    <x v="0"/>
    <x v="0"/>
    <s v="Shipped"/>
    <x v="3"/>
    <x v="5"/>
    <x v="0"/>
    <x v="4"/>
    <n v="68"/>
    <s v="S24_3949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0"/>
  </r>
  <r>
    <n v="10210"/>
    <x v="6"/>
    <n v="69.599999999999994"/>
    <n v="16"/>
    <x v="0"/>
    <x v="1970"/>
    <s v="2/24/2003 0:2005"/>
    <x v="0"/>
    <x v="0"/>
    <s v="Shipped"/>
    <x v="0"/>
    <x v="7"/>
    <x v="1"/>
    <x v="4"/>
    <n v="68"/>
    <s v="S24_3949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0"/>
  </r>
  <r>
    <n v="10222"/>
    <x v="7"/>
    <n v="56.64"/>
    <n v="3"/>
    <x v="0"/>
    <x v="1971"/>
    <s v="2/24/2003 0:2006"/>
    <x v="0"/>
    <x v="0"/>
    <s v="Shipped"/>
    <x v="0"/>
    <x v="0"/>
    <x v="1"/>
    <x v="4"/>
    <n v="68"/>
    <s v="S24_3949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0"/>
  </r>
  <r>
    <n v="10235"/>
    <x v="29"/>
    <n v="60.05"/>
    <n v="12"/>
    <x v="0"/>
    <x v="1972"/>
    <s v="2/24/2003 0:2007"/>
    <x v="0"/>
    <x v="0"/>
    <s v="Shipped"/>
    <x v="1"/>
    <x v="8"/>
    <x v="1"/>
    <x v="4"/>
    <n v="68"/>
    <s v="S24_3949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50"/>
    <x v="23"/>
    <n v="75.06"/>
    <n v="13"/>
    <x v="0"/>
    <x v="1973"/>
    <s v="2/24/2003 0:2008"/>
    <x v="0"/>
    <x v="0"/>
    <s v="Shipped"/>
    <x v="1"/>
    <x v="1"/>
    <x v="1"/>
    <x v="4"/>
    <n v="68"/>
    <s v="S24_3949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262"/>
    <x v="7"/>
    <n v="61.42"/>
    <n v="8"/>
    <x v="0"/>
    <x v="1974"/>
    <s v="2/24/2003 0:2009"/>
    <x v="3"/>
    <x v="1"/>
    <s v="Cancelled"/>
    <x v="1"/>
    <x v="9"/>
    <x v="1"/>
    <x v="4"/>
    <n v="68"/>
    <s v="S24_394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75"/>
    <x v="2"/>
    <n v="81.89"/>
    <n v="18"/>
    <x v="0"/>
    <x v="1975"/>
    <s v="2/24/2003 0:2010"/>
    <x v="0"/>
    <x v="0"/>
    <s v="Shipped"/>
    <x v="2"/>
    <x v="2"/>
    <x v="1"/>
    <x v="4"/>
    <n v="68"/>
    <s v="S24_3949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284"/>
    <x v="15"/>
    <n v="55.96"/>
    <n v="10"/>
    <x v="0"/>
    <x v="1976"/>
    <s v="2/24/2003 0:2011"/>
    <x v="0"/>
    <x v="0"/>
    <s v="Shipped"/>
    <x v="2"/>
    <x v="3"/>
    <x v="1"/>
    <x v="4"/>
    <n v="68"/>
    <s v="S24_3949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296"/>
    <x v="22"/>
    <n v="71.650000000000006"/>
    <n v="6"/>
    <x v="0"/>
    <x v="1977"/>
    <s v="2/24/2003 0:2012"/>
    <x v="0"/>
    <x v="0"/>
    <s v="Shipped"/>
    <x v="2"/>
    <x v="10"/>
    <x v="1"/>
    <x v="4"/>
    <n v="68"/>
    <s v="S24_3949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0"/>
  </r>
  <r>
    <n v="10308"/>
    <x v="30"/>
    <n v="76.430000000000007"/>
    <n v="16"/>
    <x v="0"/>
    <x v="1978"/>
    <s v="2/24/2003 0:2013"/>
    <x v="0"/>
    <x v="0"/>
    <s v="Shipped"/>
    <x v="3"/>
    <x v="4"/>
    <x v="1"/>
    <x v="4"/>
    <n v="68"/>
    <s v="S24_3949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316"/>
    <x v="0"/>
    <n v="77.790000000000006"/>
    <n v="8"/>
    <x v="0"/>
    <x v="1979"/>
    <s v="2/24/2003 0:2014"/>
    <x v="0"/>
    <x v="0"/>
    <s v="Shipped"/>
    <x v="3"/>
    <x v="5"/>
    <x v="1"/>
    <x v="4"/>
    <n v="68"/>
    <s v="S24_3949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328"/>
    <x v="21"/>
    <n v="76.430000000000007"/>
    <n v="3"/>
    <x v="0"/>
    <x v="1980"/>
    <s v="2/24/2003 0:2015"/>
    <x v="0"/>
    <x v="0"/>
    <s v="Shipped"/>
    <x v="3"/>
    <x v="5"/>
    <x v="1"/>
    <x v="4"/>
    <n v="68"/>
    <s v="S24_3949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339"/>
    <x v="3"/>
    <n v="96.92"/>
    <n v="11"/>
    <x v="1"/>
    <x v="1981"/>
    <s v="2/24/2003 0:2016"/>
    <x v="0"/>
    <x v="0"/>
    <s v="Shipped"/>
    <x v="3"/>
    <x v="5"/>
    <x v="1"/>
    <x v="4"/>
    <n v="68"/>
    <s v="S24_3949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351"/>
    <x v="1"/>
    <n v="59.37"/>
    <n v="3"/>
    <x v="0"/>
    <x v="1982"/>
    <s v="2/24/2003 0:2017"/>
    <x v="0"/>
    <x v="0"/>
    <s v="Shipped"/>
    <x v="3"/>
    <x v="6"/>
    <x v="1"/>
    <x v="4"/>
    <n v="68"/>
    <s v="S24_3949"/>
    <s v="Stylish Desk Decors, Co."/>
    <s v="(171) 555-0297"/>
    <s v="35 King George"/>
    <m/>
    <s v="London"/>
    <x v="41"/>
    <m/>
    <s v="WX3 6FW"/>
    <x v="6"/>
    <x v="6"/>
    <s v="EMEA"/>
    <s v="Brown"/>
    <s v="Ann"/>
    <x v="0"/>
  </r>
  <r>
    <n v="10361"/>
    <x v="18"/>
    <n v="100"/>
    <n v="7"/>
    <x v="0"/>
    <x v="1983"/>
    <s v="2/24/2003 0:2018"/>
    <x v="0"/>
    <x v="0"/>
    <s v="Shipped"/>
    <x v="3"/>
    <x v="6"/>
    <x v="1"/>
    <x v="4"/>
    <n v="68"/>
    <s v="S24_3949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373"/>
    <x v="25"/>
    <n v="73"/>
    <n v="13"/>
    <x v="0"/>
    <x v="1984"/>
    <s v="2/24/2003 0:2019"/>
    <x v="0"/>
    <x v="0"/>
    <s v="Shipped"/>
    <x v="0"/>
    <x v="7"/>
    <x v="2"/>
    <x v="4"/>
    <n v="68"/>
    <s v="S24_3949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386"/>
    <x v="2"/>
    <n v="73.319999999999993"/>
    <n v="12"/>
    <x v="0"/>
    <x v="1985"/>
    <s v="2/24/2003 0:2020"/>
    <x v="5"/>
    <x v="1"/>
    <s v="Resolved"/>
    <x v="0"/>
    <x v="11"/>
    <x v="2"/>
    <x v="4"/>
    <n v="68"/>
    <s v="S24_394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8"/>
    <x v="2"/>
    <n v="68.239999999999995"/>
    <n v="2"/>
    <x v="0"/>
    <x v="1986"/>
    <s v="2/24/2003 0:2021"/>
    <x v="0"/>
    <x v="0"/>
    <s v="Shipped"/>
    <x v="0"/>
    <x v="11"/>
    <x v="2"/>
    <x v="4"/>
    <n v="68"/>
    <s v="S24_3949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401"/>
    <x v="33"/>
    <n v="60.05"/>
    <n v="12"/>
    <x v="0"/>
    <x v="1987"/>
    <s v="2/24/2003 0:2022"/>
    <x v="4"/>
    <x v="1"/>
    <s v="On Hold"/>
    <x v="1"/>
    <x v="8"/>
    <x v="2"/>
    <x v="4"/>
    <n v="68"/>
    <s v="S24_3949"/>
    <s v="Tekni Collectables Inc."/>
    <n v="2015559350"/>
    <s v="7476 Moss Rd."/>
    <m/>
    <s v="Newark"/>
    <x v="9"/>
    <s v="NJ"/>
    <n v="94019"/>
    <x v="0"/>
    <x v="0"/>
    <s v="NA"/>
    <s v="Brown"/>
    <s v="William"/>
    <x v="1"/>
  </r>
  <r>
    <n v="10416"/>
    <x v="52"/>
    <n v="75.06"/>
    <n v="13"/>
    <x v="0"/>
    <x v="1988"/>
    <s v="2/24/2003 0:2023"/>
    <x v="0"/>
    <x v="0"/>
    <s v="Shipped"/>
    <x v="1"/>
    <x v="1"/>
    <x v="2"/>
    <x v="4"/>
    <n v="68"/>
    <s v="S24_3949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00"/>
    <x v="4"/>
    <n v="34.47"/>
    <n v="1"/>
    <x v="0"/>
    <x v="1989"/>
    <s v="2/24/2003 0:2024"/>
    <x v="0"/>
    <x v="0"/>
    <s v="Shipped"/>
    <x v="0"/>
    <x v="7"/>
    <x v="0"/>
    <x v="3"/>
    <n v="41"/>
    <s v="S24_3969"/>
    <s v="Online Diecast Creations Co."/>
    <n v="6035558647"/>
    <s v="2304 Long Airport Avenue"/>
    <m/>
    <s v="Nashua"/>
    <x v="34"/>
    <s v="NH"/>
    <n v="62005"/>
    <x v="0"/>
    <x v="0"/>
    <s v="NA"/>
    <s v="Young"/>
    <s v="Valarie"/>
    <x v="0"/>
  </r>
  <r>
    <n v="10110"/>
    <x v="7"/>
    <n v="34.47"/>
    <n v="5"/>
    <x v="0"/>
    <x v="1990"/>
    <s v="2/24/2003 0:2025"/>
    <x v="0"/>
    <x v="0"/>
    <s v="Shipped"/>
    <x v="0"/>
    <x v="11"/>
    <x v="0"/>
    <x v="3"/>
    <n v="41"/>
    <s v="S24_3969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124"/>
    <x v="12"/>
    <n v="33.229999999999997"/>
    <n v="4"/>
    <x v="0"/>
    <x v="1991"/>
    <s v="2/24/2003 0:2026"/>
    <x v="0"/>
    <x v="0"/>
    <s v="Shipped"/>
    <x v="1"/>
    <x v="1"/>
    <x v="0"/>
    <x v="3"/>
    <n v="41"/>
    <s v="S24_3969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149"/>
    <x v="18"/>
    <n v="38.979999999999997"/>
    <n v="9"/>
    <x v="0"/>
    <x v="1992"/>
    <s v="2/24/2003 0:2027"/>
    <x v="0"/>
    <x v="0"/>
    <s v="Shipped"/>
    <x v="2"/>
    <x v="10"/>
    <x v="0"/>
    <x v="3"/>
    <n v="41"/>
    <s v="S24_3969"/>
    <s v="Signal Collectibles Ltd."/>
    <n v="4155554312"/>
    <s v="2793 Furth Circle"/>
    <m/>
    <s v="Brisbane"/>
    <x v="65"/>
    <s v="CA"/>
    <n v="94217"/>
    <x v="0"/>
    <x v="0"/>
    <s v="NA"/>
    <s v="Taylor"/>
    <s v="Sue"/>
    <x v="0"/>
  </r>
  <r>
    <n v="10162"/>
    <x v="9"/>
    <n v="38.979999999999997"/>
    <n v="7"/>
    <x v="0"/>
    <x v="1993"/>
    <s v="2/24/2003 0:2028"/>
    <x v="0"/>
    <x v="0"/>
    <s v="Shipped"/>
    <x v="3"/>
    <x v="4"/>
    <x v="0"/>
    <x v="3"/>
    <n v="41"/>
    <s v="S24_3969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73"/>
    <x v="21"/>
    <n v="33.229999999999997"/>
    <n v="11"/>
    <x v="0"/>
    <x v="1994"/>
    <s v="2/24/2003 0:2029"/>
    <x v="0"/>
    <x v="0"/>
    <s v="Shipped"/>
    <x v="3"/>
    <x v="5"/>
    <x v="0"/>
    <x v="3"/>
    <n v="41"/>
    <s v="S24_3969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82"/>
    <x v="10"/>
    <n v="42.26"/>
    <n v="8"/>
    <x v="0"/>
    <x v="1995"/>
    <s v="2/24/2003 0:2030"/>
    <x v="0"/>
    <x v="0"/>
    <s v="Shipped"/>
    <x v="3"/>
    <x v="5"/>
    <x v="0"/>
    <x v="3"/>
    <n v="41"/>
    <s v="S24_396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93"/>
    <x v="8"/>
    <n v="41.03"/>
    <n v="12"/>
    <x v="0"/>
    <x v="1996"/>
    <s v="2/24/2003 0:2031"/>
    <x v="0"/>
    <x v="0"/>
    <s v="Shipped"/>
    <x v="3"/>
    <x v="5"/>
    <x v="0"/>
    <x v="3"/>
    <n v="41"/>
    <s v="S24_3969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204"/>
    <x v="25"/>
    <n v="33.229999999999997"/>
    <n v="2"/>
    <x v="0"/>
    <x v="1997"/>
    <s v="2/24/2003 0:2032"/>
    <x v="0"/>
    <x v="0"/>
    <s v="Shipped"/>
    <x v="3"/>
    <x v="6"/>
    <x v="0"/>
    <x v="3"/>
    <n v="41"/>
    <s v="S24_3969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214"/>
    <x v="27"/>
    <n v="34.880000000000003"/>
    <n v="5"/>
    <x v="0"/>
    <x v="1998"/>
    <s v="2/24/2003 0:2033"/>
    <x v="0"/>
    <x v="0"/>
    <s v="Shipped"/>
    <x v="0"/>
    <x v="7"/>
    <x v="1"/>
    <x v="3"/>
    <n v="41"/>
    <s v="S24_3969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227"/>
    <x v="26"/>
    <n v="43.9"/>
    <n v="8"/>
    <x v="0"/>
    <x v="1999"/>
    <s v="2/24/2003 0:2034"/>
    <x v="0"/>
    <x v="0"/>
    <s v="Shipped"/>
    <x v="0"/>
    <x v="11"/>
    <x v="1"/>
    <x v="3"/>
    <n v="41"/>
    <s v="S24_3969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42"/>
    <x v="12"/>
    <n v="36.93"/>
    <n v="1"/>
    <x v="0"/>
    <x v="2000"/>
    <s v="2/24/2003 0:2035"/>
    <x v="0"/>
    <x v="0"/>
    <s v="Shipped"/>
    <x v="1"/>
    <x v="8"/>
    <x v="1"/>
    <x v="3"/>
    <n v="41"/>
    <s v="S24_3969"/>
    <s v="Microscale Inc."/>
    <n v="2125551957"/>
    <s v="5290 North Pendale Street"/>
    <s v="Suite 200"/>
    <s v="Nyc"/>
    <x v="0"/>
    <s v="NY"/>
    <n v="10022"/>
    <x v="0"/>
    <x v="0"/>
    <s v="NA"/>
    <s v="Kuo"/>
    <s v="Kee"/>
    <x v="0"/>
  </r>
  <r>
    <n v="10280"/>
    <x v="29"/>
    <n v="41.85"/>
    <n v="14"/>
    <x v="0"/>
    <x v="2001"/>
    <s v="2/24/2003 0:2036"/>
    <x v="0"/>
    <x v="0"/>
    <s v="Shipped"/>
    <x v="2"/>
    <x v="3"/>
    <x v="1"/>
    <x v="3"/>
    <n v="41"/>
    <s v="S24_3969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288"/>
    <x v="29"/>
    <n v="40.619999999999997"/>
    <n v="3"/>
    <x v="0"/>
    <x v="2002"/>
    <s v="2/24/2003 0:2037"/>
    <x v="0"/>
    <x v="0"/>
    <s v="Shipped"/>
    <x v="2"/>
    <x v="10"/>
    <x v="1"/>
    <x v="3"/>
    <n v="41"/>
    <s v="S24_3969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303"/>
    <x v="16"/>
    <n v="40.21"/>
    <n v="1"/>
    <x v="0"/>
    <x v="2003"/>
    <s v="2/24/2003 0:2038"/>
    <x v="0"/>
    <x v="0"/>
    <s v="Shipped"/>
    <x v="3"/>
    <x v="4"/>
    <x v="1"/>
    <x v="3"/>
    <n v="41"/>
    <s v="S24_3969"/>
    <s v="Iberia Gift Imports, Corp."/>
    <s v="(95) 555 82 82"/>
    <s v="C/ Romero, 33"/>
    <m/>
    <s v="Sevilla"/>
    <x v="64"/>
    <m/>
    <n v="41101"/>
    <x v="7"/>
    <x v="7"/>
    <s v="EMEA"/>
    <s v="Roel"/>
    <s v="Jose Pedro"/>
    <x v="0"/>
  </r>
  <r>
    <n v="10312"/>
    <x v="28"/>
    <n v="35.29"/>
    <n v="15"/>
    <x v="0"/>
    <x v="2004"/>
    <s v="2/24/2003 0:2039"/>
    <x v="0"/>
    <x v="0"/>
    <s v="Shipped"/>
    <x v="3"/>
    <x v="4"/>
    <x v="1"/>
    <x v="3"/>
    <n v="41"/>
    <s v="S24_396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32"/>
    <x v="2"/>
    <n v="77.239999999999995"/>
    <n v="14"/>
    <x v="0"/>
    <x v="2005"/>
    <s v="2/24/2003 0:2040"/>
    <x v="0"/>
    <x v="0"/>
    <s v="Shipped"/>
    <x v="3"/>
    <x v="5"/>
    <x v="1"/>
    <x v="3"/>
    <n v="41"/>
    <s v="S24_3969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46"/>
    <x v="8"/>
    <n v="97.44"/>
    <n v="4"/>
    <x v="0"/>
    <x v="2006"/>
    <s v="2/24/2003 0:2041"/>
    <x v="0"/>
    <x v="0"/>
    <s v="Shipped"/>
    <x v="3"/>
    <x v="5"/>
    <x v="1"/>
    <x v="3"/>
    <n v="41"/>
    <s v="S24_3969"/>
    <s v="Signal Gift Stores"/>
    <n v="7025551838"/>
    <s v="8489 Strong St."/>
    <m/>
    <s v="Las Vegas"/>
    <x v="67"/>
    <s v="NV"/>
    <n v="83030"/>
    <x v="0"/>
    <x v="0"/>
    <s v="NA"/>
    <s v="King"/>
    <s v="Sue"/>
    <x v="0"/>
  </r>
  <r>
    <n v="10368"/>
    <x v="12"/>
    <n v="37.340000000000003"/>
    <n v="3"/>
    <x v="0"/>
    <x v="2007"/>
    <s v="2/24/2003 0:2042"/>
    <x v="0"/>
    <x v="0"/>
    <s v="Shipped"/>
    <x v="0"/>
    <x v="7"/>
    <x v="2"/>
    <x v="3"/>
    <n v="41"/>
    <s v="S24_396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80"/>
    <x v="30"/>
    <n v="95.03"/>
    <n v="12"/>
    <x v="1"/>
    <x v="2008"/>
    <s v="2/24/2003 0:2043"/>
    <x v="0"/>
    <x v="0"/>
    <s v="Shipped"/>
    <x v="0"/>
    <x v="0"/>
    <x v="2"/>
    <x v="3"/>
    <n v="41"/>
    <s v="S24_396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08"/>
    <x v="45"/>
    <n v="36.93"/>
    <n v="1"/>
    <x v="0"/>
    <x v="2009"/>
    <s v="2/24/2003 0:2044"/>
    <x v="0"/>
    <x v="0"/>
    <s v="Shipped"/>
    <x v="1"/>
    <x v="8"/>
    <x v="2"/>
    <x v="3"/>
    <n v="41"/>
    <s v="S24_3969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420"/>
    <x v="45"/>
    <n v="43.49"/>
    <n v="3"/>
    <x v="0"/>
    <x v="2010"/>
    <s v="2/24/2003 0:2045"/>
    <x v="2"/>
    <x v="1"/>
    <s v="In Process"/>
    <x v="1"/>
    <x v="1"/>
    <x v="2"/>
    <x v="3"/>
    <n v="41"/>
    <s v="S24_3969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104"/>
    <x v="18"/>
    <n v="100"/>
    <n v="5"/>
    <x v="0"/>
    <x v="2011"/>
    <s v="2/24/2003 0:2046"/>
    <x v="0"/>
    <x v="0"/>
    <s v="Shipped"/>
    <x v="0"/>
    <x v="7"/>
    <x v="0"/>
    <x v="1"/>
    <n v="118"/>
    <s v="S24_404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15"/>
    <x v="27"/>
    <n v="100"/>
    <n v="1"/>
    <x v="1"/>
    <x v="2012"/>
    <s v="2/24/2003 0:2047"/>
    <x v="0"/>
    <x v="0"/>
    <s v="Shipped"/>
    <x v="1"/>
    <x v="8"/>
    <x v="0"/>
    <x v="1"/>
    <n v="118"/>
    <s v="S24_4048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1"/>
  </r>
  <r>
    <n v="10127"/>
    <x v="14"/>
    <n v="96.99"/>
    <n v="7"/>
    <x v="0"/>
    <x v="2013"/>
    <s v="2/24/2003 0:2048"/>
    <x v="0"/>
    <x v="0"/>
    <s v="Shipped"/>
    <x v="1"/>
    <x v="9"/>
    <x v="0"/>
    <x v="1"/>
    <n v="118"/>
    <s v="S24_4048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141"/>
    <x v="23"/>
    <n v="94.62"/>
    <n v="1"/>
    <x v="0"/>
    <x v="2014"/>
    <s v="2/24/2003 0:2049"/>
    <x v="0"/>
    <x v="0"/>
    <s v="Shipped"/>
    <x v="2"/>
    <x v="3"/>
    <x v="0"/>
    <x v="1"/>
    <n v="118"/>
    <s v="S24_4048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152"/>
    <x v="10"/>
    <n v="100"/>
    <n v="3"/>
    <x v="0"/>
    <x v="2015"/>
    <s v="2/24/2003 0:2050"/>
    <x v="0"/>
    <x v="0"/>
    <s v="Shipped"/>
    <x v="2"/>
    <x v="10"/>
    <x v="0"/>
    <x v="1"/>
    <n v="118"/>
    <s v="S24_4048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0"/>
  </r>
  <r>
    <n v="10165"/>
    <x v="16"/>
    <n v="99.36"/>
    <n v="8"/>
    <x v="0"/>
    <x v="2016"/>
    <s v="2/24/2003 0:2051"/>
    <x v="0"/>
    <x v="0"/>
    <s v="Shipped"/>
    <x v="3"/>
    <x v="4"/>
    <x v="0"/>
    <x v="1"/>
    <n v="118"/>
    <s v="S24_4048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76"/>
    <x v="6"/>
    <n v="100"/>
    <n v="7"/>
    <x v="0"/>
    <x v="2017"/>
    <s v="2/24/2003 0:2052"/>
    <x v="0"/>
    <x v="0"/>
    <s v="Shipped"/>
    <x v="3"/>
    <x v="5"/>
    <x v="0"/>
    <x v="1"/>
    <n v="118"/>
    <s v="S24_4048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84"/>
    <x v="4"/>
    <n v="100"/>
    <n v="2"/>
    <x v="1"/>
    <x v="2018"/>
    <s v="2/24/2003 0:2053"/>
    <x v="0"/>
    <x v="0"/>
    <s v="Shipped"/>
    <x v="3"/>
    <x v="5"/>
    <x v="0"/>
    <x v="1"/>
    <n v="118"/>
    <s v="S24_4048"/>
    <s v="Iberia Gift Imports, Corp."/>
    <s v="(95) 555 82 82"/>
    <s v="C/ Romero, 33"/>
    <m/>
    <s v="Sevilla"/>
    <x v="64"/>
    <m/>
    <n v="41101"/>
    <x v="7"/>
    <x v="7"/>
    <s v="EMEA"/>
    <s v="Roel"/>
    <s v="Jose Pedro"/>
    <x v="1"/>
  </r>
  <r>
    <n v="10195"/>
    <x v="1"/>
    <n v="100"/>
    <n v="2"/>
    <x v="0"/>
    <x v="2019"/>
    <s v="2/24/2003 0:2054"/>
    <x v="0"/>
    <x v="0"/>
    <s v="Shipped"/>
    <x v="3"/>
    <x v="5"/>
    <x v="0"/>
    <x v="1"/>
    <n v="118"/>
    <s v="S24_4048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207"/>
    <x v="11"/>
    <n v="100"/>
    <n v="3"/>
    <x v="0"/>
    <x v="2020"/>
    <s v="2/24/2003 0:2055"/>
    <x v="0"/>
    <x v="0"/>
    <s v="Shipped"/>
    <x v="3"/>
    <x v="6"/>
    <x v="0"/>
    <x v="1"/>
    <n v="118"/>
    <s v="S24_4048"/>
    <s v="Diecast Collectables"/>
    <n v="6175552555"/>
    <s v="6251 Ingle Ln."/>
    <m/>
    <s v="Boston"/>
    <x v="48"/>
    <s v="MA"/>
    <n v="51003"/>
    <x v="0"/>
    <x v="0"/>
    <s v="NA"/>
    <s v="Franco"/>
    <s v="Valarie"/>
    <x v="0"/>
  </r>
  <r>
    <n v="10220"/>
    <x v="9"/>
    <n v="100"/>
    <n v="7"/>
    <x v="1"/>
    <x v="2021"/>
    <s v="2/24/2003 0:2056"/>
    <x v="0"/>
    <x v="0"/>
    <s v="Shipped"/>
    <x v="0"/>
    <x v="0"/>
    <x v="1"/>
    <x v="1"/>
    <n v="118"/>
    <s v="S24_4048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1"/>
  </r>
  <r>
    <n v="10230"/>
    <x v="3"/>
    <n v="100"/>
    <n v="5"/>
    <x v="1"/>
    <x v="2022"/>
    <s v="2/24/2003 0:2057"/>
    <x v="0"/>
    <x v="0"/>
    <s v="Shipped"/>
    <x v="0"/>
    <x v="11"/>
    <x v="1"/>
    <x v="1"/>
    <n v="118"/>
    <s v="S24_4048"/>
    <s v="Blauer See Auto, Co."/>
    <s v="+49 69 66 90 2555"/>
    <s v="Lyonerstr. 34"/>
    <m/>
    <s v="Frankfurt"/>
    <x v="58"/>
    <m/>
    <n v="60528"/>
    <x v="16"/>
    <x v="16"/>
    <s v="EMEA"/>
    <s v="Keitel"/>
    <s v="Roland"/>
    <x v="1"/>
  </r>
  <r>
    <n v="10246"/>
    <x v="12"/>
    <n v="100"/>
    <n v="1"/>
    <x v="1"/>
    <x v="2023"/>
    <s v="2/24/2003 0:2058"/>
    <x v="0"/>
    <x v="0"/>
    <s v="Shipped"/>
    <x v="1"/>
    <x v="1"/>
    <x v="1"/>
    <x v="1"/>
    <n v="118"/>
    <s v="S24_404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71"/>
    <x v="8"/>
    <n v="100"/>
    <n v="1"/>
    <x v="0"/>
    <x v="2024"/>
    <s v="2/24/2003 0:2059"/>
    <x v="0"/>
    <x v="0"/>
    <s v="Shipped"/>
    <x v="2"/>
    <x v="2"/>
    <x v="1"/>
    <x v="1"/>
    <n v="118"/>
    <s v="S24_404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82"/>
    <x v="25"/>
    <n v="100"/>
    <n v="10"/>
    <x v="1"/>
    <x v="2025"/>
    <s v="2/24/2003 0:2060"/>
    <x v="0"/>
    <x v="0"/>
    <s v="Shipped"/>
    <x v="2"/>
    <x v="3"/>
    <x v="1"/>
    <x v="1"/>
    <n v="118"/>
    <s v="S24_404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92"/>
    <x v="26"/>
    <n v="100"/>
    <n v="4"/>
    <x v="0"/>
    <x v="2026"/>
    <s v="2/24/2003 0:2061"/>
    <x v="0"/>
    <x v="0"/>
    <s v="Shipped"/>
    <x v="2"/>
    <x v="10"/>
    <x v="1"/>
    <x v="1"/>
    <n v="118"/>
    <s v="S24_4048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05"/>
    <x v="5"/>
    <n v="100"/>
    <n v="1"/>
    <x v="1"/>
    <x v="2027"/>
    <s v="2/24/2003 0:2062"/>
    <x v="0"/>
    <x v="0"/>
    <s v="Shipped"/>
    <x v="3"/>
    <x v="4"/>
    <x v="1"/>
    <x v="1"/>
    <n v="118"/>
    <s v="S24_4048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314"/>
    <x v="19"/>
    <n v="100"/>
    <n v="10"/>
    <x v="1"/>
    <x v="2028"/>
    <s v="2/24/2003 0:2063"/>
    <x v="0"/>
    <x v="0"/>
    <s v="Shipped"/>
    <x v="3"/>
    <x v="4"/>
    <x v="1"/>
    <x v="1"/>
    <n v="118"/>
    <s v="S24_4048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325"/>
    <x v="27"/>
    <n v="100"/>
    <n v="5"/>
    <x v="1"/>
    <x v="2029"/>
    <s v="2/24/2003 0:2064"/>
    <x v="0"/>
    <x v="0"/>
    <s v="Shipped"/>
    <x v="3"/>
    <x v="5"/>
    <x v="1"/>
    <x v="1"/>
    <n v="118"/>
    <s v="S24_4048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336"/>
    <x v="28"/>
    <n v="100"/>
    <n v="5"/>
    <x v="1"/>
    <x v="2030"/>
    <s v="2/24/2003 0:2065"/>
    <x v="0"/>
    <x v="0"/>
    <s v="Shipped"/>
    <x v="3"/>
    <x v="5"/>
    <x v="1"/>
    <x v="1"/>
    <n v="118"/>
    <s v="S24_4048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349"/>
    <x v="10"/>
    <n v="100"/>
    <n v="2"/>
    <x v="0"/>
    <x v="2031"/>
    <s v="2/24/2003 0:2066"/>
    <x v="0"/>
    <x v="0"/>
    <s v="Shipped"/>
    <x v="3"/>
    <x v="6"/>
    <x v="1"/>
    <x v="1"/>
    <n v="118"/>
    <s v="S24_4048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359"/>
    <x v="8"/>
    <n v="100"/>
    <n v="7"/>
    <x v="0"/>
    <x v="2032"/>
    <s v="2/24/2003 0:2067"/>
    <x v="0"/>
    <x v="0"/>
    <s v="Shipped"/>
    <x v="3"/>
    <x v="6"/>
    <x v="1"/>
    <x v="1"/>
    <n v="118"/>
    <s v="S24_4048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371"/>
    <x v="11"/>
    <n v="50.32"/>
    <n v="9"/>
    <x v="0"/>
    <x v="2033"/>
    <s v="2/24/2003 0:2068"/>
    <x v="0"/>
    <x v="0"/>
    <s v="Shipped"/>
    <x v="0"/>
    <x v="7"/>
    <x v="2"/>
    <x v="1"/>
    <n v="118"/>
    <s v="S24_404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83"/>
    <x v="15"/>
    <n v="93.91"/>
    <n v="4"/>
    <x v="0"/>
    <x v="2034"/>
    <s v="2/24/2003 0:2069"/>
    <x v="0"/>
    <x v="0"/>
    <s v="Shipped"/>
    <x v="0"/>
    <x v="0"/>
    <x v="2"/>
    <x v="1"/>
    <n v="118"/>
    <s v="S24_404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4"/>
    <x v="9"/>
    <n v="100"/>
    <n v="7"/>
    <x v="1"/>
    <x v="2035"/>
    <s v="2/24/2003 0:2070"/>
    <x v="0"/>
    <x v="0"/>
    <s v="Shipped"/>
    <x v="0"/>
    <x v="11"/>
    <x v="2"/>
    <x v="1"/>
    <n v="118"/>
    <s v="S24_404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12"/>
    <x v="28"/>
    <n v="100"/>
    <n v="1"/>
    <x v="1"/>
    <x v="2036"/>
    <s v="2/24/2003 0:2071"/>
    <x v="0"/>
    <x v="0"/>
    <s v="Shipped"/>
    <x v="1"/>
    <x v="1"/>
    <x v="2"/>
    <x v="1"/>
    <n v="118"/>
    <s v="S24_404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03"/>
    <x v="32"/>
    <n v="100"/>
    <n v="15"/>
    <x v="0"/>
    <x v="2037"/>
    <s v="2/24/2003 0:2072"/>
    <x v="0"/>
    <x v="0"/>
    <s v="Shipped"/>
    <x v="0"/>
    <x v="7"/>
    <x v="0"/>
    <x v="3"/>
    <n v="97"/>
    <s v="S24_4258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111"/>
    <x v="18"/>
    <n v="86.68"/>
    <n v="3"/>
    <x v="0"/>
    <x v="2038"/>
    <s v="2/24/2003 0:2073"/>
    <x v="0"/>
    <x v="0"/>
    <s v="Shipped"/>
    <x v="0"/>
    <x v="11"/>
    <x v="0"/>
    <x v="3"/>
    <n v="97"/>
    <s v="S24_4258"/>
    <s v="Mini Wheels Co."/>
    <n v="6505555787"/>
    <s v="5557 North Pendale Street"/>
    <m/>
    <s v="San Francisco"/>
    <x v="4"/>
    <s v="CA"/>
    <m/>
    <x v="0"/>
    <x v="0"/>
    <s v="NA"/>
    <s v="Murphy"/>
    <s v="Julie"/>
    <x v="0"/>
  </r>
  <r>
    <n v="10126"/>
    <x v="1"/>
    <n v="100"/>
    <n v="15"/>
    <x v="0"/>
    <x v="2039"/>
    <s v="2/24/2003 0:2074"/>
    <x v="0"/>
    <x v="0"/>
    <s v="Shipped"/>
    <x v="1"/>
    <x v="1"/>
    <x v="0"/>
    <x v="3"/>
    <n v="97"/>
    <s v="S24_4258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139"/>
    <x v="6"/>
    <n v="100"/>
    <n v="4"/>
    <x v="0"/>
    <x v="2040"/>
    <s v="2/24/2003 0:2075"/>
    <x v="0"/>
    <x v="0"/>
    <s v="Shipped"/>
    <x v="2"/>
    <x v="2"/>
    <x v="0"/>
    <x v="3"/>
    <n v="97"/>
    <s v="S24_4258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149"/>
    <x v="14"/>
    <n v="90.57"/>
    <n v="1"/>
    <x v="0"/>
    <x v="2041"/>
    <s v="2/24/2003 0:2076"/>
    <x v="0"/>
    <x v="0"/>
    <s v="Shipped"/>
    <x v="2"/>
    <x v="10"/>
    <x v="0"/>
    <x v="3"/>
    <n v="97"/>
    <s v="S24_4258"/>
    <s v="Signal Collectibles Ltd."/>
    <n v="4155554312"/>
    <s v="2793 Furth Circle"/>
    <m/>
    <s v="Brisbane"/>
    <x v="65"/>
    <s v="CA"/>
    <n v="94217"/>
    <x v="0"/>
    <x v="0"/>
    <s v="NA"/>
    <s v="Taylor"/>
    <s v="Sue"/>
    <x v="0"/>
  </r>
  <r>
    <n v="10163"/>
    <x v="13"/>
    <n v="91.55"/>
    <n v="5"/>
    <x v="0"/>
    <x v="2042"/>
    <s v="2/24/2003 0:2077"/>
    <x v="0"/>
    <x v="0"/>
    <s v="Shipped"/>
    <x v="3"/>
    <x v="4"/>
    <x v="0"/>
    <x v="3"/>
    <n v="97"/>
    <s v="S24_4258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1"/>
  </r>
  <r>
    <n v="10173"/>
    <x v="8"/>
    <n v="100"/>
    <n v="3"/>
    <x v="0"/>
    <x v="2043"/>
    <s v="2/24/2003 0:2078"/>
    <x v="0"/>
    <x v="0"/>
    <s v="Shipped"/>
    <x v="3"/>
    <x v="5"/>
    <x v="0"/>
    <x v="3"/>
    <n v="97"/>
    <s v="S24_4258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83"/>
    <x v="20"/>
    <n v="100"/>
    <n v="12"/>
    <x v="1"/>
    <x v="2044"/>
    <s v="2/24/2003 0:2079"/>
    <x v="0"/>
    <x v="0"/>
    <s v="Shipped"/>
    <x v="3"/>
    <x v="5"/>
    <x v="0"/>
    <x v="3"/>
    <n v="97"/>
    <s v="S24_4258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1"/>
  </r>
  <r>
    <n v="10193"/>
    <x v="14"/>
    <n v="100"/>
    <n v="4"/>
    <x v="0"/>
    <x v="2045"/>
    <s v="2/24/2003 0:2080"/>
    <x v="0"/>
    <x v="0"/>
    <s v="Shipped"/>
    <x v="3"/>
    <x v="5"/>
    <x v="0"/>
    <x v="3"/>
    <n v="97"/>
    <s v="S24_4258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206"/>
    <x v="29"/>
    <n v="97.39"/>
    <n v="10"/>
    <x v="0"/>
    <x v="2046"/>
    <s v="2/24/2003 0:2081"/>
    <x v="0"/>
    <x v="0"/>
    <s v="Shipped"/>
    <x v="3"/>
    <x v="6"/>
    <x v="0"/>
    <x v="3"/>
    <n v="97"/>
    <s v="S24_4258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1"/>
  </r>
  <r>
    <n v="10215"/>
    <x v="25"/>
    <n v="90.57"/>
    <n v="7"/>
    <x v="0"/>
    <x v="2047"/>
    <s v="2/24/2003 0:2082"/>
    <x v="0"/>
    <x v="0"/>
    <s v="Shipped"/>
    <x v="0"/>
    <x v="7"/>
    <x v="1"/>
    <x v="3"/>
    <n v="97"/>
    <s v="S24_4258"/>
    <s v="West Coast Collectables Co."/>
    <n v="3105553722"/>
    <s v="3675 Furth Circle"/>
    <m/>
    <s v="Burbank"/>
    <x v="27"/>
    <s v="CA"/>
    <n v="94019"/>
    <x v="0"/>
    <x v="0"/>
    <s v="NA"/>
    <s v="Thompson"/>
    <s v="Steve"/>
    <x v="1"/>
  </r>
  <r>
    <n v="10228"/>
    <x v="29"/>
    <n v="100"/>
    <n v="6"/>
    <x v="0"/>
    <x v="2048"/>
    <s v="2/24/2003 0:2083"/>
    <x v="0"/>
    <x v="0"/>
    <s v="Shipped"/>
    <x v="0"/>
    <x v="11"/>
    <x v="1"/>
    <x v="3"/>
    <n v="97"/>
    <s v="S24_4258"/>
    <s v="Cambridge Collectables Co."/>
    <n v="6175555555"/>
    <s v="4658 Baden Av."/>
    <m/>
    <s v="Cambridge"/>
    <x v="12"/>
    <s v="MA"/>
    <n v="51247"/>
    <x v="0"/>
    <x v="0"/>
    <s v="NA"/>
    <s v="Tseng"/>
    <s v="Kyung"/>
    <x v="1"/>
  </r>
  <r>
    <n v="10244"/>
    <x v="23"/>
    <n v="86.68"/>
    <n v="4"/>
    <x v="0"/>
    <x v="2049"/>
    <s v="2/24/2003 0:2084"/>
    <x v="0"/>
    <x v="0"/>
    <s v="Shipped"/>
    <x v="1"/>
    <x v="8"/>
    <x v="1"/>
    <x v="3"/>
    <n v="97"/>
    <s v="S24_425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57"/>
    <x v="12"/>
    <n v="78.89"/>
    <n v="4"/>
    <x v="0"/>
    <x v="2050"/>
    <s v="2/24/2003 0:2085"/>
    <x v="0"/>
    <x v="0"/>
    <s v="Shipped"/>
    <x v="1"/>
    <x v="9"/>
    <x v="1"/>
    <x v="3"/>
    <n v="97"/>
    <s v="S24_4258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269"/>
    <x v="7"/>
    <n v="97.39"/>
    <n v="2"/>
    <x v="1"/>
    <x v="2051"/>
    <s v="2/24/2003 0:2086"/>
    <x v="0"/>
    <x v="0"/>
    <s v="Shipped"/>
    <x v="2"/>
    <x v="2"/>
    <x v="1"/>
    <x v="3"/>
    <n v="97"/>
    <s v="S24_4258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280"/>
    <x v="15"/>
    <n v="78.89"/>
    <n v="6"/>
    <x v="0"/>
    <x v="2052"/>
    <s v="2/24/2003 0:2087"/>
    <x v="0"/>
    <x v="0"/>
    <s v="Shipped"/>
    <x v="2"/>
    <x v="3"/>
    <x v="1"/>
    <x v="3"/>
    <n v="97"/>
    <s v="S24_4258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290"/>
    <x v="3"/>
    <n v="100"/>
    <n v="1"/>
    <x v="1"/>
    <x v="2053"/>
    <s v="2/24/2003 0:2088"/>
    <x v="0"/>
    <x v="0"/>
    <s v="Shipped"/>
    <x v="2"/>
    <x v="10"/>
    <x v="1"/>
    <x v="3"/>
    <n v="97"/>
    <s v="S24_4258"/>
    <s v="Auto-Moto Classics Inc."/>
    <n v="6175558428"/>
    <s v="16780 Pompton St."/>
    <m/>
    <s v="Brickhaven"/>
    <x v="35"/>
    <s v="MA"/>
    <n v="58339"/>
    <x v="0"/>
    <x v="0"/>
    <s v="NA"/>
    <s v="Taylor"/>
    <s v="Leslie"/>
    <x v="1"/>
  </r>
  <r>
    <n v="10304"/>
    <x v="29"/>
    <n v="100"/>
    <n v="10"/>
    <x v="0"/>
    <x v="2054"/>
    <s v="2/24/2003 0:2089"/>
    <x v="0"/>
    <x v="0"/>
    <s v="Shipped"/>
    <x v="3"/>
    <x v="4"/>
    <x v="1"/>
    <x v="3"/>
    <n v="97"/>
    <s v="S24_4258"/>
    <s v="Auto Assoc. &amp; Cie."/>
    <s v="30.59.8555"/>
    <s v="67, avenue de l'Europe"/>
    <m/>
    <s v="Versailles"/>
    <x v="32"/>
    <m/>
    <n v="78000"/>
    <x v="1"/>
    <x v="1"/>
    <s v="EMEA"/>
    <s v="Tonini"/>
    <s v="Daniel"/>
    <x v="1"/>
  </r>
  <r>
    <n v="10312"/>
    <x v="27"/>
    <n v="100"/>
    <n v="7"/>
    <x v="1"/>
    <x v="2055"/>
    <s v="2/24/2003 0:2090"/>
    <x v="0"/>
    <x v="0"/>
    <s v="Shipped"/>
    <x v="3"/>
    <x v="4"/>
    <x v="1"/>
    <x v="3"/>
    <n v="97"/>
    <s v="S24_425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24"/>
    <x v="29"/>
    <n v="100"/>
    <n v="3"/>
    <x v="1"/>
    <x v="2056"/>
    <s v="2/24/2003 0:2091"/>
    <x v="0"/>
    <x v="0"/>
    <s v="Shipped"/>
    <x v="3"/>
    <x v="5"/>
    <x v="1"/>
    <x v="3"/>
    <n v="97"/>
    <s v="S24_4258"/>
    <s v="Vitachrome Inc."/>
    <n v="2125551500"/>
    <s v="2678 Kingston Rd."/>
    <s v="Suite 101"/>
    <s v="Nyc"/>
    <x v="0"/>
    <s v="NY"/>
    <n v="10022"/>
    <x v="0"/>
    <x v="0"/>
    <s v="NA"/>
    <s v="Frick"/>
    <s v="Michael"/>
    <x v="1"/>
  </r>
  <r>
    <n v="10333"/>
    <x v="25"/>
    <n v="100"/>
    <n v="1"/>
    <x v="1"/>
    <x v="2057"/>
    <s v="2/24/2003 0:2092"/>
    <x v="0"/>
    <x v="0"/>
    <s v="Shipped"/>
    <x v="3"/>
    <x v="5"/>
    <x v="1"/>
    <x v="3"/>
    <n v="97"/>
    <s v="S24_4258"/>
    <s v="Mini Wheels Co."/>
    <n v="6505555787"/>
    <s v="5557 North Pendale Street"/>
    <m/>
    <s v="San Francisco"/>
    <x v="4"/>
    <s v="CA"/>
    <m/>
    <x v="0"/>
    <x v="0"/>
    <s v="NA"/>
    <s v="Murphy"/>
    <s v="Julie"/>
    <x v="1"/>
  </r>
  <r>
    <n v="10348"/>
    <x v="25"/>
    <n v="50.31"/>
    <n v="2"/>
    <x v="0"/>
    <x v="2058"/>
    <s v="2/24/2003 0:2093"/>
    <x v="0"/>
    <x v="0"/>
    <s v="Shipped"/>
    <x v="3"/>
    <x v="5"/>
    <x v="1"/>
    <x v="3"/>
    <n v="97"/>
    <s v="S24_4258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358"/>
    <x v="2"/>
    <n v="100"/>
    <n v="6"/>
    <x v="1"/>
    <x v="2059"/>
    <s v="2/24/2003 0:2094"/>
    <x v="0"/>
    <x v="0"/>
    <s v="Shipped"/>
    <x v="3"/>
    <x v="6"/>
    <x v="1"/>
    <x v="3"/>
    <n v="97"/>
    <s v="S24_425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69"/>
    <x v="23"/>
    <n v="86.92"/>
    <n v="3"/>
    <x v="0"/>
    <x v="2060"/>
    <s v="2/24/2003 0:2095"/>
    <x v="0"/>
    <x v="0"/>
    <s v="Shipped"/>
    <x v="0"/>
    <x v="7"/>
    <x v="2"/>
    <x v="3"/>
    <n v="97"/>
    <s v="S24_4258"/>
    <s v="Collectables For Less Inc."/>
    <n v="6175558555"/>
    <s v="7825 Douglas Av."/>
    <m/>
    <s v="Brickhaven"/>
    <x v="35"/>
    <s v="MA"/>
    <n v="58339"/>
    <x v="0"/>
    <x v="0"/>
    <s v="NA"/>
    <s v="Nelson"/>
    <s v="Allen"/>
    <x v="1"/>
  </r>
  <r>
    <n v="10382"/>
    <x v="29"/>
    <n v="100"/>
    <n v="4"/>
    <x v="1"/>
    <x v="2061"/>
    <s v="2/24/2003 0:2096"/>
    <x v="0"/>
    <x v="0"/>
    <s v="Shipped"/>
    <x v="0"/>
    <x v="0"/>
    <x v="2"/>
    <x v="3"/>
    <n v="97"/>
    <s v="S24_425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23"/>
    <x v="11"/>
    <n v="78.89"/>
    <n v="4"/>
    <x v="0"/>
    <x v="2062"/>
    <s v="2/24/2003 0:2097"/>
    <x v="2"/>
    <x v="1"/>
    <s v="In Process"/>
    <x v="1"/>
    <x v="1"/>
    <x v="2"/>
    <x v="3"/>
    <n v="97"/>
    <s v="S24_4258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106"/>
    <x v="18"/>
    <n v="63.76"/>
    <n v="3"/>
    <x v="0"/>
    <x v="2063"/>
    <s v="2/24/2003 0:2098"/>
    <x v="0"/>
    <x v="0"/>
    <s v="Shipped"/>
    <x v="0"/>
    <x v="0"/>
    <x v="0"/>
    <x v="4"/>
    <n v="72"/>
    <s v="S24_4278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20"/>
    <x v="6"/>
    <n v="85.49"/>
    <n v="9"/>
    <x v="0"/>
    <x v="2064"/>
    <s v="2/24/2003 0:2099"/>
    <x v="0"/>
    <x v="0"/>
    <s v="Shipped"/>
    <x v="1"/>
    <x v="8"/>
    <x v="0"/>
    <x v="4"/>
    <n v="72"/>
    <s v="S24_4278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133"/>
    <x v="12"/>
    <n v="77.52"/>
    <n v="4"/>
    <x v="0"/>
    <x v="2065"/>
    <s v="2/24/2003 0:2100"/>
    <x v="0"/>
    <x v="0"/>
    <s v="Shipped"/>
    <x v="1"/>
    <x v="9"/>
    <x v="0"/>
    <x v="4"/>
    <n v="72"/>
    <s v="S24_427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45"/>
    <x v="29"/>
    <n v="84.77"/>
    <n v="15"/>
    <x v="0"/>
    <x v="2066"/>
    <s v="2/24/2003 0:2101"/>
    <x v="0"/>
    <x v="0"/>
    <s v="Shipped"/>
    <x v="2"/>
    <x v="3"/>
    <x v="0"/>
    <x v="4"/>
    <n v="72"/>
    <s v="S24_4278"/>
    <s v="Toys4GrownUps.com"/>
    <n v="6265557265"/>
    <s v="78934 Hillside Dr."/>
    <m/>
    <s v="Pasadena"/>
    <x v="3"/>
    <s v="CA"/>
    <n v="90003"/>
    <x v="0"/>
    <x v="0"/>
    <s v="NA"/>
    <s v="Young"/>
    <s v="Julie"/>
    <x v="0"/>
  </r>
  <r>
    <n v="10168"/>
    <x v="7"/>
    <n v="78.25"/>
    <n v="10"/>
    <x v="0"/>
    <x v="2067"/>
    <s v="2/24/2003 0:2102"/>
    <x v="0"/>
    <x v="0"/>
    <s v="Shipped"/>
    <x v="3"/>
    <x v="4"/>
    <x v="0"/>
    <x v="4"/>
    <n v="72"/>
    <s v="S24_4278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210"/>
    <x v="23"/>
    <n v="71"/>
    <n v="8"/>
    <x v="0"/>
    <x v="2068"/>
    <s v="2/24/2003 0:2103"/>
    <x v="0"/>
    <x v="0"/>
    <s v="Shipped"/>
    <x v="0"/>
    <x v="7"/>
    <x v="1"/>
    <x v="4"/>
    <n v="72"/>
    <s v="S24_4278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0"/>
  </r>
  <r>
    <n v="10223"/>
    <x v="10"/>
    <n v="74.62"/>
    <n v="10"/>
    <x v="0"/>
    <x v="2069"/>
    <s v="2/24/2003 0:2104"/>
    <x v="0"/>
    <x v="0"/>
    <s v="Shipped"/>
    <x v="0"/>
    <x v="0"/>
    <x v="1"/>
    <x v="4"/>
    <n v="72"/>
    <s v="S24_4278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235"/>
    <x v="23"/>
    <n v="81.14"/>
    <n v="4"/>
    <x v="0"/>
    <x v="2070"/>
    <s v="2/24/2003 0:2105"/>
    <x v="0"/>
    <x v="0"/>
    <s v="Shipped"/>
    <x v="1"/>
    <x v="8"/>
    <x v="1"/>
    <x v="4"/>
    <n v="72"/>
    <s v="S24_4278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1"/>
  </r>
  <r>
    <n v="10250"/>
    <x v="9"/>
    <n v="74.62"/>
    <n v="5"/>
    <x v="0"/>
    <x v="2071"/>
    <s v="2/24/2003 0:2106"/>
    <x v="0"/>
    <x v="0"/>
    <s v="Shipped"/>
    <x v="1"/>
    <x v="1"/>
    <x v="1"/>
    <x v="4"/>
    <n v="72"/>
    <s v="S24_4278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263"/>
    <x v="16"/>
    <n v="75.349999999999994"/>
    <n v="11"/>
    <x v="0"/>
    <x v="2072"/>
    <s v="2/24/2003 0:2107"/>
    <x v="0"/>
    <x v="0"/>
    <s v="Shipped"/>
    <x v="1"/>
    <x v="9"/>
    <x v="1"/>
    <x v="4"/>
    <n v="72"/>
    <s v="S24_4278"/>
    <s v="Gift Depot Inc."/>
    <n v="2035552570"/>
    <s v="25593 South Bay Ln."/>
    <m/>
    <s v="Bridgewater"/>
    <x v="10"/>
    <s v="CT"/>
    <n v="97562"/>
    <x v="0"/>
    <x v="0"/>
    <s v="NA"/>
    <s v="King"/>
    <s v="Julie"/>
    <x v="0"/>
  </r>
  <r>
    <n v="10275"/>
    <x v="26"/>
    <n v="62.31"/>
    <n v="10"/>
    <x v="0"/>
    <x v="2073"/>
    <s v="2/24/2003 0:2108"/>
    <x v="0"/>
    <x v="0"/>
    <s v="Shipped"/>
    <x v="2"/>
    <x v="2"/>
    <x v="1"/>
    <x v="4"/>
    <n v="72"/>
    <s v="S24_4278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284"/>
    <x v="15"/>
    <n v="71"/>
    <n v="2"/>
    <x v="0"/>
    <x v="2074"/>
    <s v="2/24/2003 0:2109"/>
    <x v="0"/>
    <x v="0"/>
    <s v="Shipped"/>
    <x v="2"/>
    <x v="3"/>
    <x v="1"/>
    <x v="4"/>
    <n v="72"/>
    <s v="S24_4278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297"/>
    <x v="10"/>
    <n v="72.45"/>
    <n v="5"/>
    <x v="0"/>
    <x v="2075"/>
    <s v="2/24/2003 0:2110"/>
    <x v="0"/>
    <x v="0"/>
    <s v="Shipped"/>
    <x v="2"/>
    <x v="10"/>
    <x v="1"/>
    <x v="4"/>
    <n v="72"/>
    <s v="S24_4278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0"/>
  </r>
  <r>
    <n v="10308"/>
    <x v="27"/>
    <n v="83.32"/>
    <n v="8"/>
    <x v="0"/>
    <x v="2076"/>
    <s v="2/24/2003 0:2111"/>
    <x v="0"/>
    <x v="0"/>
    <s v="Shipped"/>
    <x v="3"/>
    <x v="4"/>
    <x v="1"/>
    <x v="4"/>
    <n v="72"/>
    <s v="S24_4278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317"/>
    <x v="21"/>
    <n v="83.32"/>
    <n v="1"/>
    <x v="0"/>
    <x v="2077"/>
    <s v="2/24/2003 0:2112"/>
    <x v="0"/>
    <x v="0"/>
    <s v="Shipped"/>
    <x v="3"/>
    <x v="5"/>
    <x v="1"/>
    <x v="4"/>
    <n v="72"/>
    <s v="S24_4278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328"/>
    <x v="30"/>
    <n v="60.86"/>
    <n v="4"/>
    <x v="0"/>
    <x v="2078"/>
    <s v="2/24/2003 0:2113"/>
    <x v="0"/>
    <x v="0"/>
    <s v="Shipped"/>
    <x v="3"/>
    <x v="5"/>
    <x v="1"/>
    <x v="4"/>
    <n v="72"/>
    <s v="S24_4278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340"/>
    <x v="23"/>
    <n v="84.77"/>
    <n v="1"/>
    <x v="0"/>
    <x v="2079"/>
    <s v="2/24/2003 0:2114"/>
    <x v="0"/>
    <x v="0"/>
    <s v="Shipped"/>
    <x v="3"/>
    <x v="5"/>
    <x v="1"/>
    <x v="4"/>
    <n v="72"/>
    <s v="S24_4278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353"/>
    <x v="21"/>
    <n v="89.9"/>
    <n v="3"/>
    <x v="0"/>
    <x v="2080"/>
    <s v="2/24/2003 0:2115"/>
    <x v="0"/>
    <x v="0"/>
    <s v="Shipped"/>
    <x v="3"/>
    <x v="6"/>
    <x v="1"/>
    <x v="4"/>
    <n v="72"/>
    <s v="S24_4278"/>
    <s v="Gift Ideas Corp."/>
    <n v="2035554407"/>
    <s v="2440 Pompton St."/>
    <m/>
    <s v="Glendale"/>
    <x v="63"/>
    <s v="CT"/>
    <n v="97561"/>
    <x v="0"/>
    <x v="0"/>
    <s v="NA"/>
    <s v="Lewis"/>
    <s v="Dan"/>
    <x v="1"/>
  </r>
  <r>
    <n v="10361"/>
    <x v="32"/>
    <n v="62.46"/>
    <n v="1"/>
    <x v="0"/>
    <x v="2081"/>
    <s v="2/24/2003 0:2116"/>
    <x v="0"/>
    <x v="0"/>
    <s v="Shipped"/>
    <x v="3"/>
    <x v="6"/>
    <x v="1"/>
    <x v="4"/>
    <n v="72"/>
    <s v="S24_4278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375"/>
    <x v="30"/>
    <n v="100"/>
    <n v="2"/>
    <x v="1"/>
    <x v="2082"/>
    <s v="2/24/2003 0:2117"/>
    <x v="0"/>
    <x v="0"/>
    <s v="Shipped"/>
    <x v="0"/>
    <x v="0"/>
    <x v="2"/>
    <x v="4"/>
    <n v="72"/>
    <s v="S24_4278"/>
    <s v="La Rochelle Gifts"/>
    <s v="40.67.8555"/>
    <s v="67, rue des Cinquante Otages"/>
    <m/>
    <s v="Nantes"/>
    <x v="11"/>
    <m/>
    <n v="44000"/>
    <x v="1"/>
    <x v="1"/>
    <s v="EMEA"/>
    <s v="Labrune"/>
    <s v="Janine"/>
    <x v="2"/>
  </r>
  <r>
    <n v="10386"/>
    <x v="24"/>
    <n v="63.34"/>
    <n v="8"/>
    <x v="0"/>
    <x v="2083"/>
    <s v="2/24/2003 0:2118"/>
    <x v="5"/>
    <x v="1"/>
    <s v="Resolved"/>
    <x v="0"/>
    <x v="11"/>
    <x v="2"/>
    <x v="4"/>
    <n v="72"/>
    <s v="S24_427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8"/>
    <x v="3"/>
    <n v="78.25"/>
    <n v="14"/>
    <x v="0"/>
    <x v="2084"/>
    <s v="2/24/2003 0:2119"/>
    <x v="0"/>
    <x v="0"/>
    <s v="Shipped"/>
    <x v="0"/>
    <x v="11"/>
    <x v="2"/>
    <x v="4"/>
    <n v="72"/>
    <s v="S24_4278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401"/>
    <x v="53"/>
    <n v="81.14"/>
    <n v="4"/>
    <x v="1"/>
    <x v="2085"/>
    <s v="2/24/2003 0:2120"/>
    <x v="4"/>
    <x v="1"/>
    <s v="On Hold"/>
    <x v="1"/>
    <x v="8"/>
    <x v="2"/>
    <x v="4"/>
    <n v="72"/>
    <s v="S24_4278"/>
    <s v="Tekni Collectables Inc."/>
    <n v="2015559350"/>
    <s v="7476 Moss Rd."/>
    <m/>
    <s v="Newark"/>
    <x v="9"/>
    <s v="NJ"/>
    <n v="94019"/>
    <x v="0"/>
    <x v="0"/>
    <s v="NA"/>
    <s v="Brown"/>
    <s v="William"/>
    <x v="1"/>
  </r>
  <r>
    <n v="10416"/>
    <x v="7"/>
    <n v="74.62"/>
    <n v="5"/>
    <x v="0"/>
    <x v="2086"/>
    <s v="2/24/2003 0:2121"/>
    <x v="0"/>
    <x v="0"/>
    <s v="Shipped"/>
    <x v="1"/>
    <x v="1"/>
    <x v="2"/>
    <x v="4"/>
    <n v="72"/>
    <s v="S24_4278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108"/>
    <x v="28"/>
    <n v="68.709999999999994"/>
    <n v="10"/>
    <x v="0"/>
    <x v="2087"/>
    <s v="2/24/2003 0:2122"/>
    <x v="0"/>
    <x v="0"/>
    <s v="Shipped"/>
    <x v="0"/>
    <x v="11"/>
    <x v="0"/>
    <x v="1"/>
    <n v="80"/>
    <s v="S24_4620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0"/>
  </r>
  <r>
    <n v="10122"/>
    <x v="6"/>
    <n v="71.14"/>
    <n v="14"/>
    <x v="0"/>
    <x v="2088"/>
    <s v="2/24/2003 0:2123"/>
    <x v="0"/>
    <x v="0"/>
    <s v="Shipped"/>
    <x v="1"/>
    <x v="1"/>
    <x v="0"/>
    <x v="1"/>
    <n v="80"/>
    <s v="S24_4620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135"/>
    <x v="10"/>
    <n v="87.31"/>
    <n v="11"/>
    <x v="0"/>
    <x v="2089"/>
    <s v="2/24/2003 0:2124"/>
    <x v="0"/>
    <x v="0"/>
    <s v="Shipped"/>
    <x v="2"/>
    <x v="2"/>
    <x v="0"/>
    <x v="1"/>
    <n v="80"/>
    <s v="S24_462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47"/>
    <x v="28"/>
    <n v="64.67"/>
    <n v="11"/>
    <x v="0"/>
    <x v="2090"/>
    <s v="2/24/2003 0:2125"/>
    <x v="0"/>
    <x v="0"/>
    <s v="Shipped"/>
    <x v="2"/>
    <x v="10"/>
    <x v="0"/>
    <x v="1"/>
    <n v="80"/>
    <s v="S24_4620"/>
    <s v="Collectables For Less Inc."/>
    <n v="6175558555"/>
    <s v="7825 Douglas Av."/>
    <m/>
    <s v="Brickhaven"/>
    <x v="35"/>
    <s v="MA"/>
    <n v="58339"/>
    <x v="0"/>
    <x v="0"/>
    <s v="NA"/>
    <s v="Nelson"/>
    <s v="Allen"/>
    <x v="0"/>
  </r>
  <r>
    <n v="10159"/>
    <x v="10"/>
    <n v="67.099999999999994"/>
    <n v="6"/>
    <x v="0"/>
    <x v="2091"/>
    <s v="2/24/2003 0:2126"/>
    <x v="0"/>
    <x v="0"/>
    <s v="Shipped"/>
    <x v="3"/>
    <x v="4"/>
    <x v="0"/>
    <x v="1"/>
    <n v="80"/>
    <s v="S24_4620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69"/>
    <x v="16"/>
    <n v="94.58"/>
    <n v="6"/>
    <x v="0"/>
    <x v="2092"/>
    <s v="2/24/2003 0:2127"/>
    <x v="0"/>
    <x v="0"/>
    <s v="Shipped"/>
    <x v="3"/>
    <x v="5"/>
    <x v="0"/>
    <x v="1"/>
    <n v="80"/>
    <s v="S24_4620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80"/>
    <x v="11"/>
    <n v="71.14"/>
    <n v="1"/>
    <x v="0"/>
    <x v="2093"/>
    <s v="2/24/2003 0:2128"/>
    <x v="0"/>
    <x v="0"/>
    <s v="Shipped"/>
    <x v="3"/>
    <x v="5"/>
    <x v="0"/>
    <x v="1"/>
    <n v="80"/>
    <s v="S24_4620"/>
    <s v="Daedalus Designs Imports"/>
    <s v="20.16.1555"/>
    <s v="184, chausse de Tournai"/>
    <m/>
    <s v="Lille"/>
    <x v="6"/>
    <m/>
    <n v="59000"/>
    <x v="1"/>
    <x v="1"/>
    <s v="EMEA"/>
    <s v="Rance"/>
    <s v="Martine"/>
    <x v="0"/>
  </r>
  <r>
    <n v="10191"/>
    <x v="27"/>
    <n v="66.290000000000006"/>
    <n v="7"/>
    <x v="0"/>
    <x v="2094"/>
    <s v="2/24/2003 0:2129"/>
    <x v="0"/>
    <x v="0"/>
    <s v="Shipped"/>
    <x v="3"/>
    <x v="5"/>
    <x v="0"/>
    <x v="1"/>
    <n v="80"/>
    <s v="S24_4620"/>
    <s v="Toms Spezialitten, Ltd"/>
    <s v="0221-5554327"/>
    <s v="Mehrheimerstr. 369"/>
    <m/>
    <s v="Koln"/>
    <x v="55"/>
    <m/>
    <n v="50739"/>
    <x v="16"/>
    <x v="16"/>
    <s v="EMEA"/>
    <s v="Pfalzheim"/>
    <s v="Henriette"/>
    <x v="0"/>
  </r>
  <r>
    <n v="10211"/>
    <x v="8"/>
    <n v="92.16"/>
    <n v="6"/>
    <x v="0"/>
    <x v="2095"/>
    <s v="2/24/2003 0:2130"/>
    <x v="0"/>
    <x v="0"/>
    <s v="Shipped"/>
    <x v="0"/>
    <x v="7"/>
    <x v="1"/>
    <x v="1"/>
    <n v="80"/>
    <s v="S24_4620"/>
    <s v="Auto Canal Petit"/>
    <s v="(1) 47.55.6555"/>
    <s v="25, rue Lauriston"/>
    <m/>
    <s v="Paris"/>
    <x v="2"/>
    <m/>
    <n v="75016"/>
    <x v="1"/>
    <x v="1"/>
    <s v="EMEA"/>
    <s v="Perrier"/>
    <s v="Dominique"/>
    <x v="0"/>
  </r>
  <r>
    <n v="10225"/>
    <x v="12"/>
    <n v="70.33"/>
    <n v="13"/>
    <x v="0"/>
    <x v="2096"/>
    <s v="2/24/2003 0:2131"/>
    <x v="0"/>
    <x v="0"/>
    <s v="Shipped"/>
    <x v="0"/>
    <x v="0"/>
    <x v="1"/>
    <x v="1"/>
    <n v="80"/>
    <s v="S24_4620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238"/>
    <x v="8"/>
    <n v="93.77"/>
    <n v="7"/>
    <x v="0"/>
    <x v="2097"/>
    <s v="2/24/2003 0:2132"/>
    <x v="0"/>
    <x v="0"/>
    <s v="Shipped"/>
    <x v="1"/>
    <x v="8"/>
    <x v="1"/>
    <x v="1"/>
    <n v="80"/>
    <s v="S24_4620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252"/>
    <x v="19"/>
    <n v="87.31"/>
    <n v="3"/>
    <x v="0"/>
    <x v="2098"/>
    <s v="2/24/2003 0:2133"/>
    <x v="0"/>
    <x v="0"/>
    <s v="Shipped"/>
    <x v="1"/>
    <x v="1"/>
    <x v="1"/>
    <x v="1"/>
    <n v="80"/>
    <s v="S24_4620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264"/>
    <x v="20"/>
    <n v="83.27"/>
    <n v="1"/>
    <x v="0"/>
    <x v="2099"/>
    <s v="2/24/2003 0:2134"/>
    <x v="0"/>
    <x v="0"/>
    <s v="Shipped"/>
    <x v="1"/>
    <x v="9"/>
    <x v="1"/>
    <x v="1"/>
    <n v="80"/>
    <s v="S24_4620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276"/>
    <x v="7"/>
    <n v="75.180000000000007"/>
    <n v="7"/>
    <x v="0"/>
    <x v="2100"/>
    <s v="2/24/2003 0:2135"/>
    <x v="0"/>
    <x v="0"/>
    <s v="Shipped"/>
    <x v="2"/>
    <x v="3"/>
    <x v="1"/>
    <x v="1"/>
    <n v="80"/>
    <s v="S24_4620"/>
    <s v="Online Mini Collectables"/>
    <n v="6175557555"/>
    <s v="7635 Spinnaker Dr."/>
    <m/>
    <s v="Brickhaven"/>
    <x v="35"/>
    <s v="MA"/>
    <n v="58339"/>
    <x v="0"/>
    <x v="0"/>
    <s v="NA"/>
    <s v="Barajas"/>
    <s v="Miguel"/>
    <x v="1"/>
  </r>
  <r>
    <n v="10287"/>
    <x v="23"/>
    <n v="88.12"/>
    <n v="16"/>
    <x v="0"/>
    <x v="2101"/>
    <s v="2/24/2003 0:2136"/>
    <x v="0"/>
    <x v="0"/>
    <s v="Shipped"/>
    <x v="2"/>
    <x v="3"/>
    <x v="1"/>
    <x v="1"/>
    <n v="80"/>
    <s v="S24_4620"/>
    <s v="Vida Sport, Ltd"/>
    <s v="0897-034555"/>
    <s v="Grenzacherweg 237"/>
    <m/>
    <s v="Gensve"/>
    <x v="56"/>
    <m/>
    <n v="1203"/>
    <x v="17"/>
    <x v="17"/>
    <s v="EMEA"/>
    <s v="Holz"/>
    <s v="Michael"/>
    <x v="1"/>
  </r>
  <r>
    <n v="10299"/>
    <x v="22"/>
    <n v="80.84"/>
    <n v="1"/>
    <x v="0"/>
    <x v="2102"/>
    <s v="2/24/2003 0:2137"/>
    <x v="0"/>
    <x v="0"/>
    <s v="Shipped"/>
    <x v="2"/>
    <x v="10"/>
    <x v="1"/>
    <x v="1"/>
    <n v="80"/>
    <s v="S24_4620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310"/>
    <x v="4"/>
    <n v="97.01"/>
    <n v="14"/>
    <x v="1"/>
    <x v="2103"/>
    <s v="2/24/2003 0:2138"/>
    <x v="0"/>
    <x v="0"/>
    <s v="Shipped"/>
    <x v="3"/>
    <x v="4"/>
    <x v="1"/>
    <x v="1"/>
    <n v="80"/>
    <s v="S24_4620"/>
    <s v="Toms Spezialitten, Ltd"/>
    <s v="0221-5554327"/>
    <s v="Mehrheimerstr. 369"/>
    <m/>
    <s v="Koln"/>
    <x v="55"/>
    <m/>
    <n v="50739"/>
    <x v="16"/>
    <x v="16"/>
    <s v="EMEA"/>
    <s v="Pfalzheim"/>
    <s v="Henriette"/>
    <x v="1"/>
  </r>
  <r>
    <n v="10319"/>
    <x v="30"/>
    <n v="85.69"/>
    <n v="2"/>
    <x v="0"/>
    <x v="2104"/>
    <s v="2/24/2003 0:2139"/>
    <x v="0"/>
    <x v="0"/>
    <s v="Shipped"/>
    <x v="3"/>
    <x v="5"/>
    <x v="1"/>
    <x v="1"/>
    <n v="80"/>
    <s v="S24_4620"/>
    <s v="Microscale Inc."/>
    <n v="2125551957"/>
    <s v="5290 North Pendale Street"/>
    <s v="Suite 200"/>
    <s v="Nyc"/>
    <x v="0"/>
    <s v="NY"/>
    <n v="10022"/>
    <x v="0"/>
    <x v="0"/>
    <s v="NA"/>
    <s v="Kuo"/>
    <s v="Kee"/>
    <x v="1"/>
  </r>
  <r>
    <n v="10331"/>
    <x v="2"/>
    <n v="100"/>
    <n v="2"/>
    <x v="1"/>
    <x v="2105"/>
    <s v="2/24/2003 0:2140"/>
    <x v="0"/>
    <x v="0"/>
    <s v="Shipped"/>
    <x v="3"/>
    <x v="5"/>
    <x v="1"/>
    <x v="1"/>
    <n v="80"/>
    <s v="S24_4620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343"/>
    <x v="0"/>
    <n v="100"/>
    <n v="1"/>
    <x v="0"/>
    <x v="2106"/>
    <s v="2/24/2003 0:2141"/>
    <x v="0"/>
    <x v="0"/>
    <s v="Shipped"/>
    <x v="3"/>
    <x v="5"/>
    <x v="1"/>
    <x v="1"/>
    <n v="80"/>
    <s v="S24_4620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355"/>
    <x v="11"/>
    <n v="95.39"/>
    <n v="9"/>
    <x v="0"/>
    <x v="2107"/>
    <s v="2/24/2003 0:2142"/>
    <x v="0"/>
    <x v="0"/>
    <s v="Shipped"/>
    <x v="3"/>
    <x v="6"/>
    <x v="1"/>
    <x v="1"/>
    <n v="80"/>
    <s v="S24_4620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63"/>
    <x v="30"/>
    <n v="100"/>
    <n v="9"/>
    <x v="1"/>
    <x v="2108"/>
    <s v="2/24/2003 0:2143"/>
    <x v="0"/>
    <x v="0"/>
    <s v="Shipped"/>
    <x v="0"/>
    <x v="7"/>
    <x v="2"/>
    <x v="1"/>
    <n v="80"/>
    <s v="S24_4620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378"/>
    <x v="2"/>
    <n v="100"/>
    <n v="2"/>
    <x v="1"/>
    <x v="2109"/>
    <s v="2/24/2003 0:2144"/>
    <x v="0"/>
    <x v="0"/>
    <s v="Shipped"/>
    <x v="0"/>
    <x v="0"/>
    <x v="2"/>
    <x v="1"/>
    <n v="80"/>
    <s v="S24_462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0"/>
    <x v="0"/>
    <n v="82.42"/>
    <n v="10"/>
    <x v="0"/>
    <x v="2110"/>
    <s v="2/24/2003 0:2145"/>
    <x v="0"/>
    <x v="0"/>
    <s v="Shipped"/>
    <x v="0"/>
    <x v="11"/>
    <x v="2"/>
    <x v="1"/>
    <n v="80"/>
    <s v="S24_4620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03"/>
    <x v="28"/>
    <n v="100"/>
    <n v="3"/>
    <x v="0"/>
    <x v="2111"/>
    <s v="2/24/2003 0:2146"/>
    <x v="0"/>
    <x v="0"/>
    <s v="Shipped"/>
    <x v="0"/>
    <x v="7"/>
    <x v="0"/>
    <x v="2"/>
    <n v="96"/>
    <s v="S32_1268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114"/>
    <x v="22"/>
    <n v="100"/>
    <n v="7"/>
    <x v="0"/>
    <x v="2112"/>
    <s v="2/24/2003 0:2147"/>
    <x v="0"/>
    <x v="0"/>
    <s v="Shipped"/>
    <x v="1"/>
    <x v="8"/>
    <x v="0"/>
    <x v="2"/>
    <n v="96"/>
    <s v="S32_1268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126"/>
    <x v="30"/>
    <n v="96.31"/>
    <n v="3"/>
    <x v="1"/>
    <x v="2113"/>
    <s v="2/24/2003 0:2148"/>
    <x v="0"/>
    <x v="0"/>
    <s v="Shipped"/>
    <x v="1"/>
    <x v="1"/>
    <x v="0"/>
    <x v="2"/>
    <n v="96"/>
    <s v="S32_1268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140"/>
    <x v="18"/>
    <n v="100"/>
    <n v="3"/>
    <x v="0"/>
    <x v="2114"/>
    <s v="2/24/2003 0:2149"/>
    <x v="0"/>
    <x v="0"/>
    <s v="Shipped"/>
    <x v="2"/>
    <x v="2"/>
    <x v="0"/>
    <x v="2"/>
    <n v="96"/>
    <s v="S32_1268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151"/>
    <x v="26"/>
    <n v="100"/>
    <n v="10"/>
    <x v="0"/>
    <x v="2115"/>
    <s v="2/24/2003 0:2150"/>
    <x v="0"/>
    <x v="0"/>
    <s v="Shipped"/>
    <x v="2"/>
    <x v="10"/>
    <x v="0"/>
    <x v="2"/>
    <n v="96"/>
    <s v="S32_1268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164"/>
    <x v="16"/>
    <n v="100"/>
    <n v="1"/>
    <x v="0"/>
    <x v="2116"/>
    <s v="2/24/2003 0:2151"/>
    <x v="5"/>
    <x v="1"/>
    <s v="Resolved"/>
    <x v="3"/>
    <x v="4"/>
    <x v="0"/>
    <x v="2"/>
    <n v="96"/>
    <s v="S32_1268"/>
    <s v="Mini Auto Werke"/>
    <s v="7675-3555"/>
    <s v="Kirchgasse 6"/>
    <m/>
    <s v="Graz"/>
    <x v="52"/>
    <m/>
    <n v="8010"/>
    <x v="5"/>
    <x v="5"/>
    <s v="EMEA"/>
    <s v="Mendel"/>
    <s v="Roland"/>
    <x v="0"/>
  </r>
  <r>
    <n v="10175"/>
    <x v="8"/>
    <n v="100"/>
    <n v="8"/>
    <x v="0"/>
    <x v="2117"/>
    <s v="2/24/2003 0:2152"/>
    <x v="0"/>
    <x v="0"/>
    <s v="Shipped"/>
    <x v="3"/>
    <x v="5"/>
    <x v="0"/>
    <x v="2"/>
    <n v="96"/>
    <s v="S32_1268"/>
    <s v="Stylish Desk Decors, Co."/>
    <s v="(171) 555-0297"/>
    <s v="35 King George"/>
    <m/>
    <s v="London"/>
    <x v="41"/>
    <m/>
    <s v="WX3 6FW"/>
    <x v="6"/>
    <x v="6"/>
    <s v="EMEA"/>
    <s v="Brown"/>
    <s v="Ann"/>
    <x v="0"/>
  </r>
  <r>
    <n v="10184"/>
    <x v="12"/>
    <n v="100"/>
    <n v="13"/>
    <x v="1"/>
    <x v="2118"/>
    <s v="2/24/2003 0:2153"/>
    <x v="0"/>
    <x v="0"/>
    <s v="Shipped"/>
    <x v="3"/>
    <x v="5"/>
    <x v="0"/>
    <x v="2"/>
    <n v="96"/>
    <s v="S32_1268"/>
    <s v="Iberia Gift Imports, Corp."/>
    <s v="(95) 555 82 82"/>
    <s v="C/ Romero, 33"/>
    <m/>
    <s v="Sevilla"/>
    <x v="64"/>
    <m/>
    <n v="41101"/>
    <x v="7"/>
    <x v="7"/>
    <s v="EMEA"/>
    <s v="Roel"/>
    <s v="Jose Pedro"/>
    <x v="1"/>
  </r>
  <r>
    <n v="10194"/>
    <x v="9"/>
    <n v="97.27"/>
    <n v="3"/>
    <x v="0"/>
    <x v="2119"/>
    <s v="2/24/2003 0:2154"/>
    <x v="0"/>
    <x v="0"/>
    <s v="Shipped"/>
    <x v="3"/>
    <x v="5"/>
    <x v="0"/>
    <x v="2"/>
    <n v="96"/>
    <s v="S32_1268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07"/>
    <x v="4"/>
    <n v="80.900000000000006"/>
    <n v="14"/>
    <x v="0"/>
    <x v="2120"/>
    <s v="2/24/2003 0:2155"/>
    <x v="0"/>
    <x v="0"/>
    <s v="Shipped"/>
    <x v="3"/>
    <x v="6"/>
    <x v="0"/>
    <x v="2"/>
    <n v="96"/>
    <s v="S32_1268"/>
    <s v="Diecast Collectables"/>
    <n v="6175552555"/>
    <s v="6251 Ingle Ln."/>
    <m/>
    <s v="Boston"/>
    <x v="48"/>
    <s v="MA"/>
    <n v="51003"/>
    <x v="0"/>
    <x v="0"/>
    <s v="NA"/>
    <s v="Franco"/>
    <s v="Valarie"/>
    <x v="1"/>
  </r>
  <r>
    <n v="10217"/>
    <x v="15"/>
    <n v="100"/>
    <n v="3"/>
    <x v="0"/>
    <x v="2121"/>
    <s v="2/24/2003 0:2156"/>
    <x v="0"/>
    <x v="0"/>
    <s v="Shipped"/>
    <x v="0"/>
    <x v="0"/>
    <x v="1"/>
    <x v="2"/>
    <n v="96"/>
    <s v="S32_1268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229"/>
    <x v="32"/>
    <n v="100"/>
    <n v="8"/>
    <x v="0"/>
    <x v="2122"/>
    <s v="2/24/2003 0:2157"/>
    <x v="0"/>
    <x v="0"/>
    <s v="Shipped"/>
    <x v="0"/>
    <x v="11"/>
    <x v="1"/>
    <x v="2"/>
    <n v="96"/>
    <s v="S32_126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45"/>
    <x v="9"/>
    <n v="100"/>
    <n v="1"/>
    <x v="1"/>
    <x v="2123"/>
    <s v="2/24/2003 0:2158"/>
    <x v="0"/>
    <x v="0"/>
    <s v="Shipped"/>
    <x v="1"/>
    <x v="1"/>
    <x v="1"/>
    <x v="2"/>
    <n v="96"/>
    <s v="S32_1268"/>
    <s v="Super Scale Inc."/>
    <n v="2035559545"/>
    <s v="567 North Pendale Street"/>
    <m/>
    <s v="New Haven"/>
    <x v="28"/>
    <s v="CT"/>
    <n v="97823"/>
    <x v="0"/>
    <x v="0"/>
    <s v="NA"/>
    <s v="Murphy"/>
    <s v="Leslie"/>
    <x v="1"/>
  </r>
  <r>
    <n v="10259"/>
    <x v="3"/>
    <n v="86.68"/>
    <n v="11"/>
    <x v="0"/>
    <x v="2124"/>
    <s v="2/24/2003 0:2159"/>
    <x v="0"/>
    <x v="0"/>
    <s v="Shipped"/>
    <x v="1"/>
    <x v="9"/>
    <x v="1"/>
    <x v="2"/>
    <n v="96"/>
    <s v="S32_1268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270"/>
    <x v="22"/>
    <n v="85.72"/>
    <n v="1"/>
    <x v="0"/>
    <x v="2125"/>
    <s v="2/24/2003 0:2160"/>
    <x v="0"/>
    <x v="0"/>
    <s v="Shipped"/>
    <x v="2"/>
    <x v="2"/>
    <x v="1"/>
    <x v="2"/>
    <n v="96"/>
    <s v="S32_1268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281"/>
    <x v="6"/>
    <n v="82.83"/>
    <n v="8"/>
    <x v="0"/>
    <x v="2126"/>
    <s v="2/24/2003 0:2161"/>
    <x v="0"/>
    <x v="0"/>
    <s v="Shipped"/>
    <x v="2"/>
    <x v="3"/>
    <x v="1"/>
    <x v="2"/>
    <n v="96"/>
    <s v="S32_1268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291"/>
    <x v="18"/>
    <n v="83.79"/>
    <n v="3"/>
    <x v="0"/>
    <x v="2127"/>
    <s v="2/24/2003 0:2162"/>
    <x v="0"/>
    <x v="0"/>
    <s v="Shipped"/>
    <x v="2"/>
    <x v="10"/>
    <x v="1"/>
    <x v="2"/>
    <n v="96"/>
    <s v="S32_1268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305"/>
    <x v="11"/>
    <n v="100"/>
    <n v="12"/>
    <x v="0"/>
    <x v="2128"/>
    <s v="2/24/2003 0:2163"/>
    <x v="0"/>
    <x v="0"/>
    <s v="Shipped"/>
    <x v="3"/>
    <x v="4"/>
    <x v="1"/>
    <x v="2"/>
    <n v="96"/>
    <s v="S32_1268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313"/>
    <x v="26"/>
    <n v="87.64"/>
    <n v="6"/>
    <x v="0"/>
    <x v="2129"/>
    <s v="2/24/2003 0:2164"/>
    <x v="0"/>
    <x v="0"/>
    <s v="Shipped"/>
    <x v="3"/>
    <x v="4"/>
    <x v="1"/>
    <x v="2"/>
    <n v="96"/>
    <s v="S32_1268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0"/>
  </r>
  <r>
    <n v="10324"/>
    <x v="14"/>
    <n v="98.18"/>
    <n v="11"/>
    <x v="0"/>
    <x v="2130"/>
    <s v="2/24/2003 0:2165"/>
    <x v="0"/>
    <x v="0"/>
    <s v="Shipped"/>
    <x v="3"/>
    <x v="5"/>
    <x v="1"/>
    <x v="2"/>
    <n v="96"/>
    <s v="S32_1268"/>
    <s v="Vitachrome Inc."/>
    <n v="2125551500"/>
    <s v="2678 Kingston Rd."/>
    <s v="Suite 101"/>
    <s v="Nyc"/>
    <x v="0"/>
    <s v="NY"/>
    <n v="10022"/>
    <x v="0"/>
    <x v="0"/>
    <s v="NA"/>
    <s v="Frick"/>
    <s v="Michael"/>
    <x v="0"/>
  </r>
  <r>
    <n v="10335"/>
    <x v="27"/>
    <n v="100"/>
    <n v="1"/>
    <x v="1"/>
    <x v="2131"/>
    <s v="2/24/2003 0:2166"/>
    <x v="0"/>
    <x v="0"/>
    <s v="Shipped"/>
    <x v="3"/>
    <x v="5"/>
    <x v="1"/>
    <x v="2"/>
    <n v="96"/>
    <s v="S32_126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48"/>
    <x v="13"/>
    <n v="100"/>
    <n v="3"/>
    <x v="1"/>
    <x v="2132"/>
    <s v="2/24/2003 0:2167"/>
    <x v="0"/>
    <x v="0"/>
    <s v="Shipped"/>
    <x v="3"/>
    <x v="5"/>
    <x v="1"/>
    <x v="2"/>
    <n v="96"/>
    <s v="S32_1268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358"/>
    <x v="2"/>
    <n v="100"/>
    <n v="1"/>
    <x v="1"/>
    <x v="152"/>
    <s v="2/24/2003 0:2168"/>
    <x v="0"/>
    <x v="0"/>
    <s v="Shipped"/>
    <x v="3"/>
    <x v="6"/>
    <x v="1"/>
    <x v="2"/>
    <n v="96"/>
    <s v="S32_126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71"/>
    <x v="18"/>
    <n v="100"/>
    <n v="1"/>
    <x v="1"/>
    <x v="2133"/>
    <s v="2/24/2003 0:2169"/>
    <x v="0"/>
    <x v="0"/>
    <s v="Shipped"/>
    <x v="0"/>
    <x v="7"/>
    <x v="2"/>
    <x v="2"/>
    <n v="96"/>
    <s v="S32_126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82"/>
    <x v="18"/>
    <n v="100"/>
    <n v="6"/>
    <x v="0"/>
    <x v="2134"/>
    <s v="2/24/2003 0:2170"/>
    <x v="0"/>
    <x v="0"/>
    <s v="Shipped"/>
    <x v="0"/>
    <x v="0"/>
    <x v="2"/>
    <x v="2"/>
    <n v="96"/>
    <s v="S32_126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11"/>
    <x v="18"/>
    <n v="100"/>
    <n v="1"/>
    <x v="0"/>
    <x v="2135"/>
    <s v="2/24/2003 0:2171"/>
    <x v="0"/>
    <x v="0"/>
    <s v="Shipped"/>
    <x v="1"/>
    <x v="1"/>
    <x v="2"/>
    <x v="2"/>
    <n v="96"/>
    <s v="S32_1268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0"/>
  </r>
  <r>
    <n v="10425"/>
    <x v="2"/>
    <n v="86.68"/>
    <n v="11"/>
    <x v="0"/>
    <x v="2136"/>
    <s v="2/24/2003 0:2172"/>
    <x v="2"/>
    <x v="1"/>
    <s v="In Process"/>
    <x v="1"/>
    <x v="1"/>
    <x v="2"/>
    <x v="2"/>
    <n v="96"/>
    <s v="S32_1268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107"/>
    <x v="14"/>
    <n v="92.9"/>
    <n v="8"/>
    <x v="0"/>
    <x v="2137"/>
    <s v="2/24/2003 0:2173"/>
    <x v="0"/>
    <x v="0"/>
    <s v="Shipped"/>
    <x v="0"/>
    <x v="0"/>
    <x v="0"/>
    <x v="0"/>
    <n v="99"/>
    <s v="S32_1374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120"/>
    <x v="8"/>
    <n v="100"/>
    <n v="6"/>
    <x v="0"/>
    <x v="2138"/>
    <s v="2/24/2003 0:2174"/>
    <x v="0"/>
    <x v="0"/>
    <s v="Shipped"/>
    <x v="1"/>
    <x v="8"/>
    <x v="0"/>
    <x v="0"/>
    <n v="99"/>
    <s v="S32_1374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133"/>
    <x v="10"/>
    <n v="100"/>
    <n v="1"/>
    <x v="0"/>
    <x v="2139"/>
    <s v="2/24/2003 0:2175"/>
    <x v="0"/>
    <x v="0"/>
    <s v="Shipped"/>
    <x v="1"/>
    <x v="9"/>
    <x v="0"/>
    <x v="0"/>
    <n v="99"/>
    <s v="S32_1374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45"/>
    <x v="29"/>
    <n v="93.9"/>
    <n v="12"/>
    <x v="0"/>
    <x v="2106"/>
    <s v="2/24/2003 0:2176"/>
    <x v="0"/>
    <x v="0"/>
    <s v="Shipped"/>
    <x v="2"/>
    <x v="3"/>
    <x v="0"/>
    <x v="0"/>
    <n v="99"/>
    <s v="S32_1374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168"/>
    <x v="11"/>
    <n v="100"/>
    <n v="7"/>
    <x v="0"/>
    <x v="2140"/>
    <s v="2/24/2003 0:2177"/>
    <x v="0"/>
    <x v="0"/>
    <s v="Shipped"/>
    <x v="3"/>
    <x v="4"/>
    <x v="0"/>
    <x v="0"/>
    <n v="99"/>
    <s v="S32_1374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88"/>
    <x v="27"/>
    <n v="98.89"/>
    <n v="7"/>
    <x v="1"/>
    <x v="2141"/>
    <s v="2/24/2003 0:2178"/>
    <x v="0"/>
    <x v="0"/>
    <s v="Shipped"/>
    <x v="3"/>
    <x v="5"/>
    <x v="0"/>
    <x v="0"/>
    <n v="99"/>
    <s v="S32_1374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210"/>
    <x v="12"/>
    <n v="79.91"/>
    <n v="5"/>
    <x v="0"/>
    <x v="2142"/>
    <s v="2/24/2003 0:2179"/>
    <x v="0"/>
    <x v="0"/>
    <s v="Shipped"/>
    <x v="0"/>
    <x v="7"/>
    <x v="1"/>
    <x v="0"/>
    <n v="99"/>
    <s v="S32_1374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1"/>
  </r>
  <r>
    <n v="10223"/>
    <x v="15"/>
    <n v="100"/>
    <n v="7"/>
    <x v="0"/>
    <x v="2143"/>
    <s v="2/24/2003 0:2180"/>
    <x v="0"/>
    <x v="0"/>
    <s v="Shipped"/>
    <x v="0"/>
    <x v="0"/>
    <x v="1"/>
    <x v="0"/>
    <n v="99"/>
    <s v="S32_1374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235"/>
    <x v="2"/>
    <n v="100"/>
    <n v="1"/>
    <x v="1"/>
    <x v="2144"/>
    <s v="2/24/2003 0:2181"/>
    <x v="0"/>
    <x v="0"/>
    <s v="Shipped"/>
    <x v="1"/>
    <x v="8"/>
    <x v="1"/>
    <x v="0"/>
    <n v="99"/>
    <s v="S32_1374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1"/>
  </r>
  <r>
    <n v="10250"/>
    <x v="28"/>
    <n v="100"/>
    <n v="2"/>
    <x v="0"/>
    <x v="2145"/>
    <s v="2/24/2003 0:2182"/>
    <x v="0"/>
    <x v="0"/>
    <s v="Shipped"/>
    <x v="1"/>
    <x v="1"/>
    <x v="1"/>
    <x v="0"/>
    <n v="99"/>
    <s v="S32_1374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263"/>
    <x v="28"/>
    <n v="79.91"/>
    <n v="8"/>
    <x v="0"/>
    <x v="2146"/>
    <s v="2/24/2003 0:2183"/>
    <x v="0"/>
    <x v="0"/>
    <s v="Shipped"/>
    <x v="1"/>
    <x v="9"/>
    <x v="1"/>
    <x v="0"/>
    <n v="99"/>
    <s v="S32_1374"/>
    <s v="Gift Depot Inc."/>
    <n v="2035552570"/>
    <s v="25593 South Bay Ln."/>
    <m/>
    <s v="Bridgewater"/>
    <x v="10"/>
    <s v="CT"/>
    <n v="97562"/>
    <x v="0"/>
    <x v="0"/>
    <s v="NA"/>
    <s v="King"/>
    <s v="Julie"/>
    <x v="0"/>
  </r>
  <r>
    <n v="10275"/>
    <x v="10"/>
    <n v="81.91"/>
    <n v="7"/>
    <x v="0"/>
    <x v="2147"/>
    <s v="2/24/2003 0:2184"/>
    <x v="0"/>
    <x v="0"/>
    <s v="Shipped"/>
    <x v="2"/>
    <x v="2"/>
    <x v="1"/>
    <x v="0"/>
    <n v="99"/>
    <s v="S32_1374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285"/>
    <x v="9"/>
    <n v="98.89"/>
    <n v="12"/>
    <x v="0"/>
    <x v="2148"/>
    <s v="2/24/2003 0:2185"/>
    <x v="0"/>
    <x v="0"/>
    <s v="Shipped"/>
    <x v="2"/>
    <x v="3"/>
    <x v="1"/>
    <x v="0"/>
    <n v="99"/>
    <s v="S32_1374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297"/>
    <x v="18"/>
    <n v="100"/>
    <n v="2"/>
    <x v="0"/>
    <x v="2149"/>
    <s v="2/24/2003 0:2186"/>
    <x v="0"/>
    <x v="0"/>
    <s v="Shipped"/>
    <x v="2"/>
    <x v="10"/>
    <x v="1"/>
    <x v="0"/>
    <n v="99"/>
    <s v="S32_1374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0"/>
  </r>
  <r>
    <n v="10308"/>
    <x v="16"/>
    <n v="79.91"/>
    <n v="5"/>
    <x v="0"/>
    <x v="2150"/>
    <s v="2/24/2003 0:2187"/>
    <x v="0"/>
    <x v="0"/>
    <s v="Shipped"/>
    <x v="3"/>
    <x v="4"/>
    <x v="1"/>
    <x v="0"/>
    <n v="99"/>
    <s v="S32_1374"/>
    <s v="Mini Classics"/>
    <n v="9145554562"/>
    <s v="3758 North Pendale Street"/>
    <m/>
    <s v="White Plains"/>
    <x v="39"/>
    <s v="NY"/>
    <n v="24067"/>
    <x v="0"/>
    <x v="0"/>
    <s v="NA"/>
    <s v="Frick"/>
    <s v="Steve"/>
    <x v="0"/>
  </r>
  <r>
    <n v="10318"/>
    <x v="20"/>
    <n v="100"/>
    <n v="7"/>
    <x v="1"/>
    <x v="2151"/>
    <s v="2/24/2003 0:2188"/>
    <x v="0"/>
    <x v="0"/>
    <s v="Shipped"/>
    <x v="3"/>
    <x v="5"/>
    <x v="1"/>
    <x v="0"/>
    <n v="99"/>
    <s v="S32_1374"/>
    <s v="Diecast Classics Inc."/>
    <n v="2155551555"/>
    <s v="7586 Pompton St."/>
    <m/>
    <s v="Allentown"/>
    <x v="15"/>
    <s v="PA"/>
    <n v="70267"/>
    <x v="0"/>
    <x v="0"/>
    <s v="NA"/>
    <s v="Yu"/>
    <s v="Kyung"/>
    <x v="1"/>
  </r>
  <r>
    <n v="10329"/>
    <x v="3"/>
    <n v="63.91"/>
    <n v="11"/>
    <x v="0"/>
    <x v="2152"/>
    <s v="2/24/2003 0:2189"/>
    <x v="0"/>
    <x v="0"/>
    <s v="Shipped"/>
    <x v="3"/>
    <x v="5"/>
    <x v="1"/>
    <x v="0"/>
    <n v="99"/>
    <s v="S32_1374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40"/>
    <x v="36"/>
    <n v="100"/>
    <n v="2"/>
    <x v="1"/>
    <x v="2153"/>
    <s v="2/24/2003 0:2190"/>
    <x v="0"/>
    <x v="0"/>
    <s v="Shipped"/>
    <x v="3"/>
    <x v="5"/>
    <x v="1"/>
    <x v="0"/>
    <n v="99"/>
    <s v="S32_1374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353"/>
    <x v="12"/>
    <n v="81.17"/>
    <n v="5"/>
    <x v="0"/>
    <x v="2154"/>
    <s v="2/24/2003 0:2191"/>
    <x v="0"/>
    <x v="0"/>
    <s v="Shipped"/>
    <x v="3"/>
    <x v="6"/>
    <x v="1"/>
    <x v="0"/>
    <n v="99"/>
    <s v="S32_1374"/>
    <s v="Gift Ideas Corp."/>
    <n v="2035554407"/>
    <s v="2440 Pompton St."/>
    <m/>
    <s v="Glendale"/>
    <x v="63"/>
    <s v="CT"/>
    <n v="97561"/>
    <x v="0"/>
    <x v="0"/>
    <s v="NA"/>
    <s v="Lewis"/>
    <s v="Dan"/>
    <x v="1"/>
  </r>
  <r>
    <n v="10363"/>
    <x v="24"/>
    <n v="100"/>
    <n v="2"/>
    <x v="1"/>
    <x v="2155"/>
    <s v="2/24/2003 0:2192"/>
    <x v="0"/>
    <x v="0"/>
    <s v="Shipped"/>
    <x v="0"/>
    <x v="7"/>
    <x v="2"/>
    <x v="0"/>
    <n v="99"/>
    <s v="S32_1374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375"/>
    <x v="9"/>
    <n v="100"/>
    <n v="3"/>
    <x v="1"/>
    <x v="2156"/>
    <s v="2/24/2003 0:2193"/>
    <x v="0"/>
    <x v="0"/>
    <s v="Shipped"/>
    <x v="0"/>
    <x v="0"/>
    <x v="2"/>
    <x v="0"/>
    <n v="99"/>
    <s v="S32_1374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87"/>
    <x v="27"/>
    <n v="94.9"/>
    <n v="1"/>
    <x v="1"/>
    <x v="2157"/>
    <s v="2/24/2003 0:2194"/>
    <x v="0"/>
    <x v="0"/>
    <s v="Shipped"/>
    <x v="0"/>
    <x v="11"/>
    <x v="2"/>
    <x v="0"/>
    <n v="99"/>
    <s v="S32_1374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401"/>
    <x v="4"/>
    <n v="100"/>
    <n v="1"/>
    <x v="1"/>
    <x v="2158"/>
    <s v="2/24/2003 0:2195"/>
    <x v="4"/>
    <x v="1"/>
    <s v="On Hold"/>
    <x v="1"/>
    <x v="8"/>
    <x v="2"/>
    <x v="0"/>
    <n v="99"/>
    <s v="S32_1374"/>
    <s v="Tekni Collectables Inc."/>
    <n v="2015559350"/>
    <s v="7476 Moss Rd."/>
    <m/>
    <s v="Newark"/>
    <x v="9"/>
    <s v="NJ"/>
    <n v="94019"/>
    <x v="0"/>
    <x v="0"/>
    <s v="NA"/>
    <s v="Brown"/>
    <s v="William"/>
    <x v="1"/>
  </r>
  <r>
    <n v="10416"/>
    <x v="3"/>
    <n v="100"/>
    <n v="2"/>
    <x v="1"/>
    <x v="2159"/>
    <s v="2/24/2003 0:2196"/>
    <x v="0"/>
    <x v="0"/>
    <s v="Shipped"/>
    <x v="1"/>
    <x v="1"/>
    <x v="2"/>
    <x v="0"/>
    <n v="99"/>
    <s v="S32_1374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108"/>
    <x v="26"/>
    <n v="43.45"/>
    <n v="13"/>
    <x v="0"/>
    <x v="2160"/>
    <s v="2/24/2003 0:2197"/>
    <x v="0"/>
    <x v="0"/>
    <s v="Shipped"/>
    <x v="0"/>
    <x v="11"/>
    <x v="0"/>
    <x v="0"/>
    <n v="40"/>
    <s v="S32_2206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0"/>
  </r>
  <r>
    <n v="10122"/>
    <x v="28"/>
    <n v="44.66"/>
    <n v="17"/>
    <x v="0"/>
    <x v="2161"/>
    <s v="2/24/2003 0:2198"/>
    <x v="0"/>
    <x v="0"/>
    <s v="Shipped"/>
    <x v="1"/>
    <x v="1"/>
    <x v="0"/>
    <x v="0"/>
    <n v="40"/>
    <s v="S32_2206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135"/>
    <x v="29"/>
    <n v="40.229999999999997"/>
    <n v="14"/>
    <x v="0"/>
    <x v="2162"/>
    <s v="2/24/2003 0:2199"/>
    <x v="0"/>
    <x v="0"/>
    <s v="Shipped"/>
    <x v="2"/>
    <x v="2"/>
    <x v="0"/>
    <x v="0"/>
    <n v="40"/>
    <s v="S32_220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45"/>
    <x v="28"/>
    <n v="35.799999999999997"/>
    <n v="1"/>
    <x v="0"/>
    <x v="2163"/>
    <s v="2/24/2003 0:2200"/>
    <x v="0"/>
    <x v="0"/>
    <s v="Shipped"/>
    <x v="2"/>
    <x v="3"/>
    <x v="0"/>
    <x v="0"/>
    <n v="40"/>
    <s v="S32_2206"/>
    <s v="Toys4GrownUps.com"/>
    <n v="6265557265"/>
    <s v="78934 Hillside Dr."/>
    <m/>
    <s v="Pasadena"/>
    <x v="3"/>
    <s v="CA"/>
    <n v="90003"/>
    <x v="0"/>
    <x v="0"/>
    <s v="NA"/>
    <s v="Young"/>
    <s v="Julie"/>
    <x v="0"/>
  </r>
  <r>
    <n v="10159"/>
    <x v="21"/>
    <n v="35.4"/>
    <n v="9"/>
    <x v="0"/>
    <x v="2164"/>
    <s v="2/24/2003 0:2201"/>
    <x v="0"/>
    <x v="0"/>
    <s v="Shipped"/>
    <x v="3"/>
    <x v="4"/>
    <x v="0"/>
    <x v="0"/>
    <n v="40"/>
    <s v="S32_2206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69"/>
    <x v="18"/>
    <n v="39.83"/>
    <n v="9"/>
    <x v="0"/>
    <x v="2165"/>
    <s v="2/24/2003 0:2202"/>
    <x v="0"/>
    <x v="0"/>
    <s v="Shipped"/>
    <x v="3"/>
    <x v="5"/>
    <x v="0"/>
    <x v="0"/>
    <n v="40"/>
    <s v="S32_2206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0"/>
  </r>
  <r>
    <n v="10180"/>
    <x v="1"/>
    <n v="45.46"/>
    <n v="4"/>
    <x v="0"/>
    <x v="2166"/>
    <s v="2/24/2003 0:2203"/>
    <x v="0"/>
    <x v="0"/>
    <s v="Shipped"/>
    <x v="3"/>
    <x v="5"/>
    <x v="0"/>
    <x v="0"/>
    <n v="40"/>
    <s v="S32_2206"/>
    <s v="Daedalus Designs Imports"/>
    <s v="20.16.1555"/>
    <s v="184, chausse de Tournai"/>
    <m/>
    <s v="Lille"/>
    <x v="6"/>
    <m/>
    <n v="59000"/>
    <x v="1"/>
    <x v="1"/>
    <s v="EMEA"/>
    <s v="Rance"/>
    <s v="Martine"/>
    <x v="0"/>
  </r>
  <r>
    <n v="10190"/>
    <x v="12"/>
    <n v="32.99"/>
    <n v="1"/>
    <x v="0"/>
    <x v="2167"/>
    <s v="2/24/2003 0:2204"/>
    <x v="0"/>
    <x v="0"/>
    <s v="Shipped"/>
    <x v="3"/>
    <x v="5"/>
    <x v="0"/>
    <x v="0"/>
    <n v="40"/>
    <s v="S32_2206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11"/>
    <x v="2"/>
    <n v="42.24"/>
    <n v="9"/>
    <x v="0"/>
    <x v="2168"/>
    <s v="2/24/2003 0:2205"/>
    <x v="0"/>
    <x v="0"/>
    <s v="Shipped"/>
    <x v="0"/>
    <x v="7"/>
    <x v="1"/>
    <x v="0"/>
    <n v="40"/>
    <s v="S32_2206"/>
    <s v="Auto Canal Petit"/>
    <s v="(1) 47.55.6555"/>
    <s v="25, rue Lauriston"/>
    <m/>
    <s v="Paris"/>
    <x v="2"/>
    <m/>
    <n v="75016"/>
    <x v="1"/>
    <x v="1"/>
    <s v="EMEA"/>
    <s v="Perrier"/>
    <s v="Dominique"/>
    <x v="0"/>
  </r>
  <r>
    <n v="10224"/>
    <x v="30"/>
    <n v="39.43"/>
    <n v="2"/>
    <x v="0"/>
    <x v="2169"/>
    <s v="2/24/2003 0:2206"/>
    <x v="0"/>
    <x v="0"/>
    <s v="Shipped"/>
    <x v="0"/>
    <x v="0"/>
    <x v="1"/>
    <x v="0"/>
    <n v="40"/>
    <s v="S32_2206"/>
    <s v="Daedalus Designs Imports"/>
    <s v="20.16.1555"/>
    <s v="184, chausse de Tournai"/>
    <m/>
    <s v="Lille"/>
    <x v="6"/>
    <m/>
    <n v="59000"/>
    <x v="1"/>
    <x v="1"/>
    <s v="EMEA"/>
    <s v="Rance"/>
    <s v="Martine"/>
    <x v="0"/>
  </r>
  <r>
    <n v="10237"/>
    <x v="18"/>
    <n v="40.229999999999997"/>
    <n v="2"/>
    <x v="0"/>
    <x v="2170"/>
    <s v="2/24/2003 0:2207"/>
    <x v="0"/>
    <x v="0"/>
    <s v="Shipped"/>
    <x v="1"/>
    <x v="8"/>
    <x v="1"/>
    <x v="0"/>
    <n v="40"/>
    <s v="S32_2206"/>
    <s v="Vitachrome Inc."/>
    <n v="2125551500"/>
    <s v="2678 Kingston Rd."/>
    <s v="Suite 101"/>
    <s v="Nyc"/>
    <x v="0"/>
    <s v="NY"/>
    <n v="10022"/>
    <x v="0"/>
    <x v="0"/>
    <s v="NA"/>
    <s v="Frick"/>
    <s v="Michael"/>
    <x v="0"/>
  </r>
  <r>
    <n v="10252"/>
    <x v="5"/>
    <n v="48.28"/>
    <n v="6"/>
    <x v="0"/>
    <x v="2171"/>
    <s v="2/24/2003 0:2208"/>
    <x v="0"/>
    <x v="0"/>
    <s v="Shipped"/>
    <x v="1"/>
    <x v="1"/>
    <x v="1"/>
    <x v="0"/>
    <n v="40"/>
    <s v="S32_2206"/>
    <s v="Auto Canal Petit"/>
    <s v="(1) 47.55.6555"/>
    <s v="25, rue Lauriston"/>
    <m/>
    <s v="Paris"/>
    <x v="2"/>
    <m/>
    <n v="75016"/>
    <x v="1"/>
    <x v="1"/>
    <s v="EMEA"/>
    <s v="Perrier"/>
    <s v="Dominique"/>
    <x v="0"/>
  </r>
  <r>
    <n v="10264"/>
    <x v="14"/>
    <n v="32.590000000000003"/>
    <n v="4"/>
    <x v="0"/>
    <x v="2172"/>
    <s v="2/24/2003 0:2209"/>
    <x v="0"/>
    <x v="0"/>
    <s v="Shipped"/>
    <x v="1"/>
    <x v="9"/>
    <x v="1"/>
    <x v="0"/>
    <n v="40"/>
    <s v="S32_2206"/>
    <s v="Gifts4AllAges.com"/>
    <n v="6175559555"/>
    <s v="8616 Spinnaker Dr."/>
    <m/>
    <s v="Boston"/>
    <x v="48"/>
    <s v="MA"/>
    <n v="51003"/>
    <x v="0"/>
    <x v="0"/>
    <s v="NA"/>
    <s v="Yoshido"/>
    <s v="Juri"/>
    <x v="0"/>
  </r>
  <r>
    <n v="10276"/>
    <x v="26"/>
    <n v="36.61"/>
    <n v="10"/>
    <x v="0"/>
    <x v="2173"/>
    <s v="2/24/2003 0:2210"/>
    <x v="0"/>
    <x v="0"/>
    <s v="Shipped"/>
    <x v="2"/>
    <x v="3"/>
    <x v="1"/>
    <x v="0"/>
    <n v="40"/>
    <s v="S32_2206"/>
    <s v="Online Mini Collectables"/>
    <n v="6175557555"/>
    <s v="7635 Spinnaker Dr."/>
    <m/>
    <s v="Brickhaven"/>
    <x v="35"/>
    <s v="MA"/>
    <n v="58339"/>
    <x v="0"/>
    <x v="0"/>
    <s v="NA"/>
    <s v="Barajas"/>
    <s v="Miguel"/>
    <x v="0"/>
  </r>
  <r>
    <n v="10285"/>
    <x v="9"/>
    <n v="41.03"/>
    <n v="1"/>
    <x v="0"/>
    <x v="2174"/>
    <s v="2/24/2003 0:2211"/>
    <x v="0"/>
    <x v="0"/>
    <s v="Shipped"/>
    <x v="2"/>
    <x v="3"/>
    <x v="1"/>
    <x v="0"/>
    <n v="40"/>
    <s v="S32_2206"/>
    <s v="Marta's Replicas Co."/>
    <n v="6175558555"/>
    <s v="39323 Spinnaker Dr."/>
    <m/>
    <s v="Cambridge"/>
    <x v="12"/>
    <s v="MA"/>
    <n v="51247"/>
    <x v="0"/>
    <x v="0"/>
    <s v="NA"/>
    <s v="Hernandez"/>
    <s v="Marta"/>
    <x v="0"/>
  </r>
  <r>
    <n v="10299"/>
    <x v="16"/>
    <n v="42.24"/>
    <n v="4"/>
    <x v="0"/>
    <x v="2175"/>
    <s v="2/24/2003 0:2212"/>
    <x v="0"/>
    <x v="0"/>
    <s v="Shipped"/>
    <x v="2"/>
    <x v="10"/>
    <x v="1"/>
    <x v="0"/>
    <n v="40"/>
    <s v="S32_2206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310"/>
    <x v="5"/>
    <n v="43.05"/>
    <n v="17"/>
    <x v="0"/>
    <x v="2176"/>
    <s v="2/24/2003 0:2213"/>
    <x v="0"/>
    <x v="0"/>
    <s v="Shipped"/>
    <x v="3"/>
    <x v="4"/>
    <x v="1"/>
    <x v="0"/>
    <n v="40"/>
    <s v="S32_2206"/>
    <s v="Toms Spezialitten, Ltd"/>
    <s v="0221-5554327"/>
    <s v="Mehrheimerstr. 369"/>
    <m/>
    <s v="Koln"/>
    <x v="55"/>
    <m/>
    <n v="50739"/>
    <x v="16"/>
    <x v="16"/>
    <s v="EMEA"/>
    <s v="Pfalzheim"/>
    <s v="Henriette"/>
    <x v="0"/>
  </r>
  <r>
    <n v="10319"/>
    <x v="6"/>
    <n v="38.22"/>
    <n v="5"/>
    <x v="0"/>
    <x v="2177"/>
    <s v="2/24/2003 0:2214"/>
    <x v="0"/>
    <x v="0"/>
    <s v="Shipped"/>
    <x v="3"/>
    <x v="5"/>
    <x v="1"/>
    <x v="0"/>
    <n v="40"/>
    <s v="S32_2206"/>
    <s v="Microscale Inc."/>
    <n v="2125551957"/>
    <s v="5290 North Pendale Street"/>
    <s v="Suite 200"/>
    <s v="Nyc"/>
    <x v="0"/>
    <s v="NY"/>
    <n v="10022"/>
    <x v="0"/>
    <x v="0"/>
    <s v="NA"/>
    <s v="Kuo"/>
    <s v="Kee"/>
    <x v="0"/>
  </r>
  <r>
    <n v="10331"/>
    <x v="11"/>
    <n v="100"/>
    <n v="3"/>
    <x v="1"/>
    <x v="2178"/>
    <s v="2/24/2003 0:2215"/>
    <x v="0"/>
    <x v="0"/>
    <s v="Shipped"/>
    <x v="3"/>
    <x v="5"/>
    <x v="1"/>
    <x v="0"/>
    <n v="40"/>
    <s v="S32_2206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343"/>
    <x v="6"/>
    <n v="100"/>
    <n v="5"/>
    <x v="0"/>
    <x v="2179"/>
    <s v="2/24/2003 0:2216"/>
    <x v="0"/>
    <x v="0"/>
    <s v="Shipped"/>
    <x v="3"/>
    <x v="5"/>
    <x v="1"/>
    <x v="0"/>
    <n v="40"/>
    <s v="S32_2206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355"/>
    <x v="19"/>
    <n v="39.83"/>
    <n v="10"/>
    <x v="0"/>
    <x v="2180"/>
    <s v="2/24/2003 0:2217"/>
    <x v="0"/>
    <x v="0"/>
    <s v="Shipped"/>
    <x v="3"/>
    <x v="6"/>
    <x v="1"/>
    <x v="0"/>
    <n v="40"/>
    <s v="S32_2206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64"/>
    <x v="7"/>
    <n v="48.28"/>
    <n v="1"/>
    <x v="0"/>
    <x v="2181"/>
    <s v="2/24/2003 0:2218"/>
    <x v="0"/>
    <x v="0"/>
    <s v="Shipped"/>
    <x v="0"/>
    <x v="7"/>
    <x v="2"/>
    <x v="0"/>
    <n v="40"/>
    <s v="S32_2206"/>
    <s v="Marseille Mini Autos"/>
    <s v="91.24.4555"/>
    <s v="12, rue des Bouchers"/>
    <m/>
    <s v="Marseille"/>
    <x v="54"/>
    <m/>
    <n v="13008"/>
    <x v="1"/>
    <x v="1"/>
    <s v="EMEA"/>
    <s v="Lebihan"/>
    <s v="Laurence"/>
    <x v="0"/>
  </r>
  <r>
    <n v="10378"/>
    <x v="23"/>
    <n v="82.46"/>
    <n v="1"/>
    <x v="0"/>
    <x v="2182"/>
    <s v="2/24/2003 0:2219"/>
    <x v="0"/>
    <x v="0"/>
    <s v="Shipped"/>
    <x v="0"/>
    <x v="0"/>
    <x v="2"/>
    <x v="0"/>
    <n v="40"/>
    <s v="S32_220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0"/>
    <x v="2"/>
    <n v="44.56"/>
    <n v="11"/>
    <x v="0"/>
    <x v="2183"/>
    <s v="2/24/2003 0:2220"/>
    <x v="0"/>
    <x v="0"/>
    <s v="Shipped"/>
    <x v="0"/>
    <x v="11"/>
    <x v="2"/>
    <x v="0"/>
    <n v="40"/>
    <s v="S32_2206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03"/>
    <x v="0"/>
    <n v="40.229999999999997"/>
    <n v="2"/>
    <x v="0"/>
    <x v="2184"/>
    <s v="2/24/2003 0:2221"/>
    <x v="0"/>
    <x v="0"/>
    <s v="Shipped"/>
    <x v="1"/>
    <x v="8"/>
    <x v="2"/>
    <x v="0"/>
    <n v="40"/>
    <s v="S32_2206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0"/>
  </r>
  <r>
    <n v="10104"/>
    <x v="21"/>
    <n v="47.62"/>
    <n v="11"/>
    <x v="0"/>
    <x v="2185"/>
    <s v="2/24/2003 0:2222"/>
    <x v="0"/>
    <x v="0"/>
    <s v="Shipped"/>
    <x v="0"/>
    <x v="7"/>
    <x v="0"/>
    <x v="2"/>
    <n v="54"/>
    <s v="S32_250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14"/>
    <x v="11"/>
    <n v="55.73"/>
    <n v="2"/>
    <x v="0"/>
    <x v="2186"/>
    <s v="2/24/2003 0:2223"/>
    <x v="0"/>
    <x v="0"/>
    <s v="Shipped"/>
    <x v="1"/>
    <x v="8"/>
    <x v="0"/>
    <x v="2"/>
    <n v="54"/>
    <s v="S32_2509"/>
    <s v="La Corne D'abondance, Co."/>
    <s v="(1) 42.34.2555"/>
    <s v="265, boulevard Charonne"/>
    <m/>
    <s v="Paris"/>
    <x v="2"/>
    <m/>
    <n v="75012"/>
    <x v="1"/>
    <x v="1"/>
    <s v="EMEA"/>
    <s v="Bertrand"/>
    <s v="Marie"/>
    <x v="0"/>
  </r>
  <r>
    <n v="10127"/>
    <x v="3"/>
    <n v="51.95"/>
    <n v="13"/>
    <x v="0"/>
    <x v="2187"/>
    <s v="2/24/2003 0:2224"/>
    <x v="0"/>
    <x v="0"/>
    <s v="Shipped"/>
    <x v="1"/>
    <x v="9"/>
    <x v="0"/>
    <x v="2"/>
    <n v="54"/>
    <s v="S32_2509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141"/>
    <x v="16"/>
    <n v="45.99"/>
    <n v="7"/>
    <x v="0"/>
    <x v="2188"/>
    <s v="2/24/2003 0:2225"/>
    <x v="0"/>
    <x v="0"/>
    <s v="Shipped"/>
    <x v="2"/>
    <x v="3"/>
    <x v="0"/>
    <x v="2"/>
    <n v="54"/>
    <s v="S32_2509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151"/>
    <x v="2"/>
    <n v="63.85"/>
    <n v="5"/>
    <x v="0"/>
    <x v="2189"/>
    <s v="2/24/2003 0:2226"/>
    <x v="0"/>
    <x v="0"/>
    <s v="Shipped"/>
    <x v="2"/>
    <x v="10"/>
    <x v="0"/>
    <x v="2"/>
    <n v="54"/>
    <s v="S32_2509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165"/>
    <x v="7"/>
    <n v="45.99"/>
    <n v="14"/>
    <x v="0"/>
    <x v="2190"/>
    <s v="2/24/2003 0:2227"/>
    <x v="0"/>
    <x v="0"/>
    <s v="Shipped"/>
    <x v="3"/>
    <x v="4"/>
    <x v="0"/>
    <x v="2"/>
    <n v="54"/>
    <s v="S32_2509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75"/>
    <x v="24"/>
    <n v="63.31"/>
    <n v="3"/>
    <x v="0"/>
    <x v="2191"/>
    <s v="2/24/2003 0:2228"/>
    <x v="0"/>
    <x v="0"/>
    <s v="Shipped"/>
    <x v="3"/>
    <x v="5"/>
    <x v="0"/>
    <x v="2"/>
    <n v="54"/>
    <s v="S32_2509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84"/>
    <x v="29"/>
    <n v="62.77"/>
    <n v="8"/>
    <x v="0"/>
    <x v="2192"/>
    <s v="2/24/2003 0:2229"/>
    <x v="0"/>
    <x v="0"/>
    <s v="Shipped"/>
    <x v="3"/>
    <x v="5"/>
    <x v="0"/>
    <x v="2"/>
    <n v="54"/>
    <s v="S32_2509"/>
    <s v="Iberia Gift Imports, Corp."/>
    <s v="(95) 555 82 82"/>
    <s v="C/ Romero, 33"/>
    <m/>
    <s v="Sevilla"/>
    <x v="64"/>
    <m/>
    <n v="41101"/>
    <x v="7"/>
    <x v="7"/>
    <s v="EMEA"/>
    <s v="Roel"/>
    <s v="Jose Pedro"/>
    <x v="0"/>
  </r>
  <r>
    <n v="10195"/>
    <x v="22"/>
    <n v="43.29"/>
    <n v="8"/>
    <x v="0"/>
    <x v="2193"/>
    <s v="2/24/2003 0:2230"/>
    <x v="0"/>
    <x v="0"/>
    <s v="Shipped"/>
    <x v="3"/>
    <x v="5"/>
    <x v="0"/>
    <x v="2"/>
    <n v="54"/>
    <s v="S32_2509"/>
    <s v="Mini Classics"/>
    <n v="9145554562"/>
    <s v="3758 North Pendale Street"/>
    <m/>
    <s v="White Plains"/>
    <x v="39"/>
    <s v="NY"/>
    <n v="24067"/>
    <x v="0"/>
    <x v="0"/>
    <s v="NA"/>
    <s v="Frick"/>
    <s v="Steve"/>
    <x v="0"/>
  </r>
  <r>
    <n v="10207"/>
    <x v="26"/>
    <n v="60.06"/>
    <n v="9"/>
    <x v="0"/>
    <x v="2194"/>
    <s v="2/24/2003 0:2231"/>
    <x v="0"/>
    <x v="0"/>
    <s v="Shipped"/>
    <x v="3"/>
    <x v="6"/>
    <x v="0"/>
    <x v="2"/>
    <n v="54"/>
    <s v="S32_2509"/>
    <s v="Diecast Collectables"/>
    <n v="6175552555"/>
    <s v="6251 Ingle Ln."/>
    <m/>
    <s v="Boston"/>
    <x v="48"/>
    <s v="MA"/>
    <n v="51003"/>
    <x v="0"/>
    <x v="0"/>
    <s v="NA"/>
    <s v="Franco"/>
    <s v="Valarie"/>
    <x v="0"/>
  </r>
  <r>
    <n v="10219"/>
    <x v="21"/>
    <n v="55.19"/>
    <n v="4"/>
    <x v="0"/>
    <x v="2195"/>
    <s v="2/24/2003 0:2232"/>
    <x v="0"/>
    <x v="0"/>
    <s v="Shipped"/>
    <x v="0"/>
    <x v="0"/>
    <x v="1"/>
    <x v="2"/>
    <n v="54"/>
    <s v="S32_2509"/>
    <s v="Signal Collectibles Ltd."/>
    <n v="4155554312"/>
    <s v="2793 Furth Circle"/>
    <m/>
    <s v="Brisbane"/>
    <x v="65"/>
    <s v="CA"/>
    <n v="94217"/>
    <x v="0"/>
    <x v="0"/>
    <s v="NA"/>
    <s v="Taylor"/>
    <s v="Sue"/>
    <x v="0"/>
  </r>
  <r>
    <n v="10229"/>
    <x v="10"/>
    <n v="54.11"/>
    <n v="3"/>
    <x v="0"/>
    <x v="2196"/>
    <s v="2/24/2003 0:2233"/>
    <x v="0"/>
    <x v="0"/>
    <s v="Shipped"/>
    <x v="0"/>
    <x v="11"/>
    <x v="1"/>
    <x v="2"/>
    <n v="54"/>
    <s v="S32_250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46"/>
    <x v="21"/>
    <n v="48.7"/>
    <n v="7"/>
    <x v="0"/>
    <x v="2197"/>
    <s v="2/24/2003 0:2234"/>
    <x v="0"/>
    <x v="0"/>
    <s v="Shipped"/>
    <x v="1"/>
    <x v="1"/>
    <x v="1"/>
    <x v="2"/>
    <n v="54"/>
    <s v="S32_250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59"/>
    <x v="23"/>
    <n v="43.83"/>
    <n v="6"/>
    <x v="0"/>
    <x v="2198"/>
    <s v="2/24/2003 0:2235"/>
    <x v="0"/>
    <x v="0"/>
    <s v="Shipped"/>
    <x v="1"/>
    <x v="9"/>
    <x v="1"/>
    <x v="2"/>
    <n v="54"/>
    <s v="S32_2509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271"/>
    <x v="21"/>
    <n v="47.62"/>
    <n v="7"/>
    <x v="0"/>
    <x v="2185"/>
    <s v="2/24/2003 0:2236"/>
    <x v="0"/>
    <x v="0"/>
    <s v="Shipped"/>
    <x v="2"/>
    <x v="2"/>
    <x v="1"/>
    <x v="2"/>
    <n v="54"/>
    <s v="S32_250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81"/>
    <x v="28"/>
    <n v="55.19"/>
    <n v="3"/>
    <x v="0"/>
    <x v="2199"/>
    <s v="2/24/2003 0:2237"/>
    <x v="0"/>
    <x v="0"/>
    <s v="Shipped"/>
    <x v="2"/>
    <x v="3"/>
    <x v="1"/>
    <x v="2"/>
    <n v="54"/>
    <s v="S32_2509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292"/>
    <x v="24"/>
    <n v="46.53"/>
    <n v="10"/>
    <x v="0"/>
    <x v="2200"/>
    <s v="2/24/2003 0:2238"/>
    <x v="0"/>
    <x v="0"/>
    <s v="Shipped"/>
    <x v="2"/>
    <x v="10"/>
    <x v="1"/>
    <x v="2"/>
    <n v="54"/>
    <s v="S32_2509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05"/>
    <x v="23"/>
    <n v="57.9"/>
    <n v="7"/>
    <x v="0"/>
    <x v="2201"/>
    <s v="2/24/2003 0:2239"/>
    <x v="0"/>
    <x v="0"/>
    <s v="Shipped"/>
    <x v="3"/>
    <x v="4"/>
    <x v="1"/>
    <x v="2"/>
    <n v="54"/>
    <s v="S32_2509"/>
    <s v="Marta's Replicas Co."/>
    <n v="6175558555"/>
    <s v="39323 Spinnaker Dr."/>
    <m/>
    <s v="Cambridge"/>
    <x v="12"/>
    <s v="MA"/>
    <n v="51247"/>
    <x v="0"/>
    <x v="0"/>
    <s v="NA"/>
    <s v="Hernandez"/>
    <s v="Marta"/>
    <x v="0"/>
  </r>
  <r>
    <n v="10313"/>
    <x v="19"/>
    <n v="45.45"/>
    <n v="1"/>
    <x v="0"/>
    <x v="2202"/>
    <s v="2/24/2003 0:2240"/>
    <x v="0"/>
    <x v="0"/>
    <s v="Shipped"/>
    <x v="3"/>
    <x v="4"/>
    <x v="1"/>
    <x v="2"/>
    <n v="54"/>
    <s v="S32_2509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0"/>
  </r>
  <r>
    <n v="10325"/>
    <x v="19"/>
    <n v="100"/>
    <n v="3"/>
    <x v="1"/>
    <x v="2203"/>
    <s v="2/24/2003 0:2241"/>
    <x v="0"/>
    <x v="0"/>
    <s v="Shipped"/>
    <x v="3"/>
    <x v="5"/>
    <x v="1"/>
    <x v="2"/>
    <n v="54"/>
    <s v="S32_2509"/>
    <s v="Baane Mini Imports"/>
    <s v="07-98 9555"/>
    <s v="Erling Skakkes gate 78"/>
    <m/>
    <s v="Stavern"/>
    <x v="14"/>
    <m/>
    <n v="4110"/>
    <x v="2"/>
    <x v="2"/>
    <s v="EMEA"/>
    <s v="Bergulfsen"/>
    <s v="Jonas"/>
    <x v="2"/>
  </r>
  <r>
    <n v="10335"/>
    <x v="23"/>
    <n v="60.6"/>
    <n v="3"/>
    <x v="0"/>
    <x v="2204"/>
    <s v="2/24/2003 0:2242"/>
    <x v="0"/>
    <x v="0"/>
    <s v="Shipped"/>
    <x v="3"/>
    <x v="5"/>
    <x v="1"/>
    <x v="2"/>
    <n v="54"/>
    <s v="S32_250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49"/>
    <x v="29"/>
    <n v="46.53"/>
    <n v="1"/>
    <x v="0"/>
    <x v="2205"/>
    <s v="2/24/2003 0:2243"/>
    <x v="0"/>
    <x v="0"/>
    <s v="Shipped"/>
    <x v="3"/>
    <x v="6"/>
    <x v="1"/>
    <x v="2"/>
    <n v="54"/>
    <s v="S32_2509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359"/>
    <x v="5"/>
    <n v="100"/>
    <n v="3"/>
    <x v="1"/>
    <x v="2206"/>
    <s v="2/24/2003 0:2244"/>
    <x v="0"/>
    <x v="0"/>
    <s v="Shipped"/>
    <x v="3"/>
    <x v="6"/>
    <x v="1"/>
    <x v="2"/>
    <n v="54"/>
    <s v="S32_2509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371"/>
    <x v="14"/>
    <n v="66.47"/>
    <n v="2"/>
    <x v="0"/>
    <x v="2207"/>
    <s v="2/24/2003 0:2245"/>
    <x v="0"/>
    <x v="0"/>
    <s v="Shipped"/>
    <x v="0"/>
    <x v="7"/>
    <x v="2"/>
    <x v="2"/>
    <n v="54"/>
    <s v="S32_2509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83"/>
    <x v="22"/>
    <n v="53.18"/>
    <n v="5"/>
    <x v="0"/>
    <x v="2208"/>
    <s v="2/24/2003 0:2246"/>
    <x v="0"/>
    <x v="0"/>
    <s v="Shipped"/>
    <x v="0"/>
    <x v="0"/>
    <x v="2"/>
    <x v="2"/>
    <n v="54"/>
    <s v="S32_250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4"/>
    <x v="5"/>
    <n v="62.77"/>
    <n v="3"/>
    <x v="0"/>
    <x v="2209"/>
    <s v="2/24/2003 0:2247"/>
    <x v="0"/>
    <x v="0"/>
    <s v="Shipped"/>
    <x v="0"/>
    <x v="11"/>
    <x v="2"/>
    <x v="2"/>
    <n v="54"/>
    <s v="S32_250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12"/>
    <x v="34"/>
    <n v="48.7"/>
    <n v="7"/>
    <x v="0"/>
    <x v="2210"/>
    <s v="2/24/2003 0:2248"/>
    <x v="0"/>
    <x v="0"/>
    <s v="Shipped"/>
    <x v="1"/>
    <x v="1"/>
    <x v="2"/>
    <x v="2"/>
    <n v="54"/>
    <s v="S32_250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25"/>
    <x v="54"/>
    <n v="43.83"/>
    <n v="6"/>
    <x v="0"/>
    <x v="2211"/>
    <s v="2/24/2003 0:2249"/>
    <x v="2"/>
    <x v="1"/>
    <s v="In Process"/>
    <x v="1"/>
    <x v="1"/>
    <x v="2"/>
    <x v="2"/>
    <n v="54"/>
    <s v="S32_2509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104"/>
    <x v="4"/>
    <n v="65.87"/>
    <n v="4"/>
    <x v="0"/>
    <x v="2212"/>
    <s v="2/24/2003 0:2250"/>
    <x v="0"/>
    <x v="0"/>
    <s v="Shipped"/>
    <x v="0"/>
    <x v="7"/>
    <x v="0"/>
    <x v="6"/>
    <n v="62"/>
    <s v="S32_3207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16"/>
    <x v="26"/>
    <n v="63.38"/>
    <n v="1"/>
    <x v="0"/>
    <x v="2213"/>
    <s v="2/24/2003 0:2251"/>
    <x v="0"/>
    <x v="0"/>
    <s v="Shipped"/>
    <x v="1"/>
    <x v="8"/>
    <x v="0"/>
    <x v="6"/>
    <n v="62"/>
    <s v="S32_3207"/>
    <s v="Royale Belge"/>
    <s v="(071) 23 67 2555"/>
    <s v="Boulevard Tirou, 255"/>
    <m/>
    <s v="Charleroi"/>
    <x v="72"/>
    <m/>
    <s v="B-6000"/>
    <x v="14"/>
    <x v="14"/>
    <s v="EMEA"/>
    <s v="Cartrain"/>
    <s v="Pascale"/>
    <x v="0"/>
  </r>
  <r>
    <n v="10127"/>
    <x v="6"/>
    <n v="70.84"/>
    <n v="6"/>
    <x v="0"/>
    <x v="2214"/>
    <s v="2/24/2003 0:2252"/>
    <x v="0"/>
    <x v="0"/>
    <s v="Shipped"/>
    <x v="1"/>
    <x v="9"/>
    <x v="0"/>
    <x v="6"/>
    <n v="62"/>
    <s v="S32_3207"/>
    <s v="Muscle Machine Inc"/>
    <n v="2125557413"/>
    <s v="4092 Furth Circle"/>
    <s v="Suite 400"/>
    <s v="Nyc"/>
    <x v="0"/>
    <s v="NY"/>
    <n v="10022"/>
    <x v="0"/>
    <x v="0"/>
    <s v="NA"/>
    <s v="Young"/>
    <s v="Jeff"/>
    <x v="0"/>
  </r>
  <r>
    <n v="10142"/>
    <x v="13"/>
    <n v="74.569999999999993"/>
    <n v="16"/>
    <x v="0"/>
    <x v="2215"/>
    <s v="2/24/2003 0:2253"/>
    <x v="0"/>
    <x v="0"/>
    <s v="Shipped"/>
    <x v="2"/>
    <x v="3"/>
    <x v="0"/>
    <x v="6"/>
    <n v="62"/>
    <s v="S32_320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52"/>
    <x v="29"/>
    <n v="50.95"/>
    <n v="2"/>
    <x v="0"/>
    <x v="2216"/>
    <s v="2/24/2003 0:2254"/>
    <x v="0"/>
    <x v="0"/>
    <s v="Shipped"/>
    <x v="2"/>
    <x v="10"/>
    <x v="0"/>
    <x v="6"/>
    <n v="62"/>
    <s v="S32_3207"/>
    <s v="Australian Gift Network, Co"/>
    <s v="61-7-3844-6555"/>
    <s v="31 Duncan St. West End"/>
    <m/>
    <s v="South Brisbane"/>
    <x v="23"/>
    <s v="Queensland"/>
    <n v="4101"/>
    <x v="3"/>
    <x v="3"/>
    <s v="APAC"/>
    <s v="Calaghan"/>
    <s v="Tony"/>
    <x v="0"/>
  </r>
  <r>
    <n v="10165"/>
    <x v="27"/>
    <n v="53.44"/>
    <n v="7"/>
    <x v="0"/>
    <x v="2217"/>
    <s v="2/24/2003 0:2255"/>
    <x v="0"/>
    <x v="0"/>
    <s v="Shipped"/>
    <x v="3"/>
    <x v="4"/>
    <x v="0"/>
    <x v="6"/>
    <n v="62"/>
    <s v="S32_3207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76"/>
    <x v="8"/>
    <n v="64"/>
    <n v="6"/>
    <x v="0"/>
    <x v="2218"/>
    <s v="2/24/2003 0:2256"/>
    <x v="0"/>
    <x v="0"/>
    <s v="Shipped"/>
    <x v="3"/>
    <x v="5"/>
    <x v="0"/>
    <x v="6"/>
    <n v="62"/>
    <s v="S32_3207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84"/>
    <x v="7"/>
    <n v="50.95"/>
    <n v="1"/>
    <x v="0"/>
    <x v="2219"/>
    <s v="2/24/2003 0:2257"/>
    <x v="0"/>
    <x v="0"/>
    <s v="Shipped"/>
    <x v="3"/>
    <x v="5"/>
    <x v="0"/>
    <x v="6"/>
    <n v="62"/>
    <s v="S32_3207"/>
    <s v="Iberia Gift Imports, Corp."/>
    <s v="(95) 555 82 82"/>
    <s v="C/ Romero, 33"/>
    <m/>
    <s v="Sevilla"/>
    <x v="64"/>
    <m/>
    <n v="41101"/>
    <x v="7"/>
    <x v="7"/>
    <s v="EMEA"/>
    <s v="Roel"/>
    <s v="Jose Pedro"/>
    <x v="0"/>
  </r>
  <r>
    <n v="10195"/>
    <x v="29"/>
    <n v="54.68"/>
    <n v="1"/>
    <x v="0"/>
    <x v="2220"/>
    <s v="2/24/2003 0:2258"/>
    <x v="0"/>
    <x v="0"/>
    <s v="Shipped"/>
    <x v="3"/>
    <x v="5"/>
    <x v="0"/>
    <x v="6"/>
    <n v="62"/>
    <s v="S32_3207"/>
    <s v="Mini Classics"/>
    <n v="9145554562"/>
    <s v="3758 North Pendale Street"/>
    <m/>
    <s v="White Plains"/>
    <x v="39"/>
    <s v="NY"/>
    <n v="24067"/>
    <x v="0"/>
    <x v="0"/>
    <s v="NA"/>
    <s v="Frick"/>
    <s v="Steve"/>
    <x v="0"/>
  </r>
  <r>
    <n v="10207"/>
    <x v="3"/>
    <n v="56.55"/>
    <n v="2"/>
    <x v="0"/>
    <x v="2221"/>
    <s v="2/24/2003 0:2259"/>
    <x v="0"/>
    <x v="0"/>
    <s v="Shipped"/>
    <x v="3"/>
    <x v="6"/>
    <x v="0"/>
    <x v="6"/>
    <n v="62"/>
    <s v="S32_3207"/>
    <s v="Diecast Collectables"/>
    <n v="6175552555"/>
    <s v="6251 Ingle Ln."/>
    <m/>
    <s v="Boston"/>
    <x v="48"/>
    <s v="MA"/>
    <n v="51003"/>
    <x v="0"/>
    <x v="0"/>
    <s v="NA"/>
    <s v="Franco"/>
    <s v="Valarie"/>
    <x v="0"/>
  </r>
  <r>
    <n v="10220"/>
    <x v="14"/>
    <n v="52.82"/>
    <n v="6"/>
    <x v="0"/>
    <x v="2222"/>
    <s v="2/24/2003 0:2260"/>
    <x v="0"/>
    <x v="0"/>
    <s v="Shipped"/>
    <x v="0"/>
    <x v="0"/>
    <x v="1"/>
    <x v="6"/>
    <n v="62"/>
    <s v="S32_3207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0"/>
  </r>
  <r>
    <n v="10230"/>
    <x v="12"/>
    <n v="60.9"/>
    <n v="4"/>
    <x v="0"/>
    <x v="2223"/>
    <s v="2/24/2003 0:2261"/>
    <x v="0"/>
    <x v="0"/>
    <s v="Shipped"/>
    <x v="0"/>
    <x v="11"/>
    <x v="1"/>
    <x v="6"/>
    <n v="62"/>
    <s v="S32_3207"/>
    <s v="Blauer See Auto, Co."/>
    <s v="+49 69 66 90 2555"/>
    <s v="Lyonerstr. 34"/>
    <m/>
    <s v="Frankfurt"/>
    <x v="58"/>
    <m/>
    <n v="60528"/>
    <x v="16"/>
    <x v="16"/>
    <s v="EMEA"/>
    <s v="Keitel"/>
    <s v="Roland"/>
    <x v="0"/>
  </r>
  <r>
    <n v="10247"/>
    <x v="23"/>
    <n v="49.71"/>
    <n v="6"/>
    <x v="0"/>
    <x v="2224"/>
    <s v="2/24/2003 0:2262"/>
    <x v="0"/>
    <x v="0"/>
    <s v="Shipped"/>
    <x v="1"/>
    <x v="1"/>
    <x v="1"/>
    <x v="6"/>
    <n v="62"/>
    <s v="S32_3207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0"/>
  </r>
  <r>
    <n v="10272"/>
    <x v="3"/>
    <n v="64.63"/>
    <n v="6"/>
    <x v="0"/>
    <x v="2225"/>
    <s v="2/24/2003 0:2263"/>
    <x v="0"/>
    <x v="0"/>
    <s v="Shipped"/>
    <x v="2"/>
    <x v="2"/>
    <x v="1"/>
    <x v="6"/>
    <n v="62"/>
    <s v="S32_3207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282"/>
    <x v="5"/>
    <n v="59.65"/>
    <n v="9"/>
    <x v="0"/>
    <x v="2226"/>
    <s v="2/24/2003 0:2264"/>
    <x v="0"/>
    <x v="0"/>
    <s v="Shipped"/>
    <x v="2"/>
    <x v="3"/>
    <x v="1"/>
    <x v="6"/>
    <n v="62"/>
    <s v="S32_320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92"/>
    <x v="28"/>
    <n v="67.73"/>
    <n v="3"/>
    <x v="0"/>
    <x v="2227"/>
    <s v="2/24/2003 0:2265"/>
    <x v="0"/>
    <x v="0"/>
    <s v="Shipped"/>
    <x v="2"/>
    <x v="10"/>
    <x v="1"/>
    <x v="6"/>
    <n v="62"/>
    <s v="S32_3207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06"/>
    <x v="12"/>
    <n v="50.33"/>
    <n v="17"/>
    <x v="0"/>
    <x v="2228"/>
    <s v="2/24/2003 0:2266"/>
    <x v="0"/>
    <x v="0"/>
    <s v="Shipped"/>
    <x v="3"/>
    <x v="4"/>
    <x v="1"/>
    <x v="6"/>
    <n v="62"/>
    <s v="S32_3207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14"/>
    <x v="21"/>
    <n v="66.489999999999995"/>
    <n v="9"/>
    <x v="0"/>
    <x v="2229"/>
    <s v="2/24/2003 0:2267"/>
    <x v="0"/>
    <x v="0"/>
    <s v="Shipped"/>
    <x v="3"/>
    <x v="4"/>
    <x v="1"/>
    <x v="6"/>
    <n v="62"/>
    <s v="S32_3207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325"/>
    <x v="11"/>
    <n v="100"/>
    <n v="2"/>
    <x v="1"/>
    <x v="2230"/>
    <s v="2/24/2003 0:2268"/>
    <x v="0"/>
    <x v="0"/>
    <s v="Shipped"/>
    <x v="3"/>
    <x v="5"/>
    <x v="1"/>
    <x v="6"/>
    <n v="62"/>
    <s v="S32_3207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336"/>
    <x v="28"/>
    <n v="84.71"/>
    <n v="9"/>
    <x v="0"/>
    <x v="2231"/>
    <s v="2/24/2003 0:2269"/>
    <x v="0"/>
    <x v="0"/>
    <s v="Shipped"/>
    <x v="3"/>
    <x v="5"/>
    <x v="1"/>
    <x v="6"/>
    <n v="62"/>
    <s v="S32_3207"/>
    <s v="La Corne D'abondance, Co."/>
    <s v="(1) 42.34.2555"/>
    <s v="265, boulevard Charonne"/>
    <m/>
    <s v="Paris"/>
    <x v="2"/>
    <m/>
    <n v="75012"/>
    <x v="1"/>
    <x v="1"/>
    <s v="EMEA"/>
    <s v="Bertrand"/>
    <s v="Marie"/>
    <x v="0"/>
  </r>
  <r>
    <n v="10350"/>
    <x v="26"/>
    <n v="100"/>
    <n v="14"/>
    <x v="1"/>
    <x v="2232"/>
    <s v="2/24/2003 0:2270"/>
    <x v="0"/>
    <x v="0"/>
    <s v="Shipped"/>
    <x v="3"/>
    <x v="6"/>
    <x v="1"/>
    <x v="6"/>
    <n v="62"/>
    <s v="S32_3207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59"/>
    <x v="8"/>
    <n v="100"/>
    <n v="1"/>
    <x v="1"/>
    <x v="2233"/>
    <s v="2/24/2003 0:2271"/>
    <x v="0"/>
    <x v="0"/>
    <s v="Shipped"/>
    <x v="3"/>
    <x v="6"/>
    <x v="1"/>
    <x v="6"/>
    <n v="62"/>
    <s v="S32_3207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371"/>
    <x v="0"/>
    <n v="99.55"/>
    <n v="11"/>
    <x v="0"/>
    <x v="2234"/>
    <s v="2/24/2003 0:2272"/>
    <x v="0"/>
    <x v="0"/>
    <s v="Shipped"/>
    <x v="0"/>
    <x v="7"/>
    <x v="2"/>
    <x v="6"/>
    <n v="62"/>
    <s v="S32_3207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83"/>
    <x v="27"/>
    <n v="36.07"/>
    <n v="8"/>
    <x v="0"/>
    <x v="2235"/>
    <s v="2/24/2003 0:2273"/>
    <x v="0"/>
    <x v="0"/>
    <s v="Shipped"/>
    <x v="0"/>
    <x v="0"/>
    <x v="2"/>
    <x v="6"/>
    <n v="62"/>
    <s v="S32_3207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4"/>
    <x v="0"/>
    <n v="60.28"/>
    <n v="4"/>
    <x v="0"/>
    <x v="2072"/>
    <s v="2/24/2003 0:2274"/>
    <x v="0"/>
    <x v="0"/>
    <s v="Shipped"/>
    <x v="0"/>
    <x v="11"/>
    <x v="2"/>
    <x v="6"/>
    <n v="62"/>
    <s v="S32_3207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413"/>
    <x v="16"/>
    <n v="49.71"/>
    <n v="6"/>
    <x v="0"/>
    <x v="2236"/>
    <s v="2/24/2003 0:2275"/>
    <x v="0"/>
    <x v="0"/>
    <s v="Shipped"/>
    <x v="1"/>
    <x v="1"/>
    <x v="2"/>
    <x v="6"/>
    <n v="62"/>
    <s v="S32_3207"/>
    <s v="Gift Depot Inc."/>
    <n v="2035552570"/>
    <s v="25593 South Bay Ln."/>
    <m/>
    <s v="Bridgewater"/>
    <x v="10"/>
    <s v="CT"/>
    <n v="97562"/>
    <x v="0"/>
    <x v="0"/>
    <s v="NA"/>
    <s v="King"/>
    <s v="Julie"/>
    <x v="0"/>
  </r>
  <r>
    <n v="10103"/>
    <x v="3"/>
    <n v="75.63"/>
    <n v="7"/>
    <x v="0"/>
    <x v="2237"/>
    <s v="2/24/2003 0:2276"/>
    <x v="0"/>
    <x v="0"/>
    <s v="Shipped"/>
    <x v="0"/>
    <x v="7"/>
    <x v="0"/>
    <x v="2"/>
    <n v="64"/>
    <s v="S32_3522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113"/>
    <x v="10"/>
    <n v="68.52"/>
    <n v="1"/>
    <x v="0"/>
    <x v="2238"/>
    <s v="2/24/2003 0:2277"/>
    <x v="0"/>
    <x v="0"/>
    <s v="Shipped"/>
    <x v="0"/>
    <x v="11"/>
    <x v="0"/>
    <x v="2"/>
    <n v="64"/>
    <s v="S32_352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26"/>
    <x v="18"/>
    <n v="62.7"/>
    <n v="7"/>
    <x v="0"/>
    <x v="2239"/>
    <s v="2/24/2003 0:2278"/>
    <x v="0"/>
    <x v="0"/>
    <s v="Shipped"/>
    <x v="1"/>
    <x v="1"/>
    <x v="0"/>
    <x v="2"/>
    <n v="64"/>
    <s v="S32_3522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140"/>
    <x v="11"/>
    <n v="60.76"/>
    <n v="7"/>
    <x v="0"/>
    <x v="2240"/>
    <s v="2/24/2003 0:2279"/>
    <x v="0"/>
    <x v="0"/>
    <s v="Shipped"/>
    <x v="2"/>
    <x v="2"/>
    <x v="0"/>
    <x v="2"/>
    <n v="64"/>
    <s v="S32_3522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150"/>
    <x v="4"/>
    <n v="58.18"/>
    <n v="4"/>
    <x v="0"/>
    <x v="2241"/>
    <s v="2/24/2003 0:2280"/>
    <x v="0"/>
    <x v="0"/>
    <s v="Shipped"/>
    <x v="2"/>
    <x v="10"/>
    <x v="0"/>
    <x v="2"/>
    <n v="64"/>
    <s v="S32_3522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64"/>
    <x v="4"/>
    <n v="54.94"/>
    <n v="5"/>
    <x v="0"/>
    <x v="2242"/>
    <s v="2/24/2003 0:2281"/>
    <x v="5"/>
    <x v="1"/>
    <s v="Resolved"/>
    <x v="3"/>
    <x v="4"/>
    <x v="0"/>
    <x v="2"/>
    <n v="64"/>
    <s v="S32_3522"/>
    <s v="Mini Auto Werke"/>
    <s v="7675-3555"/>
    <s v="Kirchgasse 6"/>
    <m/>
    <s v="Graz"/>
    <x v="52"/>
    <m/>
    <n v="8010"/>
    <x v="5"/>
    <x v="5"/>
    <s v="EMEA"/>
    <s v="Mendel"/>
    <s v="Roland"/>
    <x v="0"/>
  </r>
  <r>
    <n v="10175"/>
    <x v="6"/>
    <n v="74.98"/>
    <n v="12"/>
    <x v="0"/>
    <x v="2243"/>
    <s v="2/24/2003 0:2282"/>
    <x v="0"/>
    <x v="0"/>
    <s v="Shipped"/>
    <x v="3"/>
    <x v="5"/>
    <x v="0"/>
    <x v="2"/>
    <n v="64"/>
    <s v="S32_3522"/>
    <s v="Stylish Desk Decors, Co."/>
    <s v="(171) 555-0297"/>
    <s v="35 King George"/>
    <m/>
    <s v="London"/>
    <x v="41"/>
    <m/>
    <s v="WX3 6FW"/>
    <x v="6"/>
    <x v="6"/>
    <s v="EMEA"/>
    <s v="Brown"/>
    <s v="Ann"/>
    <x v="0"/>
  </r>
  <r>
    <n v="10183"/>
    <x v="4"/>
    <n v="64.64"/>
    <n v="4"/>
    <x v="0"/>
    <x v="2244"/>
    <s v="2/24/2003 0:2283"/>
    <x v="0"/>
    <x v="0"/>
    <s v="Shipped"/>
    <x v="3"/>
    <x v="5"/>
    <x v="0"/>
    <x v="2"/>
    <n v="64"/>
    <s v="S32_3522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1"/>
  </r>
  <r>
    <n v="10194"/>
    <x v="25"/>
    <n v="54.94"/>
    <n v="7"/>
    <x v="0"/>
    <x v="2245"/>
    <s v="2/24/2003 0:2284"/>
    <x v="0"/>
    <x v="0"/>
    <s v="Shipped"/>
    <x v="3"/>
    <x v="5"/>
    <x v="0"/>
    <x v="2"/>
    <n v="64"/>
    <s v="S32_3522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06"/>
    <x v="5"/>
    <n v="58.82"/>
    <n v="2"/>
    <x v="0"/>
    <x v="2246"/>
    <s v="2/24/2003 0:2285"/>
    <x v="0"/>
    <x v="0"/>
    <s v="Shipped"/>
    <x v="3"/>
    <x v="6"/>
    <x v="0"/>
    <x v="2"/>
    <n v="64"/>
    <s v="S32_3522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0"/>
  </r>
  <r>
    <n v="10217"/>
    <x v="25"/>
    <n v="62.05"/>
    <n v="7"/>
    <x v="0"/>
    <x v="2247"/>
    <s v="2/24/2003 0:2286"/>
    <x v="0"/>
    <x v="0"/>
    <s v="Shipped"/>
    <x v="0"/>
    <x v="0"/>
    <x v="1"/>
    <x v="2"/>
    <n v="64"/>
    <s v="S32_3522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229"/>
    <x v="0"/>
    <n v="73.040000000000006"/>
    <n v="12"/>
    <x v="0"/>
    <x v="2248"/>
    <s v="2/24/2003 0:2287"/>
    <x v="0"/>
    <x v="0"/>
    <s v="Shipped"/>
    <x v="0"/>
    <x v="11"/>
    <x v="1"/>
    <x v="2"/>
    <n v="64"/>
    <s v="S32_352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45"/>
    <x v="27"/>
    <n v="69.16"/>
    <n v="5"/>
    <x v="0"/>
    <x v="2249"/>
    <s v="2/24/2003 0:2288"/>
    <x v="0"/>
    <x v="0"/>
    <s v="Shipped"/>
    <x v="1"/>
    <x v="1"/>
    <x v="1"/>
    <x v="2"/>
    <n v="64"/>
    <s v="S32_3522"/>
    <s v="Super Scale Inc."/>
    <n v="2035559545"/>
    <s v="567 North Pendale Street"/>
    <m/>
    <s v="New Haven"/>
    <x v="28"/>
    <s v="CT"/>
    <n v="97823"/>
    <x v="0"/>
    <x v="0"/>
    <s v="NA"/>
    <s v="Murphy"/>
    <s v="Leslie"/>
    <x v="1"/>
  </r>
  <r>
    <n v="10258"/>
    <x v="14"/>
    <n v="61.41"/>
    <n v="2"/>
    <x v="0"/>
    <x v="2250"/>
    <s v="2/24/2003 0:2289"/>
    <x v="0"/>
    <x v="0"/>
    <s v="Shipped"/>
    <x v="1"/>
    <x v="9"/>
    <x v="1"/>
    <x v="2"/>
    <n v="64"/>
    <s v="S32_3522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270"/>
    <x v="15"/>
    <n v="63.35"/>
    <n v="5"/>
    <x v="0"/>
    <x v="2251"/>
    <s v="2/24/2003 0:2290"/>
    <x v="0"/>
    <x v="0"/>
    <s v="Shipped"/>
    <x v="2"/>
    <x v="2"/>
    <x v="1"/>
    <x v="2"/>
    <n v="64"/>
    <s v="S32_3522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281"/>
    <x v="5"/>
    <n v="77.569999999999993"/>
    <n v="12"/>
    <x v="0"/>
    <x v="2252"/>
    <s v="2/24/2003 0:2291"/>
    <x v="0"/>
    <x v="0"/>
    <s v="Shipped"/>
    <x v="2"/>
    <x v="3"/>
    <x v="1"/>
    <x v="2"/>
    <n v="64"/>
    <s v="S32_3522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291"/>
    <x v="22"/>
    <n v="71.75"/>
    <n v="7"/>
    <x v="0"/>
    <x v="2253"/>
    <s v="2/24/2003 0:2292"/>
    <x v="0"/>
    <x v="0"/>
    <s v="Shipped"/>
    <x v="2"/>
    <x v="10"/>
    <x v="1"/>
    <x v="2"/>
    <n v="64"/>
    <s v="S32_3522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304"/>
    <x v="5"/>
    <n v="73.040000000000006"/>
    <n v="2"/>
    <x v="0"/>
    <x v="2254"/>
    <s v="2/24/2003 0:2293"/>
    <x v="0"/>
    <x v="0"/>
    <s v="Shipped"/>
    <x v="3"/>
    <x v="4"/>
    <x v="1"/>
    <x v="2"/>
    <n v="64"/>
    <s v="S32_3522"/>
    <s v="Auto Assoc. &amp; Cie."/>
    <s v="30.59.8555"/>
    <s v="67, avenue de l'Europe"/>
    <m/>
    <s v="Versailles"/>
    <x v="32"/>
    <m/>
    <n v="78000"/>
    <x v="1"/>
    <x v="1"/>
    <s v="EMEA"/>
    <s v="Tonini"/>
    <s v="Daniel"/>
    <x v="0"/>
  </r>
  <r>
    <n v="10313"/>
    <x v="1"/>
    <n v="56.24"/>
    <n v="10"/>
    <x v="0"/>
    <x v="2255"/>
    <s v="2/24/2003 0:2294"/>
    <x v="0"/>
    <x v="0"/>
    <s v="Shipped"/>
    <x v="3"/>
    <x v="4"/>
    <x v="1"/>
    <x v="2"/>
    <n v="64"/>
    <s v="S32_3522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0"/>
  </r>
  <r>
    <n v="10324"/>
    <x v="7"/>
    <n v="100"/>
    <n v="4"/>
    <x v="1"/>
    <x v="1001"/>
    <s v="2/24/2003 0:2295"/>
    <x v="0"/>
    <x v="0"/>
    <s v="Shipped"/>
    <x v="3"/>
    <x v="5"/>
    <x v="1"/>
    <x v="2"/>
    <n v="64"/>
    <s v="S32_3522"/>
    <s v="Vitachrome Inc."/>
    <n v="2125551500"/>
    <s v="2678 Kingston Rd."/>
    <s v="Suite 101"/>
    <s v="Nyc"/>
    <x v="0"/>
    <s v="NY"/>
    <n v="10022"/>
    <x v="0"/>
    <x v="0"/>
    <s v="NA"/>
    <s v="Frick"/>
    <s v="Michael"/>
    <x v="2"/>
  </r>
  <r>
    <n v="10333"/>
    <x v="29"/>
    <n v="73.69"/>
    <n v="4"/>
    <x v="0"/>
    <x v="2256"/>
    <s v="2/24/2003 0:2296"/>
    <x v="0"/>
    <x v="0"/>
    <s v="Shipped"/>
    <x v="3"/>
    <x v="5"/>
    <x v="1"/>
    <x v="2"/>
    <n v="64"/>
    <s v="S32_3522"/>
    <s v="Mini Wheels Co."/>
    <n v="6505555787"/>
    <s v="5557 North Pendale Street"/>
    <m/>
    <s v="San Francisco"/>
    <x v="4"/>
    <s v="CA"/>
    <m/>
    <x v="0"/>
    <x v="0"/>
    <s v="NA"/>
    <s v="Murphy"/>
    <s v="Julie"/>
    <x v="0"/>
  </r>
  <r>
    <n v="10348"/>
    <x v="28"/>
    <n v="100"/>
    <n v="5"/>
    <x v="0"/>
    <x v="2257"/>
    <s v="2/24/2003 0:2297"/>
    <x v="0"/>
    <x v="0"/>
    <s v="Shipped"/>
    <x v="3"/>
    <x v="5"/>
    <x v="1"/>
    <x v="2"/>
    <n v="64"/>
    <s v="S32_3522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358"/>
    <x v="5"/>
    <n v="100"/>
    <n v="2"/>
    <x v="1"/>
    <x v="2258"/>
    <s v="2/24/2003 0:2298"/>
    <x v="0"/>
    <x v="0"/>
    <s v="Shipped"/>
    <x v="3"/>
    <x v="6"/>
    <x v="1"/>
    <x v="2"/>
    <n v="64"/>
    <s v="S32_352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70"/>
    <x v="32"/>
    <n v="100"/>
    <n v="3"/>
    <x v="0"/>
    <x v="2259"/>
    <s v="2/24/2003 0:2299"/>
    <x v="0"/>
    <x v="0"/>
    <s v="Shipped"/>
    <x v="0"/>
    <x v="7"/>
    <x v="2"/>
    <x v="2"/>
    <n v="64"/>
    <s v="S32_3522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382"/>
    <x v="7"/>
    <n v="100"/>
    <n v="8"/>
    <x v="1"/>
    <x v="2260"/>
    <s v="2/24/2003 0:2300"/>
    <x v="0"/>
    <x v="0"/>
    <s v="Shipped"/>
    <x v="0"/>
    <x v="0"/>
    <x v="2"/>
    <x v="2"/>
    <n v="64"/>
    <s v="S32_352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11"/>
    <x v="26"/>
    <n v="69.16"/>
    <n v="5"/>
    <x v="0"/>
    <x v="2261"/>
    <s v="2/24/2003 0:2301"/>
    <x v="0"/>
    <x v="0"/>
    <s v="Shipped"/>
    <x v="1"/>
    <x v="1"/>
    <x v="2"/>
    <x v="2"/>
    <n v="64"/>
    <s v="S32_3522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0"/>
  </r>
  <r>
    <n v="10424"/>
    <x v="27"/>
    <n v="61.41"/>
    <n v="2"/>
    <x v="0"/>
    <x v="444"/>
    <s v="2/24/2003 0:2302"/>
    <x v="2"/>
    <x v="1"/>
    <s v="In Process"/>
    <x v="1"/>
    <x v="1"/>
    <x v="2"/>
    <x v="2"/>
    <n v="64"/>
    <s v="S32_352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06"/>
    <x v="29"/>
    <n v="72.92"/>
    <n v="5"/>
    <x v="0"/>
    <x v="2262"/>
    <s v="2/24/2003 0:2303"/>
    <x v="0"/>
    <x v="0"/>
    <s v="Shipped"/>
    <x v="0"/>
    <x v="0"/>
    <x v="0"/>
    <x v="3"/>
    <n v="68"/>
    <s v="S32_4289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20"/>
    <x v="6"/>
    <n v="72.23"/>
    <n v="11"/>
    <x v="0"/>
    <x v="2263"/>
    <s v="2/24/2003 0:2304"/>
    <x v="0"/>
    <x v="0"/>
    <s v="Shipped"/>
    <x v="1"/>
    <x v="8"/>
    <x v="0"/>
    <x v="3"/>
    <n v="68"/>
    <s v="S32_4289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133"/>
    <x v="4"/>
    <n v="57.1"/>
    <n v="6"/>
    <x v="0"/>
    <x v="2264"/>
    <s v="2/24/2003 0:2305"/>
    <x v="0"/>
    <x v="0"/>
    <s v="Shipped"/>
    <x v="1"/>
    <x v="9"/>
    <x v="0"/>
    <x v="3"/>
    <n v="68"/>
    <s v="S32_4289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44"/>
    <x v="14"/>
    <n v="81.86"/>
    <n v="1"/>
    <x v="0"/>
    <x v="2265"/>
    <s v="2/24/2003 0:2306"/>
    <x v="0"/>
    <x v="0"/>
    <s v="Shipped"/>
    <x v="2"/>
    <x v="3"/>
    <x v="0"/>
    <x v="3"/>
    <n v="68"/>
    <s v="S32_4289"/>
    <s v="Royale Belge"/>
    <s v="(071) 23 67 2555"/>
    <s v="Boulevard Tirou, 255"/>
    <m/>
    <s v="Charleroi"/>
    <x v="72"/>
    <m/>
    <s v="B-6000"/>
    <x v="14"/>
    <x v="14"/>
    <s v="EMEA"/>
    <s v="Cartrain"/>
    <s v="Pascale"/>
    <x v="0"/>
  </r>
  <r>
    <n v="10168"/>
    <x v="28"/>
    <n v="73.61"/>
    <n v="12"/>
    <x v="0"/>
    <x v="2266"/>
    <s v="2/24/2003 0:2307"/>
    <x v="0"/>
    <x v="0"/>
    <s v="Shipped"/>
    <x v="3"/>
    <x v="4"/>
    <x v="0"/>
    <x v="3"/>
    <n v="68"/>
    <s v="S32_4289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210"/>
    <x v="25"/>
    <n v="59.16"/>
    <n v="10"/>
    <x v="0"/>
    <x v="2267"/>
    <s v="2/24/2003 0:2308"/>
    <x v="0"/>
    <x v="0"/>
    <s v="Shipped"/>
    <x v="0"/>
    <x v="7"/>
    <x v="1"/>
    <x v="3"/>
    <n v="68"/>
    <s v="S32_4289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0"/>
  </r>
  <r>
    <n v="10223"/>
    <x v="14"/>
    <n v="66.040000000000006"/>
    <n v="12"/>
    <x v="0"/>
    <x v="2268"/>
    <s v="2/24/2003 0:2309"/>
    <x v="0"/>
    <x v="0"/>
    <s v="Shipped"/>
    <x v="0"/>
    <x v="0"/>
    <x v="1"/>
    <x v="3"/>
    <n v="68"/>
    <s v="S32_4289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235"/>
    <x v="1"/>
    <n v="77.73"/>
    <n v="6"/>
    <x v="0"/>
    <x v="2269"/>
    <s v="2/24/2003 0:2310"/>
    <x v="0"/>
    <x v="0"/>
    <s v="Shipped"/>
    <x v="1"/>
    <x v="8"/>
    <x v="1"/>
    <x v="3"/>
    <n v="68"/>
    <s v="S32_4289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50"/>
    <x v="24"/>
    <n v="61.22"/>
    <n v="7"/>
    <x v="0"/>
    <x v="2270"/>
    <s v="2/24/2003 0:2311"/>
    <x v="0"/>
    <x v="0"/>
    <s v="Shipped"/>
    <x v="1"/>
    <x v="1"/>
    <x v="1"/>
    <x v="3"/>
    <n v="68"/>
    <s v="S32_4289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262"/>
    <x v="23"/>
    <n v="79.11"/>
    <n v="2"/>
    <x v="0"/>
    <x v="2271"/>
    <s v="2/24/2003 0:2312"/>
    <x v="3"/>
    <x v="1"/>
    <s v="Cancelled"/>
    <x v="1"/>
    <x v="9"/>
    <x v="1"/>
    <x v="3"/>
    <n v="68"/>
    <s v="S32_4289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75"/>
    <x v="11"/>
    <n v="63.97"/>
    <n v="12"/>
    <x v="0"/>
    <x v="2272"/>
    <s v="2/24/2003 0:2313"/>
    <x v="0"/>
    <x v="0"/>
    <s v="Shipped"/>
    <x v="2"/>
    <x v="2"/>
    <x v="1"/>
    <x v="3"/>
    <n v="68"/>
    <s v="S32_4289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284"/>
    <x v="24"/>
    <n v="81.86"/>
    <n v="4"/>
    <x v="1"/>
    <x v="2273"/>
    <s v="2/24/2003 0:2314"/>
    <x v="0"/>
    <x v="0"/>
    <s v="Shipped"/>
    <x v="2"/>
    <x v="3"/>
    <x v="1"/>
    <x v="3"/>
    <n v="68"/>
    <s v="S32_4289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1"/>
  </r>
  <r>
    <n v="10297"/>
    <x v="11"/>
    <n v="79.8"/>
    <n v="7"/>
    <x v="0"/>
    <x v="2274"/>
    <s v="2/24/2003 0:2315"/>
    <x v="0"/>
    <x v="0"/>
    <s v="Shipped"/>
    <x v="2"/>
    <x v="10"/>
    <x v="1"/>
    <x v="3"/>
    <n v="68"/>
    <s v="S32_4289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0"/>
  </r>
  <r>
    <n v="10308"/>
    <x v="12"/>
    <n v="66.040000000000006"/>
    <n v="10"/>
    <x v="0"/>
    <x v="2275"/>
    <s v="2/24/2003 0:2316"/>
    <x v="0"/>
    <x v="0"/>
    <s v="Shipped"/>
    <x v="3"/>
    <x v="4"/>
    <x v="1"/>
    <x v="3"/>
    <n v="68"/>
    <s v="S32_4289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316"/>
    <x v="16"/>
    <n v="59.16"/>
    <n v="2"/>
    <x v="0"/>
    <x v="2276"/>
    <s v="2/24/2003 0:2317"/>
    <x v="0"/>
    <x v="0"/>
    <s v="Shipped"/>
    <x v="3"/>
    <x v="5"/>
    <x v="1"/>
    <x v="3"/>
    <n v="68"/>
    <s v="S32_4289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328"/>
    <x v="16"/>
    <n v="81.17"/>
    <n v="5"/>
    <x v="0"/>
    <x v="2277"/>
    <s v="2/24/2003 0:2318"/>
    <x v="0"/>
    <x v="0"/>
    <s v="Shipped"/>
    <x v="3"/>
    <x v="5"/>
    <x v="1"/>
    <x v="3"/>
    <n v="68"/>
    <s v="S32_4289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340"/>
    <x v="25"/>
    <n v="59.16"/>
    <n v="3"/>
    <x v="0"/>
    <x v="2267"/>
    <s v="2/24/2003 0:2319"/>
    <x v="0"/>
    <x v="0"/>
    <s v="Shipped"/>
    <x v="3"/>
    <x v="5"/>
    <x v="1"/>
    <x v="3"/>
    <n v="68"/>
    <s v="S32_4289"/>
    <s v="Enaco Distributors"/>
    <s v="(93) 203 4555"/>
    <s v="Rambla de Catalu¤a, 23"/>
    <m/>
    <s v="Barcelona"/>
    <x v="43"/>
    <m/>
    <n v="8022"/>
    <x v="7"/>
    <x v="7"/>
    <s v="EMEA"/>
    <s v="Saavedra"/>
    <s v="Eduardo"/>
    <x v="0"/>
  </r>
  <r>
    <n v="10353"/>
    <x v="23"/>
    <n v="44.51"/>
    <n v="7"/>
    <x v="0"/>
    <x v="2278"/>
    <s v="2/24/2003 0:2320"/>
    <x v="0"/>
    <x v="0"/>
    <s v="Shipped"/>
    <x v="3"/>
    <x v="6"/>
    <x v="1"/>
    <x v="3"/>
    <n v="68"/>
    <s v="S32_4289"/>
    <s v="Gift Ideas Corp."/>
    <n v="2035554407"/>
    <s v="2440 Pompton St."/>
    <m/>
    <s v="Glendale"/>
    <x v="63"/>
    <s v="CT"/>
    <n v="97561"/>
    <x v="0"/>
    <x v="0"/>
    <s v="NA"/>
    <s v="Lewis"/>
    <s v="Dan"/>
    <x v="0"/>
  </r>
  <r>
    <n v="10361"/>
    <x v="4"/>
    <n v="72.33"/>
    <n v="2"/>
    <x v="0"/>
    <x v="2279"/>
    <s v="2/24/2003 0:2321"/>
    <x v="0"/>
    <x v="0"/>
    <s v="Shipped"/>
    <x v="3"/>
    <x v="6"/>
    <x v="1"/>
    <x v="3"/>
    <n v="68"/>
    <s v="S32_4289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375"/>
    <x v="27"/>
    <n v="82.26"/>
    <n v="4"/>
    <x v="0"/>
    <x v="2280"/>
    <s v="2/24/2003 0:2322"/>
    <x v="0"/>
    <x v="0"/>
    <s v="Shipped"/>
    <x v="0"/>
    <x v="0"/>
    <x v="2"/>
    <x v="3"/>
    <n v="68"/>
    <s v="S32_4289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88"/>
    <x v="21"/>
    <n v="100"/>
    <n v="8"/>
    <x v="0"/>
    <x v="2281"/>
    <s v="2/24/2003 0:2323"/>
    <x v="0"/>
    <x v="0"/>
    <s v="Shipped"/>
    <x v="0"/>
    <x v="11"/>
    <x v="2"/>
    <x v="3"/>
    <n v="68"/>
    <s v="S32_4289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398"/>
    <x v="8"/>
    <n v="67.41"/>
    <n v="4"/>
    <x v="0"/>
    <x v="2282"/>
    <s v="2/24/2003 0:2324"/>
    <x v="0"/>
    <x v="0"/>
    <s v="Shipped"/>
    <x v="0"/>
    <x v="11"/>
    <x v="2"/>
    <x v="3"/>
    <n v="68"/>
    <s v="S32_4289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401"/>
    <x v="55"/>
    <n v="77.73"/>
    <n v="6"/>
    <x v="1"/>
    <x v="2283"/>
    <s v="2/24/2003 0:2325"/>
    <x v="4"/>
    <x v="1"/>
    <s v="On Hold"/>
    <x v="1"/>
    <x v="8"/>
    <x v="2"/>
    <x v="3"/>
    <n v="68"/>
    <s v="S32_4289"/>
    <s v="Tekni Collectables Inc."/>
    <n v="2015559350"/>
    <s v="7476 Moss Rd."/>
    <m/>
    <s v="Newark"/>
    <x v="9"/>
    <s v="NJ"/>
    <n v="94019"/>
    <x v="0"/>
    <x v="0"/>
    <s v="NA"/>
    <s v="Brown"/>
    <s v="William"/>
    <x v="1"/>
  </r>
  <r>
    <n v="10416"/>
    <x v="18"/>
    <n v="61.22"/>
    <n v="7"/>
    <x v="0"/>
    <x v="2284"/>
    <s v="2/24/2003 0:2326"/>
    <x v="0"/>
    <x v="0"/>
    <s v="Shipped"/>
    <x v="1"/>
    <x v="1"/>
    <x v="2"/>
    <x v="3"/>
    <n v="68"/>
    <s v="S32_4289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08"/>
    <x v="28"/>
    <n v="100"/>
    <n v="16"/>
    <x v="0"/>
    <x v="2285"/>
    <s v="2/24/2003 0:2327"/>
    <x v="0"/>
    <x v="0"/>
    <s v="Shipped"/>
    <x v="0"/>
    <x v="11"/>
    <x v="0"/>
    <x v="0"/>
    <n v="102"/>
    <s v="S32_4485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121"/>
    <x v="32"/>
    <n v="86.74"/>
    <n v="3"/>
    <x v="0"/>
    <x v="2286"/>
    <s v="2/24/2003 0:2328"/>
    <x v="0"/>
    <x v="0"/>
    <s v="Shipped"/>
    <x v="1"/>
    <x v="1"/>
    <x v="0"/>
    <x v="0"/>
    <n v="102"/>
    <s v="S32_4485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135"/>
    <x v="0"/>
    <n v="89.8"/>
    <n v="17"/>
    <x v="0"/>
    <x v="2287"/>
    <s v="2/24/2003 0:2329"/>
    <x v="0"/>
    <x v="0"/>
    <s v="Shipped"/>
    <x v="2"/>
    <x v="2"/>
    <x v="0"/>
    <x v="0"/>
    <n v="102"/>
    <s v="S32_4485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45"/>
    <x v="26"/>
    <n v="100"/>
    <n v="4"/>
    <x v="0"/>
    <x v="2288"/>
    <s v="2/24/2003 0:2330"/>
    <x v="0"/>
    <x v="0"/>
    <s v="Shipped"/>
    <x v="2"/>
    <x v="3"/>
    <x v="0"/>
    <x v="0"/>
    <n v="102"/>
    <s v="S32_4485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159"/>
    <x v="10"/>
    <n v="100"/>
    <n v="12"/>
    <x v="0"/>
    <x v="2289"/>
    <s v="2/24/2003 0:2331"/>
    <x v="0"/>
    <x v="0"/>
    <s v="Shipped"/>
    <x v="3"/>
    <x v="4"/>
    <x v="0"/>
    <x v="0"/>
    <n v="102"/>
    <s v="S32_4485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69"/>
    <x v="1"/>
    <n v="100"/>
    <n v="12"/>
    <x v="0"/>
    <x v="2290"/>
    <s v="2/24/2003 0:2332"/>
    <x v="0"/>
    <x v="0"/>
    <s v="Shipped"/>
    <x v="3"/>
    <x v="5"/>
    <x v="0"/>
    <x v="0"/>
    <n v="102"/>
    <s v="S32_4485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80"/>
    <x v="8"/>
    <n v="100"/>
    <n v="7"/>
    <x v="0"/>
    <x v="2291"/>
    <s v="2/24/2003 0:2333"/>
    <x v="0"/>
    <x v="0"/>
    <s v="Shipped"/>
    <x v="3"/>
    <x v="5"/>
    <x v="0"/>
    <x v="0"/>
    <n v="102"/>
    <s v="S32_4485"/>
    <s v="Daedalus Designs Imports"/>
    <s v="20.16.1555"/>
    <s v="184, chausse de Tournai"/>
    <m/>
    <s v="Lille"/>
    <x v="6"/>
    <m/>
    <n v="59000"/>
    <x v="1"/>
    <x v="1"/>
    <s v="EMEA"/>
    <s v="Rance"/>
    <s v="Martine"/>
    <x v="0"/>
  </r>
  <r>
    <n v="10190"/>
    <x v="13"/>
    <n v="85.72"/>
    <n v="4"/>
    <x v="0"/>
    <x v="2292"/>
    <s v="2/24/2003 0:2334"/>
    <x v="0"/>
    <x v="0"/>
    <s v="Shipped"/>
    <x v="3"/>
    <x v="5"/>
    <x v="0"/>
    <x v="0"/>
    <n v="102"/>
    <s v="S32_4485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11"/>
    <x v="9"/>
    <n v="100"/>
    <n v="12"/>
    <x v="1"/>
    <x v="2293"/>
    <s v="2/24/2003 0:2335"/>
    <x v="0"/>
    <x v="0"/>
    <s v="Shipped"/>
    <x v="0"/>
    <x v="7"/>
    <x v="1"/>
    <x v="0"/>
    <n v="102"/>
    <s v="S32_4485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224"/>
    <x v="0"/>
    <n v="100"/>
    <n v="5"/>
    <x v="0"/>
    <x v="2294"/>
    <s v="2/24/2003 0:2336"/>
    <x v="0"/>
    <x v="0"/>
    <s v="Shipped"/>
    <x v="0"/>
    <x v="0"/>
    <x v="1"/>
    <x v="0"/>
    <n v="102"/>
    <s v="S32_4485"/>
    <s v="Daedalus Designs Imports"/>
    <s v="20.16.1555"/>
    <s v="184, chausse de Tournai"/>
    <m/>
    <s v="Lille"/>
    <x v="6"/>
    <m/>
    <n v="59000"/>
    <x v="1"/>
    <x v="1"/>
    <s v="EMEA"/>
    <s v="Rance"/>
    <s v="Martine"/>
    <x v="1"/>
  </r>
  <r>
    <n v="10237"/>
    <x v="26"/>
    <n v="100"/>
    <n v="5"/>
    <x v="0"/>
    <x v="2295"/>
    <s v="2/24/2003 0:2337"/>
    <x v="0"/>
    <x v="0"/>
    <s v="Shipped"/>
    <x v="1"/>
    <x v="8"/>
    <x v="1"/>
    <x v="0"/>
    <n v="102"/>
    <s v="S32_4485"/>
    <s v="Vitachrome Inc."/>
    <n v="2125551500"/>
    <s v="2678 Kingston Rd."/>
    <s v="Suite 101"/>
    <s v="Nyc"/>
    <x v="0"/>
    <s v="NY"/>
    <n v="10022"/>
    <x v="0"/>
    <x v="0"/>
    <s v="NA"/>
    <s v="Frick"/>
    <s v="Michael"/>
    <x v="1"/>
  </r>
  <r>
    <n v="10252"/>
    <x v="32"/>
    <n v="100"/>
    <n v="9"/>
    <x v="0"/>
    <x v="2296"/>
    <s v="2/24/2003 0:2338"/>
    <x v="0"/>
    <x v="0"/>
    <s v="Shipped"/>
    <x v="1"/>
    <x v="1"/>
    <x v="1"/>
    <x v="0"/>
    <n v="102"/>
    <s v="S32_4485"/>
    <s v="Auto Canal Petit"/>
    <s v="(1) 47.55.6555"/>
    <s v="25, rue Lauriston"/>
    <m/>
    <s v="Paris"/>
    <x v="2"/>
    <m/>
    <n v="75016"/>
    <x v="1"/>
    <x v="1"/>
    <s v="EMEA"/>
    <s v="Perrier"/>
    <s v="Dominique"/>
    <x v="0"/>
  </r>
  <r>
    <n v="10264"/>
    <x v="1"/>
    <n v="97.97"/>
    <n v="7"/>
    <x v="0"/>
    <x v="2297"/>
    <s v="2/24/2003 0:2339"/>
    <x v="0"/>
    <x v="0"/>
    <s v="Shipped"/>
    <x v="1"/>
    <x v="9"/>
    <x v="1"/>
    <x v="0"/>
    <n v="102"/>
    <s v="S32_4485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276"/>
    <x v="19"/>
    <n v="100"/>
    <n v="13"/>
    <x v="1"/>
    <x v="2298"/>
    <s v="2/24/2003 0:2340"/>
    <x v="0"/>
    <x v="0"/>
    <s v="Shipped"/>
    <x v="2"/>
    <x v="3"/>
    <x v="1"/>
    <x v="0"/>
    <n v="102"/>
    <s v="S32_4485"/>
    <s v="Online Mini Collectables"/>
    <n v="6175557555"/>
    <s v="7635 Spinnaker Dr."/>
    <m/>
    <s v="Brickhaven"/>
    <x v="35"/>
    <s v="MA"/>
    <n v="58339"/>
    <x v="0"/>
    <x v="0"/>
    <s v="NA"/>
    <s v="Barajas"/>
    <s v="Miguel"/>
    <x v="1"/>
  </r>
  <r>
    <n v="10285"/>
    <x v="18"/>
    <n v="100"/>
    <n v="4"/>
    <x v="0"/>
    <x v="2299"/>
    <s v="2/24/2003 0:2341"/>
    <x v="0"/>
    <x v="0"/>
    <s v="Shipped"/>
    <x v="2"/>
    <x v="3"/>
    <x v="1"/>
    <x v="0"/>
    <n v="102"/>
    <s v="S32_4485"/>
    <s v="Marta's Replicas Co."/>
    <n v="6175558555"/>
    <s v="39323 Spinnaker Dr."/>
    <m/>
    <s v="Cambridge"/>
    <x v="12"/>
    <s v="MA"/>
    <n v="51247"/>
    <x v="0"/>
    <x v="0"/>
    <s v="NA"/>
    <s v="Hernandez"/>
    <s v="Marta"/>
    <x v="0"/>
  </r>
  <r>
    <n v="10299"/>
    <x v="19"/>
    <n v="100"/>
    <n v="7"/>
    <x v="1"/>
    <x v="2300"/>
    <s v="2/24/2003 0:2342"/>
    <x v="0"/>
    <x v="0"/>
    <s v="Shipped"/>
    <x v="2"/>
    <x v="10"/>
    <x v="1"/>
    <x v="0"/>
    <n v="102"/>
    <s v="S32_4485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309"/>
    <x v="24"/>
    <n v="84.7"/>
    <n v="3"/>
    <x v="1"/>
    <x v="2301"/>
    <s v="2/24/2003 0:2343"/>
    <x v="0"/>
    <x v="0"/>
    <s v="Shipped"/>
    <x v="3"/>
    <x v="4"/>
    <x v="1"/>
    <x v="0"/>
    <n v="102"/>
    <s v="S32_4485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319"/>
    <x v="8"/>
    <n v="100"/>
    <n v="8"/>
    <x v="0"/>
    <x v="2302"/>
    <s v="2/24/2003 0:2344"/>
    <x v="0"/>
    <x v="0"/>
    <s v="Shipped"/>
    <x v="3"/>
    <x v="5"/>
    <x v="1"/>
    <x v="0"/>
    <n v="102"/>
    <s v="S32_4485"/>
    <s v="Microscale Inc."/>
    <n v="2125551957"/>
    <s v="5290 North Pendale Street"/>
    <s v="Suite 200"/>
    <s v="Nyc"/>
    <x v="0"/>
    <s v="NY"/>
    <n v="10022"/>
    <x v="0"/>
    <x v="0"/>
    <s v="NA"/>
    <s v="Kuo"/>
    <s v="Kee"/>
    <x v="0"/>
  </r>
  <r>
    <n v="10331"/>
    <x v="22"/>
    <n v="100"/>
    <n v="4"/>
    <x v="1"/>
    <x v="2303"/>
    <s v="2/24/2003 0:2345"/>
    <x v="0"/>
    <x v="0"/>
    <s v="Shipped"/>
    <x v="3"/>
    <x v="5"/>
    <x v="1"/>
    <x v="0"/>
    <n v="102"/>
    <s v="S32_4485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341"/>
    <x v="28"/>
    <n v="71.02"/>
    <n v="4"/>
    <x v="0"/>
    <x v="2304"/>
    <s v="2/24/2003 0:2346"/>
    <x v="0"/>
    <x v="0"/>
    <s v="Shipped"/>
    <x v="3"/>
    <x v="5"/>
    <x v="1"/>
    <x v="0"/>
    <n v="102"/>
    <s v="S32_4485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355"/>
    <x v="23"/>
    <n v="100"/>
    <n v="5"/>
    <x v="1"/>
    <x v="2305"/>
    <s v="2/24/2003 0:2347"/>
    <x v="0"/>
    <x v="0"/>
    <s v="Shipped"/>
    <x v="3"/>
    <x v="6"/>
    <x v="1"/>
    <x v="0"/>
    <n v="102"/>
    <s v="S32_4485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65"/>
    <x v="8"/>
    <n v="100"/>
    <n v="3"/>
    <x v="0"/>
    <x v="2306"/>
    <s v="2/24/2003 0:2348"/>
    <x v="0"/>
    <x v="0"/>
    <s v="Shipped"/>
    <x v="0"/>
    <x v="7"/>
    <x v="2"/>
    <x v="0"/>
    <n v="102"/>
    <s v="S32_4485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375"/>
    <x v="2"/>
    <n v="100"/>
    <n v="15"/>
    <x v="1"/>
    <x v="2307"/>
    <s v="2/24/2003 0:2349"/>
    <x v="0"/>
    <x v="0"/>
    <s v="Shipped"/>
    <x v="0"/>
    <x v="0"/>
    <x v="2"/>
    <x v="0"/>
    <n v="102"/>
    <s v="S32_4485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90"/>
    <x v="3"/>
    <n v="48.98"/>
    <n v="12"/>
    <x v="0"/>
    <x v="746"/>
    <s v="2/24/2003 0:2350"/>
    <x v="0"/>
    <x v="0"/>
    <s v="Shipped"/>
    <x v="0"/>
    <x v="11"/>
    <x v="2"/>
    <x v="0"/>
    <n v="102"/>
    <s v="S32_4485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03"/>
    <x v="3"/>
    <n v="100"/>
    <n v="5"/>
    <x v="1"/>
    <x v="2308"/>
    <s v="2/24/2003 0:2351"/>
    <x v="0"/>
    <x v="0"/>
    <s v="Shipped"/>
    <x v="1"/>
    <x v="8"/>
    <x v="2"/>
    <x v="0"/>
    <n v="102"/>
    <s v="S32_4485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1"/>
  </r>
  <r>
    <n v="10106"/>
    <x v="25"/>
    <n v="40.15"/>
    <n v="6"/>
    <x v="0"/>
    <x v="2309"/>
    <s v="2/24/2003 0:2352"/>
    <x v="0"/>
    <x v="0"/>
    <s v="Shipped"/>
    <x v="0"/>
    <x v="0"/>
    <x v="0"/>
    <x v="3"/>
    <n v="43"/>
    <s v="S50_1341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20"/>
    <x v="4"/>
    <n v="50.62"/>
    <n v="12"/>
    <x v="0"/>
    <x v="2310"/>
    <s v="2/24/2003 0:2353"/>
    <x v="0"/>
    <x v="0"/>
    <s v="Shipped"/>
    <x v="1"/>
    <x v="8"/>
    <x v="0"/>
    <x v="3"/>
    <n v="43"/>
    <s v="S50_1341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133"/>
    <x v="26"/>
    <n v="50.19"/>
    <n v="7"/>
    <x v="0"/>
    <x v="2311"/>
    <s v="2/24/2003 0:2354"/>
    <x v="0"/>
    <x v="0"/>
    <s v="Shipped"/>
    <x v="1"/>
    <x v="9"/>
    <x v="0"/>
    <x v="3"/>
    <n v="43"/>
    <s v="S50_134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43"/>
    <x v="1"/>
    <n v="36.659999999999997"/>
    <n v="1"/>
    <x v="0"/>
    <x v="2312"/>
    <s v="2/24/2003 0:2355"/>
    <x v="0"/>
    <x v="0"/>
    <s v="Shipped"/>
    <x v="2"/>
    <x v="3"/>
    <x v="0"/>
    <x v="3"/>
    <n v="43"/>
    <s v="S50_1341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56"/>
    <x v="14"/>
    <n v="41.02"/>
    <n v="1"/>
    <x v="0"/>
    <x v="2313"/>
    <s v="2/24/2003 0:2356"/>
    <x v="0"/>
    <x v="0"/>
    <s v="Shipped"/>
    <x v="3"/>
    <x v="4"/>
    <x v="0"/>
    <x v="3"/>
    <n v="43"/>
    <s v="S50_134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68"/>
    <x v="7"/>
    <n v="51.93"/>
    <n v="13"/>
    <x v="0"/>
    <x v="2314"/>
    <s v="2/24/2003 0:2357"/>
    <x v="0"/>
    <x v="0"/>
    <s v="Shipped"/>
    <x v="3"/>
    <x v="4"/>
    <x v="0"/>
    <x v="3"/>
    <n v="43"/>
    <s v="S50_1341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199"/>
    <x v="6"/>
    <n v="38.4"/>
    <n v="1"/>
    <x v="0"/>
    <x v="2315"/>
    <s v="2/24/2003 0:2358"/>
    <x v="0"/>
    <x v="0"/>
    <s v="Shipped"/>
    <x v="3"/>
    <x v="6"/>
    <x v="0"/>
    <x v="3"/>
    <n v="43"/>
    <s v="S50_1341"/>
    <s v="West Coast Collectables Co."/>
    <n v="3105553722"/>
    <s v="3675 Furth Circle"/>
    <m/>
    <s v="Burbank"/>
    <x v="27"/>
    <s v="CA"/>
    <n v="94019"/>
    <x v="0"/>
    <x v="0"/>
    <s v="NA"/>
    <s v="Thompson"/>
    <s v="Steve"/>
    <x v="0"/>
  </r>
  <r>
    <n v="10210"/>
    <x v="30"/>
    <n v="41.02"/>
    <n v="11"/>
    <x v="0"/>
    <x v="2316"/>
    <s v="2/24/2003 0:2359"/>
    <x v="0"/>
    <x v="0"/>
    <s v="Shipped"/>
    <x v="0"/>
    <x v="7"/>
    <x v="1"/>
    <x v="3"/>
    <n v="43"/>
    <s v="S50_1341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0"/>
  </r>
  <r>
    <n v="10223"/>
    <x v="2"/>
    <n v="46.26"/>
    <n v="13"/>
    <x v="0"/>
    <x v="2317"/>
    <s v="2/24/2003 0:2360"/>
    <x v="0"/>
    <x v="0"/>
    <s v="Shipped"/>
    <x v="0"/>
    <x v="0"/>
    <x v="1"/>
    <x v="3"/>
    <n v="43"/>
    <s v="S50_1341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235"/>
    <x v="2"/>
    <n v="35.35"/>
    <n v="7"/>
    <x v="0"/>
    <x v="2318"/>
    <s v="2/24/2003 0:2361"/>
    <x v="0"/>
    <x v="0"/>
    <s v="Shipped"/>
    <x v="1"/>
    <x v="8"/>
    <x v="1"/>
    <x v="3"/>
    <n v="43"/>
    <s v="S50_1341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50"/>
    <x v="5"/>
    <n v="51.93"/>
    <n v="8"/>
    <x v="0"/>
    <x v="2319"/>
    <s v="2/24/2003 0:2362"/>
    <x v="0"/>
    <x v="0"/>
    <s v="Shipped"/>
    <x v="1"/>
    <x v="1"/>
    <x v="1"/>
    <x v="3"/>
    <n v="43"/>
    <s v="S50_1341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262"/>
    <x v="4"/>
    <n v="37.97"/>
    <n v="3"/>
    <x v="0"/>
    <x v="2320"/>
    <s v="2/24/2003 0:2363"/>
    <x v="3"/>
    <x v="1"/>
    <s v="Cancelled"/>
    <x v="1"/>
    <x v="9"/>
    <x v="1"/>
    <x v="3"/>
    <n v="43"/>
    <s v="S50_134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75"/>
    <x v="19"/>
    <n v="45.39"/>
    <n v="13"/>
    <x v="0"/>
    <x v="2321"/>
    <s v="2/24/2003 0:2364"/>
    <x v="0"/>
    <x v="0"/>
    <s v="Shipped"/>
    <x v="2"/>
    <x v="2"/>
    <x v="1"/>
    <x v="3"/>
    <n v="43"/>
    <s v="S50_1341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284"/>
    <x v="29"/>
    <n v="51.93"/>
    <n v="5"/>
    <x v="0"/>
    <x v="2322"/>
    <s v="2/24/2003 0:2365"/>
    <x v="0"/>
    <x v="0"/>
    <s v="Shipped"/>
    <x v="2"/>
    <x v="3"/>
    <x v="1"/>
    <x v="3"/>
    <n v="43"/>
    <s v="S50_1341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296"/>
    <x v="18"/>
    <n v="48.44"/>
    <n v="1"/>
    <x v="0"/>
    <x v="2323"/>
    <s v="2/24/2003 0:2366"/>
    <x v="0"/>
    <x v="0"/>
    <s v="Shipped"/>
    <x v="2"/>
    <x v="10"/>
    <x v="1"/>
    <x v="3"/>
    <n v="43"/>
    <s v="S50_1341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0"/>
  </r>
  <r>
    <n v="10308"/>
    <x v="20"/>
    <n v="43.64"/>
    <n v="11"/>
    <x v="0"/>
    <x v="2324"/>
    <s v="2/24/2003 0:2367"/>
    <x v="0"/>
    <x v="0"/>
    <s v="Shipped"/>
    <x v="3"/>
    <x v="4"/>
    <x v="1"/>
    <x v="3"/>
    <n v="43"/>
    <s v="S50_1341"/>
    <s v="Mini Classics"/>
    <n v="9145554562"/>
    <s v="3758 North Pendale Street"/>
    <m/>
    <s v="White Plains"/>
    <x v="39"/>
    <s v="NY"/>
    <n v="24067"/>
    <x v="0"/>
    <x v="0"/>
    <s v="NA"/>
    <s v="Frick"/>
    <s v="Steve"/>
    <x v="0"/>
  </r>
  <r>
    <n v="10316"/>
    <x v="1"/>
    <n v="47.57"/>
    <n v="3"/>
    <x v="0"/>
    <x v="2325"/>
    <s v="2/24/2003 0:2368"/>
    <x v="0"/>
    <x v="0"/>
    <s v="Shipped"/>
    <x v="3"/>
    <x v="5"/>
    <x v="1"/>
    <x v="3"/>
    <n v="43"/>
    <s v="S50_1341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328"/>
    <x v="1"/>
    <n v="51.93"/>
    <n v="7"/>
    <x v="0"/>
    <x v="2326"/>
    <s v="2/24/2003 0:2369"/>
    <x v="0"/>
    <x v="0"/>
    <s v="Shipped"/>
    <x v="3"/>
    <x v="5"/>
    <x v="1"/>
    <x v="3"/>
    <n v="43"/>
    <s v="S50_1341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340"/>
    <x v="23"/>
    <n v="50.62"/>
    <n v="4"/>
    <x v="0"/>
    <x v="2327"/>
    <s v="2/24/2003 0:2370"/>
    <x v="0"/>
    <x v="0"/>
    <s v="Shipped"/>
    <x v="3"/>
    <x v="5"/>
    <x v="1"/>
    <x v="3"/>
    <n v="43"/>
    <s v="S50_1341"/>
    <s v="Enaco Distributors"/>
    <s v="(93) 203 4555"/>
    <s v="Rambla de Catalu¤a, 23"/>
    <m/>
    <s v="Barcelona"/>
    <x v="43"/>
    <m/>
    <n v="8022"/>
    <x v="7"/>
    <x v="7"/>
    <s v="EMEA"/>
    <s v="Saavedra"/>
    <s v="Eduardo"/>
    <x v="0"/>
  </r>
  <r>
    <n v="10353"/>
    <x v="23"/>
    <n v="82.21"/>
    <n v="8"/>
    <x v="0"/>
    <x v="2328"/>
    <s v="2/24/2003 0:2371"/>
    <x v="0"/>
    <x v="0"/>
    <s v="Shipped"/>
    <x v="3"/>
    <x v="6"/>
    <x v="1"/>
    <x v="3"/>
    <n v="43"/>
    <s v="S50_1341"/>
    <s v="Gift Ideas Corp."/>
    <n v="2035554407"/>
    <s v="2440 Pompton St."/>
    <m/>
    <s v="Glendale"/>
    <x v="63"/>
    <s v="CT"/>
    <n v="97561"/>
    <x v="0"/>
    <x v="0"/>
    <s v="NA"/>
    <s v="Lewis"/>
    <s v="Dan"/>
    <x v="1"/>
  </r>
  <r>
    <n v="10361"/>
    <x v="29"/>
    <n v="82.59"/>
    <n v="3"/>
    <x v="0"/>
    <x v="2329"/>
    <s v="2/24/2003 0:2372"/>
    <x v="0"/>
    <x v="0"/>
    <s v="Shipped"/>
    <x v="3"/>
    <x v="6"/>
    <x v="1"/>
    <x v="3"/>
    <n v="43"/>
    <s v="S50_1341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375"/>
    <x v="4"/>
    <n v="65.8"/>
    <n v="5"/>
    <x v="0"/>
    <x v="2330"/>
    <s v="2/24/2003 0:2373"/>
    <x v="0"/>
    <x v="0"/>
    <s v="Shipped"/>
    <x v="0"/>
    <x v="0"/>
    <x v="2"/>
    <x v="3"/>
    <n v="43"/>
    <s v="S50_1341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88"/>
    <x v="26"/>
    <n v="100"/>
    <n v="1"/>
    <x v="0"/>
    <x v="2331"/>
    <s v="2/24/2003 0:2374"/>
    <x v="0"/>
    <x v="0"/>
    <s v="Shipped"/>
    <x v="0"/>
    <x v="11"/>
    <x v="2"/>
    <x v="3"/>
    <n v="43"/>
    <s v="S50_1341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398"/>
    <x v="4"/>
    <n v="36.659999999999997"/>
    <n v="5"/>
    <x v="0"/>
    <x v="2332"/>
    <s v="2/24/2003 0:2375"/>
    <x v="0"/>
    <x v="0"/>
    <s v="Shipped"/>
    <x v="0"/>
    <x v="11"/>
    <x v="2"/>
    <x v="3"/>
    <n v="43"/>
    <s v="S50_1341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401"/>
    <x v="31"/>
    <n v="35.35"/>
    <n v="7"/>
    <x v="0"/>
    <x v="2333"/>
    <s v="2/24/2003 0:2376"/>
    <x v="4"/>
    <x v="1"/>
    <s v="On Hold"/>
    <x v="1"/>
    <x v="8"/>
    <x v="2"/>
    <x v="3"/>
    <n v="43"/>
    <s v="S50_1341"/>
    <s v="Tekni Collectables Inc."/>
    <n v="2015559350"/>
    <s v="7476 Moss Rd."/>
    <m/>
    <s v="Newark"/>
    <x v="9"/>
    <s v="NJ"/>
    <n v="94019"/>
    <x v="0"/>
    <x v="0"/>
    <s v="NA"/>
    <s v="Brown"/>
    <s v="William"/>
    <x v="0"/>
  </r>
  <r>
    <n v="10416"/>
    <x v="9"/>
    <n v="51.93"/>
    <n v="8"/>
    <x v="0"/>
    <x v="2334"/>
    <s v="2/24/2003 0:2377"/>
    <x v="0"/>
    <x v="0"/>
    <s v="Shipped"/>
    <x v="1"/>
    <x v="1"/>
    <x v="2"/>
    <x v="3"/>
    <n v="43"/>
    <s v="S50_1341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04"/>
    <x v="29"/>
    <n v="100"/>
    <n v="7"/>
    <x v="0"/>
    <x v="2335"/>
    <s v="2/24/2003 0:2378"/>
    <x v="0"/>
    <x v="0"/>
    <s v="Shipped"/>
    <x v="0"/>
    <x v="7"/>
    <x v="0"/>
    <x v="2"/>
    <n v="115"/>
    <s v="S50_139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15"/>
    <x v="26"/>
    <n v="100"/>
    <n v="3"/>
    <x v="0"/>
    <x v="2336"/>
    <s v="2/24/2003 0:2379"/>
    <x v="0"/>
    <x v="0"/>
    <s v="Shipped"/>
    <x v="1"/>
    <x v="8"/>
    <x v="0"/>
    <x v="2"/>
    <n v="115"/>
    <s v="S50_1392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0"/>
  </r>
  <r>
    <n v="10127"/>
    <x v="12"/>
    <n v="100"/>
    <n v="9"/>
    <x v="1"/>
    <x v="2337"/>
    <s v="2/24/2003 0:2380"/>
    <x v="0"/>
    <x v="0"/>
    <s v="Shipped"/>
    <x v="1"/>
    <x v="9"/>
    <x v="0"/>
    <x v="2"/>
    <n v="115"/>
    <s v="S50_1392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141"/>
    <x v="27"/>
    <n v="100"/>
    <n v="3"/>
    <x v="1"/>
    <x v="2338"/>
    <s v="2/24/2003 0:2381"/>
    <x v="0"/>
    <x v="0"/>
    <s v="Shipped"/>
    <x v="2"/>
    <x v="3"/>
    <x v="0"/>
    <x v="2"/>
    <n v="115"/>
    <s v="S50_1392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151"/>
    <x v="18"/>
    <n v="100"/>
    <n v="1"/>
    <x v="0"/>
    <x v="2339"/>
    <s v="2/24/2003 0:2382"/>
    <x v="0"/>
    <x v="0"/>
    <s v="Shipped"/>
    <x v="2"/>
    <x v="10"/>
    <x v="0"/>
    <x v="2"/>
    <n v="115"/>
    <s v="S50_1392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165"/>
    <x v="7"/>
    <n v="94.92"/>
    <n v="10"/>
    <x v="1"/>
    <x v="2340"/>
    <s v="2/24/2003 0:2383"/>
    <x v="0"/>
    <x v="0"/>
    <s v="Shipped"/>
    <x v="3"/>
    <x v="4"/>
    <x v="0"/>
    <x v="2"/>
    <n v="115"/>
    <s v="S50_1392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76"/>
    <x v="10"/>
    <n v="100"/>
    <n v="9"/>
    <x v="0"/>
    <x v="2341"/>
    <s v="2/24/2003 0:2384"/>
    <x v="0"/>
    <x v="0"/>
    <s v="Shipped"/>
    <x v="3"/>
    <x v="5"/>
    <x v="0"/>
    <x v="2"/>
    <n v="115"/>
    <s v="S50_1392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184"/>
    <x v="3"/>
    <n v="100"/>
    <n v="4"/>
    <x v="1"/>
    <x v="968"/>
    <s v="2/24/2003 0:2385"/>
    <x v="0"/>
    <x v="0"/>
    <s v="Shipped"/>
    <x v="3"/>
    <x v="5"/>
    <x v="0"/>
    <x v="2"/>
    <n v="115"/>
    <s v="S50_1392"/>
    <s v="Iberia Gift Imports, Corp."/>
    <s v="(95) 555 82 82"/>
    <s v="C/ Romero, 33"/>
    <m/>
    <s v="Sevilla"/>
    <x v="64"/>
    <m/>
    <n v="41101"/>
    <x v="7"/>
    <x v="7"/>
    <s v="EMEA"/>
    <s v="Roel"/>
    <s v="Jose Pedro"/>
    <x v="1"/>
  </r>
  <r>
    <n v="10195"/>
    <x v="4"/>
    <n v="100"/>
    <n v="4"/>
    <x v="1"/>
    <x v="2342"/>
    <s v="2/24/2003 0:2386"/>
    <x v="0"/>
    <x v="0"/>
    <s v="Shipped"/>
    <x v="3"/>
    <x v="5"/>
    <x v="0"/>
    <x v="2"/>
    <n v="115"/>
    <s v="S50_1392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207"/>
    <x v="11"/>
    <n v="94.92"/>
    <n v="5"/>
    <x v="0"/>
    <x v="2343"/>
    <s v="2/24/2003 0:2387"/>
    <x v="0"/>
    <x v="0"/>
    <s v="Shipped"/>
    <x v="3"/>
    <x v="6"/>
    <x v="0"/>
    <x v="2"/>
    <n v="115"/>
    <s v="S50_1392"/>
    <s v="Diecast Collectables"/>
    <n v="6175552555"/>
    <s v="6251 Ingle Ln."/>
    <m/>
    <s v="Boston"/>
    <x v="48"/>
    <s v="MA"/>
    <n v="51003"/>
    <x v="0"/>
    <x v="0"/>
    <s v="NA"/>
    <s v="Franco"/>
    <s v="Valarie"/>
    <x v="0"/>
  </r>
  <r>
    <n v="10220"/>
    <x v="9"/>
    <n v="100"/>
    <n v="9"/>
    <x v="0"/>
    <x v="2344"/>
    <s v="2/24/2003 0:2388"/>
    <x v="0"/>
    <x v="0"/>
    <s v="Shipped"/>
    <x v="0"/>
    <x v="0"/>
    <x v="1"/>
    <x v="2"/>
    <n v="115"/>
    <s v="S50_1392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1"/>
  </r>
  <r>
    <n v="10230"/>
    <x v="1"/>
    <n v="100"/>
    <n v="7"/>
    <x v="0"/>
    <x v="2345"/>
    <s v="2/24/2003 0:2389"/>
    <x v="0"/>
    <x v="0"/>
    <s v="Shipped"/>
    <x v="0"/>
    <x v="11"/>
    <x v="1"/>
    <x v="2"/>
    <n v="115"/>
    <s v="S50_1392"/>
    <s v="Blauer See Auto, Co."/>
    <s v="+49 69 66 90 2555"/>
    <s v="Lyonerstr. 34"/>
    <m/>
    <s v="Frankfurt"/>
    <x v="58"/>
    <m/>
    <n v="60528"/>
    <x v="16"/>
    <x v="16"/>
    <s v="EMEA"/>
    <s v="Keitel"/>
    <s v="Roland"/>
    <x v="1"/>
  </r>
  <r>
    <n v="10246"/>
    <x v="8"/>
    <n v="100"/>
    <n v="3"/>
    <x v="0"/>
    <x v="2346"/>
    <s v="2/24/2003 0:2390"/>
    <x v="0"/>
    <x v="0"/>
    <s v="Shipped"/>
    <x v="1"/>
    <x v="1"/>
    <x v="1"/>
    <x v="2"/>
    <n v="115"/>
    <s v="S50_139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59"/>
    <x v="6"/>
    <n v="100"/>
    <n v="2"/>
    <x v="0"/>
    <x v="2347"/>
    <s v="2/24/2003 0:2391"/>
    <x v="0"/>
    <x v="0"/>
    <s v="Shipped"/>
    <x v="1"/>
    <x v="9"/>
    <x v="1"/>
    <x v="2"/>
    <n v="115"/>
    <s v="S50_1392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1"/>
  </r>
  <r>
    <n v="10271"/>
    <x v="1"/>
    <n v="98.39"/>
    <n v="3"/>
    <x v="0"/>
    <x v="2348"/>
    <s v="2/24/2003 0:2392"/>
    <x v="0"/>
    <x v="0"/>
    <s v="Shipped"/>
    <x v="2"/>
    <x v="2"/>
    <x v="1"/>
    <x v="2"/>
    <n v="115"/>
    <s v="S50_139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82"/>
    <x v="19"/>
    <n v="100"/>
    <n v="12"/>
    <x v="1"/>
    <x v="2349"/>
    <s v="2/24/2003 0:2393"/>
    <x v="0"/>
    <x v="0"/>
    <s v="Shipped"/>
    <x v="2"/>
    <x v="3"/>
    <x v="1"/>
    <x v="2"/>
    <n v="115"/>
    <s v="S50_139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92"/>
    <x v="2"/>
    <n v="100"/>
    <n v="6"/>
    <x v="1"/>
    <x v="2350"/>
    <s v="2/24/2003 0:2394"/>
    <x v="0"/>
    <x v="0"/>
    <s v="Shipped"/>
    <x v="2"/>
    <x v="10"/>
    <x v="1"/>
    <x v="2"/>
    <n v="115"/>
    <s v="S50_1392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05"/>
    <x v="13"/>
    <n v="100"/>
    <n v="3"/>
    <x v="1"/>
    <x v="2351"/>
    <s v="2/24/2003 0:2395"/>
    <x v="0"/>
    <x v="0"/>
    <s v="Shipped"/>
    <x v="3"/>
    <x v="4"/>
    <x v="1"/>
    <x v="2"/>
    <n v="115"/>
    <s v="S50_1392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314"/>
    <x v="11"/>
    <n v="100"/>
    <n v="12"/>
    <x v="0"/>
    <x v="2352"/>
    <s v="2/24/2003 0:2396"/>
    <x v="0"/>
    <x v="0"/>
    <s v="Shipped"/>
    <x v="3"/>
    <x v="4"/>
    <x v="1"/>
    <x v="2"/>
    <n v="115"/>
    <s v="S50_1392"/>
    <s v="Heintze Collectables"/>
    <s v="86 21 3555"/>
    <s v="Smagsloget 45"/>
    <m/>
    <s v="Aaarhus"/>
    <x v="62"/>
    <m/>
    <n v="8200"/>
    <x v="13"/>
    <x v="13"/>
    <s v="EMEA"/>
    <s v="Ibsen"/>
    <s v="Palle"/>
    <x v="1"/>
  </r>
  <r>
    <n v="10325"/>
    <x v="19"/>
    <n v="100"/>
    <n v="4"/>
    <x v="1"/>
    <x v="2353"/>
    <s v="2/24/2003 0:2397"/>
    <x v="0"/>
    <x v="0"/>
    <s v="Shipped"/>
    <x v="3"/>
    <x v="5"/>
    <x v="1"/>
    <x v="2"/>
    <n v="115"/>
    <s v="S50_1392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336"/>
    <x v="10"/>
    <n v="100"/>
    <n v="8"/>
    <x v="0"/>
    <x v="2354"/>
    <s v="2/24/2003 0:2398"/>
    <x v="0"/>
    <x v="0"/>
    <s v="Shipped"/>
    <x v="3"/>
    <x v="5"/>
    <x v="1"/>
    <x v="2"/>
    <n v="115"/>
    <s v="S50_1392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350"/>
    <x v="28"/>
    <n v="71.400000000000006"/>
    <n v="8"/>
    <x v="0"/>
    <x v="809"/>
    <s v="2/24/2003 0:2399"/>
    <x v="0"/>
    <x v="0"/>
    <s v="Shipped"/>
    <x v="3"/>
    <x v="6"/>
    <x v="1"/>
    <x v="2"/>
    <n v="115"/>
    <s v="S50_139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59"/>
    <x v="12"/>
    <n v="100"/>
    <n v="2"/>
    <x v="1"/>
    <x v="2355"/>
    <s v="2/24/2003 0:2400"/>
    <x v="0"/>
    <x v="0"/>
    <s v="Shipped"/>
    <x v="3"/>
    <x v="6"/>
    <x v="1"/>
    <x v="2"/>
    <n v="115"/>
    <s v="S50_1392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371"/>
    <x v="7"/>
    <n v="56.55"/>
    <n v="10"/>
    <x v="0"/>
    <x v="2356"/>
    <s v="2/24/2003 0:2401"/>
    <x v="0"/>
    <x v="0"/>
    <s v="Shipped"/>
    <x v="0"/>
    <x v="7"/>
    <x v="2"/>
    <x v="2"/>
    <n v="115"/>
    <s v="S50_139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83"/>
    <x v="6"/>
    <n v="100"/>
    <n v="13"/>
    <x v="0"/>
    <x v="2357"/>
    <s v="2/24/2003 0:2402"/>
    <x v="0"/>
    <x v="0"/>
    <s v="Shipped"/>
    <x v="0"/>
    <x v="0"/>
    <x v="2"/>
    <x v="2"/>
    <n v="115"/>
    <s v="S50_139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5"/>
    <x v="12"/>
    <n v="100"/>
    <n v="4"/>
    <x v="1"/>
    <x v="2358"/>
    <s v="2/24/2003 0:2403"/>
    <x v="0"/>
    <x v="0"/>
    <s v="Shipped"/>
    <x v="0"/>
    <x v="11"/>
    <x v="2"/>
    <x v="2"/>
    <n v="115"/>
    <s v="S50_1392"/>
    <s v="Lyon Souveniers"/>
    <s v="+33 1 46 62 7555"/>
    <s v="27 rue du Colonel Pierre Avia"/>
    <m/>
    <s v="Paris"/>
    <x v="2"/>
    <m/>
    <n v="75508"/>
    <x v="1"/>
    <x v="1"/>
    <s v="EMEA"/>
    <s v="Da Cunha"/>
    <s v="Daniel"/>
    <x v="1"/>
  </r>
  <r>
    <n v="10412"/>
    <x v="18"/>
    <n v="100"/>
    <n v="3"/>
    <x v="0"/>
    <x v="2359"/>
    <s v="2/24/2003 0:2404"/>
    <x v="0"/>
    <x v="0"/>
    <s v="Shipped"/>
    <x v="1"/>
    <x v="1"/>
    <x v="2"/>
    <x v="2"/>
    <n v="115"/>
    <s v="S50_139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425"/>
    <x v="52"/>
    <n v="100"/>
    <n v="2"/>
    <x v="0"/>
    <x v="2360"/>
    <s v="2/24/2003 0:2405"/>
    <x v="2"/>
    <x v="1"/>
    <s v="In Process"/>
    <x v="1"/>
    <x v="1"/>
    <x v="2"/>
    <x v="2"/>
    <n v="115"/>
    <s v="S50_1392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104"/>
    <x v="22"/>
    <n v="53.31"/>
    <n v="2"/>
    <x v="0"/>
    <x v="2361"/>
    <s v="2/24/2003 0:2406"/>
    <x v="0"/>
    <x v="0"/>
    <s v="Shipped"/>
    <x v="0"/>
    <x v="7"/>
    <x v="0"/>
    <x v="6"/>
    <n v="58"/>
    <s v="S50_1514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17"/>
    <x v="15"/>
    <n v="49.21"/>
    <n v="11"/>
    <x v="0"/>
    <x v="2362"/>
    <s v="2/24/2003 0:2407"/>
    <x v="0"/>
    <x v="0"/>
    <s v="Shipped"/>
    <x v="1"/>
    <x v="8"/>
    <x v="0"/>
    <x v="6"/>
    <n v="58"/>
    <s v="S50_1514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27"/>
    <x v="12"/>
    <n v="69.12"/>
    <n v="4"/>
    <x v="0"/>
    <x v="2363"/>
    <s v="2/24/2003 0:2408"/>
    <x v="0"/>
    <x v="0"/>
    <s v="Shipped"/>
    <x v="1"/>
    <x v="9"/>
    <x v="0"/>
    <x v="6"/>
    <n v="58"/>
    <s v="S50_1514"/>
    <s v="Muscle Machine Inc"/>
    <n v="2125557413"/>
    <s v="4092 Furth Circle"/>
    <s v="Suite 400"/>
    <s v="Nyc"/>
    <x v="0"/>
    <s v="NY"/>
    <n v="10022"/>
    <x v="0"/>
    <x v="0"/>
    <s v="NA"/>
    <s v="Young"/>
    <s v="Jeff"/>
    <x v="1"/>
  </r>
  <r>
    <n v="10142"/>
    <x v="13"/>
    <n v="49.79"/>
    <n v="14"/>
    <x v="0"/>
    <x v="2364"/>
    <s v="2/24/2003 0:2409"/>
    <x v="0"/>
    <x v="0"/>
    <s v="Shipped"/>
    <x v="2"/>
    <x v="3"/>
    <x v="0"/>
    <x v="6"/>
    <n v="58"/>
    <s v="S50_1514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53"/>
    <x v="28"/>
    <n v="57.41"/>
    <n v="13"/>
    <x v="0"/>
    <x v="2365"/>
    <s v="2/24/2003 0:2410"/>
    <x v="0"/>
    <x v="0"/>
    <s v="Shipped"/>
    <x v="2"/>
    <x v="10"/>
    <x v="0"/>
    <x v="6"/>
    <n v="58"/>
    <s v="S50_1514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65"/>
    <x v="19"/>
    <n v="66.78"/>
    <n v="5"/>
    <x v="0"/>
    <x v="2366"/>
    <s v="2/24/2003 0:2411"/>
    <x v="0"/>
    <x v="0"/>
    <s v="Shipped"/>
    <x v="3"/>
    <x v="4"/>
    <x v="0"/>
    <x v="6"/>
    <n v="58"/>
    <s v="S50_1514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76"/>
    <x v="19"/>
    <n v="64.44"/>
    <n v="4"/>
    <x v="0"/>
    <x v="2367"/>
    <s v="2/24/2003 0:2412"/>
    <x v="0"/>
    <x v="0"/>
    <s v="Shipped"/>
    <x v="3"/>
    <x v="5"/>
    <x v="0"/>
    <x v="6"/>
    <n v="58"/>
    <s v="S50_1514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85"/>
    <x v="14"/>
    <n v="48.62"/>
    <n v="15"/>
    <x v="0"/>
    <x v="2368"/>
    <s v="2/24/2003 0:2413"/>
    <x v="0"/>
    <x v="0"/>
    <s v="Shipped"/>
    <x v="3"/>
    <x v="5"/>
    <x v="0"/>
    <x v="6"/>
    <n v="58"/>
    <s v="S50_1514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96"/>
    <x v="12"/>
    <n v="62.09"/>
    <n v="7"/>
    <x v="0"/>
    <x v="2369"/>
    <s v="2/24/2003 0:2414"/>
    <x v="0"/>
    <x v="0"/>
    <s v="Shipped"/>
    <x v="3"/>
    <x v="5"/>
    <x v="0"/>
    <x v="6"/>
    <n v="58"/>
    <s v="S50_1514"/>
    <s v="Super Scale Inc."/>
    <n v="2035559545"/>
    <s v="567 North Pendale Street"/>
    <m/>
    <s v="New Haven"/>
    <x v="28"/>
    <s v="CT"/>
    <n v="97823"/>
    <x v="0"/>
    <x v="0"/>
    <s v="NA"/>
    <s v="Murphy"/>
    <s v="Leslie"/>
    <x v="0"/>
  </r>
  <r>
    <n v="10208"/>
    <x v="0"/>
    <n v="65.61"/>
    <n v="15"/>
    <x v="0"/>
    <x v="2370"/>
    <s v="2/24/2003 0:2415"/>
    <x v="0"/>
    <x v="0"/>
    <s v="Shipped"/>
    <x v="0"/>
    <x v="7"/>
    <x v="1"/>
    <x v="6"/>
    <n v="58"/>
    <s v="S50_1514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20"/>
    <x v="0"/>
    <n v="68.540000000000006"/>
    <n v="4"/>
    <x v="0"/>
    <x v="2371"/>
    <s v="2/24/2003 0:2416"/>
    <x v="0"/>
    <x v="0"/>
    <s v="Shipped"/>
    <x v="0"/>
    <x v="0"/>
    <x v="1"/>
    <x v="6"/>
    <n v="58"/>
    <s v="S50_1514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0"/>
  </r>
  <r>
    <n v="10230"/>
    <x v="30"/>
    <n v="52.14"/>
    <n v="2"/>
    <x v="0"/>
    <x v="2372"/>
    <s v="2/24/2003 0:2417"/>
    <x v="0"/>
    <x v="0"/>
    <s v="Shipped"/>
    <x v="0"/>
    <x v="11"/>
    <x v="1"/>
    <x v="6"/>
    <n v="58"/>
    <s v="S50_1514"/>
    <s v="Blauer See Auto, Co."/>
    <s v="+49 69 66 90 2555"/>
    <s v="Lyonerstr. 34"/>
    <m/>
    <s v="Frankfurt"/>
    <x v="58"/>
    <m/>
    <n v="60528"/>
    <x v="16"/>
    <x v="16"/>
    <s v="EMEA"/>
    <s v="Keitel"/>
    <s v="Roland"/>
    <x v="0"/>
  </r>
  <r>
    <n v="10247"/>
    <x v="4"/>
    <n v="63.85"/>
    <n v="4"/>
    <x v="0"/>
    <x v="2373"/>
    <s v="2/24/2003 0:2418"/>
    <x v="0"/>
    <x v="0"/>
    <s v="Shipped"/>
    <x v="1"/>
    <x v="1"/>
    <x v="1"/>
    <x v="6"/>
    <n v="58"/>
    <s v="S50_1514"/>
    <s v="Suominen Souveniers"/>
    <s v="+358 9 8045 555"/>
    <s v="Software Engineering Center, SEC Oy"/>
    <m/>
    <s v="Espoo"/>
    <x v="59"/>
    <m/>
    <s v="FIN-02271"/>
    <x v="4"/>
    <x v="4"/>
    <s v="EMEA"/>
    <s v="Suominen"/>
    <s v="Kalle"/>
    <x v="1"/>
  </r>
  <r>
    <n v="10272"/>
    <x v="30"/>
    <n v="56.82"/>
    <n v="4"/>
    <x v="0"/>
    <x v="2374"/>
    <s v="2/24/2003 0:2419"/>
    <x v="0"/>
    <x v="0"/>
    <s v="Shipped"/>
    <x v="2"/>
    <x v="2"/>
    <x v="1"/>
    <x v="6"/>
    <n v="58"/>
    <s v="S50_1514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282"/>
    <x v="9"/>
    <n v="66.78"/>
    <n v="7"/>
    <x v="0"/>
    <x v="2375"/>
    <s v="2/24/2003 0:2420"/>
    <x v="0"/>
    <x v="0"/>
    <s v="Shipped"/>
    <x v="2"/>
    <x v="3"/>
    <x v="1"/>
    <x v="6"/>
    <n v="58"/>
    <s v="S50_1514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292"/>
    <x v="21"/>
    <n v="55.07"/>
    <n v="1"/>
    <x v="0"/>
    <x v="2376"/>
    <s v="2/24/2003 0:2421"/>
    <x v="0"/>
    <x v="0"/>
    <s v="Shipped"/>
    <x v="2"/>
    <x v="10"/>
    <x v="1"/>
    <x v="6"/>
    <n v="58"/>
    <s v="S50_1514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306"/>
    <x v="1"/>
    <n v="60.34"/>
    <n v="15"/>
    <x v="0"/>
    <x v="2377"/>
    <s v="2/24/2003 0:2422"/>
    <x v="0"/>
    <x v="0"/>
    <s v="Shipped"/>
    <x v="3"/>
    <x v="4"/>
    <x v="1"/>
    <x v="6"/>
    <n v="58"/>
    <s v="S50_1514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14"/>
    <x v="19"/>
    <n v="61.51"/>
    <n v="7"/>
    <x v="0"/>
    <x v="2378"/>
    <s v="2/24/2003 0:2423"/>
    <x v="0"/>
    <x v="0"/>
    <s v="Shipped"/>
    <x v="3"/>
    <x v="4"/>
    <x v="1"/>
    <x v="6"/>
    <n v="58"/>
    <s v="S50_1514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325"/>
    <x v="27"/>
    <n v="100"/>
    <n v="7"/>
    <x v="1"/>
    <x v="2379"/>
    <s v="2/24/2003 0:2424"/>
    <x v="0"/>
    <x v="0"/>
    <s v="Shipped"/>
    <x v="3"/>
    <x v="5"/>
    <x v="1"/>
    <x v="6"/>
    <n v="58"/>
    <s v="S50_1514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337"/>
    <x v="15"/>
    <n v="100"/>
    <n v="6"/>
    <x v="0"/>
    <x v="2380"/>
    <s v="2/24/2003 0:2425"/>
    <x v="0"/>
    <x v="0"/>
    <s v="Shipped"/>
    <x v="3"/>
    <x v="5"/>
    <x v="1"/>
    <x v="6"/>
    <n v="58"/>
    <s v="S50_1514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0"/>
  </r>
  <r>
    <n v="10350"/>
    <x v="27"/>
    <n v="100"/>
    <n v="17"/>
    <x v="1"/>
    <x v="2381"/>
    <s v="2/24/2003 0:2426"/>
    <x v="0"/>
    <x v="0"/>
    <s v="Shipped"/>
    <x v="3"/>
    <x v="6"/>
    <x v="1"/>
    <x v="6"/>
    <n v="58"/>
    <s v="S50_1514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59"/>
    <x v="32"/>
    <n v="64.930000000000007"/>
    <n v="4"/>
    <x v="0"/>
    <x v="2382"/>
    <s v="2/24/2003 0:2427"/>
    <x v="0"/>
    <x v="0"/>
    <s v="Shipped"/>
    <x v="3"/>
    <x v="6"/>
    <x v="1"/>
    <x v="6"/>
    <n v="58"/>
    <s v="S50_1514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372"/>
    <x v="16"/>
    <n v="58.58"/>
    <n v="9"/>
    <x v="0"/>
    <x v="2383"/>
    <s v="2/24/2003 0:2428"/>
    <x v="0"/>
    <x v="0"/>
    <s v="Shipped"/>
    <x v="0"/>
    <x v="7"/>
    <x v="2"/>
    <x v="6"/>
    <n v="58"/>
    <s v="S50_1514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83"/>
    <x v="19"/>
    <n v="60.06"/>
    <n v="10"/>
    <x v="0"/>
    <x v="2384"/>
    <s v="2/24/2003 0:2429"/>
    <x v="0"/>
    <x v="0"/>
    <s v="Shipped"/>
    <x v="0"/>
    <x v="0"/>
    <x v="2"/>
    <x v="6"/>
    <n v="58"/>
    <s v="S50_1514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5"/>
    <x v="3"/>
    <n v="100"/>
    <n v="3"/>
    <x v="1"/>
    <x v="2385"/>
    <s v="2/24/2003 0:2430"/>
    <x v="0"/>
    <x v="0"/>
    <s v="Shipped"/>
    <x v="0"/>
    <x v="11"/>
    <x v="2"/>
    <x v="6"/>
    <n v="58"/>
    <s v="S50_1514"/>
    <s v="Lyon Souveniers"/>
    <s v="+33 1 46 62 7555"/>
    <s v="27 rue du Colonel Pierre Avia"/>
    <m/>
    <s v="Paris"/>
    <x v="2"/>
    <m/>
    <n v="75508"/>
    <x v="1"/>
    <x v="1"/>
    <s v="EMEA"/>
    <s v="Da Cunha"/>
    <s v="Daniel"/>
    <x v="2"/>
  </r>
  <r>
    <n v="10413"/>
    <x v="41"/>
    <n v="63.85"/>
    <n v="4"/>
    <x v="0"/>
    <x v="2386"/>
    <s v="2/24/2003 0:2431"/>
    <x v="0"/>
    <x v="0"/>
    <s v="Shipped"/>
    <x v="1"/>
    <x v="1"/>
    <x v="2"/>
    <x v="6"/>
    <n v="58"/>
    <s v="S50_1514"/>
    <s v="Gift Depot Inc."/>
    <n v="2035552570"/>
    <s v="25593 South Bay Ln."/>
    <m/>
    <s v="Bridgewater"/>
    <x v="10"/>
    <s v="CT"/>
    <n v="97562"/>
    <x v="0"/>
    <x v="0"/>
    <s v="NA"/>
    <s v="King"/>
    <s v="Julie"/>
    <x v="1"/>
  </r>
  <r>
    <n v="10108"/>
    <x v="1"/>
    <n v="82.99"/>
    <n v="14"/>
    <x v="0"/>
    <x v="2387"/>
    <s v="2/24/2003 0:2432"/>
    <x v="0"/>
    <x v="0"/>
    <s v="Shipped"/>
    <x v="0"/>
    <x v="11"/>
    <x v="0"/>
    <x v="0"/>
    <n v="81"/>
    <s v="S50_4713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0"/>
  </r>
  <r>
    <n v="10121"/>
    <x v="27"/>
    <n v="74.849999999999994"/>
    <n v="1"/>
    <x v="0"/>
    <x v="2388"/>
    <s v="2/24/2003 0:2433"/>
    <x v="0"/>
    <x v="0"/>
    <s v="Shipped"/>
    <x v="1"/>
    <x v="1"/>
    <x v="0"/>
    <x v="0"/>
    <n v="81"/>
    <s v="S50_4713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135"/>
    <x v="27"/>
    <n v="96"/>
    <n v="15"/>
    <x v="1"/>
    <x v="2389"/>
    <s v="2/24/2003 0:2434"/>
    <x v="0"/>
    <x v="0"/>
    <s v="Shipped"/>
    <x v="2"/>
    <x v="2"/>
    <x v="0"/>
    <x v="0"/>
    <n v="81"/>
    <s v="S50_4713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45"/>
    <x v="19"/>
    <n v="81.36"/>
    <n v="2"/>
    <x v="0"/>
    <x v="2390"/>
    <s v="2/24/2003 0:2435"/>
    <x v="0"/>
    <x v="0"/>
    <s v="Shipped"/>
    <x v="2"/>
    <x v="3"/>
    <x v="0"/>
    <x v="0"/>
    <n v="81"/>
    <s v="S50_4713"/>
    <s v="Toys4GrownUps.com"/>
    <n v="6265557265"/>
    <s v="78934 Hillside Dr."/>
    <m/>
    <s v="Pasadena"/>
    <x v="3"/>
    <s v="CA"/>
    <n v="90003"/>
    <x v="0"/>
    <x v="0"/>
    <s v="NA"/>
    <s v="Young"/>
    <s v="Julie"/>
    <x v="1"/>
  </r>
  <r>
    <n v="10159"/>
    <x v="28"/>
    <n v="71.599999999999994"/>
    <n v="10"/>
    <x v="0"/>
    <x v="2391"/>
    <s v="2/24/2003 0:2436"/>
    <x v="0"/>
    <x v="0"/>
    <s v="Shipped"/>
    <x v="3"/>
    <x v="4"/>
    <x v="0"/>
    <x v="0"/>
    <n v="81"/>
    <s v="S50_4713"/>
    <s v="Corporate Gift Ideas Co."/>
    <n v="6505551386"/>
    <s v="7734 Strong St."/>
    <m/>
    <s v="San Francisco"/>
    <x v="4"/>
    <s v="CA"/>
    <m/>
    <x v="0"/>
    <x v="0"/>
    <s v="NA"/>
    <s v="Brown"/>
    <s v="Julie"/>
    <x v="0"/>
  </r>
  <r>
    <n v="10169"/>
    <x v="7"/>
    <n v="80.55"/>
    <n v="10"/>
    <x v="0"/>
    <x v="2392"/>
    <s v="2/24/2003 0:2437"/>
    <x v="0"/>
    <x v="0"/>
    <s v="Shipped"/>
    <x v="3"/>
    <x v="5"/>
    <x v="0"/>
    <x v="0"/>
    <n v="81"/>
    <s v="S50_4713"/>
    <s v="Anna's Decorations, Ltd"/>
    <s v="02 9936 8555"/>
    <s v="201 Miller Street"/>
    <s v="Level 15"/>
    <s v="North Sydney"/>
    <x v="36"/>
    <s v="NSW"/>
    <n v="2060"/>
    <x v="3"/>
    <x v="3"/>
    <s v="APAC"/>
    <s v="O'Hara"/>
    <s v="Anna"/>
    <x v="1"/>
  </r>
  <r>
    <n v="10180"/>
    <x v="15"/>
    <n v="93.56"/>
    <n v="5"/>
    <x v="0"/>
    <x v="2393"/>
    <s v="2/24/2003 0:2438"/>
    <x v="0"/>
    <x v="0"/>
    <s v="Shipped"/>
    <x v="3"/>
    <x v="5"/>
    <x v="0"/>
    <x v="0"/>
    <n v="81"/>
    <s v="S50_4713"/>
    <s v="Daedalus Designs Imports"/>
    <s v="20.16.1555"/>
    <s v="184, chausse de Tournai"/>
    <m/>
    <s v="Lille"/>
    <x v="6"/>
    <m/>
    <n v="59000"/>
    <x v="1"/>
    <x v="1"/>
    <s v="EMEA"/>
    <s v="Rance"/>
    <s v="Martine"/>
    <x v="0"/>
  </r>
  <r>
    <n v="10190"/>
    <x v="23"/>
    <n v="66.72"/>
    <n v="2"/>
    <x v="0"/>
    <x v="2394"/>
    <s v="2/24/2003 0:2439"/>
    <x v="0"/>
    <x v="0"/>
    <s v="Shipped"/>
    <x v="3"/>
    <x v="5"/>
    <x v="0"/>
    <x v="0"/>
    <n v="81"/>
    <s v="S50_4713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11"/>
    <x v="23"/>
    <n v="80.55"/>
    <n v="10"/>
    <x v="0"/>
    <x v="2395"/>
    <s v="2/24/2003 0:2440"/>
    <x v="0"/>
    <x v="0"/>
    <s v="Shipped"/>
    <x v="0"/>
    <x v="7"/>
    <x v="1"/>
    <x v="0"/>
    <n v="81"/>
    <s v="S50_4713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224"/>
    <x v="24"/>
    <n v="77.290000000000006"/>
    <n v="3"/>
    <x v="0"/>
    <x v="2396"/>
    <s v="2/24/2003 0:2441"/>
    <x v="0"/>
    <x v="0"/>
    <s v="Shipped"/>
    <x v="0"/>
    <x v="0"/>
    <x v="1"/>
    <x v="0"/>
    <n v="81"/>
    <s v="S50_4713"/>
    <s v="Daedalus Designs Imports"/>
    <s v="20.16.1555"/>
    <s v="184, chausse de Tournai"/>
    <m/>
    <s v="Lille"/>
    <x v="6"/>
    <m/>
    <n v="59000"/>
    <x v="1"/>
    <x v="1"/>
    <s v="EMEA"/>
    <s v="Rance"/>
    <s v="Martine"/>
    <x v="1"/>
  </r>
  <r>
    <n v="10237"/>
    <x v="14"/>
    <n v="68.34"/>
    <n v="3"/>
    <x v="0"/>
    <x v="2397"/>
    <s v="2/24/2003 0:2442"/>
    <x v="0"/>
    <x v="0"/>
    <s v="Shipped"/>
    <x v="1"/>
    <x v="8"/>
    <x v="1"/>
    <x v="0"/>
    <n v="81"/>
    <s v="S50_4713"/>
    <s v="Vitachrome Inc."/>
    <n v="2125551500"/>
    <s v="2678 Kingston Rd."/>
    <s v="Suite 101"/>
    <s v="Nyc"/>
    <x v="0"/>
    <s v="NY"/>
    <n v="10022"/>
    <x v="0"/>
    <x v="0"/>
    <s v="NA"/>
    <s v="Frick"/>
    <s v="Michael"/>
    <x v="0"/>
  </r>
  <r>
    <n v="10252"/>
    <x v="7"/>
    <n v="72.41"/>
    <n v="7"/>
    <x v="0"/>
    <x v="2398"/>
    <s v="2/24/2003 0:2443"/>
    <x v="0"/>
    <x v="0"/>
    <s v="Shipped"/>
    <x v="1"/>
    <x v="1"/>
    <x v="1"/>
    <x v="0"/>
    <n v="81"/>
    <s v="S50_4713"/>
    <s v="Auto Canal Petit"/>
    <s v="(1) 47.55.6555"/>
    <s v="25, rue Lauriston"/>
    <m/>
    <s v="Paris"/>
    <x v="2"/>
    <m/>
    <n v="75016"/>
    <x v="1"/>
    <x v="1"/>
    <s v="EMEA"/>
    <s v="Perrier"/>
    <s v="Dominique"/>
    <x v="1"/>
  </r>
  <r>
    <n v="10264"/>
    <x v="20"/>
    <n v="89.5"/>
    <n v="5"/>
    <x v="1"/>
    <x v="2399"/>
    <s v="2/24/2003 0:2444"/>
    <x v="0"/>
    <x v="0"/>
    <s v="Shipped"/>
    <x v="1"/>
    <x v="9"/>
    <x v="1"/>
    <x v="0"/>
    <n v="81"/>
    <s v="S50_4713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276"/>
    <x v="15"/>
    <n v="70.78"/>
    <n v="11"/>
    <x v="0"/>
    <x v="2400"/>
    <s v="2/24/2003 0:2445"/>
    <x v="0"/>
    <x v="0"/>
    <s v="Shipped"/>
    <x v="2"/>
    <x v="3"/>
    <x v="1"/>
    <x v="0"/>
    <n v="81"/>
    <s v="S50_4713"/>
    <s v="Online Mini Collectables"/>
    <n v="6175557555"/>
    <s v="7635 Spinnaker Dr."/>
    <m/>
    <s v="Brickhaven"/>
    <x v="35"/>
    <s v="MA"/>
    <n v="58339"/>
    <x v="0"/>
    <x v="0"/>
    <s v="NA"/>
    <s v="Barajas"/>
    <s v="Miguel"/>
    <x v="0"/>
  </r>
  <r>
    <n v="10285"/>
    <x v="25"/>
    <n v="78.92"/>
    <n v="2"/>
    <x v="0"/>
    <x v="2401"/>
    <s v="2/24/2003 0:2446"/>
    <x v="0"/>
    <x v="0"/>
    <s v="Shipped"/>
    <x v="2"/>
    <x v="3"/>
    <x v="1"/>
    <x v="0"/>
    <n v="81"/>
    <s v="S50_4713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299"/>
    <x v="27"/>
    <n v="80.55"/>
    <n v="5"/>
    <x v="0"/>
    <x v="2402"/>
    <s v="2/24/2003 0:2447"/>
    <x v="0"/>
    <x v="0"/>
    <s v="Shipped"/>
    <x v="2"/>
    <x v="10"/>
    <x v="1"/>
    <x v="0"/>
    <n v="81"/>
    <s v="S50_4713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309"/>
    <x v="11"/>
    <n v="88.68"/>
    <n v="1"/>
    <x v="0"/>
    <x v="2403"/>
    <s v="2/24/2003 0:2448"/>
    <x v="0"/>
    <x v="0"/>
    <s v="Shipped"/>
    <x v="3"/>
    <x v="4"/>
    <x v="1"/>
    <x v="0"/>
    <n v="81"/>
    <s v="S50_4713"/>
    <s v="Baane Mini Imports"/>
    <s v="07-98 9555"/>
    <s v="Erling Skakkes gate 78"/>
    <m/>
    <s v="Stavern"/>
    <x v="14"/>
    <m/>
    <n v="4110"/>
    <x v="2"/>
    <x v="2"/>
    <s v="EMEA"/>
    <s v="Bergulfsen"/>
    <s v="Jonas"/>
    <x v="0"/>
  </r>
  <r>
    <n v="10319"/>
    <x v="3"/>
    <n v="77.290000000000006"/>
    <n v="6"/>
    <x v="0"/>
    <x v="2404"/>
    <s v="2/24/2003 0:2449"/>
    <x v="0"/>
    <x v="0"/>
    <s v="Shipped"/>
    <x v="3"/>
    <x v="5"/>
    <x v="1"/>
    <x v="0"/>
    <n v="81"/>
    <s v="S50_4713"/>
    <s v="Microscale Inc."/>
    <n v="2125551957"/>
    <s v="5290 North Pendale Street"/>
    <s v="Suite 200"/>
    <s v="Nyc"/>
    <x v="0"/>
    <s v="NY"/>
    <n v="10022"/>
    <x v="0"/>
    <x v="0"/>
    <s v="NA"/>
    <s v="Kuo"/>
    <s v="Kee"/>
    <x v="1"/>
  </r>
  <r>
    <n v="10331"/>
    <x v="14"/>
    <n v="100"/>
    <n v="5"/>
    <x v="0"/>
    <x v="2405"/>
    <s v="2/24/2003 0:2450"/>
    <x v="0"/>
    <x v="0"/>
    <s v="Shipped"/>
    <x v="3"/>
    <x v="5"/>
    <x v="1"/>
    <x v="0"/>
    <n v="81"/>
    <s v="S50_4713"/>
    <s v="Motor Mint Distributors Inc."/>
    <n v="2155559857"/>
    <s v="11328 Douglas Av."/>
    <m/>
    <s v="Philadelphia"/>
    <x v="24"/>
    <s v="PA"/>
    <n v="71270"/>
    <x v="0"/>
    <x v="0"/>
    <s v="NA"/>
    <s v="Hernandez"/>
    <s v="Rosa"/>
    <x v="1"/>
  </r>
  <r>
    <n v="10341"/>
    <x v="19"/>
    <n v="100"/>
    <n v="3"/>
    <x v="1"/>
    <x v="2406"/>
    <s v="2/24/2003 0:2451"/>
    <x v="0"/>
    <x v="0"/>
    <s v="Shipped"/>
    <x v="3"/>
    <x v="5"/>
    <x v="1"/>
    <x v="0"/>
    <n v="81"/>
    <s v="S50_4713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356"/>
    <x v="18"/>
    <n v="100"/>
    <n v="4"/>
    <x v="0"/>
    <x v="2407"/>
    <s v="2/24/2003 0:2452"/>
    <x v="0"/>
    <x v="0"/>
    <s v="Shipped"/>
    <x v="3"/>
    <x v="6"/>
    <x v="1"/>
    <x v="0"/>
    <n v="81"/>
    <s v="S50_4713"/>
    <s v="Lyon Souveniers"/>
    <s v="+33 1 46 62 7555"/>
    <s v="27 rue du Colonel Pierre Avia"/>
    <m/>
    <s v="Paris"/>
    <x v="2"/>
    <m/>
    <n v="75508"/>
    <x v="1"/>
    <x v="1"/>
    <s v="EMEA"/>
    <s v="Da Cunha"/>
    <s v="Daniel"/>
    <x v="1"/>
  </r>
  <r>
    <n v="10365"/>
    <x v="27"/>
    <n v="100"/>
    <n v="2"/>
    <x v="1"/>
    <x v="2408"/>
    <s v="2/24/2003 0:2453"/>
    <x v="0"/>
    <x v="0"/>
    <s v="Shipped"/>
    <x v="0"/>
    <x v="7"/>
    <x v="2"/>
    <x v="0"/>
    <n v="81"/>
    <s v="S50_4713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375"/>
    <x v="4"/>
    <n v="100"/>
    <n v="8"/>
    <x v="1"/>
    <x v="2409"/>
    <s v="2/24/2003 0:2454"/>
    <x v="0"/>
    <x v="0"/>
    <s v="Shipped"/>
    <x v="0"/>
    <x v="0"/>
    <x v="2"/>
    <x v="0"/>
    <n v="81"/>
    <s v="S50_4713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90"/>
    <x v="8"/>
    <n v="100"/>
    <n v="13"/>
    <x v="0"/>
    <x v="2410"/>
    <s v="2/24/2003 0:2455"/>
    <x v="0"/>
    <x v="0"/>
    <s v="Shipped"/>
    <x v="0"/>
    <x v="11"/>
    <x v="2"/>
    <x v="0"/>
    <n v="81"/>
    <s v="S50_4713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403"/>
    <x v="28"/>
    <n v="68.34"/>
    <n v="3"/>
    <x v="0"/>
    <x v="2411"/>
    <s v="2/24/2003 0:2456"/>
    <x v="0"/>
    <x v="0"/>
    <s v="Shipped"/>
    <x v="1"/>
    <x v="8"/>
    <x v="2"/>
    <x v="0"/>
    <n v="81"/>
    <s v="S50_4713"/>
    <s v="UK Collectables, Ltd."/>
    <s v="(171) 555-2282"/>
    <s v="Berkeley Gardens 12  Brewery"/>
    <m/>
    <s v="Liverpool"/>
    <x v="19"/>
    <m/>
    <s v="WX1 6LT"/>
    <x v="6"/>
    <x v="6"/>
    <s v="EMEA"/>
    <s v="Devon"/>
    <s v="Elizabeth"/>
    <x v="0"/>
  </r>
  <r>
    <n v="10105"/>
    <x v="2"/>
    <n v="70.67"/>
    <n v="5"/>
    <x v="0"/>
    <x v="2412"/>
    <s v="2/24/2003 0:2457"/>
    <x v="0"/>
    <x v="0"/>
    <s v="Shipped"/>
    <x v="0"/>
    <x v="0"/>
    <x v="0"/>
    <x v="5"/>
    <n v="66"/>
    <s v="S700_1138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119"/>
    <x v="32"/>
    <n v="76.67"/>
    <n v="14"/>
    <x v="0"/>
    <x v="2413"/>
    <s v="2/24/2003 0:2458"/>
    <x v="0"/>
    <x v="0"/>
    <s v="Shipped"/>
    <x v="1"/>
    <x v="8"/>
    <x v="0"/>
    <x v="5"/>
    <n v="66"/>
    <s v="S700_1138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29"/>
    <x v="28"/>
    <n v="60"/>
    <n v="5"/>
    <x v="0"/>
    <x v="2414"/>
    <s v="2/24/2003 0:2459"/>
    <x v="0"/>
    <x v="0"/>
    <s v="Shipped"/>
    <x v="1"/>
    <x v="9"/>
    <x v="0"/>
    <x v="5"/>
    <n v="66"/>
    <s v="S700_1138"/>
    <s v="Stylish Desk Decors, Co."/>
    <s v="(171) 555-0297"/>
    <s v="35 King George"/>
    <m/>
    <s v="London"/>
    <x v="41"/>
    <m/>
    <s v="WX3 6FW"/>
    <x v="6"/>
    <x v="6"/>
    <s v="EMEA"/>
    <s v="Brown"/>
    <s v="Ann"/>
    <x v="0"/>
  </r>
  <r>
    <n v="10142"/>
    <x v="2"/>
    <n v="64"/>
    <n v="2"/>
    <x v="0"/>
    <x v="1533"/>
    <s v="2/24/2003 0:2460"/>
    <x v="0"/>
    <x v="0"/>
    <s v="Shipped"/>
    <x v="2"/>
    <x v="3"/>
    <x v="0"/>
    <x v="5"/>
    <n v="66"/>
    <s v="S700_113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53"/>
    <x v="30"/>
    <n v="64.67"/>
    <n v="1"/>
    <x v="0"/>
    <x v="2415"/>
    <s v="2/24/2003 0:2461"/>
    <x v="0"/>
    <x v="0"/>
    <s v="Shipped"/>
    <x v="2"/>
    <x v="10"/>
    <x v="0"/>
    <x v="5"/>
    <n v="66"/>
    <s v="S700_113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67"/>
    <x v="30"/>
    <n v="75.34"/>
    <n v="12"/>
    <x v="0"/>
    <x v="2416"/>
    <s v="2/24/2003 0:2462"/>
    <x v="3"/>
    <x v="1"/>
    <s v="Cancelled"/>
    <x v="3"/>
    <x v="4"/>
    <x v="0"/>
    <x v="5"/>
    <n v="66"/>
    <s v="S700_1138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177"/>
    <x v="16"/>
    <n v="76"/>
    <n v="3"/>
    <x v="0"/>
    <x v="2417"/>
    <s v="2/24/2003 0:2463"/>
    <x v="0"/>
    <x v="0"/>
    <s v="Shipped"/>
    <x v="3"/>
    <x v="5"/>
    <x v="0"/>
    <x v="5"/>
    <n v="66"/>
    <s v="S700_1138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0"/>
  </r>
  <r>
    <n v="10185"/>
    <x v="15"/>
    <n v="54"/>
    <n v="3"/>
    <x v="0"/>
    <x v="2418"/>
    <s v="2/24/2003 0:2464"/>
    <x v="0"/>
    <x v="0"/>
    <s v="Shipped"/>
    <x v="3"/>
    <x v="5"/>
    <x v="0"/>
    <x v="5"/>
    <n v="66"/>
    <s v="S700_1138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97"/>
    <x v="10"/>
    <n v="64.67"/>
    <n v="9"/>
    <x v="0"/>
    <x v="2419"/>
    <s v="2/24/2003 0:2465"/>
    <x v="0"/>
    <x v="0"/>
    <s v="Shipped"/>
    <x v="3"/>
    <x v="5"/>
    <x v="0"/>
    <x v="5"/>
    <n v="66"/>
    <s v="S700_1138"/>
    <s v="Enaco Distributors"/>
    <s v="(93) 203 4555"/>
    <s v="Rambla de Catalu¤a, 23"/>
    <m/>
    <s v="Barcelona"/>
    <x v="43"/>
    <m/>
    <n v="8022"/>
    <x v="7"/>
    <x v="7"/>
    <s v="EMEA"/>
    <s v="Saavedra"/>
    <s v="Eduardo"/>
    <x v="0"/>
  </r>
  <r>
    <n v="10208"/>
    <x v="19"/>
    <n v="74.67"/>
    <n v="3"/>
    <x v="0"/>
    <x v="2420"/>
    <s v="2/24/2003 0:2466"/>
    <x v="0"/>
    <x v="0"/>
    <s v="Shipped"/>
    <x v="0"/>
    <x v="7"/>
    <x v="1"/>
    <x v="5"/>
    <n v="66"/>
    <s v="S700_1138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22"/>
    <x v="28"/>
    <n v="62.67"/>
    <n v="15"/>
    <x v="0"/>
    <x v="2421"/>
    <s v="2/24/2003 0:2467"/>
    <x v="0"/>
    <x v="0"/>
    <s v="Shipped"/>
    <x v="0"/>
    <x v="0"/>
    <x v="1"/>
    <x v="5"/>
    <n v="66"/>
    <s v="S700_1138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0"/>
  </r>
  <r>
    <n v="10233"/>
    <x v="5"/>
    <n v="70.67"/>
    <n v="3"/>
    <x v="0"/>
    <x v="2422"/>
    <s v="2/24/2003 0:2468"/>
    <x v="0"/>
    <x v="0"/>
    <s v="Shipped"/>
    <x v="0"/>
    <x v="11"/>
    <x v="1"/>
    <x v="5"/>
    <n v="66"/>
    <s v="S700_1138"/>
    <s v="Tekni Collectables Inc."/>
    <n v="2015559350"/>
    <s v="7476 Moss Rd."/>
    <m/>
    <s v="Newark"/>
    <x v="9"/>
    <s v="NJ"/>
    <n v="94019"/>
    <x v="0"/>
    <x v="0"/>
    <s v="NA"/>
    <s v="Brown"/>
    <s v="William"/>
    <x v="0"/>
  </r>
  <r>
    <n v="10248"/>
    <x v="5"/>
    <n v="71.34"/>
    <n v="6"/>
    <x v="0"/>
    <x v="2423"/>
    <s v="2/24/2003 0:2469"/>
    <x v="3"/>
    <x v="1"/>
    <s v="Cancelled"/>
    <x v="1"/>
    <x v="1"/>
    <x v="1"/>
    <x v="5"/>
    <n v="66"/>
    <s v="S700_1138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261"/>
    <x v="1"/>
    <n v="62"/>
    <n v="4"/>
    <x v="0"/>
    <x v="2424"/>
    <s v="2/24/2003 0:2470"/>
    <x v="0"/>
    <x v="0"/>
    <s v="Shipped"/>
    <x v="1"/>
    <x v="9"/>
    <x v="1"/>
    <x v="5"/>
    <n v="66"/>
    <s v="S700_1138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0"/>
  </r>
  <r>
    <n v="10273"/>
    <x v="15"/>
    <n v="65.34"/>
    <n v="7"/>
    <x v="0"/>
    <x v="2425"/>
    <s v="2/24/2003 0:2471"/>
    <x v="0"/>
    <x v="0"/>
    <s v="Shipped"/>
    <x v="2"/>
    <x v="2"/>
    <x v="1"/>
    <x v="5"/>
    <n v="66"/>
    <s v="S700_1138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283"/>
    <x v="3"/>
    <n v="78.67"/>
    <n v="9"/>
    <x v="0"/>
    <x v="2426"/>
    <s v="2/24/2003 0:2472"/>
    <x v="0"/>
    <x v="0"/>
    <s v="Shipped"/>
    <x v="2"/>
    <x v="3"/>
    <x v="1"/>
    <x v="5"/>
    <n v="66"/>
    <s v="S700_1138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1"/>
  </r>
  <r>
    <n v="10295"/>
    <x v="18"/>
    <n v="75.34"/>
    <n v="4"/>
    <x v="0"/>
    <x v="2427"/>
    <s v="2/24/2003 0:2473"/>
    <x v="0"/>
    <x v="0"/>
    <s v="Shipped"/>
    <x v="2"/>
    <x v="10"/>
    <x v="1"/>
    <x v="5"/>
    <n v="66"/>
    <s v="S700_1138"/>
    <s v="Gifts4AllAges.com"/>
    <n v="6175559555"/>
    <s v="8616 Spinnaker Dr."/>
    <m/>
    <s v="Boston"/>
    <x v="48"/>
    <s v="MA"/>
    <n v="51003"/>
    <x v="0"/>
    <x v="0"/>
    <s v="NA"/>
    <s v="Yoshido"/>
    <s v="Juri"/>
    <x v="0"/>
  </r>
  <r>
    <n v="10306"/>
    <x v="24"/>
    <n v="54"/>
    <n v="3"/>
    <x v="0"/>
    <x v="2428"/>
    <s v="2/24/2003 0:2474"/>
    <x v="0"/>
    <x v="0"/>
    <s v="Shipped"/>
    <x v="3"/>
    <x v="4"/>
    <x v="1"/>
    <x v="5"/>
    <n v="66"/>
    <s v="S700_1138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15"/>
    <x v="2"/>
    <n v="62"/>
    <n v="2"/>
    <x v="0"/>
    <x v="2429"/>
    <s v="2/24/2003 0:2475"/>
    <x v="0"/>
    <x v="0"/>
    <s v="Shipped"/>
    <x v="3"/>
    <x v="4"/>
    <x v="1"/>
    <x v="5"/>
    <n v="66"/>
    <s v="S700_1138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326"/>
    <x v="25"/>
    <n v="60"/>
    <n v="1"/>
    <x v="0"/>
    <x v="2430"/>
    <s v="2/24/2003 0:2476"/>
    <x v="0"/>
    <x v="0"/>
    <s v="Shipped"/>
    <x v="3"/>
    <x v="5"/>
    <x v="1"/>
    <x v="5"/>
    <n v="66"/>
    <s v="S700_1138"/>
    <s v="Volvo Model Replicas, Co"/>
    <s v="0921-12 3555"/>
    <s v="Berguvsv„gen  8"/>
    <m/>
    <s v="Lule"/>
    <x v="21"/>
    <m/>
    <s v="S-958 22"/>
    <x v="8"/>
    <x v="8"/>
    <s v="EMEA"/>
    <s v="Berglund"/>
    <s v="Christina"/>
    <x v="0"/>
  </r>
  <r>
    <n v="10339"/>
    <x v="8"/>
    <n v="100"/>
    <n v="5"/>
    <x v="0"/>
    <x v="2431"/>
    <s v="2/24/2003 0:2477"/>
    <x v="0"/>
    <x v="0"/>
    <s v="Shipped"/>
    <x v="3"/>
    <x v="5"/>
    <x v="1"/>
    <x v="5"/>
    <n v="66"/>
    <s v="S700_1138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50"/>
    <x v="12"/>
    <n v="76.67"/>
    <n v="11"/>
    <x v="0"/>
    <x v="2432"/>
    <s v="2/24/2003 0:2478"/>
    <x v="0"/>
    <x v="0"/>
    <s v="Shipped"/>
    <x v="3"/>
    <x v="6"/>
    <x v="1"/>
    <x v="5"/>
    <n v="66"/>
    <s v="S700_113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73"/>
    <x v="27"/>
    <n v="100"/>
    <n v="14"/>
    <x v="1"/>
    <x v="2433"/>
    <s v="2/24/2003 0:2479"/>
    <x v="0"/>
    <x v="0"/>
    <s v="Shipped"/>
    <x v="0"/>
    <x v="7"/>
    <x v="2"/>
    <x v="5"/>
    <n v="66"/>
    <s v="S700_1138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385"/>
    <x v="32"/>
    <n v="77.34"/>
    <n v="1"/>
    <x v="0"/>
    <x v="2434"/>
    <s v="2/24/2003 0:2480"/>
    <x v="0"/>
    <x v="0"/>
    <s v="Shipped"/>
    <x v="0"/>
    <x v="0"/>
    <x v="2"/>
    <x v="5"/>
    <n v="66"/>
    <s v="S700_113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396"/>
    <x v="25"/>
    <n v="66.67"/>
    <n v="1"/>
    <x v="0"/>
    <x v="2435"/>
    <s v="2/24/2003 0:2481"/>
    <x v="0"/>
    <x v="0"/>
    <s v="Shipped"/>
    <x v="0"/>
    <x v="11"/>
    <x v="2"/>
    <x v="5"/>
    <n v="66"/>
    <s v="S700_113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14"/>
    <x v="9"/>
    <n v="71.34"/>
    <n v="6"/>
    <x v="0"/>
    <x v="2436"/>
    <s v="2/24/2003 0:2482"/>
    <x v="4"/>
    <x v="1"/>
    <s v="On Hold"/>
    <x v="1"/>
    <x v="1"/>
    <x v="2"/>
    <x v="5"/>
    <n v="66"/>
    <s v="S700_1138"/>
    <s v="Gifts4AllAges.com"/>
    <n v="6175559555"/>
    <s v="8616 Spinnaker Dr."/>
    <m/>
    <s v="Boston"/>
    <x v="48"/>
    <s v="MA"/>
    <n v="51003"/>
    <x v="0"/>
    <x v="0"/>
    <s v="NA"/>
    <s v="Yoshido"/>
    <s v="Juri"/>
    <x v="0"/>
  </r>
  <r>
    <n v="10106"/>
    <x v="28"/>
    <n v="100"/>
    <n v="7"/>
    <x v="0"/>
    <x v="2437"/>
    <s v="2/24/2003 0:2483"/>
    <x v="0"/>
    <x v="0"/>
    <s v="Shipped"/>
    <x v="0"/>
    <x v="0"/>
    <x v="0"/>
    <x v="4"/>
    <n v="91"/>
    <s v="S700_1691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20"/>
    <x v="20"/>
    <n v="82.21"/>
    <n v="13"/>
    <x v="0"/>
    <x v="2438"/>
    <s v="2/24/2003 0:2484"/>
    <x v="0"/>
    <x v="0"/>
    <s v="Shipped"/>
    <x v="1"/>
    <x v="8"/>
    <x v="0"/>
    <x v="4"/>
    <n v="91"/>
    <s v="S700_1691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133"/>
    <x v="16"/>
    <n v="77.64"/>
    <n v="8"/>
    <x v="0"/>
    <x v="2439"/>
    <s v="2/24/2003 0:2485"/>
    <x v="0"/>
    <x v="0"/>
    <s v="Shipped"/>
    <x v="1"/>
    <x v="9"/>
    <x v="0"/>
    <x v="4"/>
    <n v="91"/>
    <s v="S700_1691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43"/>
    <x v="5"/>
    <n v="100"/>
    <n v="2"/>
    <x v="0"/>
    <x v="2440"/>
    <s v="2/24/2003 0:2486"/>
    <x v="0"/>
    <x v="0"/>
    <s v="Shipped"/>
    <x v="2"/>
    <x v="3"/>
    <x v="0"/>
    <x v="4"/>
    <n v="91"/>
    <s v="S700_1691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56"/>
    <x v="7"/>
    <n v="100"/>
    <n v="2"/>
    <x v="1"/>
    <x v="2441"/>
    <s v="2/24/2003 0:2487"/>
    <x v="0"/>
    <x v="0"/>
    <s v="Shipped"/>
    <x v="3"/>
    <x v="4"/>
    <x v="0"/>
    <x v="4"/>
    <n v="91"/>
    <s v="S700_1691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68"/>
    <x v="11"/>
    <n v="98.65"/>
    <n v="14"/>
    <x v="0"/>
    <x v="1751"/>
    <s v="2/24/2003 0:2488"/>
    <x v="0"/>
    <x v="0"/>
    <s v="Shipped"/>
    <x v="3"/>
    <x v="4"/>
    <x v="0"/>
    <x v="4"/>
    <n v="91"/>
    <s v="S700_1691"/>
    <s v="Technics Stores Inc."/>
    <n v="6505556809"/>
    <s v="9408 Furth Circle"/>
    <m/>
    <s v="Burlingame"/>
    <x v="5"/>
    <s v="CA"/>
    <n v="94217"/>
    <x v="0"/>
    <x v="0"/>
    <s v="NA"/>
    <s v="Hirano"/>
    <s v="Juri"/>
    <x v="0"/>
  </r>
  <r>
    <n v="10199"/>
    <x v="7"/>
    <n v="83.12"/>
    <n v="2"/>
    <x v="0"/>
    <x v="2442"/>
    <s v="2/24/2003 0:2489"/>
    <x v="0"/>
    <x v="0"/>
    <s v="Shipped"/>
    <x v="3"/>
    <x v="6"/>
    <x v="0"/>
    <x v="4"/>
    <n v="91"/>
    <s v="S700_1691"/>
    <s v="West Coast Collectables Co."/>
    <n v="3105553722"/>
    <s v="3675 Furth Circle"/>
    <m/>
    <s v="Burbank"/>
    <x v="27"/>
    <s v="CA"/>
    <n v="94019"/>
    <x v="0"/>
    <x v="0"/>
    <s v="NA"/>
    <s v="Thompson"/>
    <s v="Steve"/>
    <x v="1"/>
  </r>
  <r>
    <n v="10210"/>
    <x v="15"/>
    <n v="78.55"/>
    <n v="12"/>
    <x v="0"/>
    <x v="2443"/>
    <s v="2/24/2003 0:2490"/>
    <x v="0"/>
    <x v="0"/>
    <s v="Shipped"/>
    <x v="0"/>
    <x v="7"/>
    <x v="1"/>
    <x v="4"/>
    <n v="91"/>
    <s v="S700_1691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0"/>
  </r>
  <r>
    <n v="10223"/>
    <x v="32"/>
    <n v="100"/>
    <n v="14"/>
    <x v="0"/>
    <x v="2444"/>
    <s v="2/24/2003 0:2491"/>
    <x v="0"/>
    <x v="0"/>
    <s v="Shipped"/>
    <x v="0"/>
    <x v="0"/>
    <x v="1"/>
    <x v="4"/>
    <n v="91"/>
    <s v="S700_1691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235"/>
    <x v="32"/>
    <n v="100"/>
    <n v="8"/>
    <x v="0"/>
    <x v="2445"/>
    <s v="2/24/2003 0:2492"/>
    <x v="0"/>
    <x v="0"/>
    <s v="Shipped"/>
    <x v="1"/>
    <x v="8"/>
    <x v="1"/>
    <x v="4"/>
    <n v="91"/>
    <s v="S700_1691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50"/>
    <x v="28"/>
    <n v="91.34"/>
    <n v="9"/>
    <x v="0"/>
    <x v="2446"/>
    <s v="2/24/2003 0:2493"/>
    <x v="0"/>
    <x v="0"/>
    <s v="Shipped"/>
    <x v="1"/>
    <x v="1"/>
    <x v="1"/>
    <x v="4"/>
    <n v="91"/>
    <s v="S700_1691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262"/>
    <x v="23"/>
    <n v="84.03"/>
    <n v="4"/>
    <x v="0"/>
    <x v="2447"/>
    <s v="2/24/2003 0:2494"/>
    <x v="3"/>
    <x v="1"/>
    <s v="Cancelled"/>
    <x v="1"/>
    <x v="9"/>
    <x v="1"/>
    <x v="4"/>
    <n v="91"/>
    <s v="S700_1691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75"/>
    <x v="22"/>
    <n v="89.51"/>
    <n v="14"/>
    <x v="0"/>
    <x v="2448"/>
    <s v="2/24/2003 0:2495"/>
    <x v="0"/>
    <x v="0"/>
    <s v="Shipped"/>
    <x v="2"/>
    <x v="2"/>
    <x v="1"/>
    <x v="4"/>
    <n v="91"/>
    <s v="S700_1691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284"/>
    <x v="16"/>
    <n v="83.12"/>
    <n v="6"/>
    <x v="0"/>
    <x v="2449"/>
    <s v="2/24/2003 0:2496"/>
    <x v="0"/>
    <x v="0"/>
    <s v="Shipped"/>
    <x v="2"/>
    <x v="3"/>
    <x v="1"/>
    <x v="4"/>
    <n v="91"/>
    <s v="S700_1691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296"/>
    <x v="13"/>
    <n v="100"/>
    <n v="2"/>
    <x v="1"/>
    <x v="2450"/>
    <s v="2/24/2003 0:2497"/>
    <x v="0"/>
    <x v="0"/>
    <s v="Shipped"/>
    <x v="2"/>
    <x v="10"/>
    <x v="1"/>
    <x v="4"/>
    <n v="91"/>
    <s v="S700_1691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1"/>
  </r>
  <r>
    <n v="10308"/>
    <x v="15"/>
    <n v="100"/>
    <n v="12"/>
    <x v="0"/>
    <x v="2451"/>
    <s v="2/24/2003 0:2498"/>
    <x v="0"/>
    <x v="0"/>
    <s v="Shipped"/>
    <x v="3"/>
    <x v="4"/>
    <x v="1"/>
    <x v="4"/>
    <n v="91"/>
    <s v="S700_1691"/>
    <s v="Mini Classics"/>
    <n v="9145554562"/>
    <s v="3758 North Pendale Street"/>
    <m/>
    <s v="White Plains"/>
    <x v="39"/>
    <s v="NY"/>
    <n v="24067"/>
    <x v="0"/>
    <x v="0"/>
    <s v="NA"/>
    <s v="Frick"/>
    <s v="Steve"/>
    <x v="0"/>
  </r>
  <r>
    <n v="10316"/>
    <x v="1"/>
    <n v="82.21"/>
    <n v="4"/>
    <x v="0"/>
    <x v="2452"/>
    <s v="2/24/2003 0:2499"/>
    <x v="0"/>
    <x v="0"/>
    <s v="Shipped"/>
    <x v="3"/>
    <x v="5"/>
    <x v="1"/>
    <x v="4"/>
    <n v="91"/>
    <s v="S700_1691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328"/>
    <x v="26"/>
    <n v="100"/>
    <n v="8"/>
    <x v="0"/>
    <x v="2453"/>
    <s v="2/24/2003 0:2500"/>
    <x v="0"/>
    <x v="0"/>
    <s v="Shipped"/>
    <x v="3"/>
    <x v="5"/>
    <x v="1"/>
    <x v="4"/>
    <n v="91"/>
    <s v="S700_1691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340"/>
    <x v="0"/>
    <n v="88.6"/>
    <n v="5"/>
    <x v="0"/>
    <x v="2454"/>
    <s v="2/24/2003 0:2501"/>
    <x v="0"/>
    <x v="0"/>
    <s v="Shipped"/>
    <x v="3"/>
    <x v="5"/>
    <x v="1"/>
    <x v="4"/>
    <n v="91"/>
    <s v="S700_1691"/>
    <s v="Enaco Distributors"/>
    <s v="(93) 203 4555"/>
    <s v="Rambla de Catalu¤a, 23"/>
    <m/>
    <s v="Barcelona"/>
    <x v="43"/>
    <m/>
    <n v="8022"/>
    <x v="7"/>
    <x v="7"/>
    <s v="EMEA"/>
    <s v="Saavedra"/>
    <s v="Eduardo"/>
    <x v="0"/>
  </r>
  <r>
    <n v="10353"/>
    <x v="25"/>
    <n v="100"/>
    <n v="9"/>
    <x v="1"/>
    <x v="2455"/>
    <s v="2/24/2003 0:2502"/>
    <x v="0"/>
    <x v="0"/>
    <s v="Shipped"/>
    <x v="3"/>
    <x v="6"/>
    <x v="1"/>
    <x v="4"/>
    <n v="91"/>
    <s v="S700_1691"/>
    <s v="Gift Ideas Corp."/>
    <n v="2035554407"/>
    <s v="2440 Pompton St."/>
    <m/>
    <s v="Glendale"/>
    <x v="63"/>
    <s v="CT"/>
    <n v="97561"/>
    <x v="0"/>
    <x v="0"/>
    <s v="NA"/>
    <s v="Lewis"/>
    <s v="Dan"/>
    <x v="1"/>
  </r>
  <r>
    <n v="10361"/>
    <x v="14"/>
    <n v="60.54"/>
    <n v="4"/>
    <x v="0"/>
    <x v="2456"/>
    <s v="2/24/2003 0:2503"/>
    <x v="0"/>
    <x v="0"/>
    <s v="Shipped"/>
    <x v="3"/>
    <x v="6"/>
    <x v="1"/>
    <x v="4"/>
    <n v="91"/>
    <s v="S700_1691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375"/>
    <x v="9"/>
    <n v="81.87"/>
    <n v="6"/>
    <x v="0"/>
    <x v="2457"/>
    <s v="2/24/2003 0:2504"/>
    <x v="0"/>
    <x v="0"/>
    <s v="Shipped"/>
    <x v="0"/>
    <x v="0"/>
    <x v="2"/>
    <x v="4"/>
    <n v="91"/>
    <s v="S700_1691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88"/>
    <x v="12"/>
    <n v="100"/>
    <n v="2"/>
    <x v="1"/>
    <x v="2458"/>
    <s v="2/24/2003 0:2505"/>
    <x v="0"/>
    <x v="0"/>
    <s v="Shipped"/>
    <x v="0"/>
    <x v="11"/>
    <x v="2"/>
    <x v="4"/>
    <n v="91"/>
    <s v="S700_1691"/>
    <s v="FunGiftIdeas.com"/>
    <n v="5085552555"/>
    <s v="1785 First Street"/>
    <m/>
    <s v="New Bedford"/>
    <x v="18"/>
    <s v="MA"/>
    <n v="50553"/>
    <x v="0"/>
    <x v="0"/>
    <s v="NA"/>
    <s v="Benitez"/>
    <s v="Violeta"/>
    <x v="2"/>
  </r>
  <r>
    <n v="10398"/>
    <x v="20"/>
    <n v="87.69"/>
    <n v="6"/>
    <x v="1"/>
    <x v="2459"/>
    <s v="2/24/2003 0:2506"/>
    <x v="0"/>
    <x v="0"/>
    <s v="Shipped"/>
    <x v="0"/>
    <x v="11"/>
    <x v="2"/>
    <x v="4"/>
    <n v="91"/>
    <s v="S700_1691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401"/>
    <x v="54"/>
    <n v="100"/>
    <n v="8"/>
    <x v="0"/>
    <x v="2460"/>
    <s v="2/24/2003 0:2507"/>
    <x v="4"/>
    <x v="1"/>
    <s v="On Hold"/>
    <x v="1"/>
    <x v="8"/>
    <x v="2"/>
    <x v="4"/>
    <n v="91"/>
    <s v="S700_1691"/>
    <s v="Tekni Collectables Inc."/>
    <n v="2015559350"/>
    <s v="7476 Moss Rd."/>
    <m/>
    <s v="Newark"/>
    <x v="9"/>
    <s v="NJ"/>
    <n v="94019"/>
    <x v="0"/>
    <x v="0"/>
    <s v="NA"/>
    <s v="Brown"/>
    <s v="William"/>
    <x v="0"/>
  </r>
  <r>
    <n v="10416"/>
    <x v="10"/>
    <n v="91.34"/>
    <n v="9"/>
    <x v="0"/>
    <x v="2461"/>
    <s v="2/24/2003 0:2508"/>
    <x v="0"/>
    <x v="0"/>
    <s v="Shipped"/>
    <x v="1"/>
    <x v="1"/>
    <x v="2"/>
    <x v="4"/>
    <n v="91"/>
    <s v="S700_1691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05"/>
    <x v="6"/>
    <n v="70.150000000000006"/>
    <n v="12"/>
    <x v="0"/>
    <x v="2462"/>
    <s v="2/24/2003 0:2509"/>
    <x v="0"/>
    <x v="0"/>
    <s v="Shipped"/>
    <x v="0"/>
    <x v="0"/>
    <x v="0"/>
    <x v="5"/>
    <n v="86"/>
    <s v="S700_1938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117"/>
    <x v="19"/>
    <n v="79.680000000000007"/>
    <n v="6"/>
    <x v="0"/>
    <x v="2463"/>
    <s v="2/24/2003 0:2510"/>
    <x v="0"/>
    <x v="0"/>
    <s v="Shipped"/>
    <x v="1"/>
    <x v="8"/>
    <x v="0"/>
    <x v="5"/>
    <n v="86"/>
    <s v="S700_1938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28"/>
    <x v="22"/>
    <n v="97"/>
    <n v="3"/>
    <x v="0"/>
    <x v="2464"/>
    <s v="2/24/2003 0:2511"/>
    <x v="0"/>
    <x v="0"/>
    <s v="Shipped"/>
    <x v="1"/>
    <x v="9"/>
    <x v="0"/>
    <x v="5"/>
    <n v="86"/>
    <s v="S700_1938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42"/>
    <x v="30"/>
    <n v="84.01"/>
    <n v="9"/>
    <x v="0"/>
    <x v="2465"/>
    <s v="2/24/2003 0:2512"/>
    <x v="0"/>
    <x v="0"/>
    <s v="Shipped"/>
    <x v="2"/>
    <x v="3"/>
    <x v="0"/>
    <x v="5"/>
    <n v="86"/>
    <s v="S700_193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53"/>
    <x v="28"/>
    <n v="87.48"/>
    <n v="8"/>
    <x v="0"/>
    <x v="2466"/>
    <s v="2/24/2003 0:2513"/>
    <x v="0"/>
    <x v="0"/>
    <s v="Shipped"/>
    <x v="2"/>
    <x v="10"/>
    <x v="0"/>
    <x v="5"/>
    <n v="86"/>
    <s v="S700_193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66"/>
    <x v="6"/>
    <n v="100"/>
    <n v="3"/>
    <x v="0"/>
    <x v="2467"/>
    <s v="2/24/2003 0:2514"/>
    <x v="0"/>
    <x v="0"/>
    <s v="Shipped"/>
    <x v="3"/>
    <x v="4"/>
    <x v="0"/>
    <x v="5"/>
    <n v="86"/>
    <s v="S700_1938"/>
    <s v="FunGiftIdeas.com"/>
    <n v="5085552555"/>
    <s v="1785 First Street"/>
    <m/>
    <s v="New Bedford"/>
    <x v="18"/>
    <s v="MA"/>
    <n v="50553"/>
    <x v="0"/>
    <x v="0"/>
    <s v="NA"/>
    <s v="Benitez"/>
    <s v="Violeta"/>
    <x v="1"/>
  </r>
  <r>
    <n v="10177"/>
    <x v="28"/>
    <n v="88.34"/>
    <n v="10"/>
    <x v="0"/>
    <x v="2468"/>
    <s v="2/24/2003 0:2515"/>
    <x v="0"/>
    <x v="0"/>
    <s v="Shipped"/>
    <x v="3"/>
    <x v="5"/>
    <x v="0"/>
    <x v="5"/>
    <n v="86"/>
    <s v="S700_1938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0"/>
  </r>
  <r>
    <n v="10185"/>
    <x v="0"/>
    <n v="94.4"/>
    <n v="10"/>
    <x v="0"/>
    <x v="2296"/>
    <s v="2/24/2003 0:2516"/>
    <x v="0"/>
    <x v="0"/>
    <s v="Shipped"/>
    <x v="3"/>
    <x v="5"/>
    <x v="0"/>
    <x v="5"/>
    <n v="86"/>
    <s v="S700_1938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96"/>
    <x v="24"/>
    <n v="94.4"/>
    <n v="2"/>
    <x v="1"/>
    <x v="2469"/>
    <s v="2/24/2003 0:2517"/>
    <x v="0"/>
    <x v="0"/>
    <s v="Shipped"/>
    <x v="3"/>
    <x v="5"/>
    <x v="0"/>
    <x v="5"/>
    <n v="86"/>
    <s v="S700_1938"/>
    <s v="Super Scale Inc."/>
    <n v="2035559545"/>
    <s v="567 North Pendale Street"/>
    <m/>
    <s v="New Haven"/>
    <x v="28"/>
    <s v="CT"/>
    <n v="97823"/>
    <x v="0"/>
    <x v="0"/>
    <s v="NA"/>
    <s v="Murphy"/>
    <s v="Leslie"/>
    <x v="1"/>
  </r>
  <r>
    <n v="10208"/>
    <x v="23"/>
    <n v="80.55"/>
    <n v="10"/>
    <x v="0"/>
    <x v="2395"/>
    <s v="2/24/2003 0:2518"/>
    <x v="0"/>
    <x v="0"/>
    <s v="Shipped"/>
    <x v="0"/>
    <x v="7"/>
    <x v="1"/>
    <x v="5"/>
    <n v="86"/>
    <s v="S700_1938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21"/>
    <x v="10"/>
    <n v="97"/>
    <n v="4"/>
    <x v="0"/>
    <x v="2470"/>
    <s v="2/24/2003 0:2519"/>
    <x v="0"/>
    <x v="0"/>
    <s v="Shipped"/>
    <x v="0"/>
    <x v="0"/>
    <x v="1"/>
    <x v="5"/>
    <n v="86"/>
    <s v="S700_1938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232"/>
    <x v="18"/>
    <n v="88.34"/>
    <n v="7"/>
    <x v="0"/>
    <x v="2471"/>
    <s v="2/24/2003 0:2520"/>
    <x v="0"/>
    <x v="0"/>
    <s v="Shipped"/>
    <x v="0"/>
    <x v="11"/>
    <x v="1"/>
    <x v="5"/>
    <n v="86"/>
    <s v="S700_1938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248"/>
    <x v="23"/>
    <n v="100"/>
    <n v="13"/>
    <x v="1"/>
    <x v="2472"/>
    <s v="2/24/2003 0:2521"/>
    <x v="3"/>
    <x v="1"/>
    <s v="Cancelled"/>
    <x v="1"/>
    <x v="1"/>
    <x v="1"/>
    <x v="5"/>
    <n v="86"/>
    <s v="S700_1938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273"/>
    <x v="15"/>
    <n v="100"/>
    <n v="14"/>
    <x v="0"/>
    <x v="2473"/>
    <s v="2/24/2003 0:2522"/>
    <x v="0"/>
    <x v="0"/>
    <s v="Shipped"/>
    <x v="2"/>
    <x v="2"/>
    <x v="1"/>
    <x v="5"/>
    <n v="86"/>
    <s v="S700_1938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282"/>
    <x v="30"/>
    <n v="86.61"/>
    <n v="2"/>
    <x v="0"/>
    <x v="2474"/>
    <s v="2/24/2003 0:2523"/>
    <x v="0"/>
    <x v="0"/>
    <s v="Shipped"/>
    <x v="2"/>
    <x v="3"/>
    <x v="1"/>
    <x v="5"/>
    <n v="86"/>
    <s v="S700_1938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93"/>
    <x v="6"/>
    <n v="71.89"/>
    <n v="5"/>
    <x v="0"/>
    <x v="2475"/>
    <s v="2/24/2003 0:2524"/>
    <x v="0"/>
    <x v="0"/>
    <s v="Shipped"/>
    <x v="2"/>
    <x v="10"/>
    <x v="1"/>
    <x v="5"/>
    <n v="86"/>
    <s v="S700_1938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306"/>
    <x v="19"/>
    <n v="91.81"/>
    <n v="10"/>
    <x v="0"/>
    <x v="2476"/>
    <s v="2/24/2003 0:2525"/>
    <x v="0"/>
    <x v="0"/>
    <s v="Shipped"/>
    <x v="3"/>
    <x v="4"/>
    <x v="1"/>
    <x v="5"/>
    <n v="86"/>
    <s v="S700_1938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14"/>
    <x v="10"/>
    <n v="76.22"/>
    <n v="2"/>
    <x v="0"/>
    <x v="2477"/>
    <s v="2/24/2003 0:2526"/>
    <x v="0"/>
    <x v="0"/>
    <s v="Shipped"/>
    <x v="3"/>
    <x v="4"/>
    <x v="1"/>
    <x v="5"/>
    <n v="86"/>
    <s v="S700_1938"/>
    <s v="Heintze Collectables"/>
    <s v="86 21 3555"/>
    <s v="Smagsloget 45"/>
    <m/>
    <s v="Aaarhus"/>
    <x v="62"/>
    <m/>
    <n v="8200"/>
    <x v="13"/>
    <x v="13"/>
    <s v="EMEA"/>
    <s v="Ibsen"/>
    <s v="Palle"/>
    <x v="0"/>
  </r>
  <r>
    <n v="10327"/>
    <x v="14"/>
    <n v="100"/>
    <n v="7"/>
    <x v="0"/>
    <x v="2478"/>
    <s v="2/24/2003 0:2527"/>
    <x v="5"/>
    <x v="1"/>
    <s v="Resolved"/>
    <x v="3"/>
    <x v="5"/>
    <x v="1"/>
    <x v="5"/>
    <n v="86"/>
    <s v="S700_1938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337"/>
    <x v="5"/>
    <n v="70.3"/>
    <n v="9"/>
    <x v="0"/>
    <x v="2479"/>
    <s v="2/24/2003 0:2528"/>
    <x v="0"/>
    <x v="0"/>
    <s v="Shipped"/>
    <x v="3"/>
    <x v="5"/>
    <x v="1"/>
    <x v="5"/>
    <n v="86"/>
    <s v="S700_1938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0"/>
  </r>
  <r>
    <n v="10350"/>
    <x v="11"/>
    <n v="100"/>
    <n v="4"/>
    <x v="0"/>
    <x v="2480"/>
    <s v="2/24/2003 0:2529"/>
    <x v="0"/>
    <x v="0"/>
    <s v="Shipped"/>
    <x v="3"/>
    <x v="6"/>
    <x v="1"/>
    <x v="5"/>
    <n v="86"/>
    <s v="S700_1938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2"/>
    <x v="27"/>
    <n v="100"/>
    <n v="2"/>
    <x v="1"/>
    <x v="2481"/>
    <s v="2/24/2003 0:2530"/>
    <x v="0"/>
    <x v="0"/>
    <s v="Shipped"/>
    <x v="0"/>
    <x v="7"/>
    <x v="2"/>
    <x v="5"/>
    <n v="86"/>
    <s v="S700_1938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384"/>
    <x v="4"/>
    <n v="100"/>
    <n v="1"/>
    <x v="1"/>
    <x v="2482"/>
    <s v="2/24/2003 0:2531"/>
    <x v="0"/>
    <x v="0"/>
    <s v="Shipped"/>
    <x v="0"/>
    <x v="0"/>
    <x v="2"/>
    <x v="5"/>
    <n v="86"/>
    <s v="S700_1938"/>
    <s v="Corporate Gift Ideas Co."/>
    <n v="6505551386"/>
    <s v="7734 Strong St."/>
    <m/>
    <s v="San Francisco"/>
    <x v="4"/>
    <s v="CA"/>
    <m/>
    <x v="0"/>
    <x v="0"/>
    <s v="NA"/>
    <s v="Brown"/>
    <s v="Julie"/>
    <x v="1"/>
  </r>
  <r>
    <n v="10397"/>
    <x v="22"/>
    <n v="80.55"/>
    <n v="5"/>
    <x v="0"/>
    <x v="2483"/>
    <s v="2/24/2003 0:2532"/>
    <x v="0"/>
    <x v="0"/>
    <s v="Shipped"/>
    <x v="0"/>
    <x v="11"/>
    <x v="2"/>
    <x v="5"/>
    <n v="86"/>
    <s v="S700_1938"/>
    <s v="Alpha Cognac"/>
    <s v="61.77.6555"/>
    <s v="1 rue Alsace-Lorraine"/>
    <m/>
    <s v="Toulouse"/>
    <x v="42"/>
    <m/>
    <n v="31000"/>
    <x v="1"/>
    <x v="1"/>
    <s v="EMEA"/>
    <s v="Roulet"/>
    <s v="Annette"/>
    <x v="0"/>
  </r>
  <r>
    <n v="10414"/>
    <x v="1"/>
    <n v="100"/>
    <n v="13"/>
    <x v="0"/>
    <x v="2484"/>
    <s v="2/24/2003 0:2533"/>
    <x v="4"/>
    <x v="1"/>
    <s v="On Hold"/>
    <x v="1"/>
    <x v="1"/>
    <x v="2"/>
    <x v="5"/>
    <n v="86"/>
    <s v="S700_1938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106"/>
    <x v="0"/>
    <n v="100"/>
    <n v="16"/>
    <x v="0"/>
    <x v="2485"/>
    <s v="2/24/2003 0:2534"/>
    <x v="0"/>
    <x v="0"/>
    <s v="Shipped"/>
    <x v="0"/>
    <x v="0"/>
    <x v="0"/>
    <x v="5"/>
    <n v="90"/>
    <s v="S700_2047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19"/>
    <x v="6"/>
    <n v="94.14"/>
    <n v="7"/>
    <x v="0"/>
    <x v="2486"/>
    <s v="2/24/2003 0:2535"/>
    <x v="0"/>
    <x v="0"/>
    <s v="Shipped"/>
    <x v="1"/>
    <x v="8"/>
    <x v="0"/>
    <x v="5"/>
    <n v="90"/>
    <s v="S700_2047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31"/>
    <x v="8"/>
    <n v="85.99"/>
    <n v="8"/>
    <x v="0"/>
    <x v="2487"/>
    <s v="2/24/2003 0:2536"/>
    <x v="0"/>
    <x v="0"/>
    <s v="Shipped"/>
    <x v="1"/>
    <x v="9"/>
    <x v="0"/>
    <x v="5"/>
    <n v="90"/>
    <s v="S700_2047"/>
    <s v="Gift Ideas Corp."/>
    <n v="2035554407"/>
    <s v="2440 Pompton St."/>
    <m/>
    <s v="Glendale"/>
    <x v="63"/>
    <s v="CT"/>
    <n v="97561"/>
    <x v="0"/>
    <x v="0"/>
    <s v="NA"/>
    <s v="Lewis"/>
    <s v="Dan"/>
    <x v="0"/>
  </r>
  <r>
    <n v="10143"/>
    <x v="18"/>
    <n v="100"/>
    <n v="11"/>
    <x v="0"/>
    <x v="2488"/>
    <s v="2/24/2003 0:2537"/>
    <x v="0"/>
    <x v="0"/>
    <s v="Shipped"/>
    <x v="2"/>
    <x v="3"/>
    <x v="0"/>
    <x v="5"/>
    <n v="90"/>
    <s v="S700_2047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55"/>
    <x v="22"/>
    <n v="91.43"/>
    <n v="9"/>
    <x v="0"/>
    <x v="2489"/>
    <s v="2/24/2003 0:2538"/>
    <x v="0"/>
    <x v="0"/>
    <s v="Shipped"/>
    <x v="3"/>
    <x v="4"/>
    <x v="0"/>
    <x v="5"/>
    <n v="90"/>
    <s v="S700_2047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167"/>
    <x v="6"/>
    <n v="100"/>
    <n v="5"/>
    <x v="0"/>
    <x v="2490"/>
    <s v="2/24/2003 0:2539"/>
    <x v="3"/>
    <x v="1"/>
    <s v="Cancelled"/>
    <x v="3"/>
    <x v="4"/>
    <x v="0"/>
    <x v="5"/>
    <n v="90"/>
    <s v="S700_2047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178"/>
    <x v="1"/>
    <n v="96.86"/>
    <n v="8"/>
    <x v="0"/>
    <x v="2491"/>
    <s v="2/24/2003 0:2540"/>
    <x v="0"/>
    <x v="0"/>
    <s v="Shipped"/>
    <x v="3"/>
    <x v="5"/>
    <x v="0"/>
    <x v="5"/>
    <n v="90"/>
    <s v="S700_2047"/>
    <s v="Alpha Cognac"/>
    <s v="61.77.6555"/>
    <s v="1 rue Alsace-Lorraine"/>
    <m/>
    <s v="Toulouse"/>
    <x v="42"/>
    <m/>
    <n v="31000"/>
    <x v="1"/>
    <x v="1"/>
    <s v="EMEA"/>
    <s v="Roulet"/>
    <s v="Annette"/>
    <x v="1"/>
  </r>
  <r>
    <n v="10186"/>
    <x v="16"/>
    <n v="99.57"/>
    <n v="5"/>
    <x v="0"/>
    <x v="2492"/>
    <s v="2/24/2003 0:2541"/>
    <x v="0"/>
    <x v="0"/>
    <s v="Shipped"/>
    <x v="3"/>
    <x v="5"/>
    <x v="0"/>
    <x v="5"/>
    <n v="90"/>
    <s v="S700_2047"/>
    <s v="Double Decker Gift Stores, Ltd"/>
    <s v="(171) 555-7555"/>
    <s v="120 Hanover Sq."/>
    <m/>
    <s v="London"/>
    <x v="41"/>
    <m/>
    <s v="WA1 1DP"/>
    <x v="6"/>
    <x v="6"/>
    <s v="EMEA"/>
    <s v="Hardy"/>
    <s v="Thomas"/>
    <x v="0"/>
  </r>
  <r>
    <n v="10197"/>
    <x v="16"/>
    <n v="90.52"/>
    <n v="2"/>
    <x v="0"/>
    <x v="2493"/>
    <s v="2/24/2003 0:2542"/>
    <x v="0"/>
    <x v="0"/>
    <s v="Shipped"/>
    <x v="3"/>
    <x v="5"/>
    <x v="0"/>
    <x v="5"/>
    <n v="90"/>
    <s v="S700_2047"/>
    <s v="Enaco Distributors"/>
    <s v="(93) 203 4555"/>
    <s v="Rambla de Catalu¤a, 23"/>
    <m/>
    <s v="Barcelona"/>
    <x v="43"/>
    <m/>
    <n v="8022"/>
    <x v="7"/>
    <x v="7"/>
    <s v="EMEA"/>
    <s v="Saavedra"/>
    <s v="Eduardo"/>
    <x v="0"/>
  </r>
  <r>
    <n v="10209"/>
    <x v="29"/>
    <n v="88.71"/>
    <n v="4"/>
    <x v="0"/>
    <x v="2494"/>
    <s v="2/24/2003 0:2543"/>
    <x v="0"/>
    <x v="0"/>
    <s v="Shipped"/>
    <x v="0"/>
    <x v="7"/>
    <x v="1"/>
    <x v="5"/>
    <n v="90"/>
    <s v="S700_2047"/>
    <s v="Men 'R' US Retailers, Ltd."/>
    <n v="2155554369"/>
    <s v="6047 Douglas Av."/>
    <m/>
    <s v="Los Angeles"/>
    <x v="44"/>
    <s v="CA"/>
    <m/>
    <x v="0"/>
    <x v="0"/>
    <s v="NA"/>
    <s v="Chandler"/>
    <s v="Michael"/>
    <x v="0"/>
  </r>
  <r>
    <n v="10222"/>
    <x v="18"/>
    <n v="100"/>
    <n v="8"/>
    <x v="0"/>
    <x v="2495"/>
    <s v="2/24/2003 0:2544"/>
    <x v="0"/>
    <x v="0"/>
    <s v="Shipped"/>
    <x v="0"/>
    <x v="0"/>
    <x v="1"/>
    <x v="5"/>
    <n v="90"/>
    <s v="S700_2047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0"/>
  </r>
  <r>
    <n v="10249"/>
    <x v="23"/>
    <n v="95.95"/>
    <n v="4"/>
    <x v="0"/>
    <x v="2496"/>
    <s v="2/24/2003 0:2545"/>
    <x v="0"/>
    <x v="0"/>
    <s v="Shipped"/>
    <x v="1"/>
    <x v="1"/>
    <x v="1"/>
    <x v="5"/>
    <n v="90"/>
    <s v="S700_2047"/>
    <s v="Cambridge Collectables Co."/>
    <n v="6175555555"/>
    <s v="4658 Baden Av."/>
    <m/>
    <s v="Cambridge"/>
    <x v="12"/>
    <s v="MA"/>
    <n v="51247"/>
    <x v="0"/>
    <x v="0"/>
    <s v="NA"/>
    <s v="Tseng"/>
    <s v="Kyung"/>
    <x v="1"/>
  </r>
  <r>
    <n v="10262"/>
    <x v="27"/>
    <n v="94.14"/>
    <n v="13"/>
    <x v="1"/>
    <x v="2497"/>
    <s v="2/24/2003 0:2546"/>
    <x v="3"/>
    <x v="1"/>
    <s v="Cancelled"/>
    <x v="1"/>
    <x v="9"/>
    <x v="1"/>
    <x v="5"/>
    <n v="90"/>
    <s v="S700_2047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274"/>
    <x v="16"/>
    <n v="90.52"/>
    <n v="5"/>
    <x v="0"/>
    <x v="2493"/>
    <s v="2/24/2003 0:2547"/>
    <x v="0"/>
    <x v="0"/>
    <s v="Shipped"/>
    <x v="2"/>
    <x v="2"/>
    <x v="1"/>
    <x v="5"/>
    <n v="90"/>
    <s v="S700_2047"/>
    <s v="Collectables For Less Inc."/>
    <n v="6175558555"/>
    <s v="7825 Douglas Av."/>
    <m/>
    <s v="Brickhaven"/>
    <x v="35"/>
    <s v="MA"/>
    <n v="58339"/>
    <x v="0"/>
    <x v="0"/>
    <s v="NA"/>
    <s v="Nelson"/>
    <s v="Allen"/>
    <x v="0"/>
  </r>
  <r>
    <n v="10283"/>
    <x v="14"/>
    <n v="94.14"/>
    <n v="2"/>
    <x v="0"/>
    <x v="2498"/>
    <s v="2/24/2003 0:2548"/>
    <x v="0"/>
    <x v="0"/>
    <s v="Shipped"/>
    <x v="2"/>
    <x v="3"/>
    <x v="1"/>
    <x v="5"/>
    <n v="90"/>
    <s v="S700_2047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96"/>
    <x v="1"/>
    <n v="100"/>
    <n v="11"/>
    <x v="0"/>
    <x v="2499"/>
    <s v="2/24/2003 0:2549"/>
    <x v="0"/>
    <x v="0"/>
    <s v="Shipped"/>
    <x v="2"/>
    <x v="10"/>
    <x v="1"/>
    <x v="5"/>
    <n v="90"/>
    <s v="S700_2047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1"/>
  </r>
  <r>
    <n v="10307"/>
    <x v="1"/>
    <n v="97.76"/>
    <n v="5"/>
    <x v="0"/>
    <x v="2500"/>
    <s v="2/24/2003 0:2550"/>
    <x v="0"/>
    <x v="0"/>
    <s v="Shipped"/>
    <x v="3"/>
    <x v="4"/>
    <x v="1"/>
    <x v="5"/>
    <n v="90"/>
    <s v="S700_2047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1"/>
  </r>
  <r>
    <n v="10316"/>
    <x v="3"/>
    <n v="93.24"/>
    <n v="13"/>
    <x v="1"/>
    <x v="2501"/>
    <s v="2/24/2003 0:2551"/>
    <x v="0"/>
    <x v="0"/>
    <s v="Shipped"/>
    <x v="3"/>
    <x v="5"/>
    <x v="1"/>
    <x v="5"/>
    <n v="90"/>
    <s v="S700_2047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1"/>
  </r>
  <r>
    <n v="10328"/>
    <x v="2"/>
    <n v="100"/>
    <n v="9"/>
    <x v="1"/>
    <x v="2502"/>
    <s v="2/24/2003 0:2552"/>
    <x v="0"/>
    <x v="0"/>
    <s v="Shipped"/>
    <x v="3"/>
    <x v="5"/>
    <x v="1"/>
    <x v="5"/>
    <n v="90"/>
    <s v="S700_2047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339"/>
    <x v="36"/>
    <n v="71.25"/>
    <n v="15"/>
    <x v="0"/>
    <x v="2503"/>
    <s v="2/24/2003 0:2553"/>
    <x v="0"/>
    <x v="0"/>
    <s v="Shipped"/>
    <x v="3"/>
    <x v="5"/>
    <x v="1"/>
    <x v="5"/>
    <n v="90"/>
    <s v="S700_2047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352"/>
    <x v="10"/>
    <n v="100"/>
    <n v="3"/>
    <x v="0"/>
    <x v="2504"/>
    <s v="2/24/2003 0:2554"/>
    <x v="0"/>
    <x v="0"/>
    <s v="Shipped"/>
    <x v="3"/>
    <x v="6"/>
    <x v="1"/>
    <x v="5"/>
    <n v="90"/>
    <s v="S700_2047"/>
    <s v="Auto-Moto Classics Inc."/>
    <n v="6175558428"/>
    <s v="16780 Pompton St."/>
    <m/>
    <s v="Brickhaven"/>
    <x v="35"/>
    <s v="MA"/>
    <n v="58339"/>
    <x v="0"/>
    <x v="0"/>
    <s v="NA"/>
    <s v="Taylor"/>
    <s v="Leslie"/>
    <x v="0"/>
  </r>
  <r>
    <n v="10361"/>
    <x v="16"/>
    <n v="45.39"/>
    <n v="14"/>
    <x v="0"/>
    <x v="2505"/>
    <s v="2/24/2003 0:2555"/>
    <x v="0"/>
    <x v="0"/>
    <s v="Shipped"/>
    <x v="3"/>
    <x v="6"/>
    <x v="1"/>
    <x v="5"/>
    <n v="90"/>
    <s v="S700_2047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373"/>
    <x v="22"/>
    <n v="84.41"/>
    <n v="15"/>
    <x v="0"/>
    <x v="2506"/>
    <s v="2/24/2003 0:2556"/>
    <x v="0"/>
    <x v="0"/>
    <s v="Shipped"/>
    <x v="0"/>
    <x v="7"/>
    <x v="2"/>
    <x v="5"/>
    <n v="90"/>
    <s v="S700_2047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386"/>
    <x v="6"/>
    <n v="85.76"/>
    <n v="13"/>
    <x v="0"/>
    <x v="2507"/>
    <s v="2/24/2003 0:2557"/>
    <x v="5"/>
    <x v="1"/>
    <s v="Resolved"/>
    <x v="0"/>
    <x v="11"/>
    <x v="2"/>
    <x v="5"/>
    <n v="90"/>
    <s v="S700_2047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8"/>
    <x v="5"/>
    <n v="100"/>
    <n v="7"/>
    <x v="0"/>
    <x v="2508"/>
    <s v="2/24/2003 0:2558"/>
    <x v="0"/>
    <x v="0"/>
    <s v="Shipped"/>
    <x v="0"/>
    <x v="11"/>
    <x v="2"/>
    <x v="5"/>
    <n v="90"/>
    <s v="S700_2047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400"/>
    <x v="12"/>
    <n v="87.8"/>
    <n v="5"/>
    <x v="1"/>
    <x v="2509"/>
    <s v="2/24/2003 0:2559"/>
    <x v="0"/>
    <x v="0"/>
    <s v="Shipped"/>
    <x v="1"/>
    <x v="8"/>
    <x v="2"/>
    <x v="5"/>
    <n v="90"/>
    <s v="S700_2047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415"/>
    <x v="22"/>
    <n v="95.95"/>
    <n v="4"/>
    <x v="0"/>
    <x v="2510"/>
    <s v="2/24/2003 0:2560"/>
    <x v="1"/>
    <x v="1"/>
    <s v="Disputed"/>
    <x v="1"/>
    <x v="1"/>
    <x v="2"/>
    <x v="5"/>
    <n v="90"/>
    <s v="S700_2047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1"/>
  </r>
  <r>
    <n v="10106"/>
    <x v="1"/>
    <n v="100"/>
    <n v="9"/>
    <x v="0"/>
    <x v="2511"/>
    <s v="2/24/2003 0:2561"/>
    <x v="0"/>
    <x v="0"/>
    <s v="Shipped"/>
    <x v="0"/>
    <x v="0"/>
    <x v="0"/>
    <x v="4"/>
    <n v="99"/>
    <s v="S700_2466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20"/>
    <x v="16"/>
    <n v="100"/>
    <n v="15"/>
    <x v="0"/>
    <x v="2512"/>
    <s v="2/24/2003 0:2562"/>
    <x v="0"/>
    <x v="0"/>
    <s v="Shipped"/>
    <x v="1"/>
    <x v="8"/>
    <x v="0"/>
    <x v="4"/>
    <n v="99"/>
    <s v="S700_2466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131"/>
    <x v="23"/>
    <n v="100"/>
    <n v="1"/>
    <x v="1"/>
    <x v="2513"/>
    <s v="2/24/2003 0:2563"/>
    <x v="0"/>
    <x v="0"/>
    <s v="Shipped"/>
    <x v="1"/>
    <x v="9"/>
    <x v="0"/>
    <x v="4"/>
    <n v="99"/>
    <s v="S700_2466"/>
    <s v="Gift Ideas Corp."/>
    <n v="2035554407"/>
    <s v="2440 Pompton St."/>
    <m/>
    <s v="Glendale"/>
    <x v="63"/>
    <s v="CT"/>
    <n v="97561"/>
    <x v="0"/>
    <x v="0"/>
    <s v="NA"/>
    <s v="Lewis"/>
    <s v="Dan"/>
    <x v="1"/>
  </r>
  <r>
    <n v="10143"/>
    <x v="18"/>
    <n v="82.77"/>
    <n v="4"/>
    <x v="0"/>
    <x v="2514"/>
    <s v="2/24/2003 0:2564"/>
    <x v="0"/>
    <x v="0"/>
    <s v="Shipped"/>
    <x v="2"/>
    <x v="3"/>
    <x v="0"/>
    <x v="4"/>
    <n v="99"/>
    <s v="S700_2466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55"/>
    <x v="14"/>
    <n v="100"/>
    <n v="2"/>
    <x v="0"/>
    <x v="2515"/>
    <s v="2/24/2003 0:2565"/>
    <x v="0"/>
    <x v="0"/>
    <s v="Shipped"/>
    <x v="3"/>
    <x v="4"/>
    <x v="0"/>
    <x v="4"/>
    <n v="99"/>
    <s v="S700_2466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168"/>
    <x v="28"/>
    <n v="100"/>
    <n v="16"/>
    <x v="0"/>
    <x v="2516"/>
    <s v="2/24/2003 0:2566"/>
    <x v="0"/>
    <x v="0"/>
    <s v="Shipped"/>
    <x v="3"/>
    <x v="4"/>
    <x v="0"/>
    <x v="4"/>
    <n v="99"/>
    <s v="S700_2466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78"/>
    <x v="8"/>
    <n v="87.75"/>
    <n v="1"/>
    <x v="0"/>
    <x v="2517"/>
    <s v="2/24/2003 0:2567"/>
    <x v="0"/>
    <x v="0"/>
    <s v="Shipped"/>
    <x v="3"/>
    <x v="5"/>
    <x v="0"/>
    <x v="4"/>
    <n v="99"/>
    <s v="S700_2466"/>
    <s v="Alpha Cognac"/>
    <s v="61.77.6555"/>
    <s v="1 rue Alsace-Lorraine"/>
    <m/>
    <s v="Toulouse"/>
    <x v="42"/>
    <m/>
    <n v="31000"/>
    <x v="1"/>
    <x v="1"/>
    <s v="EMEA"/>
    <s v="Roulet"/>
    <s v="Annette"/>
    <x v="0"/>
  </r>
  <r>
    <n v="10198"/>
    <x v="13"/>
    <n v="100"/>
    <n v="1"/>
    <x v="1"/>
    <x v="2518"/>
    <s v="2/24/2003 0:2568"/>
    <x v="0"/>
    <x v="0"/>
    <s v="Shipped"/>
    <x v="3"/>
    <x v="5"/>
    <x v="0"/>
    <x v="4"/>
    <n v="99"/>
    <s v="S700_2466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1"/>
  </r>
  <r>
    <n v="10210"/>
    <x v="18"/>
    <n v="99.72"/>
    <n v="14"/>
    <x v="0"/>
    <x v="2519"/>
    <s v="2/24/2003 0:2569"/>
    <x v="0"/>
    <x v="0"/>
    <s v="Shipped"/>
    <x v="0"/>
    <x v="7"/>
    <x v="1"/>
    <x v="4"/>
    <n v="99"/>
    <s v="S700_2466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0"/>
  </r>
  <r>
    <n v="10222"/>
    <x v="9"/>
    <n v="87.75"/>
    <n v="1"/>
    <x v="0"/>
    <x v="2520"/>
    <s v="2/24/2003 0:2570"/>
    <x v="0"/>
    <x v="0"/>
    <s v="Shipped"/>
    <x v="0"/>
    <x v="0"/>
    <x v="1"/>
    <x v="4"/>
    <n v="99"/>
    <s v="S700_2466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35"/>
    <x v="19"/>
    <n v="88.75"/>
    <n v="10"/>
    <x v="0"/>
    <x v="2521"/>
    <s v="2/24/2003 0:2571"/>
    <x v="0"/>
    <x v="0"/>
    <s v="Shipped"/>
    <x v="1"/>
    <x v="8"/>
    <x v="1"/>
    <x v="4"/>
    <n v="99"/>
    <s v="S700_2466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1"/>
  </r>
  <r>
    <n v="10250"/>
    <x v="21"/>
    <n v="100"/>
    <n v="11"/>
    <x v="0"/>
    <x v="2522"/>
    <s v="2/24/2003 0:2572"/>
    <x v="0"/>
    <x v="0"/>
    <s v="Shipped"/>
    <x v="1"/>
    <x v="1"/>
    <x v="1"/>
    <x v="4"/>
    <n v="99"/>
    <s v="S700_2466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262"/>
    <x v="29"/>
    <n v="90.75"/>
    <n v="6"/>
    <x v="0"/>
    <x v="2523"/>
    <s v="2/24/2003 0:2573"/>
    <x v="3"/>
    <x v="1"/>
    <s v="Cancelled"/>
    <x v="1"/>
    <x v="9"/>
    <x v="1"/>
    <x v="4"/>
    <n v="99"/>
    <s v="S700_2466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75"/>
    <x v="25"/>
    <n v="100"/>
    <n v="16"/>
    <x v="1"/>
    <x v="2524"/>
    <s v="2/24/2003 0:2574"/>
    <x v="0"/>
    <x v="0"/>
    <s v="Shipped"/>
    <x v="2"/>
    <x v="2"/>
    <x v="1"/>
    <x v="4"/>
    <n v="99"/>
    <s v="S700_2466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284"/>
    <x v="3"/>
    <n v="100"/>
    <n v="8"/>
    <x v="1"/>
    <x v="2525"/>
    <s v="2/24/2003 0:2575"/>
    <x v="0"/>
    <x v="0"/>
    <s v="Shipped"/>
    <x v="2"/>
    <x v="3"/>
    <x v="1"/>
    <x v="4"/>
    <n v="99"/>
    <s v="S700_2466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1"/>
  </r>
  <r>
    <n v="10296"/>
    <x v="16"/>
    <n v="100"/>
    <n v="4"/>
    <x v="0"/>
    <x v="1304"/>
    <s v="2/24/2003 0:2576"/>
    <x v="0"/>
    <x v="0"/>
    <s v="Shipped"/>
    <x v="2"/>
    <x v="10"/>
    <x v="1"/>
    <x v="4"/>
    <n v="99"/>
    <s v="S700_2466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0"/>
  </r>
  <r>
    <n v="10308"/>
    <x v="21"/>
    <n v="88.75"/>
    <n v="14"/>
    <x v="0"/>
    <x v="2526"/>
    <s v="2/24/2003 0:2577"/>
    <x v="0"/>
    <x v="0"/>
    <s v="Shipped"/>
    <x v="3"/>
    <x v="4"/>
    <x v="1"/>
    <x v="4"/>
    <n v="99"/>
    <s v="S700_2466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316"/>
    <x v="10"/>
    <n v="100"/>
    <n v="6"/>
    <x v="0"/>
    <x v="2527"/>
    <s v="2/24/2003 0:2578"/>
    <x v="0"/>
    <x v="0"/>
    <s v="Shipped"/>
    <x v="3"/>
    <x v="5"/>
    <x v="1"/>
    <x v="4"/>
    <n v="99"/>
    <s v="S700_2466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328"/>
    <x v="9"/>
    <n v="100"/>
    <n v="10"/>
    <x v="1"/>
    <x v="2528"/>
    <s v="2/24/2003 0:2579"/>
    <x v="0"/>
    <x v="0"/>
    <s v="Shipped"/>
    <x v="3"/>
    <x v="5"/>
    <x v="1"/>
    <x v="4"/>
    <n v="99"/>
    <s v="S700_2466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340"/>
    <x v="36"/>
    <n v="87.75"/>
    <n v="7"/>
    <x v="1"/>
    <x v="2529"/>
    <s v="2/24/2003 0:2580"/>
    <x v="0"/>
    <x v="0"/>
    <s v="Shipped"/>
    <x v="3"/>
    <x v="5"/>
    <x v="1"/>
    <x v="4"/>
    <n v="99"/>
    <s v="S700_2466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352"/>
    <x v="4"/>
    <n v="100"/>
    <n v="2"/>
    <x v="1"/>
    <x v="2530"/>
    <s v="2/24/2003 0:2581"/>
    <x v="0"/>
    <x v="0"/>
    <s v="Shipped"/>
    <x v="3"/>
    <x v="6"/>
    <x v="1"/>
    <x v="4"/>
    <n v="99"/>
    <s v="S700_2466"/>
    <s v="Auto-Moto Classics Inc."/>
    <n v="6175558428"/>
    <s v="16780 Pompton St."/>
    <m/>
    <s v="Brickhaven"/>
    <x v="35"/>
    <s v="MA"/>
    <n v="58339"/>
    <x v="0"/>
    <x v="0"/>
    <s v="NA"/>
    <s v="Taylor"/>
    <s v="Leslie"/>
    <x v="1"/>
  </r>
  <r>
    <n v="10361"/>
    <x v="18"/>
    <n v="100"/>
    <n v="9"/>
    <x v="0"/>
    <x v="2531"/>
    <s v="2/24/2003 0:2582"/>
    <x v="0"/>
    <x v="0"/>
    <s v="Shipped"/>
    <x v="3"/>
    <x v="6"/>
    <x v="1"/>
    <x v="4"/>
    <n v="99"/>
    <s v="S700_2466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375"/>
    <x v="29"/>
    <n v="100"/>
    <n v="1"/>
    <x v="0"/>
    <x v="2532"/>
    <s v="2/24/2003 0:2583"/>
    <x v="0"/>
    <x v="0"/>
    <s v="Shipped"/>
    <x v="0"/>
    <x v="0"/>
    <x v="2"/>
    <x v="4"/>
    <n v="99"/>
    <s v="S700_2466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86"/>
    <x v="9"/>
    <n v="83.84"/>
    <n v="14"/>
    <x v="0"/>
    <x v="2533"/>
    <s v="2/24/2003 0:2584"/>
    <x v="5"/>
    <x v="1"/>
    <s v="Resolved"/>
    <x v="0"/>
    <x v="11"/>
    <x v="2"/>
    <x v="4"/>
    <n v="99"/>
    <s v="S700_2466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8"/>
    <x v="8"/>
    <n v="86.76"/>
    <n v="8"/>
    <x v="0"/>
    <x v="2534"/>
    <s v="2/24/2003 0:2585"/>
    <x v="0"/>
    <x v="0"/>
    <s v="Shipped"/>
    <x v="0"/>
    <x v="11"/>
    <x v="2"/>
    <x v="4"/>
    <n v="99"/>
    <s v="S700_2466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401"/>
    <x v="56"/>
    <n v="88.75"/>
    <n v="10"/>
    <x v="1"/>
    <x v="2535"/>
    <s v="2/24/2003 0:2586"/>
    <x v="4"/>
    <x v="1"/>
    <s v="On Hold"/>
    <x v="1"/>
    <x v="8"/>
    <x v="2"/>
    <x v="4"/>
    <n v="99"/>
    <s v="S700_2466"/>
    <s v="Tekni Collectables Inc."/>
    <n v="2015559350"/>
    <s v="7476 Moss Rd."/>
    <m/>
    <s v="Newark"/>
    <x v="9"/>
    <s v="NJ"/>
    <n v="94019"/>
    <x v="0"/>
    <x v="0"/>
    <s v="NA"/>
    <s v="Brown"/>
    <s v="William"/>
    <x v="2"/>
  </r>
  <r>
    <n v="10416"/>
    <x v="8"/>
    <n v="100"/>
    <n v="11"/>
    <x v="0"/>
    <x v="2536"/>
    <s v="2/24/2003 0:2587"/>
    <x v="0"/>
    <x v="0"/>
    <s v="Shipped"/>
    <x v="1"/>
    <x v="1"/>
    <x v="2"/>
    <x v="4"/>
    <n v="99"/>
    <s v="S700_2466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05"/>
    <x v="28"/>
    <n v="65.77"/>
    <n v="3"/>
    <x v="0"/>
    <x v="2537"/>
    <s v="2/24/2003 0:2588"/>
    <x v="0"/>
    <x v="0"/>
    <s v="Shipped"/>
    <x v="0"/>
    <x v="0"/>
    <x v="0"/>
    <x v="5"/>
    <n v="72"/>
    <s v="S700_2610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119"/>
    <x v="19"/>
    <n v="65.77"/>
    <n v="12"/>
    <x v="0"/>
    <x v="2538"/>
    <s v="2/24/2003 0:2589"/>
    <x v="0"/>
    <x v="0"/>
    <s v="Shipped"/>
    <x v="1"/>
    <x v="8"/>
    <x v="0"/>
    <x v="5"/>
    <n v="72"/>
    <s v="S700_2610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29"/>
    <x v="3"/>
    <n v="85.29"/>
    <n v="3"/>
    <x v="0"/>
    <x v="2539"/>
    <s v="2/24/2003 0:2590"/>
    <x v="0"/>
    <x v="0"/>
    <s v="Shipped"/>
    <x v="1"/>
    <x v="9"/>
    <x v="0"/>
    <x v="5"/>
    <n v="72"/>
    <s v="S700_2610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43"/>
    <x v="28"/>
    <n v="85.29"/>
    <n v="16"/>
    <x v="0"/>
    <x v="2540"/>
    <s v="2/24/2003 0:2591"/>
    <x v="0"/>
    <x v="0"/>
    <s v="Shipped"/>
    <x v="2"/>
    <x v="3"/>
    <x v="0"/>
    <x v="5"/>
    <n v="72"/>
    <s v="S700_2610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54"/>
    <x v="5"/>
    <n v="64.33"/>
    <n v="1"/>
    <x v="0"/>
    <x v="2541"/>
    <s v="2/24/2003 0:2592"/>
    <x v="0"/>
    <x v="0"/>
    <s v="Shipped"/>
    <x v="3"/>
    <x v="4"/>
    <x v="0"/>
    <x v="5"/>
    <n v="72"/>
    <s v="S700_2610"/>
    <s v="Boards &amp; Toys Co."/>
    <n v="3105552373"/>
    <s v="4097 Douglas Av."/>
    <m/>
    <s v="Glendale"/>
    <x v="63"/>
    <s v="CA"/>
    <n v="92561"/>
    <x v="0"/>
    <x v="0"/>
    <s v="NA"/>
    <s v="Young"/>
    <s v="Leslie"/>
    <x v="0"/>
  </r>
  <r>
    <n v="10167"/>
    <x v="12"/>
    <n v="70.11"/>
    <n v="10"/>
    <x v="0"/>
    <x v="2542"/>
    <s v="2/24/2003 0:2593"/>
    <x v="3"/>
    <x v="1"/>
    <s v="Cancelled"/>
    <x v="3"/>
    <x v="4"/>
    <x v="0"/>
    <x v="5"/>
    <n v="72"/>
    <s v="S700_2610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177"/>
    <x v="22"/>
    <n v="76.62"/>
    <n v="1"/>
    <x v="0"/>
    <x v="2543"/>
    <s v="2/24/2003 0:2594"/>
    <x v="0"/>
    <x v="0"/>
    <s v="Shipped"/>
    <x v="3"/>
    <x v="5"/>
    <x v="0"/>
    <x v="5"/>
    <n v="72"/>
    <s v="S700_2610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0"/>
  </r>
  <r>
    <n v="10185"/>
    <x v="25"/>
    <n v="57.82"/>
    <n v="1"/>
    <x v="0"/>
    <x v="2544"/>
    <s v="2/24/2003 0:2595"/>
    <x v="0"/>
    <x v="0"/>
    <s v="Shipped"/>
    <x v="3"/>
    <x v="5"/>
    <x v="0"/>
    <x v="5"/>
    <n v="72"/>
    <s v="S700_2610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97"/>
    <x v="24"/>
    <n v="78.790000000000006"/>
    <n v="7"/>
    <x v="0"/>
    <x v="2545"/>
    <s v="2/24/2003 0:2596"/>
    <x v="0"/>
    <x v="0"/>
    <s v="Shipped"/>
    <x v="3"/>
    <x v="5"/>
    <x v="0"/>
    <x v="5"/>
    <n v="72"/>
    <s v="S700_2610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208"/>
    <x v="12"/>
    <n v="74.45"/>
    <n v="1"/>
    <x v="0"/>
    <x v="2546"/>
    <s v="2/24/2003 0:2597"/>
    <x v="0"/>
    <x v="0"/>
    <s v="Shipped"/>
    <x v="0"/>
    <x v="7"/>
    <x v="1"/>
    <x v="5"/>
    <n v="72"/>
    <s v="S700_2610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22"/>
    <x v="5"/>
    <n v="80.95"/>
    <n v="13"/>
    <x v="0"/>
    <x v="2547"/>
    <s v="2/24/2003 0:2598"/>
    <x v="0"/>
    <x v="0"/>
    <s v="Shipped"/>
    <x v="0"/>
    <x v="0"/>
    <x v="1"/>
    <x v="5"/>
    <n v="72"/>
    <s v="S700_2610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0"/>
  </r>
  <r>
    <n v="10233"/>
    <x v="6"/>
    <n v="82.4"/>
    <n v="1"/>
    <x v="0"/>
    <x v="2548"/>
    <s v="2/24/2003 0:2599"/>
    <x v="0"/>
    <x v="0"/>
    <s v="Shipped"/>
    <x v="0"/>
    <x v="11"/>
    <x v="1"/>
    <x v="5"/>
    <n v="72"/>
    <s v="S700_2610"/>
    <s v="Tekni Collectables Inc."/>
    <n v="2015559350"/>
    <s v="7476 Moss Rd."/>
    <m/>
    <s v="Newark"/>
    <x v="9"/>
    <s v="NJ"/>
    <n v="94019"/>
    <x v="0"/>
    <x v="0"/>
    <s v="NA"/>
    <s v="Brown"/>
    <s v="William"/>
    <x v="0"/>
  </r>
  <r>
    <n v="10248"/>
    <x v="22"/>
    <n v="75.89"/>
    <n v="4"/>
    <x v="0"/>
    <x v="2549"/>
    <s v="2/24/2003 0:2600"/>
    <x v="3"/>
    <x v="1"/>
    <s v="Cancelled"/>
    <x v="1"/>
    <x v="1"/>
    <x v="1"/>
    <x v="5"/>
    <n v="72"/>
    <s v="S700_2610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261"/>
    <x v="27"/>
    <n v="68.67"/>
    <n v="2"/>
    <x v="0"/>
    <x v="2550"/>
    <s v="2/24/2003 0:2601"/>
    <x v="0"/>
    <x v="0"/>
    <s v="Shipped"/>
    <x v="1"/>
    <x v="9"/>
    <x v="1"/>
    <x v="5"/>
    <n v="72"/>
    <s v="S700_2610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273"/>
    <x v="13"/>
    <n v="62.16"/>
    <n v="5"/>
    <x v="0"/>
    <x v="2551"/>
    <s v="2/24/2003 0:2602"/>
    <x v="0"/>
    <x v="0"/>
    <s v="Shipped"/>
    <x v="2"/>
    <x v="2"/>
    <x v="1"/>
    <x v="5"/>
    <n v="72"/>
    <s v="S700_2610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283"/>
    <x v="20"/>
    <n v="65.77"/>
    <n v="7"/>
    <x v="0"/>
    <x v="2552"/>
    <s v="2/24/2003 0:2603"/>
    <x v="0"/>
    <x v="0"/>
    <s v="Shipped"/>
    <x v="2"/>
    <x v="3"/>
    <x v="1"/>
    <x v="5"/>
    <n v="72"/>
    <s v="S700_2610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1"/>
  </r>
  <r>
    <n v="10295"/>
    <x v="27"/>
    <n v="58.55"/>
    <n v="2"/>
    <x v="0"/>
    <x v="2553"/>
    <s v="2/24/2003 0:2604"/>
    <x v="0"/>
    <x v="0"/>
    <s v="Shipped"/>
    <x v="2"/>
    <x v="10"/>
    <x v="1"/>
    <x v="5"/>
    <n v="72"/>
    <s v="S700_2610"/>
    <s v="Gifts4AllAges.com"/>
    <n v="6175559555"/>
    <s v="8616 Spinnaker Dr."/>
    <m/>
    <s v="Boston"/>
    <x v="48"/>
    <s v="MA"/>
    <n v="51003"/>
    <x v="0"/>
    <x v="0"/>
    <s v="NA"/>
    <s v="Yoshido"/>
    <s v="Juri"/>
    <x v="0"/>
  </r>
  <r>
    <n v="10306"/>
    <x v="30"/>
    <n v="75.17"/>
    <n v="1"/>
    <x v="0"/>
    <x v="2554"/>
    <s v="2/24/2003 0:2605"/>
    <x v="0"/>
    <x v="0"/>
    <s v="Shipped"/>
    <x v="3"/>
    <x v="4"/>
    <x v="1"/>
    <x v="5"/>
    <n v="72"/>
    <s v="S700_2610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16"/>
    <x v="7"/>
    <n v="74.45"/>
    <n v="18"/>
    <x v="0"/>
    <x v="2555"/>
    <s v="2/24/2003 0:2606"/>
    <x v="0"/>
    <x v="0"/>
    <s v="Shipped"/>
    <x v="3"/>
    <x v="5"/>
    <x v="1"/>
    <x v="5"/>
    <n v="72"/>
    <s v="S700_2610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1"/>
  </r>
  <r>
    <n v="10327"/>
    <x v="15"/>
    <n v="96.31"/>
    <n v="1"/>
    <x v="0"/>
    <x v="2556"/>
    <s v="2/24/2003 0:2607"/>
    <x v="5"/>
    <x v="1"/>
    <s v="Resolved"/>
    <x v="3"/>
    <x v="5"/>
    <x v="1"/>
    <x v="5"/>
    <n v="72"/>
    <s v="S700_2610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339"/>
    <x v="24"/>
    <n v="74.349999999999994"/>
    <n v="9"/>
    <x v="0"/>
    <x v="2557"/>
    <s v="2/24/2003 0:2608"/>
    <x v="0"/>
    <x v="0"/>
    <s v="Shipped"/>
    <x v="3"/>
    <x v="5"/>
    <x v="1"/>
    <x v="5"/>
    <n v="72"/>
    <s v="S700_2610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350"/>
    <x v="6"/>
    <n v="75.349999999999994"/>
    <n v="12"/>
    <x v="0"/>
    <x v="2558"/>
    <s v="2/24/2003 0:2609"/>
    <x v="0"/>
    <x v="0"/>
    <s v="Shipped"/>
    <x v="3"/>
    <x v="6"/>
    <x v="1"/>
    <x v="5"/>
    <n v="72"/>
    <s v="S700_2610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3"/>
    <x v="2"/>
    <n v="70.33"/>
    <n v="16"/>
    <x v="0"/>
    <x v="2559"/>
    <s v="2/24/2003 0:2610"/>
    <x v="0"/>
    <x v="0"/>
    <s v="Shipped"/>
    <x v="0"/>
    <x v="7"/>
    <x v="2"/>
    <x v="5"/>
    <n v="72"/>
    <s v="S700_2610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386"/>
    <x v="9"/>
    <n v="100"/>
    <n v="10"/>
    <x v="1"/>
    <x v="2560"/>
    <s v="2/24/2003 0:2611"/>
    <x v="5"/>
    <x v="1"/>
    <s v="Resolved"/>
    <x v="0"/>
    <x v="11"/>
    <x v="2"/>
    <x v="5"/>
    <n v="72"/>
    <s v="S700_2610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7"/>
    <x v="8"/>
    <n v="66.5"/>
    <n v="4"/>
    <x v="0"/>
    <x v="1490"/>
    <s v="2/24/2003 0:2612"/>
    <x v="0"/>
    <x v="0"/>
    <s v="Shipped"/>
    <x v="0"/>
    <x v="11"/>
    <x v="2"/>
    <x v="5"/>
    <n v="72"/>
    <s v="S700_2610"/>
    <s v="Alpha Cognac"/>
    <s v="61.77.6555"/>
    <s v="1 rue Alsace-Lorraine"/>
    <m/>
    <s v="Toulouse"/>
    <x v="42"/>
    <m/>
    <n v="31000"/>
    <x v="1"/>
    <x v="1"/>
    <s v="EMEA"/>
    <s v="Roulet"/>
    <s v="Annette"/>
    <x v="0"/>
  </r>
  <r>
    <n v="10414"/>
    <x v="28"/>
    <n v="75.89"/>
    <n v="4"/>
    <x v="0"/>
    <x v="2561"/>
    <s v="2/24/2003 0:2613"/>
    <x v="4"/>
    <x v="1"/>
    <s v="On Hold"/>
    <x v="1"/>
    <x v="1"/>
    <x v="2"/>
    <x v="5"/>
    <n v="72"/>
    <s v="S700_2610"/>
    <s v="Gifts4AllAges.com"/>
    <n v="6175559555"/>
    <s v="8616 Spinnaker Dr."/>
    <m/>
    <s v="Boston"/>
    <x v="48"/>
    <s v="MA"/>
    <n v="51003"/>
    <x v="0"/>
    <x v="0"/>
    <s v="NA"/>
    <s v="Yoshido"/>
    <s v="Juri"/>
    <x v="0"/>
  </r>
  <r>
    <n v="10103"/>
    <x v="13"/>
    <n v="100"/>
    <n v="6"/>
    <x v="1"/>
    <x v="2562"/>
    <s v="2/24/2003 0:2614"/>
    <x v="0"/>
    <x v="0"/>
    <s v="Shipped"/>
    <x v="0"/>
    <x v="7"/>
    <x v="0"/>
    <x v="1"/>
    <n v="101"/>
    <s v="S700_2824"/>
    <s v="Baane Mini Imports"/>
    <s v="07-98 9555"/>
    <s v="Erling Skakkes gate 78"/>
    <m/>
    <s v="Stavern"/>
    <x v="14"/>
    <m/>
    <n v="4110"/>
    <x v="2"/>
    <x v="2"/>
    <s v="EMEA"/>
    <s v="Bergulfsen"/>
    <s v="Jonas"/>
    <x v="1"/>
  </r>
  <r>
    <n v="10114"/>
    <x v="13"/>
    <n v="100"/>
    <n v="10"/>
    <x v="1"/>
    <x v="2563"/>
    <s v="2/24/2003 0:2615"/>
    <x v="0"/>
    <x v="0"/>
    <s v="Shipped"/>
    <x v="1"/>
    <x v="8"/>
    <x v="0"/>
    <x v="1"/>
    <n v="101"/>
    <s v="S700_2824"/>
    <s v="La Corne D'abondance, Co."/>
    <s v="(1) 42.34.2555"/>
    <s v="265, boulevard Charonne"/>
    <m/>
    <s v="Paris"/>
    <x v="2"/>
    <m/>
    <n v="75012"/>
    <x v="1"/>
    <x v="1"/>
    <s v="EMEA"/>
    <s v="Bertrand"/>
    <s v="Marie"/>
    <x v="1"/>
  </r>
  <r>
    <n v="10126"/>
    <x v="3"/>
    <n v="100"/>
    <n v="6"/>
    <x v="1"/>
    <x v="2564"/>
    <s v="2/24/2003 0:2616"/>
    <x v="0"/>
    <x v="0"/>
    <s v="Shipped"/>
    <x v="1"/>
    <x v="1"/>
    <x v="0"/>
    <x v="1"/>
    <n v="101"/>
    <s v="S700_2824"/>
    <s v="Corrida Auto Replicas, Ltd"/>
    <s v="(91) 555 22 82"/>
    <s v="C/ Araquil, 67"/>
    <m/>
    <s v="Madrid"/>
    <x v="20"/>
    <m/>
    <n v="28023"/>
    <x v="7"/>
    <x v="7"/>
    <s v="EMEA"/>
    <s v="Sommer"/>
    <s v="Mart¡n"/>
    <x v="1"/>
  </r>
  <r>
    <n v="10140"/>
    <x v="5"/>
    <n v="100"/>
    <n v="6"/>
    <x v="1"/>
    <x v="2565"/>
    <s v="2/24/2003 0:2617"/>
    <x v="0"/>
    <x v="0"/>
    <s v="Shipped"/>
    <x v="2"/>
    <x v="2"/>
    <x v="0"/>
    <x v="1"/>
    <n v="101"/>
    <s v="S700_2824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50"/>
    <x v="14"/>
    <n v="100"/>
    <n v="3"/>
    <x v="0"/>
    <x v="2566"/>
    <s v="2/24/2003 0:2618"/>
    <x v="0"/>
    <x v="0"/>
    <s v="Shipped"/>
    <x v="2"/>
    <x v="10"/>
    <x v="0"/>
    <x v="1"/>
    <n v="101"/>
    <s v="S700_2824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64"/>
    <x v="25"/>
    <n v="81.93"/>
    <n v="4"/>
    <x v="0"/>
    <x v="2567"/>
    <s v="2/24/2003 0:2619"/>
    <x v="5"/>
    <x v="1"/>
    <s v="Resolved"/>
    <x v="3"/>
    <x v="4"/>
    <x v="0"/>
    <x v="1"/>
    <n v="101"/>
    <s v="S700_2824"/>
    <s v="Mini Auto Werke"/>
    <s v="7675-3555"/>
    <s v="Kirchgasse 6"/>
    <m/>
    <s v="Graz"/>
    <x v="52"/>
    <m/>
    <n v="8010"/>
    <x v="5"/>
    <x v="5"/>
    <s v="EMEA"/>
    <s v="Mendel"/>
    <s v="Roland"/>
    <x v="1"/>
  </r>
  <r>
    <n v="10175"/>
    <x v="13"/>
    <n v="85.98"/>
    <n v="11"/>
    <x v="0"/>
    <x v="2568"/>
    <s v="2/24/2003 0:2620"/>
    <x v="0"/>
    <x v="0"/>
    <s v="Shipped"/>
    <x v="3"/>
    <x v="5"/>
    <x v="0"/>
    <x v="1"/>
    <n v="101"/>
    <s v="S700_2824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83"/>
    <x v="10"/>
    <n v="86.99"/>
    <n v="3"/>
    <x v="0"/>
    <x v="2569"/>
    <s v="2/24/2003 0:2621"/>
    <x v="0"/>
    <x v="0"/>
    <s v="Shipped"/>
    <x v="3"/>
    <x v="5"/>
    <x v="0"/>
    <x v="1"/>
    <n v="101"/>
    <s v="S700_2824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0"/>
  </r>
  <r>
    <n v="10194"/>
    <x v="18"/>
    <n v="89.01"/>
    <n v="6"/>
    <x v="0"/>
    <x v="2570"/>
    <s v="2/24/2003 0:2622"/>
    <x v="0"/>
    <x v="0"/>
    <s v="Shipped"/>
    <x v="3"/>
    <x v="5"/>
    <x v="0"/>
    <x v="1"/>
    <n v="101"/>
    <s v="S700_2824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06"/>
    <x v="29"/>
    <n v="100"/>
    <n v="1"/>
    <x v="0"/>
    <x v="2571"/>
    <s v="2/24/2003 0:2623"/>
    <x v="0"/>
    <x v="0"/>
    <s v="Shipped"/>
    <x v="3"/>
    <x v="6"/>
    <x v="0"/>
    <x v="1"/>
    <n v="101"/>
    <s v="S700_2824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1"/>
  </r>
  <r>
    <n v="10217"/>
    <x v="28"/>
    <n v="88"/>
    <n v="6"/>
    <x v="0"/>
    <x v="2572"/>
    <s v="2/24/2003 0:2624"/>
    <x v="0"/>
    <x v="0"/>
    <s v="Shipped"/>
    <x v="0"/>
    <x v="0"/>
    <x v="1"/>
    <x v="1"/>
    <n v="101"/>
    <s v="S700_2824"/>
    <s v="Handji Gifts&amp; Co"/>
    <s v="+65 224 1555"/>
    <s v="Village Close - 106 Linden Road Sandown"/>
    <s v="2nd Floor"/>
    <s v="Singapore"/>
    <x v="22"/>
    <m/>
    <n v="69045"/>
    <x v="9"/>
    <x v="9"/>
    <s v="APAC"/>
    <s v="Victorino"/>
    <s v="Wendy"/>
    <x v="0"/>
  </r>
  <r>
    <n v="10229"/>
    <x v="24"/>
    <n v="100"/>
    <n v="11"/>
    <x v="1"/>
    <x v="2573"/>
    <s v="2/24/2003 0:2625"/>
    <x v="0"/>
    <x v="0"/>
    <s v="Shipped"/>
    <x v="0"/>
    <x v="11"/>
    <x v="1"/>
    <x v="1"/>
    <n v="101"/>
    <s v="S700_2824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245"/>
    <x v="27"/>
    <n v="100"/>
    <n v="4"/>
    <x v="1"/>
    <x v="2574"/>
    <s v="2/24/2003 0:2626"/>
    <x v="0"/>
    <x v="0"/>
    <s v="Shipped"/>
    <x v="1"/>
    <x v="1"/>
    <x v="1"/>
    <x v="1"/>
    <n v="101"/>
    <s v="S700_2824"/>
    <s v="Super Scale Inc."/>
    <n v="2035559545"/>
    <s v="567 North Pendale Street"/>
    <m/>
    <s v="New Haven"/>
    <x v="28"/>
    <s v="CT"/>
    <n v="97823"/>
    <x v="0"/>
    <x v="0"/>
    <s v="NA"/>
    <s v="Murphy"/>
    <s v="Leslie"/>
    <x v="1"/>
  </r>
  <r>
    <n v="10258"/>
    <x v="3"/>
    <n v="80.92"/>
    <n v="1"/>
    <x v="0"/>
    <x v="2575"/>
    <s v="2/24/2003 0:2627"/>
    <x v="0"/>
    <x v="0"/>
    <s v="Shipped"/>
    <x v="1"/>
    <x v="9"/>
    <x v="1"/>
    <x v="1"/>
    <n v="101"/>
    <s v="S700_2824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1"/>
  </r>
  <r>
    <n v="10270"/>
    <x v="12"/>
    <n v="88"/>
    <n v="4"/>
    <x v="1"/>
    <x v="2576"/>
    <s v="2/24/2003 0:2628"/>
    <x v="0"/>
    <x v="0"/>
    <s v="Shipped"/>
    <x v="2"/>
    <x v="2"/>
    <x v="1"/>
    <x v="1"/>
    <n v="101"/>
    <s v="S700_2824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281"/>
    <x v="26"/>
    <n v="85.98"/>
    <n v="11"/>
    <x v="0"/>
    <x v="2577"/>
    <s v="2/24/2003 0:2629"/>
    <x v="0"/>
    <x v="0"/>
    <s v="Shipped"/>
    <x v="2"/>
    <x v="3"/>
    <x v="1"/>
    <x v="1"/>
    <n v="101"/>
    <s v="S700_2824"/>
    <s v="Diecast Classics Inc."/>
    <n v="2155551555"/>
    <s v="7586 Pompton St."/>
    <m/>
    <s v="Allentown"/>
    <x v="15"/>
    <s v="PA"/>
    <n v="70267"/>
    <x v="0"/>
    <x v="0"/>
    <s v="NA"/>
    <s v="Yu"/>
    <s v="Kyung"/>
    <x v="0"/>
  </r>
  <r>
    <n v="10291"/>
    <x v="11"/>
    <n v="100"/>
    <n v="6"/>
    <x v="0"/>
    <x v="2578"/>
    <s v="2/24/2003 0:2630"/>
    <x v="0"/>
    <x v="0"/>
    <s v="Shipped"/>
    <x v="2"/>
    <x v="10"/>
    <x v="1"/>
    <x v="1"/>
    <n v="101"/>
    <s v="S700_2824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304"/>
    <x v="23"/>
    <n v="100"/>
    <n v="1"/>
    <x v="1"/>
    <x v="2579"/>
    <s v="2/24/2003 0:2631"/>
    <x v="0"/>
    <x v="0"/>
    <s v="Shipped"/>
    <x v="3"/>
    <x v="4"/>
    <x v="1"/>
    <x v="1"/>
    <n v="101"/>
    <s v="S700_2824"/>
    <s v="Auto Assoc. &amp; Cie."/>
    <s v="30.59.8555"/>
    <s v="67, avenue de l'Europe"/>
    <m/>
    <s v="Versailles"/>
    <x v="32"/>
    <m/>
    <n v="78000"/>
    <x v="1"/>
    <x v="1"/>
    <s v="EMEA"/>
    <s v="Tonini"/>
    <s v="Daniel"/>
    <x v="1"/>
  </r>
  <r>
    <n v="10313"/>
    <x v="0"/>
    <n v="99.13"/>
    <n v="9"/>
    <x v="0"/>
    <x v="2580"/>
    <s v="2/24/2003 0:2632"/>
    <x v="0"/>
    <x v="0"/>
    <s v="Shipped"/>
    <x v="3"/>
    <x v="4"/>
    <x v="1"/>
    <x v="1"/>
    <n v="101"/>
    <s v="S700_2824"/>
    <s v="Canadian Gift Exchange Network"/>
    <s v="(604) 555-3392"/>
    <s v="1900 Oak St."/>
    <m/>
    <s v="Vancouver"/>
    <x v="26"/>
    <s v="BC"/>
    <s v="V3F 2K1"/>
    <x v="10"/>
    <x v="10"/>
    <s v="NA"/>
    <s v="Tannamuri"/>
    <s v="Yoshi"/>
    <x v="0"/>
  </r>
  <r>
    <n v="10324"/>
    <x v="1"/>
    <n v="100"/>
    <n v="5"/>
    <x v="1"/>
    <x v="2581"/>
    <s v="2/24/2003 0:2633"/>
    <x v="0"/>
    <x v="0"/>
    <s v="Shipped"/>
    <x v="3"/>
    <x v="5"/>
    <x v="1"/>
    <x v="1"/>
    <n v="101"/>
    <s v="S700_2824"/>
    <s v="Vitachrome Inc."/>
    <n v="2125551500"/>
    <s v="2678 Kingston Rd."/>
    <s v="Suite 101"/>
    <s v="Nyc"/>
    <x v="0"/>
    <s v="NY"/>
    <n v="10022"/>
    <x v="0"/>
    <x v="0"/>
    <s v="NA"/>
    <s v="Frick"/>
    <s v="Michael"/>
    <x v="1"/>
  </r>
  <r>
    <n v="10336"/>
    <x v="12"/>
    <n v="100"/>
    <n v="2"/>
    <x v="1"/>
    <x v="2582"/>
    <s v="2/24/2003 0:2634"/>
    <x v="0"/>
    <x v="0"/>
    <s v="Shipped"/>
    <x v="3"/>
    <x v="5"/>
    <x v="1"/>
    <x v="1"/>
    <n v="101"/>
    <s v="S700_2824"/>
    <s v="La Corne D'abondance, Co."/>
    <s v="(1) 42.34.2555"/>
    <s v="265, boulevard Charonne"/>
    <m/>
    <s v="Paris"/>
    <x v="2"/>
    <m/>
    <n v="75012"/>
    <x v="1"/>
    <x v="1"/>
    <s v="EMEA"/>
    <s v="Bertrand"/>
    <s v="Marie"/>
    <x v="2"/>
  </r>
  <r>
    <n v="10348"/>
    <x v="22"/>
    <n v="82.83"/>
    <n v="7"/>
    <x v="0"/>
    <x v="2583"/>
    <s v="2/24/2003 0:2635"/>
    <x v="0"/>
    <x v="0"/>
    <s v="Shipped"/>
    <x v="3"/>
    <x v="5"/>
    <x v="1"/>
    <x v="1"/>
    <n v="101"/>
    <s v="S700_2824"/>
    <s v="Corrida Auto Replicas, Ltd"/>
    <s v="(91) 555 22 82"/>
    <s v="C/ Araquil, 67"/>
    <m/>
    <s v="Madrid"/>
    <x v="20"/>
    <m/>
    <n v="28023"/>
    <x v="7"/>
    <x v="7"/>
    <s v="EMEA"/>
    <s v="Sommer"/>
    <s v="Mart¡n"/>
    <x v="0"/>
  </r>
  <r>
    <n v="10358"/>
    <x v="26"/>
    <n v="100"/>
    <n v="3"/>
    <x v="0"/>
    <x v="2584"/>
    <s v="2/24/2003 0:2636"/>
    <x v="0"/>
    <x v="0"/>
    <s v="Shipped"/>
    <x v="3"/>
    <x v="6"/>
    <x v="1"/>
    <x v="1"/>
    <n v="101"/>
    <s v="S700_2824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71"/>
    <x v="1"/>
    <n v="100"/>
    <n v="3"/>
    <x v="1"/>
    <x v="2585"/>
    <s v="2/24/2003 0:2637"/>
    <x v="0"/>
    <x v="0"/>
    <s v="Shipped"/>
    <x v="0"/>
    <x v="7"/>
    <x v="2"/>
    <x v="1"/>
    <n v="101"/>
    <s v="S700_2824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382"/>
    <x v="1"/>
    <n v="54.84"/>
    <n v="9"/>
    <x v="0"/>
    <x v="2586"/>
    <s v="2/24/2003 0:2638"/>
    <x v="0"/>
    <x v="0"/>
    <s v="Shipped"/>
    <x v="0"/>
    <x v="0"/>
    <x v="2"/>
    <x v="1"/>
    <n v="101"/>
    <s v="S700_2824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411"/>
    <x v="1"/>
    <n v="100"/>
    <n v="4"/>
    <x v="0"/>
    <x v="2587"/>
    <s v="2/24/2003 0:2639"/>
    <x v="0"/>
    <x v="0"/>
    <s v="Shipped"/>
    <x v="1"/>
    <x v="1"/>
    <x v="2"/>
    <x v="1"/>
    <n v="101"/>
    <s v="S700_2824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424"/>
    <x v="12"/>
    <n v="80.92"/>
    <n v="1"/>
    <x v="0"/>
    <x v="2588"/>
    <s v="2/24/2003 0:2640"/>
    <x v="2"/>
    <x v="1"/>
    <s v="In Process"/>
    <x v="1"/>
    <x v="1"/>
    <x v="2"/>
    <x v="1"/>
    <n v="101"/>
    <s v="S700_2824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06"/>
    <x v="22"/>
    <n v="100"/>
    <n v="1"/>
    <x v="0"/>
    <x v="2589"/>
    <s v="2/24/2003 0:2641"/>
    <x v="0"/>
    <x v="0"/>
    <s v="Shipped"/>
    <x v="0"/>
    <x v="0"/>
    <x v="0"/>
    <x v="4"/>
    <n v="118"/>
    <s v="S700_2834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20"/>
    <x v="16"/>
    <n v="100"/>
    <n v="7"/>
    <x v="0"/>
    <x v="2590"/>
    <s v="2/24/2003 0:2642"/>
    <x v="0"/>
    <x v="0"/>
    <s v="Shipped"/>
    <x v="1"/>
    <x v="8"/>
    <x v="0"/>
    <x v="4"/>
    <n v="118"/>
    <s v="S700_2834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133"/>
    <x v="26"/>
    <n v="99.67"/>
    <n v="2"/>
    <x v="0"/>
    <x v="2591"/>
    <s v="2/24/2003 0:2643"/>
    <x v="0"/>
    <x v="0"/>
    <s v="Shipped"/>
    <x v="1"/>
    <x v="9"/>
    <x v="0"/>
    <x v="4"/>
    <n v="118"/>
    <s v="S700_2834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45"/>
    <x v="14"/>
    <n v="100"/>
    <n v="13"/>
    <x v="0"/>
    <x v="2592"/>
    <s v="2/24/2003 0:2644"/>
    <x v="0"/>
    <x v="0"/>
    <s v="Shipped"/>
    <x v="2"/>
    <x v="3"/>
    <x v="0"/>
    <x v="4"/>
    <n v="118"/>
    <s v="S700_2834"/>
    <s v="Toys4GrownUps.com"/>
    <n v="6265557265"/>
    <s v="78934 Hillside Dr."/>
    <m/>
    <s v="Pasadena"/>
    <x v="3"/>
    <s v="CA"/>
    <n v="90003"/>
    <x v="0"/>
    <x v="0"/>
    <s v="NA"/>
    <s v="Young"/>
    <s v="Julie"/>
    <x v="0"/>
  </r>
  <r>
    <n v="10168"/>
    <x v="5"/>
    <n v="100"/>
    <n v="8"/>
    <x v="1"/>
    <x v="2593"/>
    <s v="2/24/2003 0:2645"/>
    <x v="0"/>
    <x v="0"/>
    <s v="Shipped"/>
    <x v="3"/>
    <x v="4"/>
    <x v="0"/>
    <x v="4"/>
    <n v="118"/>
    <s v="S700_2834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88"/>
    <x v="6"/>
    <n v="100"/>
    <n v="8"/>
    <x v="0"/>
    <x v="2594"/>
    <s v="2/24/2003 0:2646"/>
    <x v="0"/>
    <x v="0"/>
    <s v="Shipped"/>
    <x v="3"/>
    <x v="5"/>
    <x v="0"/>
    <x v="4"/>
    <n v="118"/>
    <s v="S700_2834"/>
    <s v="Herkku Gifts"/>
    <s v="+47 2267 3215"/>
    <s v="Drammen 121, PR 744 Sentrum"/>
    <m/>
    <s v="Bergen"/>
    <x v="7"/>
    <m/>
    <s v="N 5804"/>
    <x v="2"/>
    <x v="2"/>
    <s v="EMEA"/>
    <s v="Oeztan"/>
    <s v="Veysel"/>
    <x v="1"/>
  </r>
  <r>
    <n v="10210"/>
    <x v="32"/>
    <n v="100"/>
    <n v="6"/>
    <x v="0"/>
    <x v="2595"/>
    <s v="2/24/2003 0:2647"/>
    <x v="0"/>
    <x v="0"/>
    <s v="Shipped"/>
    <x v="0"/>
    <x v="7"/>
    <x v="1"/>
    <x v="4"/>
    <n v="118"/>
    <s v="S700_2834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0"/>
  </r>
  <r>
    <n v="10223"/>
    <x v="6"/>
    <n v="100"/>
    <n v="8"/>
    <x v="0"/>
    <x v="2596"/>
    <s v="2/24/2003 0:2648"/>
    <x v="0"/>
    <x v="0"/>
    <s v="Shipped"/>
    <x v="0"/>
    <x v="0"/>
    <x v="1"/>
    <x v="4"/>
    <n v="118"/>
    <s v="S700_2834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235"/>
    <x v="32"/>
    <n v="96.11"/>
    <n v="2"/>
    <x v="0"/>
    <x v="2597"/>
    <s v="2/24/2003 0:2649"/>
    <x v="0"/>
    <x v="0"/>
    <s v="Shipped"/>
    <x v="1"/>
    <x v="8"/>
    <x v="1"/>
    <x v="4"/>
    <n v="118"/>
    <s v="S700_2834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50"/>
    <x v="27"/>
    <n v="100"/>
    <n v="3"/>
    <x v="1"/>
    <x v="2598"/>
    <s v="2/24/2003 0:2650"/>
    <x v="0"/>
    <x v="0"/>
    <s v="Shipped"/>
    <x v="1"/>
    <x v="1"/>
    <x v="1"/>
    <x v="4"/>
    <n v="118"/>
    <s v="S700_2834"/>
    <s v="The Sharp Gifts Warehouse"/>
    <n v="4085553659"/>
    <s v="3086 Ingle Ln."/>
    <m/>
    <s v="San Jose"/>
    <x v="51"/>
    <s v="CA"/>
    <n v="94217"/>
    <x v="0"/>
    <x v="0"/>
    <s v="NA"/>
    <s v="Frick"/>
    <s v="Sue"/>
    <x v="1"/>
  </r>
  <r>
    <n v="10263"/>
    <x v="20"/>
    <n v="100"/>
    <n v="9"/>
    <x v="1"/>
    <x v="2599"/>
    <s v="2/24/2003 0:2651"/>
    <x v="0"/>
    <x v="0"/>
    <s v="Shipped"/>
    <x v="1"/>
    <x v="9"/>
    <x v="1"/>
    <x v="4"/>
    <n v="118"/>
    <s v="S700_2834"/>
    <s v="Gift Depot Inc."/>
    <n v="2035552570"/>
    <s v="25593 South Bay Ln."/>
    <m/>
    <s v="Bridgewater"/>
    <x v="10"/>
    <s v="CT"/>
    <n v="97562"/>
    <x v="0"/>
    <x v="0"/>
    <s v="NA"/>
    <s v="King"/>
    <s v="Julie"/>
    <x v="1"/>
  </r>
  <r>
    <n v="10275"/>
    <x v="7"/>
    <n v="100"/>
    <n v="8"/>
    <x v="1"/>
    <x v="2600"/>
    <s v="2/24/2003 0:2652"/>
    <x v="0"/>
    <x v="0"/>
    <s v="Shipped"/>
    <x v="2"/>
    <x v="2"/>
    <x v="1"/>
    <x v="4"/>
    <n v="118"/>
    <s v="S700_2834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285"/>
    <x v="3"/>
    <n v="100"/>
    <n v="13"/>
    <x v="1"/>
    <x v="2601"/>
    <s v="2/24/2003 0:2653"/>
    <x v="0"/>
    <x v="0"/>
    <s v="Shipped"/>
    <x v="2"/>
    <x v="3"/>
    <x v="1"/>
    <x v="4"/>
    <n v="118"/>
    <s v="S700_2834"/>
    <s v="Marta's Replicas Co."/>
    <n v="6175558555"/>
    <s v="39323 Spinnaker Dr."/>
    <m/>
    <s v="Cambridge"/>
    <x v="12"/>
    <s v="MA"/>
    <n v="51247"/>
    <x v="0"/>
    <x v="0"/>
    <s v="NA"/>
    <s v="Hernandez"/>
    <s v="Marta"/>
    <x v="1"/>
  </r>
  <r>
    <n v="10297"/>
    <x v="21"/>
    <n v="100"/>
    <n v="3"/>
    <x v="0"/>
    <x v="2602"/>
    <s v="2/24/2003 0:2654"/>
    <x v="0"/>
    <x v="0"/>
    <s v="Shipped"/>
    <x v="2"/>
    <x v="10"/>
    <x v="1"/>
    <x v="4"/>
    <n v="118"/>
    <s v="S700_2834"/>
    <s v="Clover Collections, Co."/>
    <s v="+353 1862 1555"/>
    <s v="25 Maiden Lane"/>
    <s v="Floor No. 4"/>
    <s v="Dublin"/>
    <x v="60"/>
    <m/>
    <n v="2"/>
    <x v="18"/>
    <x v="18"/>
    <s v="EMEA"/>
    <s v="Cassidy"/>
    <s v="Dean"/>
    <x v="1"/>
  </r>
  <r>
    <n v="10308"/>
    <x v="28"/>
    <n v="100"/>
    <n v="6"/>
    <x v="1"/>
    <x v="2603"/>
    <s v="2/24/2003 0:2655"/>
    <x v="0"/>
    <x v="0"/>
    <s v="Shipped"/>
    <x v="3"/>
    <x v="4"/>
    <x v="1"/>
    <x v="4"/>
    <n v="118"/>
    <s v="S700_2834"/>
    <s v="Mini Classics"/>
    <n v="9145554562"/>
    <s v="3758 North Pendale Street"/>
    <m/>
    <s v="White Plains"/>
    <x v="39"/>
    <s v="NY"/>
    <n v="24067"/>
    <x v="0"/>
    <x v="0"/>
    <s v="NA"/>
    <s v="Frick"/>
    <s v="Steve"/>
    <x v="1"/>
  </r>
  <r>
    <n v="10318"/>
    <x v="24"/>
    <n v="100"/>
    <n v="8"/>
    <x v="1"/>
    <x v="2604"/>
    <s v="2/24/2003 0:2656"/>
    <x v="0"/>
    <x v="0"/>
    <s v="Shipped"/>
    <x v="3"/>
    <x v="5"/>
    <x v="1"/>
    <x v="4"/>
    <n v="118"/>
    <s v="S700_2834"/>
    <s v="Diecast Classics Inc."/>
    <n v="2155551555"/>
    <s v="7586 Pompton St."/>
    <m/>
    <s v="Allentown"/>
    <x v="15"/>
    <s v="PA"/>
    <n v="70267"/>
    <x v="0"/>
    <x v="0"/>
    <s v="NA"/>
    <s v="Yu"/>
    <s v="Kyung"/>
    <x v="2"/>
  </r>
  <r>
    <n v="10328"/>
    <x v="29"/>
    <n v="100"/>
    <n v="11"/>
    <x v="1"/>
    <x v="2605"/>
    <s v="2/24/2003 0:2657"/>
    <x v="0"/>
    <x v="0"/>
    <s v="Shipped"/>
    <x v="3"/>
    <x v="5"/>
    <x v="1"/>
    <x v="4"/>
    <n v="118"/>
    <s v="S700_2834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340"/>
    <x v="6"/>
    <n v="100"/>
    <n v="6"/>
    <x v="1"/>
    <x v="2606"/>
    <s v="2/24/2003 0:2658"/>
    <x v="0"/>
    <x v="0"/>
    <s v="Shipped"/>
    <x v="3"/>
    <x v="5"/>
    <x v="1"/>
    <x v="4"/>
    <n v="118"/>
    <s v="S700_2834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353"/>
    <x v="7"/>
    <n v="68.8"/>
    <n v="4"/>
    <x v="0"/>
    <x v="2607"/>
    <s v="2/24/2003 0:2659"/>
    <x v="0"/>
    <x v="0"/>
    <s v="Shipped"/>
    <x v="3"/>
    <x v="6"/>
    <x v="1"/>
    <x v="4"/>
    <n v="118"/>
    <s v="S700_2834"/>
    <s v="Gift Ideas Corp."/>
    <n v="2035554407"/>
    <s v="2440 Pompton St."/>
    <m/>
    <s v="Glendale"/>
    <x v="63"/>
    <s v="CT"/>
    <n v="97561"/>
    <x v="0"/>
    <x v="0"/>
    <s v="NA"/>
    <s v="Lewis"/>
    <s v="Dan"/>
    <x v="1"/>
  </r>
  <r>
    <n v="10361"/>
    <x v="27"/>
    <n v="72.42"/>
    <n v="5"/>
    <x v="0"/>
    <x v="2608"/>
    <s v="2/24/2003 0:2660"/>
    <x v="0"/>
    <x v="0"/>
    <s v="Shipped"/>
    <x v="3"/>
    <x v="6"/>
    <x v="1"/>
    <x v="4"/>
    <n v="118"/>
    <s v="S700_2834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375"/>
    <x v="32"/>
    <n v="66.73"/>
    <n v="10"/>
    <x v="0"/>
    <x v="2609"/>
    <s v="2/24/2003 0:2661"/>
    <x v="0"/>
    <x v="0"/>
    <s v="Shipped"/>
    <x v="0"/>
    <x v="0"/>
    <x v="2"/>
    <x v="4"/>
    <n v="118"/>
    <s v="S700_2834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388"/>
    <x v="24"/>
    <n v="100"/>
    <n v="3"/>
    <x v="1"/>
    <x v="2610"/>
    <s v="2/24/2003 0:2662"/>
    <x v="0"/>
    <x v="0"/>
    <s v="Shipped"/>
    <x v="0"/>
    <x v="11"/>
    <x v="2"/>
    <x v="4"/>
    <n v="118"/>
    <s v="S700_2834"/>
    <s v="FunGiftIdeas.com"/>
    <n v="5085552555"/>
    <s v="1785 First Street"/>
    <m/>
    <s v="New Bedford"/>
    <x v="18"/>
    <s v="MA"/>
    <n v="50553"/>
    <x v="0"/>
    <x v="0"/>
    <s v="NA"/>
    <s v="Benitez"/>
    <s v="Violeta"/>
    <x v="2"/>
  </r>
  <r>
    <n v="10398"/>
    <x v="10"/>
    <n v="100"/>
    <n v="9"/>
    <x v="0"/>
    <x v="2611"/>
    <s v="2/24/2003 0:2663"/>
    <x v="0"/>
    <x v="0"/>
    <s v="Shipped"/>
    <x v="0"/>
    <x v="11"/>
    <x v="2"/>
    <x v="4"/>
    <n v="118"/>
    <s v="S700_2834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401"/>
    <x v="15"/>
    <n v="96.11"/>
    <n v="2"/>
    <x v="0"/>
    <x v="2612"/>
    <s v="2/24/2003 0:2664"/>
    <x v="4"/>
    <x v="1"/>
    <s v="On Hold"/>
    <x v="1"/>
    <x v="8"/>
    <x v="2"/>
    <x v="4"/>
    <n v="118"/>
    <s v="S700_2834"/>
    <s v="Tekni Collectables Inc."/>
    <n v="2015559350"/>
    <s v="7476 Moss Rd."/>
    <m/>
    <s v="Newark"/>
    <x v="9"/>
    <s v="NJ"/>
    <n v="94019"/>
    <x v="0"/>
    <x v="0"/>
    <s v="NA"/>
    <s v="Brown"/>
    <s v="William"/>
    <x v="0"/>
  </r>
  <r>
    <n v="10416"/>
    <x v="2"/>
    <n v="100"/>
    <n v="3"/>
    <x v="1"/>
    <x v="2613"/>
    <s v="2/24/2003 0:2665"/>
    <x v="0"/>
    <x v="0"/>
    <s v="Shipped"/>
    <x v="1"/>
    <x v="1"/>
    <x v="2"/>
    <x v="4"/>
    <n v="118"/>
    <s v="S700_2834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1"/>
  </r>
  <r>
    <n v="10106"/>
    <x v="27"/>
    <n v="74.400000000000006"/>
    <n v="8"/>
    <x v="0"/>
    <x v="2614"/>
    <s v="2/24/2003 0:2666"/>
    <x v="0"/>
    <x v="0"/>
    <s v="Shipped"/>
    <x v="0"/>
    <x v="0"/>
    <x v="0"/>
    <x v="4"/>
    <n v="80"/>
    <s v="S700_3167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120"/>
    <x v="30"/>
    <n v="76"/>
    <n v="14"/>
    <x v="0"/>
    <x v="2615"/>
    <s v="2/24/2003 0:2667"/>
    <x v="0"/>
    <x v="0"/>
    <s v="Shipped"/>
    <x v="1"/>
    <x v="8"/>
    <x v="0"/>
    <x v="4"/>
    <n v="80"/>
    <s v="S700_3167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1"/>
  </r>
  <r>
    <n v="10143"/>
    <x v="11"/>
    <n v="96"/>
    <n v="3"/>
    <x v="0"/>
    <x v="202"/>
    <s v="2/24/2003 0:2668"/>
    <x v="0"/>
    <x v="0"/>
    <s v="Shipped"/>
    <x v="2"/>
    <x v="3"/>
    <x v="0"/>
    <x v="4"/>
    <n v="80"/>
    <s v="S700_3167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55"/>
    <x v="30"/>
    <n v="86.4"/>
    <n v="1"/>
    <x v="0"/>
    <x v="2616"/>
    <s v="2/24/2003 0:2669"/>
    <x v="0"/>
    <x v="0"/>
    <s v="Shipped"/>
    <x v="3"/>
    <x v="4"/>
    <x v="0"/>
    <x v="4"/>
    <n v="80"/>
    <s v="S700_3167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168"/>
    <x v="7"/>
    <n v="96"/>
    <n v="15"/>
    <x v="1"/>
    <x v="2617"/>
    <s v="2/24/2003 0:2670"/>
    <x v="0"/>
    <x v="0"/>
    <s v="Shipped"/>
    <x v="3"/>
    <x v="4"/>
    <x v="0"/>
    <x v="4"/>
    <n v="80"/>
    <s v="S700_3167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99"/>
    <x v="19"/>
    <n v="82.4"/>
    <n v="3"/>
    <x v="0"/>
    <x v="2618"/>
    <s v="2/24/2003 0:2671"/>
    <x v="0"/>
    <x v="0"/>
    <s v="Shipped"/>
    <x v="3"/>
    <x v="6"/>
    <x v="0"/>
    <x v="4"/>
    <n v="80"/>
    <s v="S700_3167"/>
    <s v="West Coast Collectables Co."/>
    <n v="3105553722"/>
    <s v="3675 Furth Circle"/>
    <m/>
    <s v="Burbank"/>
    <x v="27"/>
    <s v="CA"/>
    <n v="94019"/>
    <x v="0"/>
    <x v="0"/>
    <s v="NA"/>
    <s v="Thompson"/>
    <s v="Steve"/>
    <x v="1"/>
  </r>
  <r>
    <n v="10210"/>
    <x v="28"/>
    <n v="86.4"/>
    <n v="13"/>
    <x v="0"/>
    <x v="2619"/>
    <s v="2/24/2003 0:2672"/>
    <x v="0"/>
    <x v="0"/>
    <s v="Shipped"/>
    <x v="0"/>
    <x v="7"/>
    <x v="1"/>
    <x v="4"/>
    <n v="80"/>
    <s v="S700_3167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0"/>
  </r>
  <r>
    <n v="10223"/>
    <x v="18"/>
    <n v="67.2"/>
    <n v="15"/>
    <x v="0"/>
    <x v="2620"/>
    <s v="2/24/2003 0:2673"/>
    <x v="0"/>
    <x v="0"/>
    <s v="Shipped"/>
    <x v="0"/>
    <x v="0"/>
    <x v="1"/>
    <x v="4"/>
    <n v="80"/>
    <s v="S700_3167"/>
    <s v="Australian Collectors, Co."/>
    <s v="03 9520 4555"/>
    <s v="636 St Kilda Road"/>
    <s v="Level 3"/>
    <s v="Melbourne"/>
    <x v="8"/>
    <s v="Victoria"/>
    <n v="3004"/>
    <x v="3"/>
    <x v="3"/>
    <s v="APAC"/>
    <s v="Ferguson"/>
    <s v="Peter"/>
    <x v="0"/>
  </r>
  <r>
    <n v="10235"/>
    <x v="22"/>
    <n v="92"/>
    <n v="9"/>
    <x v="0"/>
    <x v="2621"/>
    <s v="2/24/2003 0:2674"/>
    <x v="0"/>
    <x v="0"/>
    <s v="Shipped"/>
    <x v="1"/>
    <x v="8"/>
    <x v="1"/>
    <x v="4"/>
    <n v="80"/>
    <s v="S700_3167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50"/>
    <x v="27"/>
    <n v="67.2"/>
    <n v="10"/>
    <x v="0"/>
    <x v="2622"/>
    <s v="2/24/2003 0:2675"/>
    <x v="0"/>
    <x v="0"/>
    <s v="Shipped"/>
    <x v="1"/>
    <x v="1"/>
    <x v="1"/>
    <x v="4"/>
    <n v="80"/>
    <s v="S700_3167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262"/>
    <x v="26"/>
    <n v="76"/>
    <n v="5"/>
    <x v="0"/>
    <x v="2623"/>
    <s v="2/24/2003 0:2676"/>
    <x v="3"/>
    <x v="1"/>
    <s v="Cancelled"/>
    <x v="1"/>
    <x v="9"/>
    <x v="1"/>
    <x v="4"/>
    <n v="80"/>
    <s v="S700_3167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75"/>
    <x v="30"/>
    <n v="73.599999999999994"/>
    <n v="15"/>
    <x v="0"/>
    <x v="2624"/>
    <s v="2/24/2003 0:2677"/>
    <x v="0"/>
    <x v="0"/>
    <s v="Shipped"/>
    <x v="2"/>
    <x v="2"/>
    <x v="1"/>
    <x v="4"/>
    <n v="80"/>
    <s v="S700_3167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284"/>
    <x v="32"/>
    <n v="69.599999999999994"/>
    <n v="7"/>
    <x v="0"/>
    <x v="2625"/>
    <s v="2/24/2003 0:2678"/>
    <x v="0"/>
    <x v="0"/>
    <s v="Shipped"/>
    <x v="2"/>
    <x v="3"/>
    <x v="1"/>
    <x v="4"/>
    <n v="80"/>
    <s v="S700_3167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296"/>
    <x v="8"/>
    <n v="80.8"/>
    <n v="3"/>
    <x v="0"/>
    <x v="2626"/>
    <s v="2/24/2003 0:2679"/>
    <x v="0"/>
    <x v="0"/>
    <s v="Shipped"/>
    <x v="2"/>
    <x v="10"/>
    <x v="1"/>
    <x v="4"/>
    <n v="80"/>
    <s v="S700_3167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0"/>
  </r>
  <r>
    <n v="10308"/>
    <x v="15"/>
    <n v="87.2"/>
    <n v="13"/>
    <x v="0"/>
    <x v="2627"/>
    <s v="2/24/2003 0:2680"/>
    <x v="0"/>
    <x v="0"/>
    <s v="Shipped"/>
    <x v="3"/>
    <x v="4"/>
    <x v="1"/>
    <x v="4"/>
    <n v="80"/>
    <s v="S700_3167"/>
    <s v="Mini Classics"/>
    <n v="9145554562"/>
    <s v="3758 North Pendale Street"/>
    <m/>
    <s v="White Plains"/>
    <x v="39"/>
    <s v="NY"/>
    <n v="24067"/>
    <x v="0"/>
    <x v="0"/>
    <s v="NA"/>
    <s v="Frick"/>
    <s v="Steve"/>
    <x v="0"/>
  </r>
  <r>
    <n v="10316"/>
    <x v="7"/>
    <n v="75.2"/>
    <n v="5"/>
    <x v="0"/>
    <x v="2628"/>
    <s v="2/24/2003 0:2681"/>
    <x v="0"/>
    <x v="0"/>
    <s v="Shipped"/>
    <x v="3"/>
    <x v="5"/>
    <x v="1"/>
    <x v="4"/>
    <n v="80"/>
    <s v="S700_3167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1"/>
  </r>
  <r>
    <n v="10328"/>
    <x v="29"/>
    <n v="64"/>
    <n v="13"/>
    <x v="0"/>
    <x v="2629"/>
    <s v="2/24/2003 0:2682"/>
    <x v="0"/>
    <x v="0"/>
    <s v="Shipped"/>
    <x v="3"/>
    <x v="5"/>
    <x v="1"/>
    <x v="4"/>
    <n v="80"/>
    <s v="S700_3167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341"/>
    <x v="1"/>
    <n v="100"/>
    <n v="5"/>
    <x v="0"/>
    <x v="2630"/>
    <s v="2/24/2003 0:2683"/>
    <x v="0"/>
    <x v="0"/>
    <s v="Shipped"/>
    <x v="3"/>
    <x v="5"/>
    <x v="1"/>
    <x v="4"/>
    <n v="80"/>
    <s v="S700_3167"/>
    <s v="Salzburg Collectables"/>
    <s v="6562-9555"/>
    <s v="Geislweg 14"/>
    <m/>
    <s v="Salzburg"/>
    <x v="16"/>
    <m/>
    <n v="5020"/>
    <x v="5"/>
    <x v="5"/>
    <s v="EMEA"/>
    <s v="Pipps"/>
    <s v="Georg"/>
    <x v="1"/>
  </r>
  <r>
    <n v="10353"/>
    <x v="30"/>
    <n v="81.95"/>
    <n v="6"/>
    <x v="0"/>
    <x v="2631"/>
    <s v="2/24/2003 0:2684"/>
    <x v="0"/>
    <x v="0"/>
    <s v="Shipped"/>
    <x v="3"/>
    <x v="6"/>
    <x v="1"/>
    <x v="4"/>
    <n v="80"/>
    <s v="S700_3167"/>
    <s v="Gift Ideas Corp."/>
    <n v="2035554407"/>
    <s v="2440 Pompton St."/>
    <m/>
    <s v="Glendale"/>
    <x v="63"/>
    <s v="CT"/>
    <n v="97561"/>
    <x v="0"/>
    <x v="0"/>
    <s v="NA"/>
    <s v="Lewis"/>
    <s v="Dan"/>
    <x v="1"/>
  </r>
  <r>
    <n v="10361"/>
    <x v="27"/>
    <n v="100"/>
    <n v="10"/>
    <x v="1"/>
    <x v="2632"/>
    <s v="2/24/2003 0:2685"/>
    <x v="0"/>
    <x v="0"/>
    <s v="Shipped"/>
    <x v="3"/>
    <x v="6"/>
    <x v="1"/>
    <x v="4"/>
    <n v="80"/>
    <s v="S700_3167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375"/>
    <x v="27"/>
    <n v="100"/>
    <n v="11"/>
    <x v="1"/>
    <x v="2633"/>
    <s v="2/24/2003 0:2686"/>
    <x v="0"/>
    <x v="0"/>
    <s v="Shipped"/>
    <x v="0"/>
    <x v="0"/>
    <x v="2"/>
    <x v="4"/>
    <n v="80"/>
    <s v="S700_3167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86"/>
    <x v="22"/>
    <n v="94.34"/>
    <n v="17"/>
    <x v="0"/>
    <x v="2634"/>
    <s v="2/24/2003 0:2687"/>
    <x v="5"/>
    <x v="1"/>
    <s v="Resolved"/>
    <x v="0"/>
    <x v="11"/>
    <x v="2"/>
    <x v="4"/>
    <n v="80"/>
    <s v="S700_3167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8"/>
    <x v="6"/>
    <n v="65.599999999999994"/>
    <n v="10"/>
    <x v="0"/>
    <x v="2635"/>
    <s v="2/24/2003 0:2688"/>
    <x v="0"/>
    <x v="0"/>
    <s v="Shipped"/>
    <x v="0"/>
    <x v="11"/>
    <x v="2"/>
    <x v="4"/>
    <n v="80"/>
    <s v="S700_3167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401"/>
    <x v="57"/>
    <n v="92"/>
    <n v="9"/>
    <x v="1"/>
    <x v="2636"/>
    <s v="2/24/2003 0:2689"/>
    <x v="4"/>
    <x v="1"/>
    <s v="On Hold"/>
    <x v="1"/>
    <x v="8"/>
    <x v="2"/>
    <x v="4"/>
    <n v="80"/>
    <s v="S700_3167"/>
    <s v="Tekni Collectables Inc."/>
    <n v="2015559350"/>
    <s v="7476 Moss Rd."/>
    <m/>
    <s v="Newark"/>
    <x v="9"/>
    <s v="NJ"/>
    <n v="94019"/>
    <x v="0"/>
    <x v="0"/>
    <s v="NA"/>
    <s v="Brown"/>
    <s v="William"/>
    <x v="2"/>
  </r>
  <r>
    <n v="10416"/>
    <x v="25"/>
    <n v="67.2"/>
    <n v="10"/>
    <x v="0"/>
    <x v="1683"/>
    <s v="2/24/2003 0:2690"/>
    <x v="0"/>
    <x v="0"/>
    <s v="Shipped"/>
    <x v="1"/>
    <x v="1"/>
    <x v="2"/>
    <x v="4"/>
    <n v="80"/>
    <s v="S700_3167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05"/>
    <x v="25"/>
    <n v="81.14"/>
    <n v="6"/>
    <x v="0"/>
    <x v="2637"/>
    <s v="2/24/2003 0:2691"/>
    <x v="0"/>
    <x v="0"/>
    <s v="Shipped"/>
    <x v="0"/>
    <x v="0"/>
    <x v="0"/>
    <x v="5"/>
    <n v="100"/>
    <s v="S700_3505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118"/>
    <x v="5"/>
    <n v="100"/>
    <n v="1"/>
    <x v="1"/>
    <x v="2638"/>
    <s v="2/24/2003 0:2692"/>
    <x v="0"/>
    <x v="0"/>
    <s v="Shipped"/>
    <x v="1"/>
    <x v="8"/>
    <x v="0"/>
    <x v="5"/>
    <n v="100"/>
    <s v="S700_3505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129"/>
    <x v="13"/>
    <n v="91.15"/>
    <n v="6"/>
    <x v="0"/>
    <x v="2639"/>
    <s v="2/24/2003 0:2693"/>
    <x v="0"/>
    <x v="0"/>
    <s v="Shipped"/>
    <x v="1"/>
    <x v="9"/>
    <x v="0"/>
    <x v="5"/>
    <n v="100"/>
    <s v="S700_3505"/>
    <s v="Stylish Desk Decors, Co."/>
    <s v="(171) 555-0297"/>
    <s v="35 King George"/>
    <m/>
    <s v="London"/>
    <x v="41"/>
    <m/>
    <s v="WX3 6FW"/>
    <x v="6"/>
    <x v="6"/>
    <s v="EMEA"/>
    <s v="Brown"/>
    <s v="Ann"/>
    <x v="1"/>
  </r>
  <r>
    <n v="10142"/>
    <x v="15"/>
    <n v="100"/>
    <n v="3"/>
    <x v="0"/>
    <x v="2640"/>
    <s v="2/24/2003 0:2694"/>
    <x v="0"/>
    <x v="0"/>
    <s v="Shipped"/>
    <x v="2"/>
    <x v="3"/>
    <x v="0"/>
    <x v="5"/>
    <n v="100"/>
    <s v="S700_3505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53"/>
    <x v="24"/>
    <n v="88.15"/>
    <n v="2"/>
    <x v="1"/>
    <x v="2641"/>
    <s v="2/24/2003 0:2695"/>
    <x v="0"/>
    <x v="0"/>
    <s v="Shipped"/>
    <x v="2"/>
    <x v="10"/>
    <x v="0"/>
    <x v="5"/>
    <n v="100"/>
    <s v="S700_3505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67"/>
    <x v="16"/>
    <n v="100"/>
    <n v="13"/>
    <x v="0"/>
    <x v="2642"/>
    <s v="2/24/2003 0:2696"/>
    <x v="3"/>
    <x v="1"/>
    <s v="Cancelled"/>
    <x v="3"/>
    <x v="4"/>
    <x v="0"/>
    <x v="5"/>
    <n v="100"/>
    <s v="S700_3505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177"/>
    <x v="27"/>
    <n v="92.16"/>
    <n v="4"/>
    <x v="1"/>
    <x v="2643"/>
    <s v="2/24/2003 0:2697"/>
    <x v="0"/>
    <x v="0"/>
    <s v="Shipped"/>
    <x v="3"/>
    <x v="5"/>
    <x v="0"/>
    <x v="5"/>
    <n v="100"/>
    <s v="S700_3505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1"/>
  </r>
  <r>
    <n v="10185"/>
    <x v="9"/>
    <n v="100"/>
    <n v="4"/>
    <x v="0"/>
    <x v="2644"/>
    <s v="2/24/2003 0:2698"/>
    <x v="0"/>
    <x v="0"/>
    <s v="Shipped"/>
    <x v="3"/>
    <x v="5"/>
    <x v="0"/>
    <x v="5"/>
    <n v="100"/>
    <s v="S700_3505"/>
    <s v="Mini Creations Ltd."/>
    <n v="5085559555"/>
    <s v="4575 Hillside Dr."/>
    <m/>
    <s v="New Bedford"/>
    <x v="18"/>
    <s v="MA"/>
    <n v="50553"/>
    <x v="0"/>
    <x v="0"/>
    <s v="NA"/>
    <s v="Tam"/>
    <s v="Wing C"/>
    <x v="1"/>
  </r>
  <r>
    <n v="10197"/>
    <x v="26"/>
    <n v="92.16"/>
    <n v="10"/>
    <x v="0"/>
    <x v="2645"/>
    <s v="2/24/2003 0:2699"/>
    <x v="0"/>
    <x v="0"/>
    <s v="Shipped"/>
    <x v="3"/>
    <x v="5"/>
    <x v="0"/>
    <x v="5"/>
    <n v="100"/>
    <s v="S700_3505"/>
    <s v="Enaco Distributors"/>
    <s v="(93) 203 4555"/>
    <s v="Rambla de Catalu¤a, 23"/>
    <m/>
    <s v="Barcelona"/>
    <x v="43"/>
    <m/>
    <n v="8022"/>
    <x v="7"/>
    <x v="7"/>
    <s v="EMEA"/>
    <s v="Saavedra"/>
    <s v="Eduardo"/>
    <x v="0"/>
  </r>
  <r>
    <n v="10208"/>
    <x v="9"/>
    <n v="100"/>
    <n v="4"/>
    <x v="1"/>
    <x v="2646"/>
    <s v="2/24/2003 0:2700"/>
    <x v="0"/>
    <x v="0"/>
    <s v="Shipped"/>
    <x v="0"/>
    <x v="7"/>
    <x v="1"/>
    <x v="5"/>
    <n v="100"/>
    <s v="S700_3505"/>
    <s v="Saveley &amp; Henriot, Co."/>
    <s v="78.32.5555"/>
    <s v="2, rue du Commerce"/>
    <m/>
    <s v="Lyon"/>
    <x v="25"/>
    <m/>
    <n v="69004"/>
    <x v="1"/>
    <x v="1"/>
    <s v="EMEA"/>
    <s v="Saveley"/>
    <s v="Mary"/>
    <x v="1"/>
  </r>
  <r>
    <n v="10222"/>
    <x v="19"/>
    <n v="100"/>
    <n v="16"/>
    <x v="1"/>
    <x v="2647"/>
    <s v="2/24/2003 0:2701"/>
    <x v="0"/>
    <x v="0"/>
    <s v="Shipped"/>
    <x v="0"/>
    <x v="0"/>
    <x v="1"/>
    <x v="5"/>
    <n v="100"/>
    <s v="S700_3505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32"/>
    <x v="7"/>
    <n v="96.16"/>
    <n v="1"/>
    <x v="1"/>
    <x v="2648"/>
    <s v="2/24/2003 0:2702"/>
    <x v="0"/>
    <x v="0"/>
    <s v="Shipped"/>
    <x v="0"/>
    <x v="11"/>
    <x v="1"/>
    <x v="5"/>
    <n v="100"/>
    <s v="S700_3505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1"/>
  </r>
  <r>
    <n v="10248"/>
    <x v="0"/>
    <n v="100"/>
    <n v="7"/>
    <x v="0"/>
    <x v="2649"/>
    <s v="2/24/2003 0:2703"/>
    <x v="3"/>
    <x v="1"/>
    <s v="Cancelled"/>
    <x v="1"/>
    <x v="1"/>
    <x v="1"/>
    <x v="5"/>
    <n v="100"/>
    <s v="S700_3505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261"/>
    <x v="32"/>
    <n v="88.15"/>
    <n v="5"/>
    <x v="0"/>
    <x v="2650"/>
    <s v="2/24/2003 0:2704"/>
    <x v="0"/>
    <x v="0"/>
    <s v="Shipped"/>
    <x v="1"/>
    <x v="9"/>
    <x v="1"/>
    <x v="5"/>
    <n v="100"/>
    <s v="S700_3505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0"/>
  </r>
  <r>
    <n v="10273"/>
    <x v="23"/>
    <n v="86.15"/>
    <n v="8"/>
    <x v="0"/>
    <x v="2651"/>
    <s v="2/24/2003 0:2705"/>
    <x v="0"/>
    <x v="0"/>
    <s v="Shipped"/>
    <x v="2"/>
    <x v="2"/>
    <x v="1"/>
    <x v="5"/>
    <n v="100"/>
    <s v="S700_3505"/>
    <s v="Petit Auto"/>
    <s v="(02) 5554 67"/>
    <s v="Rue Joseph-Bens 532"/>
    <m/>
    <s v="Bruxelles"/>
    <x v="46"/>
    <m/>
    <s v="B-1180"/>
    <x v="14"/>
    <x v="14"/>
    <s v="EMEA"/>
    <s v="Dewey"/>
    <s v="Catherine"/>
    <x v="1"/>
  </r>
  <r>
    <n v="10283"/>
    <x v="8"/>
    <n v="88.15"/>
    <n v="10"/>
    <x v="0"/>
    <x v="2652"/>
    <s v="2/24/2003 0:2706"/>
    <x v="0"/>
    <x v="0"/>
    <s v="Shipped"/>
    <x v="2"/>
    <x v="3"/>
    <x v="1"/>
    <x v="5"/>
    <n v="100"/>
    <s v="S700_3505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95"/>
    <x v="1"/>
    <n v="100"/>
    <n v="5"/>
    <x v="0"/>
    <x v="2653"/>
    <s v="2/24/2003 0:2707"/>
    <x v="0"/>
    <x v="0"/>
    <s v="Shipped"/>
    <x v="2"/>
    <x v="10"/>
    <x v="1"/>
    <x v="5"/>
    <n v="100"/>
    <s v="S700_3505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306"/>
    <x v="22"/>
    <n v="90.15"/>
    <n v="4"/>
    <x v="0"/>
    <x v="2654"/>
    <s v="2/24/2003 0:2708"/>
    <x v="0"/>
    <x v="0"/>
    <s v="Shipped"/>
    <x v="3"/>
    <x v="4"/>
    <x v="1"/>
    <x v="5"/>
    <n v="100"/>
    <s v="S700_3505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15"/>
    <x v="28"/>
    <n v="86.15"/>
    <n v="3"/>
    <x v="0"/>
    <x v="2655"/>
    <s v="2/24/2003 0:2709"/>
    <x v="0"/>
    <x v="0"/>
    <s v="Shipped"/>
    <x v="3"/>
    <x v="4"/>
    <x v="1"/>
    <x v="5"/>
    <n v="100"/>
    <s v="S700_3505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327"/>
    <x v="30"/>
    <n v="80"/>
    <n v="2"/>
    <x v="0"/>
    <x v="2656"/>
    <s v="2/24/2003 0:2710"/>
    <x v="5"/>
    <x v="1"/>
    <s v="Resolved"/>
    <x v="3"/>
    <x v="5"/>
    <x v="1"/>
    <x v="5"/>
    <n v="100"/>
    <s v="S700_3505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337"/>
    <x v="28"/>
    <n v="89.38"/>
    <n v="1"/>
    <x v="0"/>
    <x v="2657"/>
    <s v="2/24/2003 0:2711"/>
    <x v="0"/>
    <x v="0"/>
    <s v="Shipped"/>
    <x v="3"/>
    <x v="5"/>
    <x v="1"/>
    <x v="5"/>
    <n v="100"/>
    <s v="S700_3505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0"/>
  </r>
  <r>
    <n v="10350"/>
    <x v="28"/>
    <n v="77.34"/>
    <n v="13"/>
    <x v="0"/>
    <x v="2658"/>
    <s v="2/24/2003 0:2712"/>
    <x v="0"/>
    <x v="0"/>
    <s v="Shipped"/>
    <x v="3"/>
    <x v="6"/>
    <x v="1"/>
    <x v="5"/>
    <n v="100"/>
    <s v="S700_3505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3"/>
    <x v="1"/>
    <n v="96.34"/>
    <n v="2"/>
    <x v="0"/>
    <x v="2659"/>
    <s v="2/24/2003 0:2713"/>
    <x v="0"/>
    <x v="0"/>
    <s v="Shipped"/>
    <x v="0"/>
    <x v="7"/>
    <x v="2"/>
    <x v="5"/>
    <n v="100"/>
    <s v="S700_3505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386"/>
    <x v="3"/>
    <n v="92.08"/>
    <n v="2"/>
    <x v="1"/>
    <x v="2660"/>
    <s v="2/24/2003 0:2714"/>
    <x v="5"/>
    <x v="1"/>
    <s v="Resolved"/>
    <x v="0"/>
    <x v="11"/>
    <x v="2"/>
    <x v="5"/>
    <n v="100"/>
    <s v="S700_3505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7"/>
    <x v="7"/>
    <n v="100"/>
    <n v="3"/>
    <x v="1"/>
    <x v="2661"/>
    <s v="2/24/2003 0:2715"/>
    <x v="0"/>
    <x v="0"/>
    <s v="Shipped"/>
    <x v="0"/>
    <x v="11"/>
    <x v="2"/>
    <x v="5"/>
    <n v="100"/>
    <s v="S700_3505"/>
    <s v="Alpha Cognac"/>
    <s v="61.77.6555"/>
    <s v="1 rue Alsace-Lorraine"/>
    <m/>
    <s v="Toulouse"/>
    <x v="42"/>
    <m/>
    <n v="31000"/>
    <x v="1"/>
    <x v="1"/>
    <s v="EMEA"/>
    <s v="Roulet"/>
    <s v="Annette"/>
    <x v="1"/>
  </r>
  <r>
    <n v="10414"/>
    <x v="11"/>
    <n v="100"/>
    <n v="7"/>
    <x v="0"/>
    <x v="2662"/>
    <s v="2/24/2003 0:2716"/>
    <x v="4"/>
    <x v="1"/>
    <s v="On Hold"/>
    <x v="1"/>
    <x v="1"/>
    <x v="2"/>
    <x v="5"/>
    <n v="100"/>
    <s v="S700_3505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n v="10105"/>
    <x v="8"/>
    <n v="100"/>
    <n v="7"/>
    <x v="0"/>
    <x v="2663"/>
    <s v="2/24/2003 0:2717"/>
    <x v="0"/>
    <x v="0"/>
    <s v="Shipped"/>
    <x v="0"/>
    <x v="0"/>
    <x v="0"/>
    <x v="5"/>
    <n v="99"/>
    <s v="S700_3962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117"/>
    <x v="3"/>
    <n v="83.42"/>
    <n v="1"/>
    <x v="0"/>
    <x v="2664"/>
    <s v="2/24/2003 0:2718"/>
    <x v="0"/>
    <x v="0"/>
    <s v="Shipped"/>
    <x v="1"/>
    <x v="8"/>
    <x v="0"/>
    <x v="5"/>
    <n v="99"/>
    <s v="S700_3962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1"/>
  </r>
  <r>
    <n v="10129"/>
    <x v="0"/>
    <n v="85.41"/>
    <n v="7"/>
    <x v="0"/>
    <x v="2665"/>
    <s v="2/24/2003 0:2719"/>
    <x v="0"/>
    <x v="0"/>
    <s v="Shipped"/>
    <x v="1"/>
    <x v="9"/>
    <x v="0"/>
    <x v="5"/>
    <n v="99"/>
    <s v="S700_3962"/>
    <s v="Stylish Desk Decors, Co."/>
    <s v="(171) 555-0297"/>
    <s v="35 King George"/>
    <m/>
    <s v="London"/>
    <x v="41"/>
    <m/>
    <s v="WX3 6FW"/>
    <x v="6"/>
    <x v="6"/>
    <s v="EMEA"/>
    <s v="Brown"/>
    <s v="Ann"/>
    <x v="0"/>
  </r>
  <r>
    <n v="10142"/>
    <x v="19"/>
    <n v="85.41"/>
    <n v="4"/>
    <x v="0"/>
    <x v="2666"/>
    <s v="2/24/2003 0:2720"/>
    <x v="0"/>
    <x v="0"/>
    <s v="Shipped"/>
    <x v="2"/>
    <x v="3"/>
    <x v="0"/>
    <x v="5"/>
    <n v="99"/>
    <s v="S700_396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1"/>
  </r>
  <r>
    <n v="10153"/>
    <x v="14"/>
    <n v="100"/>
    <n v="3"/>
    <x v="0"/>
    <x v="2667"/>
    <s v="2/24/2003 0:2721"/>
    <x v="0"/>
    <x v="0"/>
    <s v="Shipped"/>
    <x v="2"/>
    <x v="10"/>
    <x v="0"/>
    <x v="5"/>
    <n v="99"/>
    <s v="S700_396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167"/>
    <x v="11"/>
    <n v="100"/>
    <n v="14"/>
    <x v="0"/>
    <x v="45"/>
    <s v="2/24/2003 0:2722"/>
    <x v="3"/>
    <x v="1"/>
    <s v="Cancelled"/>
    <x v="3"/>
    <x v="4"/>
    <x v="0"/>
    <x v="5"/>
    <n v="99"/>
    <s v="S700_3962"/>
    <s v="Scandinavian Gift Ideas"/>
    <s v="0695-34 6555"/>
    <s v="?kergatan 24"/>
    <m/>
    <s v="Boras"/>
    <x v="31"/>
    <m/>
    <s v="S-844 67"/>
    <x v="8"/>
    <x v="8"/>
    <s v="EMEA"/>
    <s v="Larsson"/>
    <s v="Maria"/>
    <x v="1"/>
  </r>
  <r>
    <n v="10177"/>
    <x v="16"/>
    <n v="100"/>
    <n v="5"/>
    <x v="0"/>
    <x v="2668"/>
    <s v="2/24/2003 0:2723"/>
    <x v="0"/>
    <x v="0"/>
    <s v="Shipped"/>
    <x v="3"/>
    <x v="5"/>
    <x v="0"/>
    <x v="5"/>
    <n v="99"/>
    <s v="S700_3962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0"/>
  </r>
  <r>
    <n v="10185"/>
    <x v="8"/>
    <n v="79.45"/>
    <n v="5"/>
    <x v="0"/>
    <x v="2669"/>
    <s v="2/24/2003 0:2724"/>
    <x v="0"/>
    <x v="0"/>
    <s v="Shipped"/>
    <x v="3"/>
    <x v="5"/>
    <x v="0"/>
    <x v="5"/>
    <n v="99"/>
    <s v="S700_3962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97"/>
    <x v="21"/>
    <n v="93.35"/>
    <n v="11"/>
    <x v="0"/>
    <x v="2670"/>
    <s v="2/24/2003 0:2725"/>
    <x v="0"/>
    <x v="0"/>
    <s v="Shipped"/>
    <x v="3"/>
    <x v="5"/>
    <x v="0"/>
    <x v="5"/>
    <n v="99"/>
    <s v="S700_3962"/>
    <s v="Enaco Distributors"/>
    <s v="(93) 203 4555"/>
    <s v="Rambla de Catalu¤a, 23"/>
    <m/>
    <s v="Barcelona"/>
    <x v="43"/>
    <m/>
    <n v="8022"/>
    <x v="7"/>
    <x v="7"/>
    <s v="EMEA"/>
    <s v="Saavedra"/>
    <s v="Eduardo"/>
    <x v="1"/>
  </r>
  <r>
    <n v="10208"/>
    <x v="29"/>
    <n v="85.41"/>
    <n v="5"/>
    <x v="0"/>
    <x v="2671"/>
    <s v="2/24/2003 0:2726"/>
    <x v="0"/>
    <x v="0"/>
    <s v="Shipped"/>
    <x v="0"/>
    <x v="7"/>
    <x v="1"/>
    <x v="5"/>
    <n v="99"/>
    <s v="S700_3962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22"/>
    <x v="28"/>
    <n v="95.34"/>
    <n v="17"/>
    <x v="0"/>
    <x v="2672"/>
    <s v="2/24/2003 0:2727"/>
    <x v="0"/>
    <x v="0"/>
    <s v="Shipped"/>
    <x v="0"/>
    <x v="0"/>
    <x v="1"/>
    <x v="5"/>
    <n v="99"/>
    <s v="S700_3962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0"/>
  </r>
  <r>
    <n v="10232"/>
    <x v="21"/>
    <n v="82.43"/>
    <n v="2"/>
    <x v="0"/>
    <x v="2673"/>
    <s v="2/24/2003 0:2728"/>
    <x v="0"/>
    <x v="0"/>
    <s v="Shipped"/>
    <x v="0"/>
    <x v="11"/>
    <x v="1"/>
    <x v="5"/>
    <n v="99"/>
    <s v="S700_3962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248"/>
    <x v="21"/>
    <n v="90.37"/>
    <n v="8"/>
    <x v="0"/>
    <x v="2674"/>
    <s v="2/24/2003 0:2729"/>
    <x v="3"/>
    <x v="1"/>
    <s v="Cancelled"/>
    <x v="1"/>
    <x v="1"/>
    <x v="1"/>
    <x v="5"/>
    <n v="99"/>
    <s v="S700_3962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261"/>
    <x v="24"/>
    <n v="81.430000000000007"/>
    <n v="6"/>
    <x v="1"/>
    <x v="2675"/>
    <s v="2/24/2003 0:2730"/>
    <x v="0"/>
    <x v="0"/>
    <s v="Shipped"/>
    <x v="1"/>
    <x v="9"/>
    <x v="1"/>
    <x v="5"/>
    <n v="99"/>
    <s v="S700_3962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1"/>
  </r>
  <r>
    <n v="10273"/>
    <x v="18"/>
    <n v="100"/>
    <n v="9"/>
    <x v="0"/>
    <x v="2676"/>
    <s v="2/24/2003 0:2731"/>
    <x v="0"/>
    <x v="0"/>
    <s v="Shipped"/>
    <x v="2"/>
    <x v="2"/>
    <x v="1"/>
    <x v="5"/>
    <n v="99"/>
    <s v="S700_3962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283"/>
    <x v="19"/>
    <n v="89.38"/>
    <n v="11"/>
    <x v="0"/>
    <x v="2677"/>
    <s v="2/24/2003 0:2732"/>
    <x v="0"/>
    <x v="0"/>
    <s v="Shipped"/>
    <x v="2"/>
    <x v="3"/>
    <x v="1"/>
    <x v="5"/>
    <n v="99"/>
    <s v="S700_3962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1"/>
  </r>
  <r>
    <n v="10294"/>
    <x v="3"/>
    <n v="100"/>
    <n v="1"/>
    <x v="1"/>
    <x v="390"/>
    <s v="2/24/2003 0:2733"/>
    <x v="0"/>
    <x v="0"/>
    <s v="Shipped"/>
    <x v="2"/>
    <x v="10"/>
    <x v="1"/>
    <x v="5"/>
    <n v="99"/>
    <s v="S700_3962"/>
    <s v="Online Mini Collectables"/>
    <n v="6175557555"/>
    <s v="7635 Spinnaker Dr."/>
    <m/>
    <s v="Brickhaven"/>
    <x v="35"/>
    <s v="MA"/>
    <n v="58339"/>
    <x v="0"/>
    <x v="0"/>
    <s v="NA"/>
    <s v="Barajas"/>
    <s v="Miguel"/>
    <x v="1"/>
  </r>
  <r>
    <n v="10306"/>
    <x v="0"/>
    <n v="100"/>
    <n v="5"/>
    <x v="0"/>
    <x v="2678"/>
    <s v="2/24/2003 0:2734"/>
    <x v="0"/>
    <x v="0"/>
    <s v="Shipped"/>
    <x v="3"/>
    <x v="4"/>
    <x v="1"/>
    <x v="5"/>
    <n v="99"/>
    <s v="S700_3962"/>
    <s v="AV Stores, Co."/>
    <s v="(171) 555-1555"/>
    <s v="Fauntleroy Circus"/>
    <m/>
    <s v="Manchester"/>
    <x v="61"/>
    <m/>
    <s v="EC2 5NT"/>
    <x v="6"/>
    <x v="6"/>
    <s v="EMEA"/>
    <s v="Ashworth"/>
    <s v="Victoria"/>
    <x v="1"/>
  </r>
  <r>
    <n v="10315"/>
    <x v="9"/>
    <n v="91.37"/>
    <n v="4"/>
    <x v="0"/>
    <x v="2679"/>
    <s v="2/24/2003 0:2735"/>
    <x v="0"/>
    <x v="0"/>
    <s v="Shipped"/>
    <x v="3"/>
    <x v="4"/>
    <x v="1"/>
    <x v="5"/>
    <n v="99"/>
    <s v="S700_3962"/>
    <s v="La Rochelle Gifts"/>
    <s v="40.67.8555"/>
    <s v="67, rue des Cinquante Otages"/>
    <m/>
    <s v="Nantes"/>
    <x v="11"/>
    <m/>
    <n v="44000"/>
    <x v="1"/>
    <x v="1"/>
    <s v="EMEA"/>
    <s v="Labrune"/>
    <s v="Janine"/>
    <x v="1"/>
  </r>
  <r>
    <n v="10327"/>
    <x v="9"/>
    <n v="86.61"/>
    <n v="3"/>
    <x v="0"/>
    <x v="2680"/>
    <s v="2/24/2003 0:2736"/>
    <x v="5"/>
    <x v="1"/>
    <s v="Resolved"/>
    <x v="3"/>
    <x v="5"/>
    <x v="1"/>
    <x v="5"/>
    <n v="99"/>
    <s v="S700_3962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337"/>
    <x v="5"/>
    <n v="71.89"/>
    <n v="7"/>
    <x v="0"/>
    <x v="2681"/>
    <s v="2/24/2003 0:2737"/>
    <x v="0"/>
    <x v="0"/>
    <s v="Shipped"/>
    <x v="3"/>
    <x v="5"/>
    <x v="1"/>
    <x v="5"/>
    <n v="99"/>
    <s v="S700_3962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0"/>
  </r>
  <r>
    <n v="10350"/>
    <x v="32"/>
    <n v="100"/>
    <n v="16"/>
    <x v="0"/>
    <x v="2682"/>
    <s v="2/24/2003 0:2738"/>
    <x v="0"/>
    <x v="0"/>
    <s v="Shipped"/>
    <x v="3"/>
    <x v="6"/>
    <x v="1"/>
    <x v="5"/>
    <n v="99"/>
    <s v="S700_396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3"/>
    <x v="9"/>
    <n v="100"/>
    <n v="8"/>
    <x v="1"/>
    <x v="2683"/>
    <s v="2/24/2003 0:2739"/>
    <x v="0"/>
    <x v="0"/>
    <s v="Shipped"/>
    <x v="0"/>
    <x v="7"/>
    <x v="2"/>
    <x v="5"/>
    <n v="99"/>
    <s v="S700_3962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386"/>
    <x v="0"/>
    <n v="95.48"/>
    <n v="3"/>
    <x v="0"/>
    <x v="2684"/>
    <s v="2/24/2003 0:2740"/>
    <x v="5"/>
    <x v="1"/>
    <s v="Resolved"/>
    <x v="0"/>
    <x v="11"/>
    <x v="2"/>
    <x v="5"/>
    <n v="99"/>
    <s v="S700_396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97"/>
    <x v="5"/>
    <n v="100"/>
    <n v="2"/>
    <x v="0"/>
    <x v="2685"/>
    <s v="2/24/2003 0:2741"/>
    <x v="0"/>
    <x v="0"/>
    <s v="Shipped"/>
    <x v="0"/>
    <x v="11"/>
    <x v="2"/>
    <x v="5"/>
    <n v="99"/>
    <s v="S700_3962"/>
    <s v="Alpha Cognac"/>
    <s v="61.77.6555"/>
    <s v="1 rue Alsace-Lorraine"/>
    <m/>
    <s v="Toulouse"/>
    <x v="42"/>
    <m/>
    <n v="31000"/>
    <x v="1"/>
    <x v="1"/>
    <s v="EMEA"/>
    <s v="Roulet"/>
    <s v="Annette"/>
    <x v="1"/>
  </r>
  <r>
    <n v="10414"/>
    <x v="26"/>
    <n v="90.37"/>
    <n v="8"/>
    <x v="0"/>
    <x v="2686"/>
    <s v="2/24/2003 0:2742"/>
    <x v="4"/>
    <x v="1"/>
    <s v="On Hold"/>
    <x v="1"/>
    <x v="1"/>
    <x v="2"/>
    <x v="5"/>
    <n v="99"/>
    <s v="S700_3962"/>
    <s v="Gifts4AllAges.com"/>
    <n v="6175559555"/>
    <s v="8616 Spinnaker Dr."/>
    <m/>
    <s v="Boston"/>
    <x v="48"/>
    <s v="MA"/>
    <n v="51003"/>
    <x v="0"/>
    <x v="0"/>
    <s v="NA"/>
    <s v="Yoshido"/>
    <s v="Juri"/>
    <x v="0"/>
  </r>
  <r>
    <n v="10106"/>
    <x v="7"/>
    <n v="61.44"/>
    <n v="10"/>
    <x v="0"/>
    <x v="2687"/>
    <s v="2/24/2003 0:2743"/>
    <x v="0"/>
    <x v="0"/>
    <s v="Shipped"/>
    <x v="0"/>
    <x v="0"/>
    <x v="0"/>
    <x v="4"/>
    <n v="74"/>
    <s v="S700_4002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19"/>
    <x v="18"/>
    <n v="59.22"/>
    <n v="1"/>
    <x v="0"/>
    <x v="2688"/>
    <s v="2/24/2003 0:2744"/>
    <x v="0"/>
    <x v="0"/>
    <s v="Shipped"/>
    <x v="1"/>
    <x v="8"/>
    <x v="0"/>
    <x v="4"/>
    <n v="74"/>
    <s v="S700_4002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31"/>
    <x v="18"/>
    <n v="85.13"/>
    <n v="2"/>
    <x v="0"/>
    <x v="2689"/>
    <s v="2/24/2003 0:2745"/>
    <x v="0"/>
    <x v="0"/>
    <s v="Shipped"/>
    <x v="1"/>
    <x v="9"/>
    <x v="0"/>
    <x v="4"/>
    <n v="74"/>
    <s v="S700_4002"/>
    <s v="Gift Ideas Corp."/>
    <n v="2035554407"/>
    <s v="2440 Pompton St."/>
    <m/>
    <s v="Glendale"/>
    <x v="63"/>
    <s v="CT"/>
    <n v="97561"/>
    <x v="0"/>
    <x v="0"/>
    <s v="NA"/>
    <s v="Lewis"/>
    <s v="Dan"/>
    <x v="0"/>
  </r>
  <r>
    <n v="10143"/>
    <x v="1"/>
    <n v="85.87"/>
    <n v="5"/>
    <x v="0"/>
    <x v="2690"/>
    <s v="2/24/2003 0:2746"/>
    <x v="0"/>
    <x v="0"/>
    <s v="Shipped"/>
    <x v="2"/>
    <x v="3"/>
    <x v="0"/>
    <x v="4"/>
    <n v="74"/>
    <s v="S700_4002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55"/>
    <x v="27"/>
    <n v="85.87"/>
    <n v="3"/>
    <x v="0"/>
    <x v="2691"/>
    <s v="2/24/2003 0:2747"/>
    <x v="0"/>
    <x v="0"/>
    <s v="Shipped"/>
    <x v="3"/>
    <x v="4"/>
    <x v="0"/>
    <x v="4"/>
    <n v="74"/>
    <s v="S700_4002"/>
    <s v="Toys of Finland, Co."/>
    <s v="90-224 8555"/>
    <s v="Keskuskatu 45"/>
    <m/>
    <s v="Helsinki"/>
    <x v="13"/>
    <m/>
    <n v="21240"/>
    <x v="4"/>
    <x v="4"/>
    <s v="EMEA"/>
    <s v="Karttunen"/>
    <s v="Matti"/>
    <x v="1"/>
  </r>
  <r>
    <n v="10168"/>
    <x v="25"/>
    <n v="82.91"/>
    <n v="17"/>
    <x v="0"/>
    <x v="2692"/>
    <s v="2/24/2003 0:2748"/>
    <x v="0"/>
    <x v="0"/>
    <s v="Shipped"/>
    <x v="3"/>
    <x v="4"/>
    <x v="0"/>
    <x v="4"/>
    <n v="74"/>
    <s v="S700_4002"/>
    <s v="Technics Stores Inc."/>
    <n v="6505556809"/>
    <s v="9408 Furth Circle"/>
    <m/>
    <s v="Burlingame"/>
    <x v="5"/>
    <s v="CA"/>
    <n v="94217"/>
    <x v="0"/>
    <x v="0"/>
    <s v="NA"/>
    <s v="Hirano"/>
    <s v="Juri"/>
    <x v="1"/>
  </r>
  <r>
    <n v="10178"/>
    <x v="3"/>
    <n v="76.25"/>
    <n v="2"/>
    <x v="0"/>
    <x v="2693"/>
    <s v="2/24/2003 0:2749"/>
    <x v="0"/>
    <x v="0"/>
    <s v="Shipped"/>
    <x v="3"/>
    <x v="5"/>
    <x v="0"/>
    <x v="4"/>
    <n v="74"/>
    <s v="S700_4002"/>
    <s v="Alpha Cognac"/>
    <s v="61.77.6555"/>
    <s v="1 rue Alsace-Lorraine"/>
    <m/>
    <s v="Toulouse"/>
    <x v="42"/>
    <m/>
    <n v="31000"/>
    <x v="1"/>
    <x v="1"/>
    <s v="EMEA"/>
    <s v="Roulet"/>
    <s v="Annette"/>
    <x v="1"/>
  </r>
  <r>
    <n v="10198"/>
    <x v="23"/>
    <n v="63.67"/>
    <n v="2"/>
    <x v="0"/>
    <x v="2694"/>
    <s v="2/24/2003 0:2750"/>
    <x v="0"/>
    <x v="0"/>
    <s v="Shipped"/>
    <x v="3"/>
    <x v="5"/>
    <x v="0"/>
    <x v="4"/>
    <n v="74"/>
    <s v="S700_4002"/>
    <s v="Cruz &amp; Sons Co."/>
    <s v="+63 2 555 3587"/>
    <s v="15 McCallum Street - NatWest Center #13-03"/>
    <m/>
    <s v="Makati City"/>
    <x v="53"/>
    <m/>
    <s v="1227 MM"/>
    <x v="15"/>
    <x v="15"/>
    <s v="Japan"/>
    <s v="Cruz"/>
    <s v="Arnold"/>
    <x v="0"/>
  </r>
  <r>
    <n v="10210"/>
    <x v="13"/>
    <n v="70.33"/>
    <n v="15"/>
    <x v="0"/>
    <x v="2695"/>
    <s v="2/24/2003 0:2751"/>
    <x v="0"/>
    <x v="0"/>
    <s v="Shipped"/>
    <x v="0"/>
    <x v="7"/>
    <x v="1"/>
    <x v="4"/>
    <n v="74"/>
    <s v="S700_4002"/>
    <s v="Osaka Souveniers Co."/>
    <s v="+81 06 6342 5555"/>
    <s v="Dojima Avanza 4F, 1-6-20 Dojima, Kita-ku"/>
    <m/>
    <s v="Osaka"/>
    <x v="38"/>
    <s v="Osaka"/>
    <s v="530-0003"/>
    <x v="11"/>
    <x v="11"/>
    <s v="Japan"/>
    <s v="Kentary"/>
    <s v="Mory"/>
    <x v="0"/>
  </r>
  <r>
    <n v="10222"/>
    <x v="30"/>
    <n v="74.03"/>
    <n v="2"/>
    <x v="0"/>
    <x v="2696"/>
    <s v="2/24/2003 0:2752"/>
    <x v="0"/>
    <x v="0"/>
    <s v="Shipped"/>
    <x v="0"/>
    <x v="0"/>
    <x v="1"/>
    <x v="4"/>
    <n v="74"/>
    <s v="S700_4002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1"/>
  </r>
  <r>
    <n v="10235"/>
    <x v="1"/>
    <n v="72.55"/>
    <n v="11"/>
    <x v="0"/>
    <x v="2697"/>
    <s v="2/24/2003 0:2753"/>
    <x v="0"/>
    <x v="0"/>
    <s v="Shipped"/>
    <x v="1"/>
    <x v="8"/>
    <x v="1"/>
    <x v="4"/>
    <n v="74"/>
    <s v="S700_4002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50"/>
    <x v="19"/>
    <n v="62.19"/>
    <n v="12"/>
    <x v="0"/>
    <x v="2698"/>
    <s v="2/24/2003 0:2754"/>
    <x v="0"/>
    <x v="0"/>
    <s v="Shipped"/>
    <x v="1"/>
    <x v="1"/>
    <x v="1"/>
    <x v="4"/>
    <n v="74"/>
    <s v="S700_4002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262"/>
    <x v="21"/>
    <n v="71.069999999999993"/>
    <n v="7"/>
    <x v="0"/>
    <x v="2699"/>
    <s v="2/24/2003 0:2755"/>
    <x v="3"/>
    <x v="1"/>
    <s v="Cancelled"/>
    <x v="1"/>
    <x v="9"/>
    <x v="1"/>
    <x v="4"/>
    <n v="74"/>
    <s v="S700_400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75"/>
    <x v="28"/>
    <n v="72.55"/>
    <n v="17"/>
    <x v="0"/>
    <x v="2700"/>
    <s v="2/24/2003 0:2756"/>
    <x v="0"/>
    <x v="0"/>
    <s v="Shipped"/>
    <x v="2"/>
    <x v="2"/>
    <x v="1"/>
    <x v="4"/>
    <n v="74"/>
    <s v="S700_4002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284"/>
    <x v="22"/>
    <n v="64.41"/>
    <n v="9"/>
    <x v="0"/>
    <x v="2701"/>
    <s v="2/24/2003 0:2757"/>
    <x v="0"/>
    <x v="0"/>
    <s v="Shipped"/>
    <x v="2"/>
    <x v="3"/>
    <x v="1"/>
    <x v="4"/>
    <n v="74"/>
    <s v="S700_4002"/>
    <s v="Norway Gifts By Mail, Co."/>
    <s v="+47 2212 1555"/>
    <s v="Drammensveien 126 A, PB 744 Sentrum"/>
    <m/>
    <s v="Oslo"/>
    <x v="68"/>
    <m/>
    <s v="N 0106"/>
    <x v="2"/>
    <x v="2"/>
    <s v="EMEA"/>
    <s v="Klaeboe"/>
    <s v="Jan"/>
    <x v="0"/>
  </r>
  <r>
    <n v="10296"/>
    <x v="20"/>
    <n v="86.62"/>
    <n v="5"/>
    <x v="1"/>
    <x v="2702"/>
    <s v="2/24/2003 0:2758"/>
    <x v="0"/>
    <x v="0"/>
    <s v="Shipped"/>
    <x v="2"/>
    <x v="10"/>
    <x v="1"/>
    <x v="4"/>
    <n v="74"/>
    <s v="S700_4002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1"/>
  </r>
  <r>
    <n v="10308"/>
    <x v="25"/>
    <n v="68.11"/>
    <n v="15"/>
    <x v="0"/>
    <x v="2703"/>
    <s v="2/24/2003 0:2759"/>
    <x v="0"/>
    <x v="0"/>
    <s v="Shipped"/>
    <x v="3"/>
    <x v="4"/>
    <x v="1"/>
    <x v="4"/>
    <n v="74"/>
    <s v="S700_4002"/>
    <s v="Mini Classics"/>
    <n v="9145554562"/>
    <s v="3758 North Pendale Street"/>
    <m/>
    <s v="White Plains"/>
    <x v="39"/>
    <s v="NY"/>
    <n v="24067"/>
    <x v="0"/>
    <x v="0"/>
    <s v="NA"/>
    <s v="Frick"/>
    <s v="Steve"/>
    <x v="0"/>
  </r>
  <r>
    <n v="10316"/>
    <x v="27"/>
    <n v="62.19"/>
    <n v="7"/>
    <x v="0"/>
    <x v="2704"/>
    <s v="2/24/2003 0:2760"/>
    <x v="0"/>
    <x v="0"/>
    <s v="Shipped"/>
    <x v="3"/>
    <x v="5"/>
    <x v="1"/>
    <x v="4"/>
    <n v="74"/>
    <s v="S700_4002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328"/>
    <x v="25"/>
    <n v="85.87"/>
    <n v="12"/>
    <x v="0"/>
    <x v="2705"/>
    <s v="2/24/2003 0:2761"/>
    <x v="0"/>
    <x v="0"/>
    <s v="Shipped"/>
    <x v="3"/>
    <x v="5"/>
    <x v="1"/>
    <x v="4"/>
    <n v="74"/>
    <s v="S700_4002"/>
    <s v="Rovelli Gifts"/>
    <s v="035-640555"/>
    <s v="Via Ludovico il Moro 22"/>
    <m/>
    <s v="Bergamo"/>
    <x v="69"/>
    <m/>
    <n v="24100"/>
    <x v="12"/>
    <x v="12"/>
    <s v="EMEA"/>
    <s v="Rovelli"/>
    <s v="Giovanni"/>
    <x v="1"/>
  </r>
  <r>
    <n v="10339"/>
    <x v="24"/>
    <n v="57.86"/>
    <n v="8"/>
    <x v="0"/>
    <x v="2706"/>
    <s v="2/24/2003 0:2762"/>
    <x v="0"/>
    <x v="0"/>
    <s v="Shipped"/>
    <x v="3"/>
    <x v="5"/>
    <x v="1"/>
    <x v="4"/>
    <n v="74"/>
    <s v="S700_4002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52"/>
    <x v="8"/>
    <n v="75.510000000000005"/>
    <n v="1"/>
    <x v="0"/>
    <x v="2707"/>
    <s v="2/24/2003 0:2763"/>
    <x v="0"/>
    <x v="0"/>
    <s v="Shipped"/>
    <x v="3"/>
    <x v="6"/>
    <x v="1"/>
    <x v="4"/>
    <n v="74"/>
    <s v="S700_4002"/>
    <s v="Auto-Moto Classics Inc."/>
    <n v="6175558428"/>
    <s v="16780 Pompton St."/>
    <m/>
    <s v="Brickhaven"/>
    <x v="35"/>
    <s v="MA"/>
    <n v="58339"/>
    <x v="0"/>
    <x v="0"/>
    <s v="NA"/>
    <s v="Taylor"/>
    <s v="Leslie"/>
    <x v="0"/>
  </r>
  <r>
    <n v="10361"/>
    <x v="21"/>
    <n v="100"/>
    <n v="11"/>
    <x v="1"/>
    <x v="2708"/>
    <s v="2/24/2003 0:2764"/>
    <x v="0"/>
    <x v="0"/>
    <s v="Shipped"/>
    <x v="3"/>
    <x v="6"/>
    <x v="1"/>
    <x v="4"/>
    <n v="74"/>
    <s v="S700_4002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1"/>
  </r>
  <r>
    <n v="10373"/>
    <x v="3"/>
    <n v="55.62"/>
    <n v="17"/>
    <x v="0"/>
    <x v="2709"/>
    <s v="2/24/2003 0:2765"/>
    <x v="0"/>
    <x v="0"/>
    <s v="Shipped"/>
    <x v="0"/>
    <x v="7"/>
    <x v="2"/>
    <x v="4"/>
    <n v="74"/>
    <s v="S700_4002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386"/>
    <x v="27"/>
    <n v="86.4"/>
    <n v="15"/>
    <x v="0"/>
    <x v="2710"/>
    <s v="2/24/2003 0:2766"/>
    <x v="5"/>
    <x v="1"/>
    <s v="Resolved"/>
    <x v="0"/>
    <x v="11"/>
    <x v="2"/>
    <x v="4"/>
    <n v="74"/>
    <s v="S700_400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8"/>
    <x v="5"/>
    <n v="87.36"/>
    <n v="12"/>
    <x v="0"/>
    <x v="2711"/>
    <s v="2/24/2003 0:2767"/>
    <x v="0"/>
    <x v="0"/>
    <s v="Shipped"/>
    <x v="0"/>
    <x v="11"/>
    <x v="2"/>
    <x v="4"/>
    <n v="74"/>
    <s v="S700_4002"/>
    <s v="Reims Collectables"/>
    <s v="26.47.1555"/>
    <s v="59 rue de l'Abbaye"/>
    <m/>
    <s v="Reims"/>
    <x v="1"/>
    <m/>
    <n v="51100"/>
    <x v="1"/>
    <x v="1"/>
    <s v="EMEA"/>
    <s v="Henriot"/>
    <s v="Paul"/>
    <x v="1"/>
  </r>
  <r>
    <n v="10401"/>
    <x v="11"/>
    <n v="72.55"/>
    <n v="11"/>
    <x v="0"/>
    <x v="2712"/>
    <s v="2/24/2003 0:2768"/>
    <x v="4"/>
    <x v="1"/>
    <s v="On Hold"/>
    <x v="1"/>
    <x v="8"/>
    <x v="2"/>
    <x v="4"/>
    <n v="74"/>
    <s v="S700_4002"/>
    <s v="Tekni Collectables Inc."/>
    <n v="2015559350"/>
    <s v="7476 Moss Rd."/>
    <m/>
    <s v="Newark"/>
    <x v="9"/>
    <s v="NJ"/>
    <n v="94019"/>
    <x v="0"/>
    <x v="0"/>
    <s v="NA"/>
    <s v="Brown"/>
    <s v="William"/>
    <x v="0"/>
  </r>
  <r>
    <n v="10416"/>
    <x v="30"/>
    <n v="62.19"/>
    <n v="12"/>
    <x v="0"/>
    <x v="2713"/>
    <s v="2/24/2003 0:2769"/>
    <x v="0"/>
    <x v="0"/>
    <s v="Shipped"/>
    <x v="1"/>
    <x v="1"/>
    <x v="2"/>
    <x v="4"/>
    <n v="74"/>
    <s v="S700_4002"/>
    <s v="L'ordine Souveniers"/>
    <s v="0522-556555"/>
    <s v="Strada Provinciale 124"/>
    <m/>
    <s v="Reggio Emilia"/>
    <x v="57"/>
    <m/>
    <n v="42100"/>
    <x v="12"/>
    <x v="12"/>
    <s v="EMEA"/>
    <s v="Moroni"/>
    <s v="Maurizio"/>
    <x v="0"/>
  </r>
  <r>
    <n v="10106"/>
    <x v="7"/>
    <n v="52.64"/>
    <n v="15"/>
    <x v="0"/>
    <x v="2714"/>
    <s v="2/24/2003 0:2770"/>
    <x v="0"/>
    <x v="0"/>
    <s v="Shipped"/>
    <x v="0"/>
    <x v="0"/>
    <x v="0"/>
    <x v="4"/>
    <n v="49"/>
    <s v="S72_1253"/>
    <s v="Rovelli Gifts"/>
    <s v="035-640555"/>
    <s v="Via Ludovico il Moro 22"/>
    <m/>
    <s v="Bergamo"/>
    <x v="69"/>
    <m/>
    <n v="24100"/>
    <x v="12"/>
    <x v="12"/>
    <s v="EMEA"/>
    <s v="Rovelli"/>
    <s v="Giovanni"/>
    <x v="0"/>
  </r>
  <r>
    <n v="10119"/>
    <x v="11"/>
    <n v="48.17"/>
    <n v="6"/>
    <x v="0"/>
    <x v="2715"/>
    <s v="2/24/2003 0:2771"/>
    <x v="0"/>
    <x v="0"/>
    <s v="Shipped"/>
    <x v="1"/>
    <x v="8"/>
    <x v="0"/>
    <x v="4"/>
    <n v="49"/>
    <s v="S72_1253"/>
    <s v="Salzburg Collectables"/>
    <s v="6562-9555"/>
    <s v="Geislweg 14"/>
    <m/>
    <s v="Salzburg"/>
    <x v="16"/>
    <m/>
    <n v="5020"/>
    <x v="5"/>
    <x v="5"/>
    <s v="EMEA"/>
    <s v="Pipps"/>
    <s v="Georg"/>
    <x v="0"/>
  </r>
  <r>
    <n v="10131"/>
    <x v="15"/>
    <n v="41.71"/>
    <n v="7"/>
    <x v="0"/>
    <x v="2716"/>
    <s v="2/24/2003 0:2772"/>
    <x v="0"/>
    <x v="0"/>
    <s v="Shipped"/>
    <x v="1"/>
    <x v="9"/>
    <x v="0"/>
    <x v="4"/>
    <n v="49"/>
    <s v="S72_1253"/>
    <s v="Gift Ideas Corp."/>
    <n v="2035554407"/>
    <s v="2440 Pompton St."/>
    <m/>
    <s v="Glendale"/>
    <x v="63"/>
    <s v="CT"/>
    <n v="97561"/>
    <x v="0"/>
    <x v="0"/>
    <s v="NA"/>
    <s v="Lewis"/>
    <s v="Dan"/>
    <x v="0"/>
  </r>
  <r>
    <n v="10143"/>
    <x v="9"/>
    <n v="50.65"/>
    <n v="10"/>
    <x v="0"/>
    <x v="2717"/>
    <s v="2/24/2003 0:2773"/>
    <x v="0"/>
    <x v="0"/>
    <s v="Shipped"/>
    <x v="2"/>
    <x v="3"/>
    <x v="0"/>
    <x v="4"/>
    <n v="49"/>
    <s v="S72_1253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55"/>
    <x v="1"/>
    <n v="49.16"/>
    <n v="8"/>
    <x v="0"/>
    <x v="2718"/>
    <s v="2/24/2003 0:2774"/>
    <x v="0"/>
    <x v="0"/>
    <s v="Shipped"/>
    <x v="3"/>
    <x v="4"/>
    <x v="0"/>
    <x v="4"/>
    <n v="49"/>
    <s v="S72_1253"/>
    <s v="Toys of Finland, Co."/>
    <s v="90-224 8555"/>
    <s v="Keskuskatu 45"/>
    <m/>
    <s v="Helsinki"/>
    <x v="13"/>
    <m/>
    <n v="21240"/>
    <x v="4"/>
    <x v="4"/>
    <s v="EMEA"/>
    <s v="Karttunen"/>
    <s v="Matti"/>
    <x v="0"/>
  </r>
  <r>
    <n v="10167"/>
    <x v="23"/>
    <n v="41.71"/>
    <n v="4"/>
    <x v="0"/>
    <x v="2719"/>
    <s v="2/24/2003 0:2775"/>
    <x v="3"/>
    <x v="1"/>
    <s v="Cancelled"/>
    <x v="3"/>
    <x v="4"/>
    <x v="0"/>
    <x v="4"/>
    <n v="49"/>
    <s v="S72_1253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178"/>
    <x v="3"/>
    <n v="51.15"/>
    <n v="7"/>
    <x v="0"/>
    <x v="2720"/>
    <s v="2/24/2003 0:2776"/>
    <x v="0"/>
    <x v="0"/>
    <s v="Shipped"/>
    <x v="3"/>
    <x v="5"/>
    <x v="0"/>
    <x v="4"/>
    <n v="49"/>
    <s v="S72_1253"/>
    <s v="Alpha Cognac"/>
    <s v="61.77.6555"/>
    <s v="1 rue Alsace-Lorraine"/>
    <m/>
    <s v="Toulouse"/>
    <x v="42"/>
    <m/>
    <n v="31000"/>
    <x v="1"/>
    <x v="1"/>
    <s v="EMEA"/>
    <s v="Roulet"/>
    <s v="Annette"/>
    <x v="0"/>
  </r>
  <r>
    <n v="10186"/>
    <x v="11"/>
    <n v="52.14"/>
    <n v="4"/>
    <x v="0"/>
    <x v="2721"/>
    <s v="2/24/2003 0:2777"/>
    <x v="0"/>
    <x v="0"/>
    <s v="Shipped"/>
    <x v="3"/>
    <x v="5"/>
    <x v="0"/>
    <x v="4"/>
    <n v="49"/>
    <s v="S72_1253"/>
    <s v="Double Decker Gift Stores, Ltd"/>
    <s v="(171) 555-7555"/>
    <s v="120 Hanover Sq."/>
    <m/>
    <s v="London"/>
    <x v="41"/>
    <m/>
    <s v="WA1 1DP"/>
    <x v="6"/>
    <x v="6"/>
    <s v="EMEA"/>
    <s v="Hardy"/>
    <s v="Thomas"/>
    <x v="0"/>
  </r>
  <r>
    <n v="10197"/>
    <x v="6"/>
    <n v="41.71"/>
    <n v="1"/>
    <x v="0"/>
    <x v="2722"/>
    <s v="2/24/2003 0:2778"/>
    <x v="0"/>
    <x v="0"/>
    <s v="Shipped"/>
    <x v="3"/>
    <x v="5"/>
    <x v="0"/>
    <x v="4"/>
    <n v="49"/>
    <s v="S72_1253"/>
    <s v="Enaco Distributors"/>
    <s v="(93) 203 4555"/>
    <s v="Rambla de Catalu¤a, 23"/>
    <m/>
    <s v="Barcelona"/>
    <x v="43"/>
    <m/>
    <n v="8022"/>
    <x v="7"/>
    <x v="7"/>
    <s v="EMEA"/>
    <s v="Saavedra"/>
    <s v="Eduardo"/>
    <x v="0"/>
  </r>
  <r>
    <n v="10209"/>
    <x v="7"/>
    <n v="44.69"/>
    <n v="3"/>
    <x v="0"/>
    <x v="2723"/>
    <s v="2/24/2003 0:2779"/>
    <x v="0"/>
    <x v="0"/>
    <s v="Shipped"/>
    <x v="0"/>
    <x v="7"/>
    <x v="1"/>
    <x v="4"/>
    <n v="49"/>
    <s v="S72_1253"/>
    <s v="Men 'R' US Retailers, Ltd."/>
    <n v="2155554369"/>
    <s v="6047 Douglas Av."/>
    <m/>
    <s v="Los Angeles"/>
    <x v="44"/>
    <s v="CA"/>
    <m/>
    <x v="0"/>
    <x v="0"/>
    <s v="NA"/>
    <s v="Chandler"/>
    <s v="Michael"/>
    <x v="0"/>
  </r>
  <r>
    <n v="10222"/>
    <x v="28"/>
    <n v="45.69"/>
    <n v="7"/>
    <x v="0"/>
    <x v="2724"/>
    <s v="2/24/2003 0:2780"/>
    <x v="0"/>
    <x v="0"/>
    <s v="Shipped"/>
    <x v="0"/>
    <x v="0"/>
    <x v="1"/>
    <x v="4"/>
    <n v="49"/>
    <s v="S72_1253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0"/>
  </r>
  <r>
    <n v="10249"/>
    <x v="22"/>
    <n v="57.61"/>
    <n v="3"/>
    <x v="0"/>
    <x v="2725"/>
    <s v="2/24/2003 0:2781"/>
    <x v="0"/>
    <x v="0"/>
    <s v="Shipped"/>
    <x v="1"/>
    <x v="1"/>
    <x v="1"/>
    <x v="4"/>
    <n v="49"/>
    <s v="S72_1253"/>
    <s v="Cambridge Collectables Co."/>
    <n v="6175555555"/>
    <s v="4658 Baden Av."/>
    <m/>
    <s v="Cambridge"/>
    <x v="12"/>
    <s v="MA"/>
    <n v="51247"/>
    <x v="0"/>
    <x v="0"/>
    <s v="NA"/>
    <s v="Tseng"/>
    <s v="Kyung"/>
    <x v="0"/>
  </r>
  <r>
    <n v="10262"/>
    <x v="15"/>
    <n v="57.11"/>
    <n v="12"/>
    <x v="0"/>
    <x v="2726"/>
    <s v="2/24/2003 0:2782"/>
    <x v="3"/>
    <x v="1"/>
    <s v="Cancelled"/>
    <x v="1"/>
    <x v="9"/>
    <x v="1"/>
    <x v="4"/>
    <n v="49"/>
    <s v="S72_1253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274"/>
    <x v="22"/>
    <n v="58.6"/>
    <n v="4"/>
    <x v="0"/>
    <x v="2727"/>
    <s v="2/24/2003 0:2783"/>
    <x v="0"/>
    <x v="0"/>
    <s v="Shipped"/>
    <x v="2"/>
    <x v="2"/>
    <x v="1"/>
    <x v="4"/>
    <n v="49"/>
    <s v="S72_1253"/>
    <s v="Collectables For Less Inc."/>
    <n v="6175558555"/>
    <s v="7825 Douglas Av."/>
    <m/>
    <s v="Brickhaven"/>
    <x v="35"/>
    <s v="MA"/>
    <n v="58339"/>
    <x v="0"/>
    <x v="0"/>
    <s v="NA"/>
    <s v="Nelson"/>
    <s v="Allen"/>
    <x v="0"/>
  </r>
  <r>
    <n v="10283"/>
    <x v="30"/>
    <n v="57.61"/>
    <n v="1"/>
    <x v="0"/>
    <x v="2728"/>
    <s v="2/24/2003 0:2784"/>
    <x v="0"/>
    <x v="0"/>
    <s v="Shipped"/>
    <x v="2"/>
    <x v="3"/>
    <x v="1"/>
    <x v="4"/>
    <n v="49"/>
    <s v="S72_1253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96"/>
    <x v="15"/>
    <n v="45.19"/>
    <n v="10"/>
    <x v="0"/>
    <x v="2729"/>
    <s v="2/24/2003 0:2785"/>
    <x v="0"/>
    <x v="0"/>
    <s v="Shipped"/>
    <x v="2"/>
    <x v="10"/>
    <x v="1"/>
    <x v="4"/>
    <n v="49"/>
    <s v="S72_1253"/>
    <s v="Bavarian Collectables Imports, Co."/>
    <s v="+49 89 61 08 9555"/>
    <s v="Hansastr. 15"/>
    <m/>
    <s v="Munich"/>
    <x v="71"/>
    <m/>
    <n v="80686"/>
    <x v="16"/>
    <x v="16"/>
    <s v="EMEA"/>
    <s v="Donnermeyer"/>
    <s v="Michael"/>
    <x v="0"/>
  </r>
  <r>
    <n v="10307"/>
    <x v="1"/>
    <n v="53.63"/>
    <n v="4"/>
    <x v="0"/>
    <x v="2730"/>
    <s v="2/24/2003 0:2786"/>
    <x v="0"/>
    <x v="0"/>
    <s v="Shipped"/>
    <x v="3"/>
    <x v="4"/>
    <x v="1"/>
    <x v="4"/>
    <n v="49"/>
    <s v="S72_1253"/>
    <s v="Classic Gift Ideas, Inc"/>
    <n v="2155554695"/>
    <s v="782 First Street"/>
    <m/>
    <s v="Philadelphia"/>
    <x v="24"/>
    <s v="PA"/>
    <n v="71270"/>
    <x v="0"/>
    <x v="0"/>
    <s v="NA"/>
    <s v="Cervantes"/>
    <s v="Francisca"/>
    <x v="0"/>
  </r>
  <r>
    <n v="10316"/>
    <x v="1"/>
    <n v="43.7"/>
    <n v="12"/>
    <x v="0"/>
    <x v="2731"/>
    <s v="2/24/2003 0:2787"/>
    <x v="0"/>
    <x v="0"/>
    <s v="Shipped"/>
    <x v="3"/>
    <x v="5"/>
    <x v="1"/>
    <x v="4"/>
    <n v="49"/>
    <s v="S72_1253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329"/>
    <x v="27"/>
    <n v="86.13"/>
    <n v="8"/>
    <x v="0"/>
    <x v="2685"/>
    <s v="2/24/2003 0:2788"/>
    <x v="0"/>
    <x v="0"/>
    <s v="Shipped"/>
    <x v="3"/>
    <x v="5"/>
    <x v="1"/>
    <x v="4"/>
    <n v="49"/>
    <s v="S72_1253"/>
    <s v="Land of Toys Inc."/>
    <n v="2125557818"/>
    <s v="897 Long Airport Avenue"/>
    <m/>
    <s v="Nyc"/>
    <x v="0"/>
    <s v="NY"/>
    <n v="10022"/>
    <x v="0"/>
    <x v="0"/>
    <s v="NA"/>
    <s v="Yu"/>
    <s v="Kwai"/>
    <x v="1"/>
  </r>
  <r>
    <n v="10339"/>
    <x v="26"/>
    <n v="76.31"/>
    <n v="6"/>
    <x v="0"/>
    <x v="2732"/>
    <s v="2/24/2003 0:2789"/>
    <x v="0"/>
    <x v="0"/>
    <s v="Shipped"/>
    <x v="3"/>
    <x v="5"/>
    <x v="1"/>
    <x v="4"/>
    <n v="49"/>
    <s v="S72_1253"/>
    <s v="Tokyo Collectables, Ltd"/>
    <s v="+81 3 3584 0555"/>
    <s v="2-2-8 Roppongi"/>
    <m/>
    <s v="Minato-Ku"/>
    <x v="29"/>
    <s v="Tokyo"/>
    <s v="106-0032"/>
    <x v="11"/>
    <x v="11"/>
    <s v="Japan"/>
    <s v="Shimamura"/>
    <s v="Akiko"/>
    <x v="0"/>
  </r>
  <r>
    <n v="10352"/>
    <x v="4"/>
    <n v="52.64"/>
    <n v="4"/>
    <x v="0"/>
    <x v="2733"/>
    <s v="2/24/2003 0:2790"/>
    <x v="0"/>
    <x v="0"/>
    <s v="Shipped"/>
    <x v="3"/>
    <x v="6"/>
    <x v="1"/>
    <x v="4"/>
    <n v="49"/>
    <s v="S72_1253"/>
    <s v="Auto-Moto Classics Inc."/>
    <n v="6175558428"/>
    <s v="16780 Pompton St."/>
    <m/>
    <s v="Brickhaven"/>
    <x v="35"/>
    <s v="MA"/>
    <n v="58339"/>
    <x v="0"/>
    <x v="0"/>
    <s v="NA"/>
    <s v="Taylor"/>
    <s v="Leslie"/>
    <x v="0"/>
  </r>
  <r>
    <n v="10361"/>
    <x v="10"/>
    <n v="95.2"/>
    <n v="12"/>
    <x v="0"/>
    <x v="2734"/>
    <s v="2/24/2003 0:2791"/>
    <x v="0"/>
    <x v="0"/>
    <s v="Shipped"/>
    <x v="3"/>
    <x v="6"/>
    <x v="1"/>
    <x v="4"/>
    <n v="49"/>
    <s v="S72_1253"/>
    <s v="Souveniers And Things Co."/>
    <s v="+61 2 9495 8555"/>
    <s v="Monitor Money Building, 815 Pacific Hwy"/>
    <s v="Level 6"/>
    <s v="Chatswood"/>
    <x v="17"/>
    <s v="NSW"/>
    <n v="2067"/>
    <x v="3"/>
    <x v="3"/>
    <s v="APAC"/>
    <s v="Huxley"/>
    <s v="Adrian"/>
    <x v="0"/>
  </r>
  <r>
    <n v="10373"/>
    <x v="32"/>
    <n v="64.97"/>
    <n v="9"/>
    <x v="0"/>
    <x v="2735"/>
    <s v="2/24/2003 0:2792"/>
    <x v="0"/>
    <x v="0"/>
    <s v="Shipped"/>
    <x v="0"/>
    <x v="7"/>
    <x v="2"/>
    <x v="4"/>
    <n v="49"/>
    <s v="S72_1253"/>
    <s v="Oulu Toy Supplies, Inc."/>
    <s v="981-443655"/>
    <s v="Torikatu 38"/>
    <m/>
    <s v="Oulu"/>
    <x v="50"/>
    <m/>
    <n v="90110"/>
    <x v="4"/>
    <x v="4"/>
    <s v="EMEA"/>
    <s v="Koskitalo"/>
    <s v="Pirkko"/>
    <x v="0"/>
  </r>
  <r>
    <n v="10386"/>
    <x v="24"/>
    <n v="87.15"/>
    <n v="16"/>
    <x v="1"/>
    <x v="2736"/>
    <s v="2/24/2003 0:2793"/>
    <x v="5"/>
    <x v="1"/>
    <s v="Resolved"/>
    <x v="0"/>
    <x v="11"/>
    <x v="2"/>
    <x v="4"/>
    <n v="49"/>
    <s v="S72_1253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8"/>
    <x v="1"/>
    <n v="40.22"/>
    <n v="1"/>
    <x v="0"/>
    <x v="2737"/>
    <s v="2/24/2003 0:2794"/>
    <x v="0"/>
    <x v="0"/>
    <s v="Shipped"/>
    <x v="0"/>
    <x v="11"/>
    <x v="2"/>
    <x v="4"/>
    <n v="49"/>
    <s v="S72_1253"/>
    <s v="Reims Collectables"/>
    <s v="26.47.1555"/>
    <s v="59 rue de l'Abbaye"/>
    <m/>
    <s v="Reims"/>
    <x v="1"/>
    <m/>
    <n v="51100"/>
    <x v="1"/>
    <x v="1"/>
    <s v="EMEA"/>
    <s v="Henriot"/>
    <s v="Paul"/>
    <x v="0"/>
  </r>
  <r>
    <n v="10400"/>
    <x v="14"/>
    <n v="56.12"/>
    <n v="4"/>
    <x v="0"/>
    <x v="2738"/>
    <s v="2/24/2003 0:2795"/>
    <x v="0"/>
    <x v="0"/>
    <s v="Shipped"/>
    <x v="1"/>
    <x v="8"/>
    <x v="2"/>
    <x v="4"/>
    <n v="49"/>
    <s v="S72_1253"/>
    <s v="The Sharp Gifts Warehouse"/>
    <n v="4085553659"/>
    <s v="3086 Ingle Ln."/>
    <m/>
    <s v="San Jose"/>
    <x v="51"/>
    <s v="CA"/>
    <n v="94217"/>
    <x v="0"/>
    <x v="0"/>
    <s v="NA"/>
    <s v="Frick"/>
    <s v="Sue"/>
    <x v="0"/>
  </r>
  <r>
    <n v="10415"/>
    <x v="13"/>
    <n v="57.61"/>
    <n v="3"/>
    <x v="0"/>
    <x v="2739"/>
    <s v="2/24/2003 0:2796"/>
    <x v="1"/>
    <x v="1"/>
    <s v="Disputed"/>
    <x v="1"/>
    <x v="1"/>
    <x v="2"/>
    <x v="4"/>
    <n v="49"/>
    <s v="S72_1253"/>
    <s v="Australian Collectables, Ltd"/>
    <s v="61-9-3844-6555"/>
    <s v="7 Allen Street"/>
    <m/>
    <s v="Glen Waverly"/>
    <x v="70"/>
    <s v="Victoria"/>
    <n v="3150"/>
    <x v="3"/>
    <x v="3"/>
    <s v="APAC"/>
    <s v="Connery"/>
    <s v="Sean"/>
    <x v="0"/>
  </r>
  <r>
    <n v="10105"/>
    <x v="32"/>
    <n v="56.78"/>
    <n v="8"/>
    <x v="0"/>
    <x v="2740"/>
    <s v="2/24/2003 0:2797"/>
    <x v="0"/>
    <x v="0"/>
    <s v="Shipped"/>
    <x v="0"/>
    <x v="0"/>
    <x v="0"/>
    <x v="5"/>
    <n v="54"/>
    <s v="S72_3212"/>
    <s v="Danish Wholesale Imports"/>
    <s v="31 12 3555"/>
    <s v="Vinb'ltet 34"/>
    <m/>
    <s v="Kobenhavn"/>
    <x v="40"/>
    <m/>
    <n v="1734"/>
    <x v="13"/>
    <x v="13"/>
    <s v="EMEA"/>
    <s v="Petersen"/>
    <s v="Jytte"/>
    <x v="0"/>
  </r>
  <r>
    <n v="10117"/>
    <x v="24"/>
    <n v="43.68"/>
    <n v="2"/>
    <x v="0"/>
    <x v="2741"/>
    <s v="2/24/2003 0:2798"/>
    <x v="0"/>
    <x v="0"/>
    <s v="Shipped"/>
    <x v="1"/>
    <x v="8"/>
    <x v="0"/>
    <x v="5"/>
    <n v="54"/>
    <s v="S72_3212"/>
    <s v="Dragon Souveniers, Ltd."/>
    <s v="+65 221 7555"/>
    <s v="Bronz Sok., Bronz Apt. 3/6 Tesvikiye"/>
    <m/>
    <s v="Singapore"/>
    <x v="22"/>
    <m/>
    <n v="79903"/>
    <x v="9"/>
    <x v="9"/>
    <s v="Japan"/>
    <s v="Natividad"/>
    <s v="Eric"/>
    <x v="0"/>
  </r>
  <r>
    <n v="10129"/>
    <x v="22"/>
    <n v="64.97"/>
    <n v="8"/>
    <x v="0"/>
    <x v="2742"/>
    <s v="2/24/2003 0:2799"/>
    <x v="0"/>
    <x v="0"/>
    <s v="Shipped"/>
    <x v="1"/>
    <x v="9"/>
    <x v="0"/>
    <x v="5"/>
    <n v="54"/>
    <s v="S72_3212"/>
    <s v="Stylish Desk Decors, Co."/>
    <s v="(171) 555-0297"/>
    <s v="35 King George"/>
    <m/>
    <s v="London"/>
    <x v="41"/>
    <m/>
    <s v="WX3 6FW"/>
    <x v="6"/>
    <x v="6"/>
    <s v="EMEA"/>
    <s v="Brown"/>
    <s v="Ann"/>
    <x v="0"/>
  </r>
  <r>
    <n v="10142"/>
    <x v="25"/>
    <n v="44.23"/>
    <n v="5"/>
    <x v="0"/>
    <x v="2743"/>
    <s v="2/24/2003 0:2800"/>
    <x v="0"/>
    <x v="0"/>
    <s v="Shipped"/>
    <x v="2"/>
    <x v="3"/>
    <x v="0"/>
    <x v="5"/>
    <n v="54"/>
    <s v="S72_3212"/>
    <s v="Mini Gifts Distributors Ltd."/>
    <n v="4155551450"/>
    <s v="5677 Strong St."/>
    <m/>
    <s v="San Rafael"/>
    <x v="33"/>
    <s v="CA"/>
    <n v="97562"/>
    <x v="0"/>
    <x v="0"/>
    <s v="NA"/>
    <s v="Nelson"/>
    <s v="Valarie"/>
    <x v="0"/>
  </r>
  <r>
    <n v="10153"/>
    <x v="24"/>
    <n v="60.06"/>
    <n v="4"/>
    <x v="0"/>
    <x v="45"/>
    <s v="2/24/2003 0:2801"/>
    <x v="0"/>
    <x v="0"/>
    <s v="Shipped"/>
    <x v="2"/>
    <x v="10"/>
    <x v="0"/>
    <x v="5"/>
    <n v="54"/>
    <s v="S72_321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167"/>
    <x v="19"/>
    <n v="48.59"/>
    <n v="15"/>
    <x v="0"/>
    <x v="2744"/>
    <s v="2/24/2003 0:2802"/>
    <x v="3"/>
    <x v="1"/>
    <s v="Cancelled"/>
    <x v="3"/>
    <x v="4"/>
    <x v="0"/>
    <x v="5"/>
    <n v="54"/>
    <s v="S72_3212"/>
    <s v="Scandinavian Gift Ideas"/>
    <s v="0695-34 6555"/>
    <s v="?kergatan 24"/>
    <m/>
    <s v="Boras"/>
    <x v="31"/>
    <m/>
    <s v="S-844 67"/>
    <x v="8"/>
    <x v="8"/>
    <s v="EMEA"/>
    <s v="Larsson"/>
    <s v="Maria"/>
    <x v="0"/>
  </r>
  <r>
    <n v="10177"/>
    <x v="23"/>
    <n v="50.23"/>
    <n v="6"/>
    <x v="0"/>
    <x v="2745"/>
    <s v="2/24/2003 0:2803"/>
    <x v="0"/>
    <x v="0"/>
    <s v="Shipped"/>
    <x v="3"/>
    <x v="5"/>
    <x v="0"/>
    <x v="5"/>
    <n v="54"/>
    <s v="S72_3212"/>
    <s v="CAF Imports"/>
    <s v="+34 913 728 555"/>
    <s v="Merchants House, 27-30 Merchant's Quay"/>
    <m/>
    <s v="Madrid"/>
    <x v="20"/>
    <m/>
    <n v="28023"/>
    <x v="7"/>
    <x v="7"/>
    <s v="EMEA"/>
    <s v="Fernandez"/>
    <s v="Jesus"/>
    <x v="0"/>
  </r>
  <r>
    <n v="10185"/>
    <x v="11"/>
    <n v="64.430000000000007"/>
    <n v="6"/>
    <x v="0"/>
    <x v="2746"/>
    <s v="2/24/2003 0:2804"/>
    <x v="0"/>
    <x v="0"/>
    <s v="Shipped"/>
    <x v="3"/>
    <x v="5"/>
    <x v="0"/>
    <x v="5"/>
    <n v="54"/>
    <s v="S72_3212"/>
    <s v="Mini Creations Ltd."/>
    <n v="5085559555"/>
    <s v="4575 Hillside Dr."/>
    <m/>
    <s v="New Bedford"/>
    <x v="18"/>
    <s v="MA"/>
    <n v="50553"/>
    <x v="0"/>
    <x v="0"/>
    <s v="NA"/>
    <s v="Tam"/>
    <s v="Wing C"/>
    <x v="0"/>
  </r>
  <r>
    <n v="10197"/>
    <x v="13"/>
    <n v="50.23"/>
    <n v="12"/>
    <x v="0"/>
    <x v="2747"/>
    <s v="2/24/2003 0:2805"/>
    <x v="0"/>
    <x v="0"/>
    <s v="Shipped"/>
    <x v="3"/>
    <x v="5"/>
    <x v="0"/>
    <x v="5"/>
    <n v="54"/>
    <s v="S72_3212"/>
    <s v="Enaco Distributors"/>
    <s v="(93) 203 4555"/>
    <s v="Rambla de Catalu¤a, 23"/>
    <m/>
    <s v="Barcelona"/>
    <x v="43"/>
    <m/>
    <n v="8022"/>
    <x v="7"/>
    <x v="7"/>
    <s v="EMEA"/>
    <s v="Saavedra"/>
    <s v="Eduardo"/>
    <x v="0"/>
  </r>
  <r>
    <n v="10208"/>
    <x v="13"/>
    <n v="63.88"/>
    <n v="6"/>
    <x v="0"/>
    <x v="2748"/>
    <s v="2/24/2003 0:2806"/>
    <x v="0"/>
    <x v="0"/>
    <s v="Shipped"/>
    <x v="0"/>
    <x v="7"/>
    <x v="1"/>
    <x v="5"/>
    <n v="54"/>
    <s v="S72_3212"/>
    <s v="Saveley &amp; Henriot, Co."/>
    <s v="78.32.5555"/>
    <s v="2, rue du Commerce"/>
    <m/>
    <s v="Lyon"/>
    <x v="25"/>
    <m/>
    <n v="69004"/>
    <x v="1"/>
    <x v="1"/>
    <s v="EMEA"/>
    <s v="Saveley"/>
    <s v="Mary"/>
    <x v="0"/>
  </r>
  <r>
    <n v="10222"/>
    <x v="5"/>
    <n v="63.34"/>
    <n v="18"/>
    <x v="0"/>
    <x v="2749"/>
    <s v="2/24/2003 0:2807"/>
    <x v="0"/>
    <x v="0"/>
    <s v="Shipped"/>
    <x v="0"/>
    <x v="0"/>
    <x v="1"/>
    <x v="5"/>
    <n v="54"/>
    <s v="S72_3212"/>
    <s v="Collectable Mini Designs Co."/>
    <n v="7605558146"/>
    <s v="361 Furth Circle"/>
    <m/>
    <s v="San Diego"/>
    <x v="45"/>
    <s v="CA"/>
    <n v="91217"/>
    <x v="0"/>
    <x v="0"/>
    <s v="NA"/>
    <s v="Thompson"/>
    <s v="Valarie"/>
    <x v="0"/>
  </r>
  <r>
    <n v="10232"/>
    <x v="16"/>
    <n v="49.69"/>
    <n v="3"/>
    <x v="0"/>
    <x v="2750"/>
    <s v="2/24/2003 0:2808"/>
    <x v="0"/>
    <x v="0"/>
    <s v="Shipped"/>
    <x v="0"/>
    <x v="11"/>
    <x v="1"/>
    <x v="5"/>
    <n v="54"/>
    <s v="S72_3212"/>
    <s v="giftsbymail.co.uk"/>
    <s v="(198) 555-8888"/>
    <s v="Garden House Crowther Way"/>
    <m/>
    <s v="Cowes"/>
    <x v="49"/>
    <s v="Isle of Wight"/>
    <s v="PO31 7PJ"/>
    <x v="6"/>
    <x v="6"/>
    <s v="EMEA"/>
    <s v="Bennett"/>
    <s v="Helen"/>
    <x v="0"/>
  </r>
  <r>
    <n v="10248"/>
    <x v="10"/>
    <n v="65.52"/>
    <n v="9"/>
    <x v="0"/>
    <x v="1842"/>
    <s v="2/24/2003 0:2809"/>
    <x v="3"/>
    <x v="1"/>
    <s v="Cancelled"/>
    <x v="1"/>
    <x v="1"/>
    <x v="1"/>
    <x v="5"/>
    <n v="54"/>
    <s v="S72_3212"/>
    <s v="Land of Toys Inc."/>
    <n v="2125557818"/>
    <s v="897 Long Airport Avenue"/>
    <m/>
    <s v="Nyc"/>
    <x v="0"/>
    <s v="NY"/>
    <n v="10022"/>
    <x v="0"/>
    <x v="0"/>
    <s v="NA"/>
    <s v="Yu"/>
    <s v="Kwai"/>
    <x v="0"/>
  </r>
  <r>
    <n v="10261"/>
    <x v="6"/>
    <n v="50.78"/>
    <n v="7"/>
    <x v="0"/>
    <x v="2751"/>
    <s v="2/24/2003 0:2810"/>
    <x v="0"/>
    <x v="0"/>
    <s v="Shipped"/>
    <x v="1"/>
    <x v="9"/>
    <x v="1"/>
    <x v="5"/>
    <n v="54"/>
    <s v="S72_3212"/>
    <s v="Quebec Home Shopping Network"/>
    <s v="(514) 555-8054"/>
    <s v="43 rue St. Laurent"/>
    <m/>
    <s v="Montreal"/>
    <x v="37"/>
    <s v="Quebec"/>
    <s v="H1J 1C3"/>
    <x v="10"/>
    <x v="10"/>
    <s v="NA"/>
    <s v="Fresnisre"/>
    <s v="Jean"/>
    <x v="0"/>
  </r>
  <r>
    <n v="10273"/>
    <x v="9"/>
    <n v="45.86"/>
    <n v="10"/>
    <x v="0"/>
    <x v="2752"/>
    <s v="2/24/2003 0:2811"/>
    <x v="0"/>
    <x v="0"/>
    <s v="Shipped"/>
    <x v="2"/>
    <x v="2"/>
    <x v="1"/>
    <x v="5"/>
    <n v="54"/>
    <s v="S72_3212"/>
    <s v="Petit Auto"/>
    <s v="(02) 5554 67"/>
    <s v="Rue Joseph-Bens 532"/>
    <m/>
    <s v="Bruxelles"/>
    <x v="46"/>
    <m/>
    <s v="B-1180"/>
    <x v="14"/>
    <x v="14"/>
    <s v="EMEA"/>
    <s v="Dewey"/>
    <s v="Catherine"/>
    <x v="0"/>
  </r>
  <r>
    <n v="10283"/>
    <x v="29"/>
    <n v="51.32"/>
    <n v="12"/>
    <x v="0"/>
    <x v="2753"/>
    <s v="2/24/2003 0:2812"/>
    <x v="0"/>
    <x v="0"/>
    <s v="Shipped"/>
    <x v="2"/>
    <x v="3"/>
    <x v="1"/>
    <x v="5"/>
    <n v="54"/>
    <s v="S72_3212"/>
    <s v="Royal Canadian Collectables, Ltd."/>
    <s v="(604) 555-4555"/>
    <s v="23 Tsawassen Blvd."/>
    <m/>
    <s v="Tsawassen"/>
    <x v="47"/>
    <s v="BC"/>
    <s v="T2F 8M4"/>
    <x v="10"/>
    <x v="10"/>
    <s v="NA"/>
    <s v="Lincoln"/>
    <s v="Elizabeth"/>
    <x v="0"/>
  </r>
  <r>
    <n v="10293"/>
    <x v="22"/>
    <n v="60.06"/>
    <n v="1"/>
    <x v="0"/>
    <x v="2754"/>
    <s v="2/24/2003 0:2813"/>
    <x v="0"/>
    <x v="0"/>
    <s v="Shipped"/>
    <x v="2"/>
    <x v="10"/>
    <x v="1"/>
    <x v="5"/>
    <n v="54"/>
    <s v="S72_3212"/>
    <s v="Amica Models &amp; Co."/>
    <s v="011-4988555"/>
    <s v="Via Monte Bianco 34"/>
    <m/>
    <s v="Torino"/>
    <x v="30"/>
    <m/>
    <n v="10100"/>
    <x v="12"/>
    <x v="12"/>
    <s v="EMEA"/>
    <s v="Accorti"/>
    <s v="Paolo"/>
    <x v="0"/>
  </r>
  <r>
    <n v="10306"/>
    <x v="21"/>
    <n v="59.51"/>
    <n v="6"/>
    <x v="0"/>
    <x v="2755"/>
    <s v="2/24/2003 0:2814"/>
    <x v="0"/>
    <x v="0"/>
    <s v="Shipped"/>
    <x v="3"/>
    <x v="4"/>
    <x v="1"/>
    <x v="5"/>
    <n v="54"/>
    <s v="S72_3212"/>
    <s v="AV Stores, Co."/>
    <s v="(171) 555-1555"/>
    <s v="Fauntleroy Circus"/>
    <m/>
    <s v="Manchester"/>
    <x v="61"/>
    <m/>
    <s v="EC2 5NT"/>
    <x v="6"/>
    <x v="6"/>
    <s v="EMEA"/>
    <s v="Ashworth"/>
    <s v="Victoria"/>
    <x v="0"/>
  </r>
  <r>
    <n v="10315"/>
    <x v="23"/>
    <n v="55.69"/>
    <n v="5"/>
    <x v="0"/>
    <x v="2756"/>
    <s v="2/24/2003 0:2815"/>
    <x v="0"/>
    <x v="0"/>
    <s v="Shipped"/>
    <x v="3"/>
    <x v="4"/>
    <x v="1"/>
    <x v="5"/>
    <n v="54"/>
    <s v="S72_3212"/>
    <s v="La Rochelle Gifts"/>
    <s v="40.67.8555"/>
    <s v="67, rue des Cinquante Otages"/>
    <m/>
    <s v="Nantes"/>
    <x v="11"/>
    <m/>
    <n v="44000"/>
    <x v="1"/>
    <x v="1"/>
    <s v="EMEA"/>
    <s v="Labrune"/>
    <s v="Janine"/>
    <x v="0"/>
  </r>
  <r>
    <n v="10327"/>
    <x v="9"/>
    <n v="86.74"/>
    <n v="4"/>
    <x v="0"/>
    <x v="2757"/>
    <s v="2/24/2003 0:2816"/>
    <x v="5"/>
    <x v="1"/>
    <s v="Resolved"/>
    <x v="3"/>
    <x v="5"/>
    <x v="1"/>
    <x v="5"/>
    <n v="54"/>
    <s v="S72_3212"/>
    <s v="Danish Wholesale Imports"/>
    <s v="31 12 3555"/>
    <s v="Vinb'ltet 34"/>
    <m/>
    <s v="Kobenhavn"/>
    <x v="40"/>
    <m/>
    <n v="1734"/>
    <x v="13"/>
    <x v="13"/>
    <s v="EMEA"/>
    <s v="Petersen"/>
    <s v="Jytte"/>
    <x v="1"/>
  </r>
  <r>
    <n v="10337"/>
    <x v="13"/>
    <n v="97.16"/>
    <n v="5"/>
    <x v="1"/>
    <x v="2758"/>
    <s v="2/24/2003 0:2817"/>
    <x v="0"/>
    <x v="0"/>
    <s v="Shipped"/>
    <x v="3"/>
    <x v="5"/>
    <x v="1"/>
    <x v="5"/>
    <n v="54"/>
    <s v="S72_3212"/>
    <s v="Classic Legends Inc."/>
    <n v="2125558493"/>
    <s v="5905 Pompton St."/>
    <s v="Suite 750"/>
    <s v="Nyc"/>
    <x v="0"/>
    <s v="NY"/>
    <n v="10022"/>
    <x v="0"/>
    <x v="0"/>
    <s v="NA"/>
    <s v="Hernandez"/>
    <s v="Maria"/>
    <x v="1"/>
  </r>
  <r>
    <n v="10350"/>
    <x v="14"/>
    <n v="100"/>
    <n v="15"/>
    <x v="0"/>
    <x v="2759"/>
    <s v="2/24/2003 0:2818"/>
    <x v="0"/>
    <x v="0"/>
    <s v="Shipped"/>
    <x v="3"/>
    <x v="6"/>
    <x v="1"/>
    <x v="5"/>
    <n v="54"/>
    <s v="S72_3212"/>
    <s v="Euro Shopping Channel"/>
    <s v="(91) 555 94 44"/>
    <s v="C/ Moralzarzal, 86"/>
    <m/>
    <s v="Madrid"/>
    <x v="20"/>
    <m/>
    <n v="28034"/>
    <x v="7"/>
    <x v="7"/>
    <s v="EMEA"/>
    <s v="Freyre"/>
    <s v="Diego"/>
    <x v="0"/>
  </r>
  <r>
    <n v="10373"/>
    <x v="6"/>
    <n v="100"/>
    <n v="1"/>
    <x v="0"/>
    <x v="2760"/>
    <s v="2/24/2003 0:2819"/>
    <x v="0"/>
    <x v="0"/>
    <s v="Shipped"/>
    <x v="0"/>
    <x v="7"/>
    <x v="2"/>
    <x v="5"/>
    <n v="54"/>
    <s v="S72_3212"/>
    <s v="Oulu Toy Supplies, Inc."/>
    <s v="981-443655"/>
    <s v="Torikatu 38"/>
    <m/>
    <s v="Oulu"/>
    <x v="50"/>
    <m/>
    <n v="90110"/>
    <x v="4"/>
    <x v="4"/>
    <s v="EMEA"/>
    <s v="Koskitalo"/>
    <s v="Pirkko"/>
    <x v="1"/>
  </r>
  <r>
    <n v="10386"/>
    <x v="30"/>
    <n v="100"/>
    <n v="4"/>
    <x v="1"/>
    <x v="2761"/>
    <s v="2/24/2003 0:2820"/>
    <x v="5"/>
    <x v="1"/>
    <s v="Resolved"/>
    <x v="0"/>
    <x v="11"/>
    <x v="2"/>
    <x v="5"/>
    <n v="54"/>
    <s v="S72_3212"/>
    <s v="Euro Shopping Channel"/>
    <s v="(91) 555 94 44"/>
    <s v="C/ Moralzarzal, 86"/>
    <m/>
    <s v="Madrid"/>
    <x v="20"/>
    <m/>
    <n v="28034"/>
    <x v="7"/>
    <x v="7"/>
    <s v="EMEA"/>
    <s v="Freyre"/>
    <s v="Diego"/>
    <x v="1"/>
  </r>
  <r>
    <n v="10397"/>
    <x v="1"/>
    <n v="62.24"/>
    <n v="1"/>
    <x v="0"/>
    <x v="2762"/>
    <s v="2/24/2003 0:2821"/>
    <x v="0"/>
    <x v="0"/>
    <s v="Shipped"/>
    <x v="0"/>
    <x v="11"/>
    <x v="2"/>
    <x v="5"/>
    <n v="54"/>
    <s v="S72_3212"/>
    <s v="Alpha Cognac"/>
    <s v="61.77.6555"/>
    <s v="1 rue Alsace-Lorraine"/>
    <m/>
    <s v="Toulouse"/>
    <x v="42"/>
    <m/>
    <n v="31000"/>
    <x v="1"/>
    <x v="1"/>
    <s v="EMEA"/>
    <s v="Roulet"/>
    <s v="Annette"/>
    <x v="0"/>
  </r>
  <r>
    <n v="10414"/>
    <x v="20"/>
    <n v="65.52"/>
    <n v="9"/>
    <x v="0"/>
    <x v="1916"/>
    <s v="2/24/2003 0:2822"/>
    <x v="4"/>
    <x v="1"/>
    <s v="On Hold"/>
    <x v="1"/>
    <x v="1"/>
    <x v="2"/>
    <x v="5"/>
    <n v="54"/>
    <s v="S72_3212"/>
    <s v="Gifts4AllAges.com"/>
    <n v="6175559555"/>
    <s v="8616 Spinnaker Dr."/>
    <m/>
    <s v="Boston"/>
    <x v="48"/>
    <s v="MA"/>
    <n v="51003"/>
    <x v="0"/>
    <x v="0"/>
    <s v="NA"/>
    <s v="Yoshido"/>
    <s v="Juri"/>
    <x v="1"/>
  </r>
  <r>
    <m/>
    <x v="58"/>
    <m/>
    <m/>
    <x v="2"/>
    <x v="2763"/>
    <m/>
    <x v="6"/>
    <x v="2"/>
    <m/>
    <x v="4"/>
    <x v="12"/>
    <x v="3"/>
    <x v="7"/>
    <m/>
    <m/>
    <m/>
    <m/>
    <m/>
    <m/>
    <m/>
    <x v="73"/>
    <m/>
    <m/>
    <x v="19"/>
    <x v="19"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C40A5-47E1-43BC-B45E-B53E2B878BE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2" firstHeaderRow="0" firstDataRow="1" firstDataCol="0"/>
  <pivotFields count="30">
    <pivotField showAll="0"/>
    <pivotField dataField="1" showAll="0">
      <items count="60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x="5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QUANTITYORDERED" fld="1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A4A01-AE3E-4E32-BA48-886504A9B80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E3" firstHeaderRow="1" firstDataRow="2" firstDataCol="1"/>
  <pivotFields count="3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SALES" fld="5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04976-FD53-4BAA-8537-AE174EA48C2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4" firstHeaderRow="1" firstDataRow="1" firstDataCol="1"/>
  <pivotFields count="3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4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25263-12D1-499E-90AB-F5714D86425A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3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64573-A843-4933-9801-1FF4689D1947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22" firstHeaderRow="1" firstDataRow="1" firstDataCol="1"/>
  <pivotFields count="3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h="1" x="19"/>
        <item t="default"/>
      </items>
    </pivotField>
    <pivotField showAll="0"/>
    <pivotField showAll="0"/>
    <pivotField showAll="0"/>
    <pivotField showAll="0"/>
  </pivotFields>
  <rowFields count="1">
    <field x="2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4B59F-7A33-407E-A96B-26C14F182C52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4" firstHeaderRow="1" firstDataRow="1" firstDataCol="1"/>
  <pivotFields count="3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1">
        <item h="1" x="3"/>
        <item h="1" x="5"/>
        <item h="1" x="14"/>
        <item h="1" x="10"/>
        <item h="1" x="13"/>
        <item h="1" x="4"/>
        <item h="1" x="1"/>
        <item h="1" x="16"/>
        <item h="1" x="18"/>
        <item h="1" x="12"/>
        <item h="1" x="11"/>
        <item h="1" x="2"/>
        <item h="1" x="15"/>
        <item h="1" x="9"/>
        <item h="1" x="7"/>
        <item h="1" x="8"/>
        <item h="1" x="17"/>
        <item h="1" x="6"/>
        <item x="0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25"/>
  </rowFields>
  <rowItems count="2">
    <i>
      <x v="18"/>
    </i>
    <i t="grand">
      <x/>
    </i>
  </rowItems>
  <colItems count="1">
    <i/>
  </colItems>
  <dataFields count="1">
    <dataField name="Sum of SALES" fld="5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4E2F9-4069-464C-9BDA-41DA58CD610C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5" firstHeaderRow="1" firstDataRow="1" firstDataCol="1"/>
  <pivotFields count="3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5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h="1"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DE17D-B6DB-466E-B8CD-54CB022CBCEE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4" firstHeaderRow="1" firstDataRow="1" firstDataCol="1"/>
  <pivotFields count="3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5">
        <item h="1" x="62"/>
        <item h="1" x="15"/>
        <item h="1" x="43"/>
        <item h="1" x="69"/>
        <item h="1" x="7"/>
        <item h="1" x="31"/>
        <item h="1" x="48"/>
        <item h="1" x="35"/>
        <item h="1" x="10"/>
        <item h="1" x="65"/>
        <item h="1" x="46"/>
        <item h="1" x="27"/>
        <item h="1" x="5"/>
        <item h="1" x="12"/>
        <item h="1" x="72"/>
        <item h="1" x="17"/>
        <item h="1" x="49"/>
        <item h="1" x="60"/>
        <item h="1" x="59"/>
        <item h="1" x="58"/>
        <item h="1" x="56"/>
        <item h="1" x="70"/>
        <item h="1" x="63"/>
        <item h="1" x="52"/>
        <item h="1" x="13"/>
        <item h="1" x="40"/>
        <item h="1" x="55"/>
        <item h="1" x="67"/>
        <item h="1" x="6"/>
        <item h="1" x="19"/>
        <item h="1" x="41"/>
        <item h="1" x="44"/>
        <item h="1" x="21"/>
        <item h="1" x="25"/>
        <item x="20"/>
        <item h="1" x="53"/>
        <item h="1" x="61"/>
        <item h="1" x="54"/>
        <item h="1" x="8"/>
        <item h="1" x="29"/>
        <item h="1" x="37"/>
        <item h="1" x="71"/>
        <item h="1" x="11"/>
        <item h="1" x="34"/>
        <item h="1" x="18"/>
        <item h="1" x="28"/>
        <item h="1" x="9"/>
        <item h="1" x="36"/>
        <item h="1" x="0"/>
        <item h="1" x="38"/>
        <item h="1" x="68"/>
        <item h="1" x="50"/>
        <item h="1" x="2"/>
        <item h="1" x="3"/>
        <item h="1" x="24"/>
        <item h="1" x="57"/>
        <item h="1" x="1"/>
        <item h="1" x="16"/>
        <item h="1" x="45"/>
        <item h="1" x="4"/>
        <item h="1" x="51"/>
        <item h="1" x="33"/>
        <item h="1" x="64"/>
        <item h="1" x="22"/>
        <item h="1" x="23"/>
        <item h="1" x="14"/>
        <item h="1" x="66"/>
        <item h="1" x="30"/>
        <item h="1" x="42"/>
        <item h="1" x="47"/>
        <item h="1" x="26"/>
        <item h="1" x="32"/>
        <item h="1" x="39"/>
        <item h="1"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2">
    <i>
      <x v="3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B8883-ECAD-40A6-9BA7-D1173CD7F21F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9" firstHeaderRow="1" firstDataRow="1" firstDataCol="1"/>
  <pivotFields count="3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0"/>
        <item x="4"/>
        <item x="5"/>
        <item x="6"/>
        <item x="2"/>
        <item x="3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ES" fld="5" subtotal="average" baseField="12" baseItem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3933C-DA34-4315-98CA-12CE999872D8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4" firstHeaderRow="1" firstDataRow="1" firstDataCol="1"/>
  <pivotFields count="3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1"/>
        <item h="1" x="0"/>
        <item h="1" x="4"/>
        <item h="1" x="5"/>
        <item h="1" x="6"/>
        <item h="1" x="2"/>
        <item h="1" x="3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2">
    <i>
      <x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FFC9D-0AFB-4345-A089-150407B280E9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10" firstHeaderRow="1" firstDataRow="1" firstDataCol="1"/>
  <pivotFields count="3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0"/>
        <item x="4"/>
        <item x="5"/>
        <item x="6"/>
        <item x="2"/>
        <item x="3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74717-ABF6-479A-98FF-53AA3484F83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4:D5" firstHeaderRow="1" firstDataRow="1" firstDataCol="0"/>
  <pivotFields count="30">
    <pivotField showAll="0"/>
    <pivotField dataField="1" showAll="0">
      <items count="60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x="58"/>
        <item t="default"/>
      </items>
    </pivotField>
    <pivotField showAll="0"/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QUANTITYORDERED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3D99E-D6E3-480A-AD54-C26F66F910C8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5" firstHeaderRow="1" firstDataRow="1" firstDataCol="1"/>
  <pivotFields count="30">
    <pivotField showAll="0"/>
    <pivotField showAll="0">
      <items count="60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x="58"/>
        <item t="default"/>
      </items>
    </pivotField>
    <pivotField showAll="0"/>
    <pivotField showAll="0"/>
    <pivotField axis="axisRow" showAll="0">
      <items count="4">
        <item x="1"/>
        <item x="0"/>
        <item h="1"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5A058-A55D-4892-BFEC-540318B4F86F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5">
    <pivotField dataField="1"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7B7FB-A0E4-46C0-B2F7-007D387E9EA3}" name="PivotTable2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U5" firstHeaderRow="1" firstDataRow="2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>
      <items count="8">
        <item x="3"/>
        <item x="1"/>
        <item x="2"/>
        <item x="4"/>
        <item x="5"/>
        <item x="0"/>
        <item x="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1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h="1" x="19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24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ORDERNUMBER" fld="0" subtotal="count" baseField="0" baseItem="0"/>
  </dataFields>
  <chartFormats count="4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4" format="4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4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5"/>
          </reference>
        </references>
      </pivotArea>
    </chartFormat>
    <chartFormat chart="4" format="4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6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7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8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9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0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1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2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3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4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5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6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7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DB5F0-EB20-4865-ACF0-6CF064EDED87}" name="PivotTable2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0" firstHeaderRow="1" firstDataRow="2" firstDataCol="1"/>
  <pivotFields count="30">
    <pivotField dataField="1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8">
        <item x="3"/>
        <item x="1"/>
        <item x="2"/>
        <item x="4"/>
        <item x="5"/>
        <item x="0"/>
        <item x="6"/>
        <item t="default"/>
      </items>
    </pivotField>
    <pivotField axis="axisCol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axis="axisRow" showAll="0" sortType="descending">
      <items count="9">
        <item x="1"/>
        <item x="0"/>
        <item x="4"/>
        <item x="5"/>
        <item x="6"/>
        <item x="2"/>
        <item x="3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Fields count="1">
    <field x="8"/>
  </colFields>
  <colItems count="2">
    <i>
      <x/>
    </i>
    <i t="grand">
      <x/>
    </i>
  </colItems>
  <dataFields count="1">
    <dataField name="Sum of ORDERNUMBER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21B25-804C-4D15-8099-E3ADE618ECDC}" name="PivotTable2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:C5" firstHeaderRow="1" firstDataRow="1" firstDataCol="1"/>
  <pivotFields count="3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78C7C-FD4C-4F82-A2C7-0BCFB66EC947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30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QUANTITYORDER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C110-D0AC-462E-BCCF-DEF2F5CF6A25}">
  <dimension ref="A1:AE2824"/>
  <sheetViews>
    <sheetView topLeftCell="Y1" zoomScale="174" workbookViewId="0">
      <selection activeCell="U1" sqref="A1:XFD1048576"/>
    </sheetView>
  </sheetViews>
  <sheetFormatPr defaultRowHeight="15.05" x14ac:dyDescent="0.3"/>
  <cols>
    <col min="1" max="1" width="14.109375" bestFit="1" customWidth="1"/>
    <col min="2" max="2" width="17.44140625" bestFit="1" customWidth="1"/>
    <col min="3" max="3" width="10.5546875" bestFit="1" customWidth="1"/>
    <col min="4" max="4" width="17.88671875" bestFit="1" customWidth="1"/>
    <col min="5" max="5" width="17.88671875" style="4" customWidth="1"/>
    <col min="6" max="6" width="8" bestFit="1" customWidth="1"/>
    <col min="7" max="7" width="15.33203125" bestFit="1" customWidth="1"/>
    <col min="8" max="8" width="15.33203125" customWidth="1"/>
    <col min="9" max="9" width="15.33203125" style="4" customWidth="1"/>
    <col min="10" max="10" width="9.33203125" bestFit="1" customWidth="1"/>
    <col min="11" max="11" width="6.77734375" bestFit="1" customWidth="1"/>
    <col min="12" max="12" width="9.77734375" bestFit="1" customWidth="1"/>
    <col min="13" max="13" width="7.6640625" bestFit="1" customWidth="1"/>
    <col min="14" max="14" width="15" bestFit="1" customWidth="1"/>
    <col min="15" max="15" width="5.6640625" bestFit="1" customWidth="1"/>
    <col min="16" max="16" width="14" bestFit="1" customWidth="1"/>
    <col min="17" max="17" width="28.88671875" bestFit="1" customWidth="1"/>
    <col min="18" max="18" width="15.44140625" bestFit="1" customWidth="1"/>
    <col min="19" max="19" width="37.33203125" bestFit="1" customWidth="1"/>
    <col min="20" max="20" width="13.44140625" bestFit="1" customWidth="1"/>
    <col min="21" max="21" width="13.44140625" customWidth="1"/>
    <col min="22" max="22" width="13.109375" bestFit="1" customWidth="1"/>
    <col min="24" max="24" width="12.109375" bestFit="1" customWidth="1"/>
    <col min="25" max="25" width="13.21875" bestFit="1" customWidth="1"/>
    <col min="26" max="26" width="13.44140625" style="4" bestFit="1" customWidth="1"/>
    <col min="27" max="27" width="10.21875" bestFit="1" customWidth="1"/>
    <col min="28" max="28" width="9.88671875" bestFit="1" customWidth="1"/>
    <col min="29" max="29" width="18" bestFit="1" customWidth="1"/>
    <col min="30" max="30" width="18.5546875" bestFit="1" customWidth="1"/>
    <col min="31" max="31" width="8.5546875" bestFit="1" customWidth="1"/>
  </cols>
  <sheetData>
    <row r="1" spans="1:31" x14ac:dyDescent="0.3">
      <c r="B1" t="s">
        <v>0</v>
      </c>
      <c r="C1" t="s">
        <v>1</v>
      </c>
      <c r="D1" t="s">
        <v>2</v>
      </c>
      <c r="E1" s="4" t="s">
        <v>3500</v>
      </c>
      <c r="F1" t="s">
        <v>3</v>
      </c>
      <c r="G1" t="s">
        <v>4</v>
      </c>
      <c r="H1" s="1" t="s">
        <v>3497</v>
      </c>
      <c r="I1" s="4" t="s">
        <v>3538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3498</v>
      </c>
      <c r="V1" t="s">
        <v>16</v>
      </c>
      <c r="W1" t="s">
        <v>17</v>
      </c>
      <c r="X1" t="s">
        <v>18</v>
      </c>
      <c r="Y1" s="1" t="s">
        <v>3499</v>
      </c>
      <c r="Z1" s="4" t="s">
        <v>3543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</row>
    <row r="2" spans="1:31" x14ac:dyDescent="0.3">
      <c r="A2">
        <v>10107</v>
      </c>
      <c r="B2">
        <v>30</v>
      </c>
      <c r="C2">
        <v>95.7</v>
      </c>
      <c r="D2">
        <v>2</v>
      </c>
      <c r="E2" s="4" t="str">
        <f>IF(F2&gt;4000,"high sales","low sales")</f>
        <v>low sales</v>
      </c>
      <c r="F2">
        <v>2871</v>
      </c>
      <c r="G2" t="s">
        <v>24</v>
      </c>
      <c r="H2" s="1" t="str">
        <f>PROPER(TRIM(J2))</f>
        <v>Shipped</v>
      </c>
      <c r="I2" s="4" t="str">
        <f>IF(J2="shipped","completed","not completed")</f>
        <v>completed</v>
      </c>
      <c r="J2" t="s">
        <v>25</v>
      </c>
      <c r="K2">
        <v>1</v>
      </c>
      <c r="L2">
        <v>2</v>
      </c>
      <c r="M2">
        <v>2003</v>
      </c>
      <c r="N2" t="s">
        <v>26</v>
      </c>
      <c r="O2">
        <v>95</v>
      </c>
      <c r="P2" t="s">
        <v>27</v>
      </c>
      <c r="Q2" t="s">
        <v>28</v>
      </c>
      <c r="R2">
        <v>2125557818</v>
      </c>
      <c r="S2" t="s">
        <v>29</v>
      </c>
      <c r="U2" s="1" t="str">
        <f>PROPER(TRIM(V2))</f>
        <v>Nyc</v>
      </c>
      <c r="V2" t="s">
        <v>30</v>
      </c>
      <c r="W2" t="s">
        <v>31</v>
      </c>
      <c r="X2">
        <v>10022</v>
      </c>
      <c r="Y2" s="1" t="str">
        <f>UPPER(TRIM(AA2))</f>
        <v>USA</v>
      </c>
      <c r="Z2" s="4" t="str">
        <f>PROPER(TRIM(AA2))</f>
        <v>Usa</v>
      </c>
      <c r="AA2" t="s">
        <v>32</v>
      </c>
      <c r="AB2" t="s">
        <v>33</v>
      </c>
      <c r="AC2" t="s">
        <v>34</v>
      </c>
      <c r="AD2" t="s">
        <v>35</v>
      </c>
      <c r="AE2" t="s">
        <v>36</v>
      </c>
    </row>
    <row r="3" spans="1:31" x14ac:dyDescent="0.3">
      <c r="A3">
        <v>10121</v>
      </c>
      <c r="B3">
        <v>34</v>
      </c>
      <c r="C3">
        <v>81.349999999999994</v>
      </c>
      <c r="D3">
        <v>5</v>
      </c>
      <c r="E3" s="4" t="str">
        <f t="shared" ref="E3:E66" si="0">IF(F3&gt;4000,"high sales","low sales")</f>
        <v>low sales</v>
      </c>
      <c r="F3">
        <v>2765.9</v>
      </c>
      <c r="G3" t="s">
        <v>675</v>
      </c>
      <c r="H3" s="1" t="str">
        <f t="shared" ref="H3:H66" si="1">PROPER(TRIM(J3))</f>
        <v>Shipped</v>
      </c>
      <c r="I3" s="4" t="str">
        <f t="shared" ref="I3:I66" si="2">IF(J3="shipped","completed","not completed")</f>
        <v>completed</v>
      </c>
      <c r="J3" t="s">
        <v>25</v>
      </c>
      <c r="K3">
        <v>2</v>
      </c>
      <c r="L3">
        <v>5</v>
      </c>
      <c r="M3">
        <v>2003</v>
      </c>
      <c r="N3" t="s">
        <v>26</v>
      </c>
      <c r="O3">
        <v>95</v>
      </c>
      <c r="P3" t="s">
        <v>27</v>
      </c>
      <c r="Q3" t="s">
        <v>37</v>
      </c>
      <c r="R3" t="s">
        <v>38</v>
      </c>
      <c r="S3" t="s">
        <v>39</v>
      </c>
      <c r="U3" s="1" t="str">
        <f t="shared" ref="U3:U66" si="3">PROPER(TRIM(V3))</f>
        <v>Reims</v>
      </c>
      <c r="V3" t="s">
        <v>40</v>
      </c>
      <c r="X3">
        <v>51100</v>
      </c>
      <c r="Y3" s="1" t="str">
        <f t="shared" ref="Y3:Y66" si="4">UPPER(TRIM(AA3))</f>
        <v>FRANCE</v>
      </c>
      <c r="Z3" s="4" t="str">
        <f t="shared" ref="Z3:Z66" si="5">PROPER(TRIM(AA3))</f>
        <v>France</v>
      </c>
      <c r="AA3" t="s">
        <v>41</v>
      </c>
      <c r="AB3" t="s">
        <v>42</v>
      </c>
      <c r="AC3" t="s">
        <v>43</v>
      </c>
      <c r="AD3" t="s">
        <v>44</v>
      </c>
      <c r="AE3" t="s">
        <v>36</v>
      </c>
    </row>
    <row r="4" spans="1:31" x14ac:dyDescent="0.3">
      <c r="A4">
        <v>10134</v>
      </c>
      <c r="B4">
        <v>41</v>
      </c>
      <c r="C4">
        <v>94.74</v>
      </c>
      <c r="D4">
        <v>2</v>
      </c>
      <c r="E4" s="4" t="str">
        <f t="shared" si="0"/>
        <v>low sales</v>
      </c>
      <c r="F4">
        <v>3884.34</v>
      </c>
      <c r="G4" t="s">
        <v>676</v>
      </c>
      <c r="H4" s="1" t="str">
        <f t="shared" si="1"/>
        <v>Shipped</v>
      </c>
      <c r="I4" s="4" t="str">
        <f t="shared" si="2"/>
        <v>completed</v>
      </c>
      <c r="J4" t="s">
        <v>25</v>
      </c>
      <c r="K4">
        <v>3</v>
      </c>
      <c r="L4">
        <v>7</v>
      </c>
      <c r="M4">
        <v>2003</v>
      </c>
      <c r="N4" t="s">
        <v>26</v>
      </c>
      <c r="O4">
        <v>95</v>
      </c>
      <c r="P4" t="s">
        <v>27</v>
      </c>
      <c r="Q4" t="s">
        <v>45</v>
      </c>
      <c r="R4" t="s">
        <v>46</v>
      </c>
      <c r="S4" t="s">
        <v>47</v>
      </c>
      <c r="U4" s="1" t="str">
        <f t="shared" si="3"/>
        <v>Paris</v>
      </c>
      <c r="V4" t="s">
        <v>48</v>
      </c>
      <c r="X4">
        <v>75508</v>
      </c>
      <c r="Y4" s="1" t="str">
        <f t="shared" si="4"/>
        <v>FRANCE</v>
      </c>
      <c r="Z4" s="4" t="str">
        <f t="shared" si="5"/>
        <v>France</v>
      </c>
      <c r="AA4" t="s">
        <v>41</v>
      </c>
      <c r="AB4" t="s">
        <v>42</v>
      </c>
      <c r="AC4" t="s">
        <v>49</v>
      </c>
      <c r="AD4" t="s">
        <v>50</v>
      </c>
      <c r="AE4" t="s">
        <v>51</v>
      </c>
    </row>
    <row r="5" spans="1:31" x14ac:dyDescent="0.3">
      <c r="A5">
        <v>10145</v>
      </c>
      <c r="B5">
        <v>45</v>
      </c>
      <c r="C5">
        <v>83.26</v>
      </c>
      <c r="D5">
        <v>6</v>
      </c>
      <c r="E5" s="4" t="str">
        <f t="shared" si="0"/>
        <v>low sales</v>
      </c>
      <c r="F5">
        <v>3746.7</v>
      </c>
      <c r="G5" t="s">
        <v>677</v>
      </c>
      <c r="H5" s="1" t="str">
        <f t="shared" si="1"/>
        <v>Shipped</v>
      </c>
      <c r="I5" s="4" t="str">
        <f t="shared" si="2"/>
        <v>completed</v>
      </c>
      <c r="J5" t="s">
        <v>25</v>
      </c>
      <c r="K5">
        <v>3</v>
      </c>
      <c r="L5">
        <v>8</v>
      </c>
      <c r="M5">
        <v>2003</v>
      </c>
      <c r="N5" t="s">
        <v>26</v>
      </c>
      <c r="O5">
        <v>95</v>
      </c>
      <c r="P5" t="s">
        <v>27</v>
      </c>
      <c r="Q5" t="s">
        <v>52</v>
      </c>
      <c r="R5">
        <v>6265557265</v>
      </c>
      <c r="S5" t="s">
        <v>53</v>
      </c>
      <c r="U5" s="1" t="str">
        <f t="shared" si="3"/>
        <v>Pasadena</v>
      </c>
      <c r="V5" t="s">
        <v>54</v>
      </c>
      <c r="W5" t="s">
        <v>55</v>
      </c>
      <c r="X5">
        <v>90003</v>
      </c>
      <c r="Y5" s="1" t="str">
        <f t="shared" si="4"/>
        <v>USA</v>
      </c>
      <c r="Z5" s="4" t="str">
        <f t="shared" si="5"/>
        <v>Usa</v>
      </c>
      <c r="AA5" t="s">
        <v>32</v>
      </c>
      <c r="AB5" t="s">
        <v>33</v>
      </c>
      <c r="AC5" t="s">
        <v>56</v>
      </c>
      <c r="AD5" t="s">
        <v>57</v>
      </c>
      <c r="AE5" t="s">
        <v>51</v>
      </c>
    </row>
    <row r="6" spans="1:31" x14ac:dyDescent="0.3">
      <c r="A6">
        <v>10159</v>
      </c>
      <c r="B6">
        <v>49</v>
      </c>
      <c r="C6">
        <v>100</v>
      </c>
      <c r="D6">
        <v>14</v>
      </c>
      <c r="E6" s="4" t="str">
        <f t="shared" si="0"/>
        <v>high sales</v>
      </c>
      <c r="F6">
        <v>5205.2700000000004</v>
      </c>
      <c r="G6" t="s">
        <v>678</v>
      </c>
      <c r="H6" s="1" t="str">
        <f t="shared" si="1"/>
        <v>Shipped</v>
      </c>
      <c r="I6" s="4" t="str">
        <f t="shared" si="2"/>
        <v>completed</v>
      </c>
      <c r="J6" t="s">
        <v>25</v>
      </c>
      <c r="K6">
        <v>4</v>
      </c>
      <c r="L6">
        <v>10</v>
      </c>
      <c r="M6">
        <v>2003</v>
      </c>
      <c r="N6" t="s">
        <v>26</v>
      </c>
      <c r="O6">
        <v>95</v>
      </c>
      <c r="P6" t="s">
        <v>27</v>
      </c>
      <c r="Q6" t="s">
        <v>58</v>
      </c>
      <c r="R6">
        <v>6505551386</v>
      </c>
      <c r="S6" t="s">
        <v>59</v>
      </c>
      <c r="U6" s="1" t="str">
        <f t="shared" si="3"/>
        <v>San Francisco</v>
      </c>
      <c r="V6" t="s">
        <v>60</v>
      </c>
      <c r="W6" t="s">
        <v>55</v>
      </c>
      <c r="Y6" s="1" t="str">
        <f t="shared" si="4"/>
        <v>USA</v>
      </c>
      <c r="Z6" s="4" t="str">
        <f t="shared" si="5"/>
        <v>Usa</v>
      </c>
      <c r="AA6" t="s">
        <v>32</v>
      </c>
      <c r="AB6" t="s">
        <v>33</v>
      </c>
      <c r="AC6" t="s">
        <v>61</v>
      </c>
      <c r="AD6" t="s">
        <v>57</v>
      </c>
      <c r="AE6" t="s">
        <v>51</v>
      </c>
    </row>
    <row r="7" spans="1:31" x14ac:dyDescent="0.3">
      <c r="A7">
        <v>10168</v>
      </c>
      <c r="B7">
        <v>36</v>
      </c>
      <c r="C7">
        <v>96.66</v>
      </c>
      <c r="D7">
        <v>1</v>
      </c>
      <c r="E7" s="4" t="str">
        <f t="shared" si="0"/>
        <v>low sales</v>
      </c>
      <c r="F7">
        <v>3479.76</v>
      </c>
      <c r="G7" t="s">
        <v>679</v>
      </c>
      <c r="H7" s="1" t="str">
        <f t="shared" si="1"/>
        <v>Shipped</v>
      </c>
      <c r="I7" s="4" t="str">
        <f t="shared" si="2"/>
        <v>completed</v>
      </c>
      <c r="J7" t="s">
        <v>25</v>
      </c>
      <c r="K7">
        <v>4</v>
      </c>
      <c r="L7">
        <v>10</v>
      </c>
      <c r="M7">
        <v>2003</v>
      </c>
      <c r="N7" t="s">
        <v>26</v>
      </c>
      <c r="O7">
        <v>95</v>
      </c>
      <c r="P7" t="s">
        <v>27</v>
      </c>
      <c r="Q7" t="s">
        <v>62</v>
      </c>
      <c r="R7">
        <v>6505556809</v>
      </c>
      <c r="S7" t="s">
        <v>63</v>
      </c>
      <c r="U7" s="1" t="str">
        <f t="shared" si="3"/>
        <v>Burlingame</v>
      </c>
      <c r="V7" t="s">
        <v>64</v>
      </c>
      <c r="W7" t="s">
        <v>55</v>
      </c>
      <c r="X7">
        <v>94217</v>
      </c>
      <c r="Y7" s="1" t="str">
        <f t="shared" si="4"/>
        <v>USA</v>
      </c>
      <c r="Z7" s="4" t="str">
        <f t="shared" si="5"/>
        <v>Usa</v>
      </c>
      <c r="AA7" t="s">
        <v>32</v>
      </c>
      <c r="AB7" t="s">
        <v>33</v>
      </c>
      <c r="AC7" t="s">
        <v>65</v>
      </c>
      <c r="AD7" t="s">
        <v>66</v>
      </c>
      <c r="AE7" t="s">
        <v>51</v>
      </c>
    </row>
    <row r="8" spans="1:31" x14ac:dyDescent="0.3">
      <c r="A8">
        <v>10180</v>
      </c>
      <c r="B8">
        <v>29</v>
      </c>
      <c r="C8">
        <v>86.13</v>
      </c>
      <c r="D8">
        <v>9</v>
      </c>
      <c r="E8" s="4" t="str">
        <f t="shared" si="0"/>
        <v>low sales</v>
      </c>
      <c r="F8">
        <v>2497.77</v>
      </c>
      <c r="G8" t="s">
        <v>680</v>
      </c>
      <c r="H8" s="1" t="str">
        <f t="shared" si="1"/>
        <v>Shipped</v>
      </c>
      <c r="I8" s="4" t="str">
        <f t="shared" si="2"/>
        <v>completed</v>
      </c>
      <c r="J8" t="s">
        <v>25</v>
      </c>
      <c r="K8">
        <v>4</v>
      </c>
      <c r="L8">
        <v>11</v>
      </c>
      <c r="M8">
        <v>2003</v>
      </c>
      <c r="N8" t="s">
        <v>26</v>
      </c>
      <c r="O8">
        <v>95</v>
      </c>
      <c r="P8" t="s">
        <v>27</v>
      </c>
      <c r="Q8" t="s">
        <v>67</v>
      </c>
      <c r="R8" t="s">
        <v>68</v>
      </c>
      <c r="S8" t="s">
        <v>69</v>
      </c>
      <c r="U8" s="1" t="str">
        <f t="shared" si="3"/>
        <v>Lille</v>
      </c>
      <c r="V8" t="s">
        <v>70</v>
      </c>
      <c r="X8">
        <v>59000</v>
      </c>
      <c r="Y8" s="1" t="str">
        <f t="shared" si="4"/>
        <v>FRANCE</v>
      </c>
      <c r="Z8" s="4" t="str">
        <f t="shared" si="5"/>
        <v>France</v>
      </c>
      <c r="AA8" t="s">
        <v>41</v>
      </c>
      <c r="AB8" t="s">
        <v>42</v>
      </c>
      <c r="AC8" t="s">
        <v>71</v>
      </c>
      <c r="AD8" t="s">
        <v>72</v>
      </c>
      <c r="AE8" t="s">
        <v>36</v>
      </c>
    </row>
    <row r="9" spans="1:31" x14ac:dyDescent="0.3">
      <c r="A9">
        <v>10188</v>
      </c>
      <c r="B9">
        <v>48</v>
      </c>
      <c r="C9">
        <v>100</v>
      </c>
      <c r="D9">
        <v>1</v>
      </c>
      <c r="E9" s="4" t="str">
        <f t="shared" si="0"/>
        <v>high sales</v>
      </c>
      <c r="F9">
        <v>5512.32</v>
      </c>
      <c r="G9" t="s">
        <v>681</v>
      </c>
      <c r="H9" s="1" t="str">
        <f t="shared" si="1"/>
        <v>Shipped</v>
      </c>
      <c r="I9" s="4" t="str">
        <f t="shared" si="2"/>
        <v>completed</v>
      </c>
      <c r="J9" t="s">
        <v>25</v>
      </c>
      <c r="K9">
        <v>4</v>
      </c>
      <c r="L9">
        <v>11</v>
      </c>
      <c r="M9">
        <v>2003</v>
      </c>
      <c r="N9" t="s">
        <v>26</v>
      </c>
      <c r="O9">
        <v>95</v>
      </c>
      <c r="P9" t="s">
        <v>27</v>
      </c>
      <c r="Q9" t="s">
        <v>73</v>
      </c>
      <c r="R9" t="s">
        <v>74</v>
      </c>
      <c r="S9" t="s">
        <v>75</v>
      </c>
      <c r="U9" s="1" t="str">
        <f t="shared" si="3"/>
        <v>Bergen</v>
      </c>
      <c r="V9" t="s">
        <v>76</v>
      </c>
      <c r="X9" t="s">
        <v>77</v>
      </c>
      <c r="Y9" s="1" t="str">
        <f t="shared" si="4"/>
        <v>NORWAY</v>
      </c>
      <c r="Z9" s="4" t="str">
        <f t="shared" si="5"/>
        <v>Norway</v>
      </c>
      <c r="AA9" t="s">
        <v>78</v>
      </c>
      <c r="AB9" t="s">
        <v>42</v>
      </c>
      <c r="AC9" t="s">
        <v>79</v>
      </c>
      <c r="AD9" t="s">
        <v>80</v>
      </c>
      <c r="AE9" t="s">
        <v>51</v>
      </c>
    </row>
    <row r="10" spans="1:31" x14ac:dyDescent="0.3">
      <c r="A10">
        <v>10201</v>
      </c>
      <c r="B10">
        <v>22</v>
      </c>
      <c r="C10">
        <v>98.57</v>
      </c>
      <c r="D10">
        <v>2</v>
      </c>
      <c r="E10" s="4" t="str">
        <f t="shared" si="0"/>
        <v>low sales</v>
      </c>
      <c r="F10">
        <v>2168.54</v>
      </c>
      <c r="G10" t="s">
        <v>682</v>
      </c>
      <c r="H10" s="1" t="str">
        <f t="shared" si="1"/>
        <v>Shipped</v>
      </c>
      <c r="I10" s="4" t="str">
        <f t="shared" si="2"/>
        <v>completed</v>
      </c>
      <c r="J10" t="s">
        <v>25</v>
      </c>
      <c r="K10">
        <v>4</v>
      </c>
      <c r="L10">
        <v>12</v>
      </c>
      <c r="M10">
        <v>2003</v>
      </c>
      <c r="N10" t="s">
        <v>26</v>
      </c>
      <c r="O10">
        <v>95</v>
      </c>
      <c r="P10" t="s">
        <v>27</v>
      </c>
      <c r="Q10" t="s">
        <v>81</v>
      </c>
      <c r="R10">
        <v>6505555787</v>
      </c>
      <c r="S10" t="s">
        <v>82</v>
      </c>
      <c r="U10" s="1" t="str">
        <f t="shared" si="3"/>
        <v>San Francisco</v>
      </c>
      <c r="V10" t="s">
        <v>60</v>
      </c>
      <c r="W10" t="s">
        <v>55</v>
      </c>
      <c r="Y10" s="1" t="str">
        <f t="shared" si="4"/>
        <v>USA</v>
      </c>
      <c r="Z10" s="4" t="str">
        <f t="shared" si="5"/>
        <v>Usa</v>
      </c>
      <c r="AA10" t="s">
        <v>32</v>
      </c>
      <c r="AB10" t="s">
        <v>33</v>
      </c>
      <c r="AC10" t="s">
        <v>83</v>
      </c>
      <c r="AD10" t="s">
        <v>57</v>
      </c>
      <c r="AE10" t="s">
        <v>36</v>
      </c>
    </row>
    <row r="11" spans="1:31" x14ac:dyDescent="0.3">
      <c r="A11">
        <v>10211</v>
      </c>
      <c r="B11">
        <v>41</v>
      </c>
      <c r="C11">
        <v>100</v>
      </c>
      <c r="D11">
        <v>14</v>
      </c>
      <c r="E11" s="4" t="str">
        <f t="shared" si="0"/>
        <v>high sales</v>
      </c>
      <c r="F11">
        <v>4708.4399999999996</v>
      </c>
      <c r="G11" t="s">
        <v>683</v>
      </c>
      <c r="H11" s="1" t="str">
        <f t="shared" si="1"/>
        <v>Shipped</v>
      </c>
      <c r="I11" s="4" t="str">
        <f t="shared" si="2"/>
        <v>completed</v>
      </c>
      <c r="J11" t="s">
        <v>25</v>
      </c>
      <c r="K11">
        <v>1</v>
      </c>
      <c r="L11">
        <v>1</v>
      </c>
      <c r="M11">
        <v>2004</v>
      </c>
      <c r="N11" t="s">
        <v>26</v>
      </c>
      <c r="O11">
        <v>95</v>
      </c>
      <c r="P11" t="s">
        <v>27</v>
      </c>
      <c r="Q11" t="s">
        <v>84</v>
      </c>
      <c r="R11" t="s">
        <v>85</v>
      </c>
      <c r="S11" t="s">
        <v>86</v>
      </c>
      <c r="U11" s="1" t="str">
        <f t="shared" si="3"/>
        <v>Paris</v>
      </c>
      <c r="V11" t="s">
        <v>48</v>
      </c>
      <c r="X11">
        <v>75016</v>
      </c>
      <c r="Y11" s="1" t="str">
        <f t="shared" si="4"/>
        <v>FRANCE</v>
      </c>
      <c r="Z11" s="4" t="str">
        <f t="shared" si="5"/>
        <v>France</v>
      </c>
      <c r="AA11" t="s">
        <v>41</v>
      </c>
      <c r="AB11" t="s">
        <v>42</v>
      </c>
      <c r="AC11" t="s">
        <v>87</v>
      </c>
      <c r="AD11" t="s">
        <v>88</v>
      </c>
      <c r="AE11" t="s">
        <v>51</v>
      </c>
    </row>
    <row r="12" spans="1:31" x14ac:dyDescent="0.3">
      <c r="A12">
        <v>10223</v>
      </c>
      <c r="B12">
        <v>37</v>
      </c>
      <c r="C12">
        <v>100</v>
      </c>
      <c r="D12">
        <v>1</v>
      </c>
      <c r="E12" s="4" t="str">
        <f t="shared" si="0"/>
        <v>low sales</v>
      </c>
      <c r="F12">
        <v>3965.66</v>
      </c>
      <c r="G12" t="s">
        <v>684</v>
      </c>
      <c r="H12" s="1" t="str">
        <f t="shared" si="1"/>
        <v>Shipped</v>
      </c>
      <c r="I12" s="4" t="str">
        <f t="shared" si="2"/>
        <v>completed</v>
      </c>
      <c r="J12" t="s">
        <v>25</v>
      </c>
      <c r="K12">
        <v>1</v>
      </c>
      <c r="L12">
        <v>2</v>
      </c>
      <c r="M12">
        <v>2004</v>
      </c>
      <c r="N12" t="s">
        <v>26</v>
      </c>
      <c r="O12">
        <v>95</v>
      </c>
      <c r="P12" t="s">
        <v>27</v>
      </c>
      <c r="Q12" t="s">
        <v>89</v>
      </c>
      <c r="R12" t="s">
        <v>90</v>
      </c>
      <c r="S12" t="s">
        <v>91</v>
      </c>
      <c r="T12" t="s">
        <v>92</v>
      </c>
      <c r="U12" s="1" t="str">
        <f t="shared" si="3"/>
        <v>Melbourne</v>
      </c>
      <c r="V12" t="s">
        <v>93</v>
      </c>
      <c r="W12" t="s">
        <v>94</v>
      </c>
      <c r="X12">
        <v>3004</v>
      </c>
      <c r="Y12" s="1" t="str">
        <f t="shared" si="4"/>
        <v>AUSTRALIA</v>
      </c>
      <c r="Z12" s="4" t="str">
        <f t="shared" si="5"/>
        <v>Australia</v>
      </c>
      <c r="AA12" t="s">
        <v>95</v>
      </c>
      <c r="AB12" t="s">
        <v>96</v>
      </c>
      <c r="AC12" t="s">
        <v>97</v>
      </c>
      <c r="AD12" t="s">
        <v>98</v>
      </c>
      <c r="AE12" t="s">
        <v>51</v>
      </c>
    </row>
    <row r="13" spans="1:31" x14ac:dyDescent="0.3">
      <c r="A13">
        <v>10237</v>
      </c>
      <c r="B13">
        <v>23</v>
      </c>
      <c r="C13">
        <v>100</v>
      </c>
      <c r="D13">
        <v>7</v>
      </c>
      <c r="E13" s="4" t="str">
        <f t="shared" si="0"/>
        <v>low sales</v>
      </c>
      <c r="F13">
        <v>2333.12</v>
      </c>
      <c r="G13" t="s">
        <v>685</v>
      </c>
      <c r="H13" s="1" t="str">
        <f t="shared" si="1"/>
        <v>Shipped</v>
      </c>
      <c r="I13" s="4" t="str">
        <f t="shared" si="2"/>
        <v>completed</v>
      </c>
      <c r="J13" t="s">
        <v>25</v>
      </c>
      <c r="K13">
        <v>2</v>
      </c>
      <c r="L13">
        <v>4</v>
      </c>
      <c r="M13">
        <v>2004</v>
      </c>
      <c r="N13" t="s">
        <v>26</v>
      </c>
      <c r="O13">
        <v>95</v>
      </c>
      <c r="P13" t="s">
        <v>27</v>
      </c>
      <c r="Q13" t="s">
        <v>99</v>
      </c>
      <c r="R13">
        <v>2125551500</v>
      </c>
      <c r="S13" t="s">
        <v>100</v>
      </c>
      <c r="T13" t="s">
        <v>101</v>
      </c>
      <c r="U13" s="1" t="str">
        <f t="shared" si="3"/>
        <v>Nyc</v>
      </c>
      <c r="V13" t="s">
        <v>30</v>
      </c>
      <c r="W13" t="s">
        <v>31</v>
      </c>
      <c r="X13">
        <v>10022</v>
      </c>
      <c r="Y13" s="1" t="str">
        <f t="shared" si="4"/>
        <v>USA</v>
      </c>
      <c r="Z13" s="4" t="str">
        <f t="shared" si="5"/>
        <v>Usa</v>
      </c>
      <c r="AA13" t="s">
        <v>32</v>
      </c>
      <c r="AB13" t="s">
        <v>33</v>
      </c>
      <c r="AC13" t="s">
        <v>102</v>
      </c>
      <c r="AD13" t="s">
        <v>103</v>
      </c>
      <c r="AE13" t="s">
        <v>36</v>
      </c>
    </row>
    <row r="14" spans="1:31" x14ac:dyDescent="0.3">
      <c r="A14">
        <v>10251</v>
      </c>
      <c r="B14">
        <v>28</v>
      </c>
      <c r="C14">
        <v>100</v>
      </c>
      <c r="D14">
        <v>2</v>
      </c>
      <c r="E14" s="4" t="str">
        <f t="shared" si="0"/>
        <v>low sales</v>
      </c>
      <c r="F14">
        <v>3188.64</v>
      </c>
      <c r="G14" t="s">
        <v>686</v>
      </c>
      <c r="H14" s="1" t="str">
        <f t="shared" si="1"/>
        <v>Shipped</v>
      </c>
      <c r="I14" s="4" t="str">
        <f t="shared" si="2"/>
        <v>completed</v>
      </c>
      <c r="J14" t="s">
        <v>25</v>
      </c>
      <c r="K14">
        <v>2</v>
      </c>
      <c r="L14">
        <v>5</v>
      </c>
      <c r="M14">
        <v>2004</v>
      </c>
      <c r="N14" t="s">
        <v>26</v>
      </c>
      <c r="O14">
        <v>95</v>
      </c>
      <c r="P14" t="s">
        <v>27</v>
      </c>
      <c r="Q14" t="s">
        <v>104</v>
      </c>
      <c r="R14">
        <v>2015559350</v>
      </c>
      <c r="S14" t="s">
        <v>105</v>
      </c>
      <c r="U14" s="1" t="str">
        <f t="shared" si="3"/>
        <v>Newark</v>
      </c>
      <c r="V14" t="s">
        <v>106</v>
      </c>
      <c r="W14" t="s">
        <v>107</v>
      </c>
      <c r="X14">
        <v>94019</v>
      </c>
      <c r="Y14" s="1" t="str">
        <f t="shared" si="4"/>
        <v>USA</v>
      </c>
      <c r="Z14" s="4" t="str">
        <f t="shared" si="5"/>
        <v>Usa</v>
      </c>
      <c r="AA14" t="s">
        <v>32</v>
      </c>
      <c r="AB14" t="s">
        <v>33</v>
      </c>
      <c r="AC14" t="s">
        <v>61</v>
      </c>
      <c r="AD14" t="s">
        <v>108</v>
      </c>
      <c r="AE14" t="s">
        <v>51</v>
      </c>
    </row>
    <row r="15" spans="1:31" x14ac:dyDescent="0.3">
      <c r="A15">
        <v>10263</v>
      </c>
      <c r="B15">
        <v>34</v>
      </c>
      <c r="C15">
        <v>100</v>
      </c>
      <c r="D15">
        <v>2</v>
      </c>
      <c r="E15" s="4" t="str">
        <f t="shared" si="0"/>
        <v>low sales</v>
      </c>
      <c r="F15">
        <v>3676.76</v>
      </c>
      <c r="G15" t="s">
        <v>687</v>
      </c>
      <c r="H15" s="1" t="str">
        <f t="shared" si="1"/>
        <v>Shipped</v>
      </c>
      <c r="I15" s="4" t="str">
        <f t="shared" si="2"/>
        <v>completed</v>
      </c>
      <c r="J15" t="s">
        <v>25</v>
      </c>
      <c r="K15">
        <v>2</v>
      </c>
      <c r="L15">
        <v>6</v>
      </c>
      <c r="M15">
        <v>2004</v>
      </c>
      <c r="N15" t="s">
        <v>26</v>
      </c>
      <c r="O15">
        <v>95</v>
      </c>
      <c r="P15" t="s">
        <v>27</v>
      </c>
      <c r="Q15" t="s">
        <v>109</v>
      </c>
      <c r="R15">
        <v>2035552570</v>
      </c>
      <c r="S15" t="s">
        <v>110</v>
      </c>
      <c r="U15" s="1" t="str">
        <f t="shared" si="3"/>
        <v>Bridgewater</v>
      </c>
      <c r="V15" t="s">
        <v>111</v>
      </c>
      <c r="W15" t="s">
        <v>112</v>
      </c>
      <c r="X15">
        <v>97562</v>
      </c>
      <c r="Y15" s="1" t="str">
        <f t="shared" si="4"/>
        <v>USA</v>
      </c>
      <c r="Z15" s="4" t="str">
        <f t="shared" si="5"/>
        <v>Usa</v>
      </c>
      <c r="AA15" t="s">
        <v>32</v>
      </c>
      <c r="AB15" t="s">
        <v>33</v>
      </c>
      <c r="AC15" t="s">
        <v>113</v>
      </c>
      <c r="AD15" t="s">
        <v>57</v>
      </c>
      <c r="AE15" t="s">
        <v>51</v>
      </c>
    </row>
    <row r="16" spans="1:31" x14ac:dyDescent="0.3">
      <c r="A16">
        <v>10275</v>
      </c>
      <c r="B16">
        <v>45</v>
      </c>
      <c r="C16">
        <v>92.83</v>
      </c>
      <c r="D16">
        <v>1</v>
      </c>
      <c r="E16" s="4" t="str">
        <f t="shared" si="0"/>
        <v>high sales</v>
      </c>
      <c r="F16">
        <v>4177.3500000000004</v>
      </c>
      <c r="G16" t="s">
        <v>688</v>
      </c>
      <c r="H16" s="1" t="str">
        <f t="shared" si="1"/>
        <v>Shipped</v>
      </c>
      <c r="I16" s="4" t="str">
        <f t="shared" si="2"/>
        <v>completed</v>
      </c>
      <c r="J16" t="s">
        <v>25</v>
      </c>
      <c r="K16">
        <v>3</v>
      </c>
      <c r="L16">
        <v>7</v>
      </c>
      <c r="M16">
        <v>2004</v>
      </c>
      <c r="N16" t="s">
        <v>26</v>
      </c>
      <c r="O16">
        <v>95</v>
      </c>
      <c r="P16" t="s">
        <v>27</v>
      </c>
      <c r="Q16" t="s">
        <v>114</v>
      </c>
      <c r="R16" t="s">
        <v>115</v>
      </c>
      <c r="S16" t="s">
        <v>116</v>
      </c>
      <c r="U16" s="1" t="str">
        <f t="shared" si="3"/>
        <v>Nantes</v>
      </c>
      <c r="V16" t="s">
        <v>117</v>
      </c>
      <c r="X16">
        <v>44000</v>
      </c>
      <c r="Y16" s="1" t="str">
        <f t="shared" si="4"/>
        <v>FRANCE</v>
      </c>
      <c r="Z16" s="4" t="str">
        <f t="shared" si="5"/>
        <v>France</v>
      </c>
      <c r="AA16" t="s">
        <v>41</v>
      </c>
      <c r="AB16" t="s">
        <v>42</v>
      </c>
      <c r="AC16" t="s">
        <v>118</v>
      </c>
      <c r="AD16" t="s">
        <v>119</v>
      </c>
      <c r="AE16" t="s">
        <v>51</v>
      </c>
    </row>
    <row r="17" spans="1:31" x14ac:dyDescent="0.3">
      <c r="A17">
        <v>10285</v>
      </c>
      <c r="B17">
        <v>36</v>
      </c>
      <c r="C17">
        <v>100</v>
      </c>
      <c r="D17">
        <v>6</v>
      </c>
      <c r="E17" s="4" t="str">
        <f t="shared" si="0"/>
        <v>high sales</v>
      </c>
      <c r="F17">
        <v>4099.68</v>
      </c>
      <c r="G17" t="s">
        <v>689</v>
      </c>
      <c r="H17" s="1" t="str">
        <f t="shared" si="1"/>
        <v>Shipped</v>
      </c>
      <c r="I17" s="4" t="str">
        <f t="shared" si="2"/>
        <v>completed</v>
      </c>
      <c r="J17" t="s">
        <v>25</v>
      </c>
      <c r="K17">
        <v>3</v>
      </c>
      <c r="L17">
        <v>8</v>
      </c>
      <c r="M17">
        <v>2004</v>
      </c>
      <c r="N17" t="s">
        <v>26</v>
      </c>
      <c r="O17">
        <v>95</v>
      </c>
      <c r="P17" t="s">
        <v>27</v>
      </c>
      <c r="Q17" t="s">
        <v>120</v>
      </c>
      <c r="R17">
        <v>6175558555</v>
      </c>
      <c r="S17" t="s">
        <v>121</v>
      </c>
      <c r="U17" s="1" t="str">
        <f t="shared" si="3"/>
        <v>Cambridge</v>
      </c>
      <c r="V17" t="s">
        <v>122</v>
      </c>
      <c r="W17" t="s">
        <v>123</v>
      </c>
      <c r="X17">
        <v>51247</v>
      </c>
      <c r="Y17" s="1" t="str">
        <f t="shared" si="4"/>
        <v>USA</v>
      </c>
      <c r="Z17" s="4" t="str">
        <f t="shared" si="5"/>
        <v>Usa</v>
      </c>
      <c r="AA17" t="s">
        <v>32</v>
      </c>
      <c r="AB17" t="s">
        <v>33</v>
      </c>
      <c r="AC17" t="s">
        <v>124</v>
      </c>
      <c r="AD17" t="s">
        <v>125</v>
      </c>
      <c r="AE17" t="s">
        <v>51</v>
      </c>
    </row>
    <row r="18" spans="1:31" x14ac:dyDescent="0.3">
      <c r="A18">
        <v>10299</v>
      </c>
      <c r="B18">
        <v>23</v>
      </c>
      <c r="C18">
        <v>100</v>
      </c>
      <c r="D18">
        <v>9</v>
      </c>
      <c r="E18" s="4" t="str">
        <f t="shared" si="0"/>
        <v>low sales</v>
      </c>
      <c r="F18">
        <v>2597.39</v>
      </c>
      <c r="G18" t="s">
        <v>690</v>
      </c>
      <c r="H18" s="1" t="str">
        <f t="shared" si="1"/>
        <v>Shipped</v>
      </c>
      <c r="I18" s="4" t="str">
        <f t="shared" si="2"/>
        <v>completed</v>
      </c>
      <c r="J18" t="s">
        <v>25</v>
      </c>
      <c r="K18">
        <v>3</v>
      </c>
      <c r="L18">
        <v>9</v>
      </c>
      <c r="M18">
        <v>2004</v>
      </c>
      <c r="N18" t="s">
        <v>26</v>
      </c>
      <c r="O18">
        <v>95</v>
      </c>
      <c r="P18" t="s">
        <v>27</v>
      </c>
      <c r="Q18" t="s">
        <v>126</v>
      </c>
      <c r="R18" t="s">
        <v>127</v>
      </c>
      <c r="S18" t="s">
        <v>128</v>
      </c>
      <c r="U18" s="1" t="str">
        <f t="shared" si="3"/>
        <v>Helsinki</v>
      </c>
      <c r="V18" t="s">
        <v>129</v>
      </c>
      <c r="X18">
        <v>21240</v>
      </c>
      <c r="Y18" s="1" t="str">
        <f t="shared" si="4"/>
        <v>FINLAND</v>
      </c>
      <c r="Z18" s="4" t="str">
        <f t="shared" si="5"/>
        <v>Finland</v>
      </c>
      <c r="AA18" t="s">
        <v>130</v>
      </c>
      <c r="AB18" t="s">
        <v>42</v>
      </c>
      <c r="AC18" t="s">
        <v>131</v>
      </c>
      <c r="AD18" t="s">
        <v>132</v>
      </c>
      <c r="AE18" t="s">
        <v>36</v>
      </c>
    </row>
    <row r="19" spans="1:31" x14ac:dyDescent="0.3">
      <c r="A19">
        <v>10309</v>
      </c>
      <c r="B19">
        <v>41</v>
      </c>
      <c r="C19">
        <v>100</v>
      </c>
      <c r="D19">
        <v>5</v>
      </c>
      <c r="E19" s="4" t="str">
        <f t="shared" si="0"/>
        <v>high sales</v>
      </c>
      <c r="F19">
        <v>4394.38</v>
      </c>
      <c r="G19" t="s">
        <v>691</v>
      </c>
      <c r="H19" s="1" t="str">
        <f t="shared" si="1"/>
        <v>Shipped</v>
      </c>
      <c r="I19" s="4" t="str">
        <f t="shared" si="2"/>
        <v>completed</v>
      </c>
      <c r="J19" t="s">
        <v>25</v>
      </c>
      <c r="K19">
        <v>4</v>
      </c>
      <c r="L19">
        <v>10</v>
      </c>
      <c r="M19">
        <v>2004</v>
      </c>
      <c r="N19" t="s">
        <v>26</v>
      </c>
      <c r="O19">
        <v>95</v>
      </c>
      <c r="P19" t="s">
        <v>27</v>
      </c>
      <c r="Q19" t="s">
        <v>133</v>
      </c>
      <c r="R19" t="s">
        <v>134</v>
      </c>
      <c r="S19" t="s">
        <v>135</v>
      </c>
      <c r="U19" s="1" t="str">
        <f t="shared" si="3"/>
        <v>Stavern</v>
      </c>
      <c r="V19" t="s">
        <v>136</v>
      </c>
      <c r="X19">
        <v>4110</v>
      </c>
      <c r="Y19" s="1" t="str">
        <f t="shared" si="4"/>
        <v>NORWAY</v>
      </c>
      <c r="Z19" s="4" t="str">
        <f t="shared" si="5"/>
        <v>Norway</v>
      </c>
      <c r="AA19" t="s">
        <v>78</v>
      </c>
      <c r="AB19" t="s">
        <v>42</v>
      </c>
      <c r="AC19" t="s">
        <v>137</v>
      </c>
      <c r="AD19" t="s">
        <v>138</v>
      </c>
      <c r="AE19" t="s">
        <v>51</v>
      </c>
    </row>
    <row r="20" spans="1:31" x14ac:dyDescent="0.3">
      <c r="A20">
        <v>10318</v>
      </c>
      <c r="B20">
        <v>46</v>
      </c>
      <c r="C20">
        <v>94.74</v>
      </c>
      <c r="D20">
        <v>1</v>
      </c>
      <c r="E20" s="4" t="str">
        <f t="shared" si="0"/>
        <v>high sales</v>
      </c>
      <c r="F20">
        <v>4358.04</v>
      </c>
      <c r="G20" t="s">
        <v>692</v>
      </c>
      <c r="H20" s="1" t="str">
        <f t="shared" si="1"/>
        <v>Shipped</v>
      </c>
      <c r="I20" s="4" t="str">
        <f t="shared" si="2"/>
        <v>completed</v>
      </c>
      <c r="J20" t="s">
        <v>25</v>
      </c>
      <c r="K20">
        <v>4</v>
      </c>
      <c r="L20">
        <v>11</v>
      </c>
      <c r="M20">
        <v>2004</v>
      </c>
      <c r="N20" t="s">
        <v>26</v>
      </c>
      <c r="O20">
        <v>95</v>
      </c>
      <c r="P20" t="s">
        <v>27</v>
      </c>
      <c r="Q20" t="s">
        <v>139</v>
      </c>
      <c r="R20">
        <v>2155551555</v>
      </c>
      <c r="S20" t="s">
        <v>140</v>
      </c>
      <c r="U20" s="1" t="str">
        <f t="shared" si="3"/>
        <v>Allentown</v>
      </c>
      <c r="V20" t="s">
        <v>141</v>
      </c>
      <c r="W20" t="s">
        <v>142</v>
      </c>
      <c r="X20">
        <v>70267</v>
      </c>
      <c r="Y20" s="1" t="str">
        <f t="shared" si="4"/>
        <v>USA</v>
      </c>
      <c r="Z20" s="4" t="str">
        <f t="shared" si="5"/>
        <v>Usa</v>
      </c>
      <c r="AA20" t="s">
        <v>32</v>
      </c>
      <c r="AB20" t="s">
        <v>33</v>
      </c>
      <c r="AC20" t="s">
        <v>34</v>
      </c>
      <c r="AD20" t="s">
        <v>143</v>
      </c>
      <c r="AE20" t="s">
        <v>51</v>
      </c>
    </row>
    <row r="21" spans="1:31" x14ac:dyDescent="0.3">
      <c r="A21">
        <v>10329</v>
      </c>
      <c r="B21">
        <v>42</v>
      </c>
      <c r="C21">
        <v>100</v>
      </c>
      <c r="D21">
        <v>1</v>
      </c>
      <c r="E21" s="4" t="str">
        <f t="shared" si="0"/>
        <v>high sales</v>
      </c>
      <c r="F21">
        <v>4396.1400000000003</v>
      </c>
      <c r="G21" t="s">
        <v>693</v>
      </c>
      <c r="H21" s="1" t="str">
        <f t="shared" si="1"/>
        <v>Shipped</v>
      </c>
      <c r="I21" s="4" t="str">
        <f t="shared" si="2"/>
        <v>completed</v>
      </c>
      <c r="J21" t="s">
        <v>25</v>
      </c>
      <c r="K21">
        <v>4</v>
      </c>
      <c r="L21">
        <v>11</v>
      </c>
      <c r="M21">
        <v>2004</v>
      </c>
      <c r="N21" t="s">
        <v>26</v>
      </c>
      <c r="O21">
        <v>95</v>
      </c>
      <c r="P21" t="s">
        <v>27</v>
      </c>
      <c r="Q21" t="s">
        <v>28</v>
      </c>
      <c r="R21">
        <v>2125557818</v>
      </c>
      <c r="S21" t="s">
        <v>29</v>
      </c>
      <c r="U21" s="1" t="str">
        <f t="shared" si="3"/>
        <v>Nyc</v>
      </c>
      <c r="V21" t="s">
        <v>30</v>
      </c>
      <c r="W21" t="s">
        <v>31</v>
      </c>
      <c r="X21">
        <v>10022</v>
      </c>
      <c r="Y21" s="1" t="str">
        <f t="shared" si="4"/>
        <v>USA</v>
      </c>
      <c r="Z21" s="4" t="str">
        <f t="shared" si="5"/>
        <v>Usa</v>
      </c>
      <c r="AA21" t="s">
        <v>32</v>
      </c>
      <c r="AB21" t="s">
        <v>33</v>
      </c>
      <c r="AC21" t="s">
        <v>34</v>
      </c>
      <c r="AD21" t="s">
        <v>35</v>
      </c>
      <c r="AE21" t="s">
        <v>51</v>
      </c>
    </row>
    <row r="22" spans="1:31" x14ac:dyDescent="0.3">
      <c r="A22">
        <v>10341</v>
      </c>
      <c r="B22">
        <v>41</v>
      </c>
      <c r="C22">
        <v>100</v>
      </c>
      <c r="D22">
        <v>9</v>
      </c>
      <c r="E22" s="4" t="str">
        <f t="shared" si="0"/>
        <v>high sales</v>
      </c>
      <c r="F22">
        <v>7737.93</v>
      </c>
      <c r="G22" t="s">
        <v>694</v>
      </c>
      <c r="H22" s="1" t="str">
        <f t="shared" si="1"/>
        <v>Shipped</v>
      </c>
      <c r="I22" s="4" t="str">
        <f t="shared" si="2"/>
        <v>completed</v>
      </c>
      <c r="J22" t="s">
        <v>25</v>
      </c>
      <c r="K22">
        <v>4</v>
      </c>
      <c r="L22">
        <v>11</v>
      </c>
      <c r="M22">
        <v>2004</v>
      </c>
      <c r="N22" t="s">
        <v>26</v>
      </c>
      <c r="O22">
        <v>95</v>
      </c>
      <c r="P22" t="s">
        <v>27</v>
      </c>
      <c r="Q22" t="s">
        <v>144</v>
      </c>
      <c r="R22" t="s">
        <v>145</v>
      </c>
      <c r="S22" t="s">
        <v>146</v>
      </c>
      <c r="U22" s="1" t="str">
        <f t="shared" si="3"/>
        <v>Salzburg</v>
      </c>
      <c r="V22" t="s">
        <v>147</v>
      </c>
      <c r="X22">
        <v>5020</v>
      </c>
      <c r="Y22" s="1" t="str">
        <f t="shared" si="4"/>
        <v>AUSTRIA</v>
      </c>
      <c r="Z22" s="4" t="str">
        <f t="shared" si="5"/>
        <v>Austria</v>
      </c>
      <c r="AA22" t="s">
        <v>148</v>
      </c>
      <c r="AB22" t="s">
        <v>42</v>
      </c>
      <c r="AC22" t="s">
        <v>149</v>
      </c>
      <c r="AD22" t="s">
        <v>150</v>
      </c>
      <c r="AE22" t="s">
        <v>151</v>
      </c>
    </row>
    <row r="23" spans="1:31" x14ac:dyDescent="0.3">
      <c r="A23">
        <v>10361</v>
      </c>
      <c r="B23">
        <v>20</v>
      </c>
      <c r="C23">
        <v>72.55</v>
      </c>
      <c r="D23">
        <v>13</v>
      </c>
      <c r="E23" s="4" t="str">
        <f t="shared" si="0"/>
        <v>low sales</v>
      </c>
      <c r="F23">
        <v>1451</v>
      </c>
      <c r="G23" t="s">
        <v>695</v>
      </c>
      <c r="H23" s="1" t="str">
        <f t="shared" si="1"/>
        <v>Shipped</v>
      </c>
      <c r="I23" s="4" t="str">
        <f t="shared" si="2"/>
        <v>completed</v>
      </c>
      <c r="J23" t="s">
        <v>25</v>
      </c>
      <c r="K23">
        <v>4</v>
      </c>
      <c r="L23">
        <v>12</v>
      </c>
      <c r="M23">
        <v>2004</v>
      </c>
      <c r="N23" t="s">
        <v>26</v>
      </c>
      <c r="O23">
        <v>95</v>
      </c>
      <c r="P23" t="s">
        <v>27</v>
      </c>
      <c r="Q23" t="s">
        <v>152</v>
      </c>
      <c r="R23" t="s">
        <v>153</v>
      </c>
      <c r="S23" t="s">
        <v>154</v>
      </c>
      <c r="T23" t="s">
        <v>155</v>
      </c>
      <c r="U23" s="1" t="str">
        <f t="shared" si="3"/>
        <v>Chatswood</v>
      </c>
      <c r="V23" t="s">
        <v>156</v>
      </c>
      <c r="W23" t="s">
        <v>157</v>
      </c>
      <c r="X23">
        <v>2067</v>
      </c>
      <c r="Y23" s="1" t="str">
        <f t="shared" si="4"/>
        <v>AUSTRALIA</v>
      </c>
      <c r="Z23" s="4" t="str">
        <f t="shared" si="5"/>
        <v>Australia</v>
      </c>
      <c r="AA23" t="s">
        <v>95</v>
      </c>
      <c r="AB23" t="s">
        <v>96</v>
      </c>
      <c r="AC23" t="s">
        <v>158</v>
      </c>
      <c r="AD23" t="s">
        <v>159</v>
      </c>
      <c r="AE23" t="s">
        <v>36</v>
      </c>
    </row>
    <row r="24" spans="1:31" x14ac:dyDescent="0.3">
      <c r="A24">
        <v>10375</v>
      </c>
      <c r="B24">
        <v>21</v>
      </c>
      <c r="C24">
        <v>34.909999999999997</v>
      </c>
      <c r="D24">
        <v>12</v>
      </c>
      <c r="E24" s="4" t="str">
        <f t="shared" si="0"/>
        <v>low sales</v>
      </c>
      <c r="F24">
        <v>733.11</v>
      </c>
      <c r="G24" t="s">
        <v>696</v>
      </c>
      <c r="H24" s="1" t="str">
        <f t="shared" si="1"/>
        <v>Shipped</v>
      </c>
      <c r="I24" s="4" t="str">
        <f t="shared" si="2"/>
        <v>completed</v>
      </c>
      <c r="J24" t="s">
        <v>25</v>
      </c>
      <c r="K24">
        <v>1</v>
      </c>
      <c r="L24">
        <v>2</v>
      </c>
      <c r="M24">
        <v>2005</v>
      </c>
      <c r="N24" t="s">
        <v>26</v>
      </c>
      <c r="O24">
        <v>95</v>
      </c>
      <c r="P24" t="s">
        <v>27</v>
      </c>
      <c r="Q24" t="s">
        <v>114</v>
      </c>
      <c r="R24" t="s">
        <v>115</v>
      </c>
      <c r="S24" t="s">
        <v>116</v>
      </c>
      <c r="U24" s="1" t="str">
        <f t="shared" si="3"/>
        <v>Nantes</v>
      </c>
      <c r="V24" t="s">
        <v>117</v>
      </c>
      <c r="X24">
        <v>44000</v>
      </c>
      <c r="Y24" s="1" t="str">
        <f t="shared" si="4"/>
        <v>FRANCE</v>
      </c>
      <c r="Z24" s="4" t="str">
        <f t="shared" si="5"/>
        <v>France</v>
      </c>
      <c r="AA24" t="s">
        <v>41</v>
      </c>
      <c r="AB24" t="s">
        <v>42</v>
      </c>
      <c r="AC24" t="s">
        <v>118</v>
      </c>
      <c r="AD24" t="s">
        <v>119</v>
      </c>
      <c r="AE24" t="s">
        <v>36</v>
      </c>
    </row>
    <row r="25" spans="1:31" x14ac:dyDescent="0.3">
      <c r="A25">
        <v>10388</v>
      </c>
      <c r="B25">
        <v>42</v>
      </c>
      <c r="C25">
        <v>76.36</v>
      </c>
      <c r="D25">
        <v>4</v>
      </c>
      <c r="E25" s="4" t="str">
        <f t="shared" si="0"/>
        <v>low sales</v>
      </c>
      <c r="F25">
        <v>3207.12</v>
      </c>
      <c r="G25" t="s">
        <v>697</v>
      </c>
      <c r="H25" s="1" t="str">
        <f t="shared" si="1"/>
        <v>Shipped</v>
      </c>
      <c r="I25" s="4" t="str">
        <f t="shared" si="2"/>
        <v>completed</v>
      </c>
      <c r="J25" t="s">
        <v>25</v>
      </c>
      <c r="K25">
        <v>1</v>
      </c>
      <c r="L25">
        <v>3</v>
      </c>
      <c r="M25">
        <v>2005</v>
      </c>
      <c r="N25" t="s">
        <v>26</v>
      </c>
      <c r="O25">
        <v>95</v>
      </c>
      <c r="P25" t="s">
        <v>27</v>
      </c>
      <c r="Q25" t="s">
        <v>160</v>
      </c>
      <c r="R25">
        <v>5085552555</v>
      </c>
      <c r="S25" t="s">
        <v>161</v>
      </c>
      <c r="U25" s="1" t="str">
        <f t="shared" si="3"/>
        <v>New Bedford</v>
      </c>
      <c r="V25" t="s">
        <v>162</v>
      </c>
      <c r="W25" t="s">
        <v>123</v>
      </c>
      <c r="X25">
        <v>50553</v>
      </c>
      <c r="Y25" s="1" t="str">
        <f t="shared" si="4"/>
        <v>USA</v>
      </c>
      <c r="Z25" s="4" t="str">
        <f t="shared" si="5"/>
        <v>Usa</v>
      </c>
      <c r="AA25" t="s">
        <v>32</v>
      </c>
      <c r="AB25" t="s">
        <v>33</v>
      </c>
      <c r="AC25" t="s">
        <v>163</v>
      </c>
      <c r="AD25" t="s">
        <v>164</v>
      </c>
      <c r="AE25" t="s">
        <v>51</v>
      </c>
    </row>
    <row r="26" spans="1:31" x14ac:dyDescent="0.3">
      <c r="A26">
        <v>10403</v>
      </c>
      <c r="B26">
        <v>24</v>
      </c>
      <c r="C26">
        <v>100</v>
      </c>
      <c r="D26">
        <v>7</v>
      </c>
      <c r="E26" s="4" t="str">
        <f t="shared" si="0"/>
        <v>low sales</v>
      </c>
      <c r="F26">
        <v>2434.56</v>
      </c>
      <c r="G26" t="s">
        <v>698</v>
      </c>
      <c r="H26" s="1" t="str">
        <f t="shared" si="1"/>
        <v>Shipped</v>
      </c>
      <c r="I26" s="4" t="str">
        <f t="shared" si="2"/>
        <v>completed</v>
      </c>
      <c r="J26" t="s">
        <v>25</v>
      </c>
      <c r="K26">
        <v>2</v>
      </c>
      <c r="L26">
        <v>4</v>
      </c>
      <c r="M26">
        <v>2005</v>
      </c>
      <c r="N26" t="s">
        <v>26</v>
      </c>
      <c r="O26">
        <v>95</v>
      </c>
      <c r="P26" t="s">
        <v>27</v>
      </c>
      <c r="Q26" t="s">
        <v>165</v>
      </c>
      <c r="R26" t="s">
        <v>166</v>
      </c>
      <c r="S26" t="s">
        <v>167</v>
      </c>
      <c r="U26" s="1" t="str">
        <f t="shared" si="3"/>
        <v>Liverpool</v>
      </c>
      <c r="V26" t="s">
        <v>168</v>
      </c>
      <c r="X26" t="s">
        <v>169</v>
      </c>
      <c r="Y26" s="1" t="str">
        <f t="shared" si="4"/>
        <v>UK</v>
      </c>
      <c r="Z26" s="4" t="str">
        <f t="shared" si="5"/>
        <v>Uk</v>
      </c>
      <c r="AA26" t="s">
        <v>170</v>
      </c>
      <c r="AB26" t="s">
        <v>42</v>
      </c>
      <c r="AC26" t="s">
        <v>171</v>
      </c>
      <c r="AD26" t="s">
        <v>172</v>
      </c>
      <c r="AE26" t="s">
        <v>36</v>
      </c>
    </row>
    <row r="27" spans="1:31" x14ac:dyDescent="0.3">
      <c r="A27">
        <v>10417</v>
      </c>
      <c r="B27">
        <v>66</v>
      </c>
      <c r="C27">
        <v>100</v>
      </c>
      <c r="D27">
        <v>2</v>
      </c>
      <c r="E27" s="4" t="str">
        <f t="shared" si="0"/>
        <v>high sales</v>
      </c>
      <c r="F27">
        <v>7516.08</v>
      </c>
      <c r="G27" t="s">
        <v>699</v>
      </c>
      <c r="H27" s="1" t="str">
        <f t="shared" si="1"/>
        <v>Disputed</v>
      </c>
      <c r="I27" s="4" t="str">
        <f t="shared" si="2"/>
        <v>not completed</v>
      </c>
      <c r="J27" t="s">
        <v>173</v>
      </c>
      <c r="K27">
        <v>2</v>
      </c>
      <c r="L27">
        <v>5</v>
      </c>
      <c r="M27">
        <v>2005</v>
      </c>
      <c r="N27" t="s">
        <v>26</v>
      </c>
      <c r="O27">
        <v>95</v>
      </c>
      <c r="P27" t="s">
        <v>27</v>
      </c>
      <c r="Q27" t="s">
        <v>174</v>
      </c>
      <c r="R27" t="s">
        <v>175</v>
      </c>
      <c r="S27" t="s">
        <v>176</v>
      </c>
      <c r="U27" s="1" t="str">
        <f t="shared" si="3"/>
        <v>Madrid</v>
      </c>
      <c r="V27" t="s">
        <v>177</v>
      </c>
      <c r="X27">
        <v>28034</v>
      </c>
      <c r="Y27" s="1" t="str">
        <f t="shared" si="4"/>
        <v>SPAIN</v>
      </c>
      <c r="Z27" s="4" t="str">
        <f t="shared" si="5"/>
        <v>Spain</v>
      </c>
      <c r="AA27" t="s">
        <v>178</v>
      </c>
      <c r="AB27" t="s">
        <v>42</v>
      </c>
      <c r="AC27" t="s">
        <v>179</v>
      </c>
      <c r="AD27" t="s">
        <v>180</v>
      </c>
      <c r="AE27" t="s">
        <v>151</v>
      </c>
    </row>
    <row r="28" spans="1:31" x14ac:dyDescent="0.3">
      <c r="A28">
        <v>10103</v>
      </c>
      <c r="B28">
        <v>26</v>
      </c>
      <c r="C28">
        <v>100</v>
      </c>
      <c r="D28">
        <v>11</v>
      </c>
      <c r="E28" s="4" t="str">
        <f t="shared" si="0"/>
        <v>high sales</v>
      </c>
      <c r="F28">
        <v>5404.62</v>
      </c>
      <c r="G28" t="s">
        <v>700</v>
      </c>
      <c r="H28" s="1" t="str">
        <f t="shared" si="1"/>
        <v>Shipped</v>
      </c>
      <c r="I28" s="4" t="str">
        <f t="shared" si="2"/>
        <v>completed</v>
      </c>
      <c r="J28" t="s">
        <v>25</v>
      </c>
      <c r="K28">
        <v>1</v>
      </c>
      <c r="L28">
        <v>1</v>
      </c>
      <c r="M28">
        <v>2003</v>
      </c>
      <c r="N28" t="s">
        <v>181</v>
      </c>
      <c r="O28">
        <v>214</v>
      </c>
      <c r="P28" t="s">
        <v>182</v>
      </c>
      <c r="Q28" t="s">
        <v>133</v>
      </c>
      <c r="R28" t="s">
        <v>134</v>
      </c>
      <c r="S28" t="s">
        <v>135</v>
      </c>
      <c r="U28" s="1" t="str">
        <f t="shared" si="3"/>
        <v>Stavern</v>
      </c>
      <c r="V28" t="s">
        <v>136</v>
      </c>
      <c r="X28">
        <v>4110</v>
      </c>
      <c r="Y28" s="1" t="str">
        <f t="shared" si="4"/>
        <v>NORWAY</v>
      </c>
      <c r="Z28" s="4" t="str">
        <f t="shared" si="5"/>
        <v>Norway</v>
      </c>
      <c r="AA28" t="s">
        <v>78</v>
      </c>
      <c r="AB28" t="s">
        <v>42</v>
      </c>
      <c r="AC28" t="s">
        <v>137</v>
      </c>
      <c r="AD28" t="s">
        <v>138</v>
      </c>
      <c r="AE28" t="s">
        <v>51</v>
      </c>
    </row>
    <row r="29" spans="1:31" x14ac:dyDescent="0.3">
      <c r="A29">
        <v>10112</v>
      </c>
      <c r="B29">
        <v>29</v>
      </c>
      <c r="C29">
        <v>100</v>
      </c>
      <c r="D29">
        <v>1</v>
      </c>
      <c r="E29" s="4" t="str">
        <f t="shared" si="0"/>
        <v>high sales</v>
      </c>
      <c r="F29">
        <v>7209.11</v>
      </c>
      <c r="G29" t="s">
        <v>701</v>
      </c>
      <c r="H29" s="1" t="str">
        <f t="shared" si="1"/>
        <v>Shipped</v>
      </c>
      <c r="I29" s="4" t="str">
        <f t="shared" si="2"/>
        <v>completed</v>
      </c>
      <c r="J29" t="s">
        <v>25</v>
      </c>
      <c r="K29">
        <v>1</v>
      </c>
      <c r="L29">
        <v>3</v>
      </c>
      <c r="M29">
        <v>2003</v>
      </c>
      <c r="N29" t="s">
        <v>181</v>
      </c>
      <c r="O29">
        <v>214</v>
      </c>
      <c r="P29" t="s">
        <v>182</v>
      </c>
      <c r="Q29" t="s">
        <v>183</v>
      </c>
      <c r="R29" t="s">
        <v>184</v>
      </c>
      <c r="S29" t="s">
        <v>185</v>
      </c>
      <c r="U29" s="1" t="str">
        <f t="shared" si="3"/>
        <v>Lule</v>
      </c>
      <c r="V29" t="s">
        <v>186</v>
      </c>
      <c r="X29" t="s">
        <v>187</v>
      </c>
      <c r="Y29" s="1" t="str">
        <f t="shared" si="4"/>
        <v>SWEDEN</v>
      </c>
      <c r="Z29" s="4" t="str">
        <f t="shared" si="5"/>
        <v>Sweden</v>
      </c>
      <c r="AA29" t="s">
        <v>188</v>
      </c>
      <c r="AB29" t="s">
        <v>42</v>
      </c>
      <c r="AC29" t="s">
        <v>189</v>
      </c>
      <c r="AD29" t="s">
        <v>190</v>
      </c>
      <c r="AE29" t="s">
        <v>151</v>
      </c>
    </row>
    <row r="30" spans="1:31" x14ac:dyDescent="0.3">
      <c r="A30">
        <v>10126</v>
      </c>
      <c r="B30">
        <v>38</v>
      </c>
      <c r="C30">
        <v>100</v>
      </c>
      <c r="D30">
        <v>11</v>
      </c>
      <c r="E30" s="4" t="str">
        <f t="shared" si="0"/>
        <v>high sales</v>
      </c>
      <c r="F30">
        <v>7329.06</v>
      </c>
      <c r="G30" t="s">
        <v>702</v>
      </c>
      <c r="H30" s="1" t="str">
        <f t="shared" si="1"/>
        <v>Shipped</v>
      </c>
      <c r="I30" s="4" t="str">
        <f t="shared" si="2"/>
        <v>completed</v>
      </c>
      <c r="J30" t="s">
        <v>25</v>
      </c>
      <c r="K30">
        <v>2</v>
      </c>
      <c r="L30">
        <v>5</v>
      </c>
      <c r="M30">
        <v>2003</v>
      </c>
      <c r="N30" t="s">
        <v>181</v>
      </c>
      <c r="O30">
        <v>214</v>
      </c>
      <c r="P30" t="s">
        <v>182</v>
      </c>
      <c r="Q30" t="s">
        <v>191</v>
      </c>
      <c r="R30" t="s">
        <v>192</v>
      </c>
      <c r="S30" t="s">
        <v>193</v>
      </c>
      <c r="U30" s="1" t="str">
        <f t="shared" si="3"/>
        <v>Madrid</v>
      </c>
      <c r="V30" t="s">
        <v>177</v>
      </c>
      <c r="X30">
        <v>28023</v>
      </c>
      <c r="Y30" s="1" t="str">
        <f t="shared" si="4"/>
        <v>SPAIN</v>
      </c>
      <c r="Z30" s="4" t="str">
        <f t="shared" si="5"/>
        <v>Spain</v>
      </c>
      <c r="AA30" t="s">
        <v>178</v>
      </c>
      <c r="AB30" t="s">
        <v>42</v>
      </c>
      <c r="AC30" t="s">
        <v>194</v>
      </c>
      <c r="AD30" t="s">
        <v>195</v>
      </c>
      <c r="AE30" t="s">
        <v>151</v>
      </c>
    </row>
    <row r="31" spans="1:31" x14ac:dyDescent="0.3">
      <c r="A31">
        <v>10140</v>
      </c>
      <c r="B31">
        <v>37</v>
      </c>
      <c r="C31">
        <v>100</v>
      </c>
      <c r="D31">
        <v>11</v>
      </c>
      <c r="E31" s="4" t="str">
        <f t="shared" si="0"/>
        <v>high sales</v>
      </c>
      <c r="F31">
        <v>7374.1</v>
      </c>
      <c r="G31" t="s">
        <v>703</v>
      </c>
      <c r="H31" s="1" t="str">
        <f t="shared" si="1"/>
        <v>Shipped</v>
      </c>
      <c r="I31" s="4" t="str">
        <f t="shared" si="2"/>
        <v>completed</v>
      </c>
      <c r="J31" t="s">
        <v>25</v>
      </c>
      <c r="K31">
        <v>3</v>
      </c>
      <c r="L31">
        <v>7</v>
      </c>
      <c r="M31">
        <v>2003</v>
      </c>
      <c r="N31" t="s">
        <v>181</v>
      </c>
      <c r="O31">
        <v>214</v>
      </c>
      <c r="P31" t="s">
        <v>182</v>
      </c>
      <c r="Q31" t="s">
        <v>62</v>
      </c>
      <c r="R31">
        <v>6505556809</v>
      </c>
      <c r="S31" t="s">
        <v>63</v>
      </c>
      <c r="U31" s="1" t="str">
        <f t="shared" si="3"/>
        <v>Burlingame</v>
      </c>
      <c r="V31" t="s">
        <v>64</v>
      </c>
      <c r="W31" t="s">
        <v>55</v>
      </c>
      <c r="X31">
        <v>94217</v>
      </c>
      <c r="Y31" s="1" t="str">
        <f t="shared" si="4"/>
        <v>USA</v>
      </c>
      <c r="Z31" s="4" t="str">
        <f t="shared" si="5"/>
        <v>Usa</v>
      </c>
      <c r="AA31" t="s">
        <v>32</v>
      </c>
      <c r="AB31" t="s">
        <v>33</v>
      </c>
      <c r="AC31" t="s">
        <v>65</v>
      </c>
      <c r="AD31" t="s">
        <v>66</v>
      </c>
      <c r="AE31" t="s">
        <v>151</v>
      </c>
    </row>
    <row r="32" spans="1:31" x14ac:dyDescent="0.3">
      <c r="A32">
        <v>10150</v>
      </c>
      <c r="B32">
        <v>45</v>
      </c>
      <c r="C32">
        <v>100</v>
      </c>
      <c r="D32">
        <v>8</v>
      </c>
      <c r="E32" s="4" t="str">
        <f t="shared" si="0"/>
        <v>high sales</v>
      </c>
      <c r="F32">
        <v>10993.5</v>
      </c>
      <c r="G32" t="s">
        <v>704</v>
      </c>
      <c r="H32" s="1" t="str">
        <f t="shared" si="1"/>
        <v>Shipped</v>
      </c>
      <c r="I32" s="4" t="str">
        <f t="shared" si="2"/>
        <v>completed</v>
      </c>
      <c r="J32" t="s">
        <v>25</v>
      </c>
      <c r="K32">
        <v>3</v>
      </c>
      <c r="L32">
        <v>9</v>
      </c>
      <c r="M32">
        <v>2003</v>
      </c>
      <c r="N32" t="s">
        <v>181</v>
      </c>
      <c r="O32">
        <v>214</v>
      </c>
      <c r="P32" t="s">
        <v>182</v>
      </c>
      <c r="Q32" t="s">
        <v>196</v>
      </c>
      <c r="R32" t="s">
        <v>197</v>
      </c>
      <c r="S32" t="s">
        <v>198</v>
      </c>
      <c r="U32" s="1" t="str">
        <f t="shared" si="3"/>
        <v>Singapore</v>
      </c>
      <c r="V32" t="s">
        <v>199</v>
      </c>
      <c r="X32">
        <v>79903</v>
      </c>
      <c r="Y32" s="1" t="str">
        <f t="shared" si="4"/>
        <v>SINGAPORE</v>
      </c>
      <c r="Z32" s="4" t="str">
        <f t="shared" si="5"/>
        <v>Singapore</v>
      </c>
      <c r="AA32" t="s">
        <v>199</v>
      </c>
      <c r="AB32" t="s">
        <v>200</v>
      </c>
      <c r="AC32" t="s">
        <v>201</v>
      </c>
      <c r="AD32" t="s">
        <v>202</v>
      </c>
      <c r="AE32" t="s">
        <v>151</v>
      </c>
    </row>
    <row r="33" spans="1:31" x14ac:dyDescent="0.3">
      <c r="A33">
        <v>10163</v>
      </c>
      <c r="B33">
        <v>21</v>
      </c>
      <c r="C33">
        <v>100</v>
      </c>
      <c r="D33">
        <v>1</v>
      </c>
      <c r="E33" s="4" t="str">
        <f t="shared" si="0"/>
        <v>high sales</v>
      </c>
      <c r="F33">
        <v>4860.24</v>
      </c>
      <c r="G33" t="s">
        <v>705</v>
      </c>
      <c r="H33" s="1" t="str">
        <f t="shared" si="1"/>
        <v>Shipped</v>
      </c>
      <c r="I33" s="4" t="str">
        <f t="shared" si="2"/>
        <v>completed</v>
      </c>
      <c r="J33" t="s">
        <v>25</v>
      </c>
      <c r="K33">
        <v>4</v>
      </c>
      <c r="L33">
        <v>10</v>
      </c>
      <c r="M33">
        <v>2003</v>
      </c>
      <c r="N33" t="s">
        <v>181</v>
      </c>
      <c r="O33">
        <v>214</v>
      </c>
      <c r="P33" t="s">
        <v>182</v>
      </c>
      <c r="Q33" t="s">
        <v>203</v>
      </c>
      <c r="R33">
        <v>2125558493</v>
      </c>
      <c r="S33" t="s">
        <v>204</v>
      </c>
      <c r="T33" t="s">
        <v>205</v>
      </c>
      <c r="U33" s="1" t="str">
        <f t="shared" si="3"/>
        <v>Nyc</v>
      </c>
      <c r="V33" t="s">
        <v>30</v>
      </c>
      <c r="W33" t="s">
        <v>31</v>
      </c>
      <c r="X33">
        <v>10022</v>
      </c>
      <c r="Y33" s="1" t="str">
        <f t="shared" si="4"/>
        <v>USA</v>
      </c>
      <c r="Z33" s="4" t="str">
        <f t="shared" si="5"/>
        <v>Usa</v>
      </c>
      <c r="AA33" t="s">
        <v>32</v>
      </c>
      <c r="AB33" t="s">
        <v>33</v>
      </c>
      <c r="AC33" t="s">
        <v>124</v>
      </c>
      <c r="AD33" t="s">
        <v>206</v>
      </c>
      <c r="AE33" t="s">
        <v>51</v>
      </c>
    </row>
    <row r="34" spans="1:31" x14ac:dyDescent="0.3">
      <c r="A34">
        <v>10174</v>
      </c>
      <c r="B34">
        <v>34</v>
      </c>
      <c r="C34">
        <v>100</v>
      </c>
      <c r="D34">
        <v>4</v>
      </c>
      <c r="E34" s="4" t="str">
        <f t="shared" si="0"/>
        <v>high sales</v>
      </c>
      <c r="F34">
        <v>8014.82</v>
      </c>
      <c r="G34" t="s">
        <v>706</v>
      </c>
      <c r="H34" s="1" t="str">
        <f t="shared" si="1"/>
        <v>Shipped</v>
      </c>
      <c r="I34" s="4" t="str">
        <f t="shared" si="2"/>
        <v>completed</v>
      </c>
      <c r="J34" t="s">
        <v>25</v>
      </c>
      <c r="K34">
        <v>4</v>
      </c>
      <c r="L34">
        <v>11</v>
      </c>
      <c r="M34">
        <v>2003</v>
      </c>
      <c r="N34" t="s">
        <v>181</v>
      </c>
      <c r="O34">
        <v>214</v>
      </c>
      <c r="P34" t="s">
        <v>182</v>
      </c>
      <c r="Q34" t="s">
        <v>207</v>
      </c>
      <c r="R34" t="s">
        <v>208</v>
      </c>
      <c r="S34" t="s">
        <v>209</v>
      </c>
      <c r="U34" s="1" t="str">
        <f t="shared" si="3"/>
        <v>South Brisbane</v>
      </c>
      <c r="V34" t="s">
        <v>210</v>
      </c>
      <c r="W34" t="s">
        <v>211</v>
      </c>
      <c r="X34">
        <v>4101</v>
      </c>
      <c r="Y34" s="1" t="str">
        <f t="shared" si="4"/>
        <v>AUSTRALIA</v>
      </c>
      <c r="Z34" s="4" t="str">
        <f t="shared" si="5"/>
        <v>Australia</v>
      </c>
      <c r="AA34" t="s">
        <v>95</v>
      </c>
      <c r="AB34" t="s">
        <v>96</v>
      </c>
      <c r="AC34" t="s">
        <v>212</v>
      </c>
      <c r="AD34" t="s">
        <v>213</v>
      </c>
      <c r="AE34" t="s">
        <v>151</v>
      </c>
    </row>
    <row r="35" spans="1:31" x14ac:dyDescent="0.3">
      <c r="A35">
        <v>10183</v>
      </c>
      <c r="B35">
        <v>23</v>
      </c>
      <c r="C35">
        <v>100</v>
      </c>
      <c r="D35">
        <v>8</v>
      </c>
      <c r="E35" s="4" t="str">
        <f t="shared" si="0"/>
        <v>high sales</v>
      </c>
      <c r="F35">
        <v>5372.57</v>
      </c>
      <c r="G35" t="s">
        <v>707</v>
      </c>
      <c r="H35" s="1" t="str">
        <f t="shared" si="1"/>
        <v>Shipped</v>
      </c>
      <c r="I35" s="4" t="str">
        <f t="shared" si="2"/>
        <v>completed</v>
      </c>
      <c r="J35" t="s">
        <v>25</v>
      </c>
      <c r="K35">
        <v>4</v>
      </c>
      <c r="L35">
        <v>11</v>
      </c>
      <c r="M35">
        <v>2003</v>
      </c>
      <c r="N35" t="s">
        <v>181</v>
      </c>
      <c r="O35">
        <v>214</v>
      </c>
      <c r="P35" t="s">
        <v>182</v>
      </c>
      <c r="Q35" t="s">
        <v>214</v>
      </c>
      <c r="R35">
        <v>2155554695</v>
      </c>
      <c r="S35" t="s">
        <v>215</v>
      </c>
      <c r="U35" s="1" t="str">
        <f t="shared" si="3"/>
        <v>Philadelphia</v>
      </c>
      <c r="V35" t="s">
        <v>216</v>
      </c>
      <c r="W35" t="s">
        <v>142</v>
      </c>
      <c r="X35">
        <v>71270</v>
      </c>
      <c r="Y35" s="1" t="str">
        <f t="shared" si="4"/>
        <v>USA</v>
      </c>
      <c r="Z35" s="4" t="str">
        <f t="shared" si="5"/>
        <v>Usa</v>
      </c>
      <c r="AA35" t="s">
        <v>32</v>
      </c>
      <c r="AB35" t="s">
        <v>33</v>
      </c>
      <c r="AC35" t="s">
        <v>217</v>
      </c>
      <c r="AD35" t="s">
        <v>218</v>
      </c>
      <c r="AE35" t="s">
        <v>51</v>
      </c>
    </row>
    <row r="36" spans="1:31" x14ac:dyDescent="0.3">
      <c r="A36">
        <v>10194</v>
      </c>
      <c r="B36">
        <v>42</v>
      </c>
      <c r="C36">
        <v>100</v>
      </c>
      <c r="D36">
        <v>11</v>
      </c>
      <c r="E36" s="4" t="str">
        <f t="shared" si="0"/>
        <v>high sales</v>
      </c>
      <c r="F36">
        <v>7290.36</v>
      </c>
      <c r="G36" t="s">
        <v>708</v>
      </c>
      <c r="H36" s="1" t="str">
        <f t="shared" si="1"/>
        <v>Shipped</v>
      </c>
      <c r="I36" s="4" t="str">
        <f t="shared" si="2"/>
        <v>completed</v>
      </c>
      <c r="J36" t="s">
        <v>25</v>
      </c>
      <c r="K36">
        <v>4</v>
      </c>
      <c r="L36">
        <v>11</v>
      </c>
      <c r="M36">
        <v>2003</v>
      </c>
      <c r="N36" t="s">
        <v>181</v>
      </c>
      <c r="O36">
        <v>214</v>
      </c>
      <c r="P36" t="s">
        <v>182</v>
      </c>
      <c r="Q36" t="s">
        <v>219</v>
      </c>
      <c r="R36" t="s">
        <v>220</v>
      </c>
      <c r="S36" t="s">
        <v>221</v>
      </c>
      <c r="U36" s="1" t="str">
        <f t="shared" si="3"/>
        <v>Lyon</v>
      </c>
      <c r="V36" t="s">
        <v>222</v>
      </c>
      <c r="X36">
        <v>69004</v>
      </c>
      <c r="Y36" s="1" t="str">
        <f t="shared" si="4"/>
        <v>FRANCE</v>
      </c>
      <c r="Z36" s="4" t="str">
        <f t="shared" si="5"/>
        <v>France</v>
      </c>
      <c r="AA36" t="s">
        <v>41</v>
      </c>
      <c r="AB36" t="s">
        <v>42</v>
      </c>
      <c r="AC36" t="s">
        <v>223</v>
      </c>
      <c r="AD36" t="s">
        <v>224</v>
      </c>
      <c r="AE36" t="s">
        <v>151</v>
      </c>
    </row>
    <row r="37" spans="1:31" x14ac:dyDescent="0.3">
      <c r="A37">
        <v>10206</v>
      </c>
      <c r="B37">
        <v>47</v>
      </c>
      <c r="C37">
        <v>100</v>
      </c>
      <c r="D37">
        <v>6</v>
      </c>
      <c r="E37" s="4" t="str">
        <f t="shared" si="0"/>
        <v>high sales</v>
      </c>
      <c r="F37">
        <v>9064.89</v>
      </c>
      <c r="G37" t="s">
        <v>709</v>
      </c>
      <c r="H37" s="1" t="str">
        <f t="shared" si="1"/>
        <v>Shipped</v>
      </c>
      <c r="I37" s="4" t="str">
        <f t="shared" si="2"/>
        <v>completed</v>
      </c>
      <c r="J37" t="s">
        <v>25</v>
      </c>
      <c r="K37">
        <v>4</v>
      </c>
      <c r="L37">
        <v>12</v>
      </c>
      <c r="M37">
        <v>2003</v>
      </c>
      <c r="N37" t="s">
        <v>181</v>
      </c>
      <c r="O37">
        <v>214</v>
      </c>
      <c r="P37" t="s">
        <v>182</v>
      </c>
      <c r="Q37" t="s">
        <v>225</v>
      </c>
      <c r="R37" t="s">
        <v>226</v>
      </c>
      <c r="S37" t="s">
        <v>227</v>
      </c>
      <c r="U37" s="1" t="str">
        <f t="shared" si="3"/>
        <v>Vancouver</v>
      </c>
      <c r="V37" t="s">
        <v>228</v>
      </c>
      <c r="W37" t="s">
        <v>229</v>
      </c>
      <c r="X37" t="s">
        <v>230</v>
      </c>
      <c r="Y37" s="1" t="str">
        <f t="shared" si="4"/>
        <v>CANADA</v>
      </c>
      <c r="Z37" s="4" t="str">
        <f t="shared" si="5"/>
        <v>Canada</v>
      </c>
      <c r="AA37" t="s">
        <v>231</v>
      </c>
      <c r="AB37" t="s">
        <v>33</v>
      </c>
      <c r="AC37" t="s">
        <v>232</v>
      </c>
      <c r="AD37" t="s">
        <v>233</v>
      </c>
      <c r="AE37" t="s">
        <v>151</v>
      </c>
    </row>
    <row r="38" spans="1:31" x14ac:dyDescent="0.3">
      <c r="A38">
        <v>10215</v>
      </c>
      <c r="B38">
        <v>35</v>
      </c>
      <c r="C38">
        <v>100</v>
      </c>
      <c r="D38">
        <v>3</v>
      </c>
      <c r="E38" s="4" t="str">
        <f t="shared" si="0"/>
        <v>high sales</v>
      </c>
      <c r="F38">
        <v>6075.3</v>
      </c>
      <c r="G38" t="s">
        <v>710</v>
      </c>
      <c r="H38" s="1" t="str">
        <f t="shared" si="1"/>
        <v>Shipped</v>
      </c>
      <c r="I38" s="4" t="str">
        <f t="shared" si="2"/>
        <v>completed</v>
      </c>
      <c r="J38" t="s">
        <v>25</v>
      </c>
      <c r="K38">
        <v>1</v>
      </c>
      <c r="L38">
        <v>1</v>
      </c>
      <c r="M38">
        <v>2004</v>
      </c>
      <c r="N38" t="s">
        <v>181</v>
      </c>
      <c r="O38">
        <v>214</v>
      </c>
      <c r="P38" t="s">
        <v>182</v>
      </c>
      <c r="Q38" t="s">
        <v>234</v>
      </c>
      <c r="R38">
        <v>3105553722</v>
      </c>
      <c r="S38" t="s">
        <v>235</v>
      </c>
      <c r="U38" s="1" t="str">
        <f t="shared" si="3"/>
        <v>Burbank</v>
      </c>
      <c r="V38" t="s">
        <v>236</v>
      </c>
      <c r="W38" t="s">
        <v>55</v>
      </c>
      <c r="X38">
        <v>94019</v>
      </c>
      <c r="Y38" s="1" t="str">
        <f t="shared" si="4"/>
        <v>USA</v>
      </c>
      <c r="Z38" s="4" t="str">
        <f t="shared" si="5"/>
        <v>Usa</v>
      </c>
      <c r="AA38" t="s">
        <v>32</v>
      </c>
      <c r="AB38" t="s">
        <v>33</v>
      </c>
      <c r="AC38" t="s">
        <v>237</v>
      </c>
      <c r="AD38" t="s">
        <v>238</v>
      </c>
      <c r="AE38" t="s">
        <v>51</v>
      </c>
    </row>
    <row r="39" spans="1:31" x14ac:dyDescent="0.3">
      <c r="A39">
        <v>10228</v>
      </c>
      <c r="B39">
        <v>29</v>
      </c>
      <c r="C39">
        <v>100</v>
      </c>
      <c r="D39">
        <v>2</v>
      </c>
      <c r="E39" s="4" t="str">
        <f t="shared" si="0"/>
        <v>high sales</v>
      </c>
      <c r="F39">
        <v>6463.23</v>
      </c>
      <c r="G39" t="s">
        <v>711</v>
      </c>
      <c r="H39" s="1" t="str">
        <f t="shared" si="1"/>
        <v>Shipped</v>
      </c>
      <c r="I39" s="4" t="str">
        <f t="shared" si="2"/>
        <v>completed</v>
      </c>
      <c r="J39" t="s">
        <v>25</v>
      </c>
      <c r="K39">
        <v>1</v>
      </c>
      <c r="L39">
        <v>3</v>
      </c>
      <c r="M39">
        <v>2004</v>
      </c>
      <c r="N39" t="s">
        <v>181</v>
      </c>
      <c r="O39">
        <v>214</v>
      </c>
      <c r="P39" t="s">
        <v>182</v>
      </c>
      <c r="Q39" t="s">
        <v>239</v>
      </c>
      <c r="R39">
        <v>6175555555</v>
      </c>
      <c r="S39" t="s">
        <v>240</v>
      </c>
      <c r="U39" s="1" t="str">
        <f t="shared" si="3"/>
        <v>Cambridge</v>
      </c>
      <c r="V39" t="s">
        <v>122</v>
      </c>
      <c r="W39" t="s">
        <v>123</v>
      </c>
      <c r="X39">
        <v>51247</v>
      </c>
      <c r="Y39" s="1" t="str">
        <f t="shared" si="4"/>
        <v>USA</v>
      </c>
      <c r="Z39" s="4" t="str">
        <f t="shared" si="5"/>
        <v>Usa</v>
      </c>
      <c r="AA39" t="s">
        <v>32</v>
      </c>
      <c r="AB39" t="s">
        <v>33</v>
      </c>
      <c r="AC39" t="s">
        <v>241</v>
      </c>
      <c r="AD39" t="s">
        <v>143</v>
      </c>
      <c r="AE39" t="s">
        <v>51</v>
      </c>
    </row>
    <row r="40" spans="1:31" x14ac:dyDescent="0.3">
      <c r="A40">
        <v>10245</v>
      </c>
      <c r="B40">
        <v>34</v>
      </c>
      <c r="C40">
        <v>100</v>
      </c>
      <c r="D40">
        <v>9</v>
      </c>
      <c r="E40" s="4" t="str">
        <f t="shared" si="0"/>
        <v>high sales</v>
      </c>
      <c r="F40">
        <v>6120.34</v>
      </c>
      <c r="G40" t="s">
        <v>712</v>
      </c>
      <c r="H40" s="1" t="str">
        <f t="shared" si="1"/>
        <v>Shipped</v>
      </c>
      <c r="I40" s="4" t="str">
        <f t="shared" si="2"/>
        <v>completed</v>
      </c>
      <c r="J40" t="s">
        <v>25</v>
      </c>
      <c r="K40">
        <v>2</v>
      </c>
      <c r="L40">
        <v>5</v>
      </c>
      <c r="M40">
        <v>2004</v>
      </c>
      <c r="N40" t="s">
        <v>181</v>
      </c>
      <c r="O40">
        <v>214</v>
      </c>
      <c r="P40" t="s">
        <v>182</v>
      </c>
      <c r="Q40" t="s">
        <v>242</v>
      </c>
      <c r="R40">
        <v>2035559545</v>
      </c>
      <c r="S40" t="s">
        <v>243</v>
      </c>
      <c r="U40" s="1" t="str">
        <f t="shared" si="3"/>
        <v>New Haven</v>
      </c>
      <c r="V40" t="s">
        <v>244</v>
      </c>
      <c r="W40" t="s">
        <v>112</v>
      </c>
      <c r="X40">
        <v>97823</v>
      </c>
      <c r="Y40" s="1" t="str">
        <f t="shared" si="4"/>
        <v>USA</v>
      </c>
      <c r="Z40" s="4" t="str">
        <f t="shared" si="5"/>
        <v>Usa</v>
      </c>
      <c r="AA40" t="s">
        <v>32</v>
      </c>
      <c r="AB40" t="s">
        <v>33</v>
      </c>
      <c r="AC40" t="s">
        <v>83</v>
      </c>
      <c r="AD40" t="s">
        <v>245</v>
      </c>
      <c r="AE40" t="s">
        <v>51</v>
      </c>
    </row>
    <row r="41" spans="1:31" x14ac:dyDescent="0.3">
      <c r="A41">
        <v>10258</v>
      </c>
      <c r="B41">
        <v>32</v>
      </c>
      <c r="C41">
        <v>100</v>
      </c>
      <c r="D41">
        <v>6</v>
      </c>
      <c r="E41" s="4" t="str">
        <f t="shared" si="0"/>
        <v>high sales</v>
      </c>
      <c r="F41">
        <v>7680.64</v>
      </c>
      <c r="G41" t="s">
        <v>713</v>
      </c>
      <c r="H41" s="1" t="str">
        <f t="shared" si="1"/>
        <v>Shipped</v>
      </c>
      <c r="I41" s="4" t="str">
        <f t="shared" si="2"/>
        <v>completed</v>
      </c>
      <c r="J41" t="s">
        <v>25</v>
      </c>
      <c r="K41">
        <v>2</v>
      </c>
      <c r="L41">
        <v>6</v>
      </c>
      <c r="M41">
        <v>2004</v>
      </c>
      <c r="N41" t="s">
        <v>181</v>
      </c>
      <c r="O41">
        <v>214</v>
      </c>
      <c r="P41" t="s">
        <v>182</v>
      </c>
      <c r="Q41" t="s">
        <v>246</v>
      </c>
      <c r="R41" t="s">
        <v>247</v>
      </c>
      <c r="S41" t="s">
        <v>248</v>
      </c>
      <c r="U41" s="1" t="str">
        <f t="shared" si="3"/>
        <v>Minato-Ku</v>
      </c>
      <c r="V41" t="s">
        <v>249</v>
      </c>
      <c r="W41" t="s">
        <v>250</v>
      </c>
      <c r="X41" t="s">
        <v>251</v>
      </c>
      <c r="Y41" s="1" t="str">
        <f t="shared" si="4"/>
        <v>JAPAN</v>
      </c>
      <c r="Z41" s="4" t="str">
        <f t="shared" si="5"/>
        <v>Japan</v>
      </c>
      <c r="AA41" t="s">
        <v>200</v>
      </c>
      <c r="AB41" t="s">
        <v>200</v>
      </c>
      <c r="AC41" t="s">
        <v>252</v>
      </c>
      <c r="AD41" t="s">
        <v>253</v>
      </c>
      <c r="AE41" t="s">
        <v>151</v>
      </c>
    </row>
    <row r="42" spans="1:31" x14ac:dyDescent="0.3">
      <c r="A42">
        <v>10270</v>
      </c>
      <c r="B42">
        <v>21</v>
      </c>
      <c r="C42">
        <v>100</v>
      </c>
      <c r="D42">
        <v>9</v>
      </c>
      <c r="E42" s="4" t="str">
        <f t="shared" si="0"/>
        <v>high sales</v>
      </c>
      <c r="F42">
        <v>4905.3900000000003</v>
      </c>
      <c r="G42" t="s">
        <v>714</v>
      </c>
      <c r="H42" s="1" t="str">
        <f t="shared" si="1"/>
        <v>Shipped</v>
      </c>
      <c r="I42" s="4" t="str">
        <f t="shared" si="2"/>
        <v>completed</v>
      </c>
      <c r="J42" t="s">
        <v>25</v>
      </c>
      <c r="K42">
        <v>3</v>
      </c>
      <c r="L42">
        <v>7</v>
      </c>
      <c r="M42">
        <v>2004</v>
      </c>
      <c r="N42" t="s">
        <v>181</v>
      </c>
      <c r="O42">
        <v>214</v>
      </c>
      <c r="P42" t="s">
        <v>182</v>
      </c>
      <c r="Q42" t="s">
        <v>152</v>
      </c>
      <c r="R42" t="s">
        <v>153</v>
      </c>
      <c r="S42" t="s">
        <v>154</v>
      </c>
      <c r="T42" t="s">
        <v>155</v>
      </c>
      <c r="U42" s="1" t="str">
        <f t="shared" si="3"/>
        <v>Chatswood</v>
      </c>
      <c r="V42" t="s">
        <v>156</v>
      </c>
      <c r="W42" t="s">
        <v>157</v>
      </c>
      <c r="X42">
        <v>2067</v>
      </c>
      <c r="Y42" s="1" t="str">
        <f t="shared" si="4"/>
        <v>AUSTRALIA</v>
      </c>
      <c r="Z42" s="4" t="str">
        <f t="shared" si="5"/>
        <v>Australia</v>
      </c>
      <c r="AA42" t="s">
        <v>95</v>
      </c>
      <c r="AB42" t="s">
        <v>96</v>
      </c>
      <c r="AC42" t="s">
        <v>158</v>
      </c>
      <c r="AD42" t="s">
        <v>159</v>
      </c>
      <c r="AE42" t="s">
        <v>51</v>
      </c>
    </row>
    <row r="43" spans="1:31" x14ac:dyDescent="0.3">
      <c r="A43">
        <v>10280</v>
      </c>
      <c r="B43">
        <v>34</v>
      </c>
      <c r="C43">
        <v>100</v>
      </c>
      <c r="D43">
        <v>2</v>
      </c>
      <c r="E43" s="4" t="str">
        <f t="shared" si="0"/>
        <v>high sales</v>
      </c>
      <c r="F43">
        <v>8014.82</v>
      </c>
      <c r="G43" t="s">
        <v>715</v>
      </c>
      <c r="H43" s="1" t="str">
        <f t="shared" si="1"/>
        <v>Shipped</v>
      </c>
      <c r="I43" s="4" t="str">
        <f t="shared" si="2"/>
        <v>completed</v>
      </c>
      <c r="J43" t="s">
        <v>25</v>
      </c>
      <c r="K43">
        <v>3</v>
      </c>
      <c r="L43">
        <v>8</v>
      </c>
      <c r="M43">
        <v>2004</v>
      </c>
      <c r="N43" t="s">
        <v>181</v>
      </c>
      <c r="O43">
        <v>214</v>
      </c>
      <c r="P43" t="s">
        <v>182</v>
      </c>
      <c r="Q43" t="s">
        <v>254</v>
      </c>
      <c r="R43" t="s">
        <v>255</v>
      </c>
      <c r="S43" t="s">
        <v>256</v>
      </c>
      <c r="U43" s="1" t="str">
        <f t="shared" si="3"/>
        <v>Torino</v>
      </c>
      <c r="V43" t="s">
        <v>257</v>
      </c>
      <c r="X43">
        <v>10100</v>
      </c>
      <c r="Y43" s="1" t="str">
        <f t="shared" si="4"/>
        <v>ITALY</v>
      </c>
      <c r="Z43" s="4" t="str">
        <f t="shared" si="5"/>
        <v>Italy</v>
      </c>
      <c r="AA43" t="s">
        <v>258</v>
      </c>
      <c r="AB43" t="s">
        <v>42</v>
      </c>
      <c r="AC43" t="s">
        <v>259</v>
      </c>
      <c r="AD43" t="s">
        <v>260</v>
      </c>
      <c r="AE43" t="s">
        <v>151</v>
      </c>
    </row>
    <row r="44" spans="1:31" x14ac:dyDescent="0.3">
      <c r="A44">
        <v>10291</v>
      </c>
      <c r="B44">
        <v>37</v>
      </c>
      <c r="C44">
        <v>100</v>
      </c>
      <c r="D44">
        <v>11</v>
      </c>
      <c r="E44" s="4" t="str">
        <f t="shared" si="0"/>
        <v>high sales</v>
      </c>
      <c r="F44">
        <v>7136.19</v>
      </c>
      <c r="G44" t="s">
        <v>716</v>
      </c>
      <c r="H44" s="1" t="str">
        <f t="shared" si="1"/>
        <v>Shipped</v>
      </c>
      <c r="I44" s="4" t="str">
        <f t="shared" si="2"/>
        <v>completed</v>
      </c>
      <c r="J44" t="s">
        <v>25</v>
      </c>
      <c r="K44">
        <v>3</v>
      </c>
      <c r="L44">
        <v>9</v>
      </c>
      <c r="M44">
        <v>2004</v>
      </c>
      <c r="N44" t="s">
        <v>181</v>
      </c>
      <c r="O44">
        <v>214</v>
      </c>
      <c r="P44" t="s">
        <v>182</v>
      </c>
      <c r="Q44" t="s">
        <v>261</v>
      </c>
      <c r="R44" t="s">
        <v>262</v>
      </c>
      <c r="S44" t="s">
        <v>263</v>
      </c>
      <c r="U44" s="1" t="str">
        <f t="shared" si="3"/>
        <v>Boras</v>
      </c>
      <c r="V44" t="s">
        <v>264</v>
      </c>
      <c r="X44" t="s">
        <v>265</v>
      </c>
      <c r="Y44" s="1" t="str">
        <f t="shared" si="4"/>
        <v>SWEDEN</v>
      </c>
      <c r="Z44" s="4" t="str">
        <f t="shared" si="5"/>
        <v>Sweden</v>
      </c>
      <c r="AA44" t="s">
        <v>188</v>
      </c>
      <c r="AB44" t="s">
        <v>42</v>
      </c>
      <c r="AC44" t="s">
        <v>266</v>
      </c>
      <c r="AD44" t="s">
        <v>206</v>
      </c>
      <c r="AE44" t="s">
        <v>151</v>
      </c>
    </row>
    <row r="45" spans="1:31" x14ac:dyDescent="0.3">
      <c r="A45">
        <v>10304</v>
      </c>
      <c r="B45">
        <v>47</v>
      </c>
      <c r="C45">
        <v>100</v>
      </c>
      <c r="D45">
        <v>6</v>
      </c>
      <c r="E45" s="4" t="str">
        <f t="shared" si="0"/>
        <v>high sales</v>
      </c>
      <c r="F45">
        <v>10172.700000000001</v>
      </c>
      <c r="G45" t="s">
        <v>717</v>
      </c>
      <c r="H45" s="1" t="str">
        <f t="shared" si="1"/>
        <v>Shipped</v>
      </c>
      <c r="I45" s="4" t="str">
        <f t="shared" si="2"/>
        <v>completed</v>
      </c>
      <c r="J45" t="s">
        <v>25</v>
      </c>
      <c r="K45">
        <v>4</v>
      </c>
      <c r="L45">
        <v>10</v>
      </c>
      <c r="M45">
        <v>2004</v>
      </c>
      <c r="N45" t="s">
        <v>181</v>
      </c>
      <c r="O45">
        <v>214</v>
      </c>
      <c r="P45" t="s">
        <v>182</v>
      </c>
      <c r="Q45" t="s">
        <v>267</v>
      </c>
      <c r="R45" t="s">
        <v>268</v>
      </c>
      <c r="S45" t="s">
        <v>269</v>
      </c>
      <c r="U45" s="1" t="str">
        <f t="shared" si="3"/>
        <v>Versailles</v>
      </c>
      <c r="V45" t="s">
        <v>270</v>
      </c>
      <c r="X45">
        <v>78000</v>
      </c>
      <c r="Y45" s="1" t="str">
        <f t="shared" si="4"/>
        <v>FRANCE</v>
      </c>
      <c r="Z45" s="4" t="str">
        <f t="shared" si="5"/>
        <v>France</v>
      </c>
      <c r="AA45" t="s">
        <v>41</v>
      </c>
      <c r="AB45" t="s">
        <v>42</v>
      </c>
      <c r="AC45" t="s">
        <v>271</v>
      </c>
      <c r="AD45" t="s">
        <v>50</v>
      </c>
      <c r="AE45" t="s">
        <v>151</v>
      </c>
    </row>
    <row r="46" spans="1:31" x14ac:dyDescent="0.3">
      <c r="A46">
        <v>10312</v>
      </c>
      <c r="B46">
        <v>48</v>
      </c>
      <c r="C46">
        <v>100</v>
      </c>
      <c r="D46">
        <v>3</v>
      </c>
      <c r="E46" s="4" t="str">
        <f t="shared" si="0"/>
        <v>high sales</v>
      </c>
      <c r="F46">
        <v>11623.7</v>
      </c>
      <c r="G46" t="s">
        <v>718</v>
      </c>
      <c r="H46" s="1" t="str">
        <f t="shared" si="1"/>
        <v>Shipped</v>
      </c>
      <c r="I46" s="4" t="str">
        <f t="shared" si="2"/>
        <v>completed</v>
      </c>
      <c r="J46" t="s">
        <v>25</v>
      </c>
      <c r="K46">
        <v>4</v>
      </c>
      <c r="L46">
        <v>10</v>
      </c>
      <c r="M46">
        <v>2004</v>
      </c>
      <c r="N46" t="s">
        <v>181</v>
      </c>
      <c r="O46">
        <v>214</v>
      </c>
      <c r="P46" t="s">
        <v>182</v>
      </c>
      <c r="Q46" t="s">
        <v>272</v>
      </c>
      <c r="R46">
        <v>4155551450</v>
      </c>
      <c r="S46" t="s">
        <v>273</v>
      </c>
      <c r="U46" s="1" t="str">
        <f t="shared" si="3"/>
        <v>San Rafael</v>
      </c>
      <c r="V46" t="s">
        <v>274</v>
      </c>
      <c r="W46" t="s">
        <v>55</v>
      </c>
      <c r="X46">
        <v>97562</v>
      </c>
      <c r="Y46" s="1" t="str">
        <f t="shared" si="4"/>
        <v>USA</v>
      </c>
      <c r="Z46" s="4" t="str">
        <f t="shared" si="5"/>
        <v>Usa</v>
      </c>
      <c r="AA46" t="s">
        <v>32</v>
      </c>
      <c r="AB46" t="s">
        <v>33</v>
      </c>
      <c r="AC46" t="s">
        <v>275</v>
      </c>
      <c r="AD46" t="s">
        <v>276</v>
      </c>
      <c r="AE46" t="s">
        <v>151</v>
      </c>
    </row>
    <row r="47" spans="1:31" x14ac:dyDescent="0.3">
      <c r="A47">
        <v>10322</v>
      </c>
      <c r="B47">
        <v>40</v>
      </c>
      <c r="C47">
        <v>100</v>
      </c>
      <c r="D47">
        <v>1</v>
      </c>
      <c r="E47" s="4" t="str">
        <f t="shared" si="0"/>
        <v>high sales</v>
      </c>
      <c r="F47">
        <v>6000.4</v>
      </c>
      <c r="G47" t="s">
        <v>719</v>
      </c>
      <c r="H47" s="1" t="str">
        <f t="shared" si="1"/>
        <v>Shipped</v>
      </c>
      <c r="I47" s="4" t="str">
        <f t="shared" si="2"/>
        <v>completed</v>
      </c>
      <c r="J47" t="s">
        <v>25</v>
      </c>
      <c r="K47">
        <v>4</v>
      </c>
      <c r="L47">
        <v>11</v>
      </c>
      <c r="M47">
        <v>2004</v>
      </c>
      <c r="N47" t="s">
        <v>181</v>
      </c>
      <c r="O47">
        <v>214</v>
      </c>
      <c r="P47" t="s">
        <v>182</v>
      </c>
      <c r="Q47" t="s">
        <v>277</v>
      </c>
      <c r="R47">
        <v>6035558647</v>
      </c>
      <c r="S47" t="s">
        <v>278</v>
      </c>
      <c r="U47" s="1" t="str">
        <f t="shared" si="3"/>
        <v>Nashua</v>
      </c>
      <c r="V47" t="s">
        <v>279</v>
      </c>
      <c r="W47" t="s">
        <v>280</v>
      </c>
      <c r="X47">
        <v>62005</v>
      </c>
      <c r="Y47" s="1" t="str">
        <f t="shared" si="4"/>
        <v>USA</v>
      </c>
      <c r="Z47" s="4" t="str">
        <f t="shared" si="5"/>
        <v>Usa</v>
      </c>
      <c r="AA47" t="s">
        <v>32</v>
      </c>
      <c r="AB47" t="s">
        <v>33</v>
      </c>
      <c r="AC47" t="s">
        <v>56</v>
      </c>
      <c r="AD47" t="s">
        <v>276</v>
      </c>
      <c r="AE47" t="s">
        <v>51</v>
      </c>
    </row>
    <row r="48" spans="1:31" x14ac:dyDescent="0.3">
      <c r="A48">
        <v>10333</v>
      </c>
      <c r="B48">
        <v>26</v>
      </c>
      <c r="C48">
        <v>100</v>
      </c>
      <c r="D48">
        <v>3</v>
      </c>
      <c r="E48" s="4" t="str">
        <f t="shared" si="0"/>
        <v>low sales</v>
      </c>
      <c r="F48">
        <v>3003</v>
      </c>
      <c r="G48" t="s">
        <v>720</v>
      </c>
      <c r="H48" s="1" t="str">
        <f t="shared" si="1"/>
        <v>Shipped</v>
      </c>
      <c r="I48" s="4" t="str">
        <f t="shared" si="2"/>
        <v>completed</v>
      </c>
      <c r="J48" t="s">
        <v>25</v>
      </c>
      <c r="K48">
        <v>4</v>
      </c>
      <c r="L48">
        <v>11</v>
      </c>
      <c r="M48">
        <v>2004</v>
      </c>
      <c r="N48" t="s">
        <v>181</v>
      </c>
      <c r="O48">
        <v>214</v>
      </c>
      <c r="P48" t="s">
        <v>182</v>
      </c>
      <c r="Q48" t="s">
        <v>81</v>
      </c>
      <c r="R48">
        <v>6505555787</v>
      </c>
      <c r="S48" t="s">
        <v>82</v>
      </c>
      <c r="U48" s="1" t="str">
        <f t="shared" si="3"/>
        <v>San Francisco</v>
      </c>
      <c r="V48" t="s">
        <v>60</v>
      </c>
      <c r="W48" t="s">
        <v>55</v>
      </c>
      <c r="Y48" s="1" t="str">
        <f t="shared" si="4"/>
        <v>USA</v>
      </c>
      <c r="Z48" s="4" t="str">
        <f t="shared" si="5"/>
        <v>Usa</v>
      </c>
      <c r="AA48" t="s">
        <v>32</v>
      </c>
      <c r="AB48" t="s">
        <v>33</v>
      </c>
      <c r="AC48" t="s">
        <v>83</v>
      </c>
      <c r="AD48" t="s">
        <v>57</v>
      </c>
      <c r="AE48" t="s">
        <v>51</v>
      </c>
    </row>
    <row r="49" spans="1:31" x14ac:dyDescent="0.3">
      <c r="A49">
        <v>10347</v>
      </c>
      <c r="B49">
        <v>30</v>
      </c>
      <c r="C49">
        <v>100</v>
      </c>
      <c r="D49">
        <v>1</v>
      </c>
      <c r="E49" s="4" t="str">
        <f t="shared" si="0"/>
        <v>low sales</v>
      </c>
      <c r="F49">
        <v>3944.7</v>
      </c>
      <c r="G49" t="s">
        <v>721</v>
      </c>
      <c r="H49" s="1" t="str">
        <f t="shared" si="1"/>
        <v>Shipped</v>
      </c>
      <c r="I49" s="4" t="str">
        <f t="shared" si="2"/>
        <v>completed</v>
      </c>
      <c r="J49" t="s">
        <v>25</v>
      </c>
      <c r="K49">
        <v>4</v>
      </c>
      <c r="L49">
        <v>11</v>
      </c>
      <c r="M49">
        <v>2004</v>
      </c>
      <c r="N49" t="s">
        <v>181</v>
      </c>
      <c r="O49">
        <v>214</v>
      </c>
      <c r="P49" t="s">
        <v>182</v>
      </c>
      <c r="Q49" t="s">
        <v>89</v>
      </c>
      <c r="R49" t="s">
        <v>90</v>
      </c>
      <c r="S49" t="s">
        <v>91</v>
      </c>
      <c r="T49" t="s">
        <v>92</v>
      </c>
      <c r="U49" s="1" t="str">
        <f t="shared" si="3"/>
        <v>Melbourne</v>
      </c>
      <c r="V49" t="s">
        <v>93</v>
      </c>
      <c r="W49" t="s">
        <v>94</v>
      </c>
      <c r="X49">
        <v>3004</v>
      </c>
      <c r="Y49" s="1" t="str">
        <f t="shared" si="4"/>
        <v>AUSTRALIA</v>
      </c>
      <c r="Z49" s="4" t="str">
        <f t="shared" si="5"/>
        <v>Australia</v>
      </c>
      <c r="AA49" t="s">
        <v>95</v>
      </c>
      <c r="AB49" t="s">
        <v>96</v>
      </c>
      <c r="AC49" t="s">
        <v>97</v>
      </c>
      <c r="AD49" t="s">
        <v>98</v>
      </c>
      <c r="AE49" t="s">
        <v>51</v>
      </c>
    </row>
    <row r="50" spans="1:31" x14ac:dyDescent="0.3">
      <c r="A50">
        <v>10357</v>
      </c>
      <c r="B50">
        <v>32</v>
      </c>
      <c r="C50">
        <v>100</v>
      </c>
      <c r="D50">
        <v>10</v>
      </c>
      <c r="E50" s="4" t="str">
        <f t="shared" si="0"/>
        <v>high sales</v>
      </c>
      <c r="F50">
        <v>5691.84</v>
      </c>
      <c r="G50" t="s">
        <v>722</v>
      </c>
      <c r="H50" s="1" t="str">
        <f t="shared" si="1"/>
        <v>Shipped</v>
      </c>
      <c r="I50" s="4" t="str">
        <f t="shared" si="2"/>
        <v>completed</v>
      </c>
      <c r="J50" t="s">
        <v>25</v>
      </c>
      <c r="K50">
        <v>4</v>
      </c>
      <c r="L50">
        <v>12</v>
      </c>
      <c r="M50">
        <v>2004</v>
      </c>
      <c r="N50" t="s">
        <v>181</v>
      </c>
      <c r="O50">
        <v>214</v>
      </c>
      <c r="P50" t="s">
        <v>182</v>
      </c>
      <c r="Q50" t="s">
        <v>272</v>
      </c>
      <c r="R50">
        <v>4155551450</v>
      </c>
      <c r="S50" t="s">
        <v>273</v>
      </c>
      <c r="U50" s="1" t="str">
        <f t="shared" si="3"/>
        <v>San Rafael</v>
      </c>
      <c r="V50" t="s">
        <v>274</v>
      </c>
      <c r="W50" t="s">
        <v>55</v>
      </c>
      <c r="X50">
        <v>97562</v>
      </c>
      <c r="Y50" s="1" t="str">
        <f t="shared" si="4"/>
        <v>USA</v>
      </c>
      <c r="Z50" s="4" t="str">
        <f t="shared" si="5"/>
        <v>Usa</v>
      </c>
      <c r="AA50" t="s">
        <v>32</v>
      </c>
      <c r="AB50" t="s">
        <v>33</v>
      </c>
      <c r="AC50" t="s">
        <v>275</v>
      </c>
      <c r="AD50" t="s">
        <v>276</v>
      </c>
      <c r="AE50" t="s">
        <v>51</v>
      </c>
    </row>
    <row r="51" spans="1:31" x14ac:dyDescent="0.3">
      <c r="A51">
        <v>10369</v>
      </c>
      <c r="B51">
        <v>41</v>
      </c>
      <c r="C51">
        <v>100</v>
      </c>
      <c r="D51">
        <v>2</v>
      </c>
      <c r="E51" s="4" t="str">
        <f t="shared" si="0"/>
        <v>high sales</v>
      </c>
      <c r="F51">
        <v>4514.92</v>
      </c>
      <c r="G51" t="s">
        <v>723</v>
      </c>
      <c r="H51" s="1" t="str">
        <f t="shared" si="1"/>
        <v>Shipped</v>
      </c>
      <c r="I51" s="4" t="str">
        <f t="shared" si="2"/>
        <v>completed</v>
      </c>
      <c r="J51" t="s">
        <v>25</v>
      </c>
      <c r="K51">
        <v>1</v>
      </c>
      <c r="L51">
        <v>1</v>
      </c>
      <c r="M51">
        <v>2005</v>
      </c>
      <c r="N51" t="s">
        <v>181</v>
      </c>
      <c r="O51">
        <v>214</v>
      </c>
      <c r="P51" t="s">
        <v>182</v>
      </c>
      <c r="Q51" t="s">
        <v>281</v>
      </c>
      <c r="R51">
        <v>6175558555</v>
      </c>
      <c r="S51" t="s">
        <v>282</v>
      </c>
      <c r="U51" s="1" t="str">
        <f t="shared" si="3"/>
        <v>Brickhaven</v>
      </c>
      <c r="V51" t="s">
        <v>283</v>
      </c>
      <c r="W51" t="s">
        <v>123</v>
      </c>
      <c r="X51">
        <v>58339</v>
      </c>
      <c r="Y51" s="1" t="str">
        <f t="shared" si="4"/>
        <v>USA</v>
      </c>
      <c r="Z51" s="4" t="str">
        <f t="shared" si="5"/>
        <v>Usa</v>
      </c>
      <c r="AA51" t="s">
        <v>32</v>
      </c>
      <c r="AB51" t="s">
        <v>33</v>
      </c>
      <c r="AC51" t="s">
        <v>275</v>
      </c>
      <c r="AD51" t="s">
        <v>284</v>
      </c>
      <c r="AE51" t="s">
        <v>51</v>
      </c>
    </row>
    <row r="52" spans="1:31" x14ac:dyDescent="0.3">
      <c r="A52">
        <v>10381</v>
      </c>
      <c r="B52">
        <v>36</v>
      </c>
      <c r="C52">
        <v>100</v>
      </c>
      <c r="D52">
        <v>3</v>
      </c>
      <c r="E52" s="4" t="str">
        <f t="shared" si="0"/>
        <v>high sales</v>
      </c>
      <c r="F52">
        <v>8254.7999999999993</v>
      </c>
      <c r="G52" t="s">
        <v>724</v>
      </c>
      <c r="H52" s="1" t="str">
        <f t="shared" si="1"/>
        <v>Shipped</v>
      </c>
      <c r="I52" s="4" t="str">
        <f t="shared" si="2"/>
        <v>completed</v>
      </c>
      <c r="J52" t="s">
        <v>25</v>
      </c>
      <c r="K52">
        <v>1</v>
      </c>
      <c r="L52">
        <v>2</v>
      </c>
      <c r="M52">
        <v>2005</v>
      </c>
      <c r="N52" t="s">
        <v>181</v>
      </c>
      <c r="O52">
        <v>214</v>
      </c>
      <c r="P52" t="s">
        <v>182</v>
      </c>
      <c r="Q52" t="s">
        <v>58</v>
      </c>
      <c r="R52">
        <v>6505551386</v>
      </c>
      <c r="S52" t="s">
        <v>59</v>
      </c>
      <c r="U52" s="1" t="str">
        <f t="shared" si="3"/>
        <v>San Francisco</v>
      </c>
      <c r="V52" t="s">
        <v>60</v>
      </c>
      <c r="W52" t="s">
        <v>55</v>
      </c>
      <c r="Y52" s="1" t="str">
        <f t="shared" si="4"/>
        <v>USA</v>
      </c>
      <c r="Z52" s="4" t="str">
        <f t="shared" si="5"/>
        <v>Usa</v>
      </c>
      <c r="AA52" t="s">
        <v>32</v>
      </c>
      <c r="AB52" t="s">
        <v>33</v>
      </c>
      <c r="AC52" t="s">
        <v>61</v>
      </c>
      <c r="AD52" t="s">
        <v>57</v>
      </c>
      <c r="AE52" t="s">
        <v>151</v>
      </c>
    </row>
    <row r="53" spans="1:31" x14ac:dyDescent="0.3">
      <c r="A53">
        <v>10391</v>
      </c>
      <c r="B53">
        <v>24</v>
      </c>
      <c r="C53">
        <v>100</v>
      </c>
      <c r="D53">
        <v>4</v>
      </c>
      <c r="E53" s="4" t="str">
        <f t="shared" si="0"/>
        <v>low sales</v>
      </c>
      <c r="F53">
        <v>2416.56</v>
      </c>
      <c r="G53" t="s">
        <v>725</v>
      </c>
      <c r="H53" s="1" t="str">
        <f t="shared" si="1"/>
        <v>Shipped</v>
      </c>
      <c r="I53" s="4" t="str">
        <f t="shared" si="2"/>
        <v>completed</v>
      </c>
      <c r="J53" t="s">
        <v>25</v>
      </c>
      <c r="K53">
        <v>1</v>
      </c>
      <c r="L53">
        <v>3</v>
      </c>
      <c r="M53">
        <v>2005</v>
      </c>
      <c r="N53" t="s">
        <v>181</v>
      </c>
      <c r="O53">
        <v>214</v>
      </c>
      <c r="P53" t="s">
        <v>182</v>
      </c>
      <c r="Q53" t="s">
        <v>285</v>
      </c>
      <c r="R53" t="s">
        <v>286</v>
      </c>
      <c r="S53" t="s">
        <v>287</v>
      </c>
      <c r="T53" t="s">
        <v>288</v>
      </c>
      <c r="U53" s="1" t="str">
        <f t="shared" si="3"/>
        <v>North Sydney</v>
      </c>
      <c r="V53" t="s">
        <v>289</v>
      </c>
      <c r="W53" t="s">
        <v>157</v>
      </c>
      <c r="X53">
        <v>2060</v>
      </c>
      <c r="Y53" s="1" t="str">
        <f t="shared" si="4"/>
        <v>AUSTRALIA</v>
      </c>
      <c r="Z53" s="4" t="str">
        <f t="shared" si="5"/>
        <v>Australia</v>
      </c>
      <c r="AA53" t="s">
        <v>95</v>
      </c>
      <c r="AB53" t="s">
        <v>96</v>
      </c>
      <c r="AC53" t="s">
        <v>290</v>
      </c>
      <c r="AD53" t="s">
        <v>291</v>
      </c>
      <c r="AE53" t="s">
        <v>36</v>
      </c>
    </row>
    <row r="54" spans="1:31" x14ac:dyDescent="0.3">
      <c r="A54">
        <v>10411</v>
      </c>
      <c r="B54">
        <v>23</v>
      </c>
      <c r="C54">
        <v>100</v>
      </c>
      <c r="D54">
        <v>9</v>
      </c>
      <c r="E54" s="4" t="str">
        <f t="shared" si="0"/>
        <v>high sales</v>
      </c>
      <c r="F54">
        <v>4140.2299999999996</v>
      </c>
      <c r="G54" t="s">
        <v>726</v>
      </c>
      <c r="H54" s="1" t="str">
        <f t="shared" si="1"/>
        <v>Shipped</v>
      </c>
      <c r="I54" s="4" t="str">
        <f t="shared" si="2"/>
        <v>completed</v>
      </c>
      <c r="J54" t="s">
        <v>25</v>
      </c>
      <c r="K54">
        <v>2</v>
      </c>
      <c r="L54">
        <v>5</v>
      </c>
      <c r="M54">
        <v>2005</v>
      </c>
      <c r="N54" t="s">
        <v>181</v>
      </c>
      <c r="O54">
        <v>214</v>
      </c>
      <c r="P54" t="s">
        <v>182</v>
      </c>
      <c r="Q54" t="s">
        <v>292</v>
      </c>
      <c r="R54" t="s">
        <v>293</v>
      </c>
      <c r="S54" t="s">
        <v>294</v>
      </c>
      <c r="U54" s="1" t="str">
        <f t="shared" si="3"/>
        <v>Montreal</v>
      </c>
      <c r="V54" t="s">
        <v>295</v>
      </c>
      <c r="W54" t="s">
        <v>296</v>
      </c>
      <c r="X54" t="s">
        <v>297</v>
      </c>
      <c r="Y54" s="1" t="str">
        <f t="shared" si="4"/>
        <v>CANADA</v>
      </c>
      <c r="Z54" s="4" t="str">
        <f t="shared" si="5"/>
        <v>Canada</v>
      </c>
      <c r="AA54" t="s">
        <v>231</v>
      </c>
      <c r="AB54" t="s">
        <v>33</v>
      </c>
      <c r="AC54" t="s">
        <v>298</v>
      </c>
      <c r="AD54" t="s">
        <v>299</v>
      </c>
      <c r="AE54" t="s">
        <v>51</v>
      </c>
    </row>
    <row r="55" spans="1:31" x14ac:dyDescent="0.3">
      <c r="A55">
        <v>10424</v>
      </c>
      <c r="B55">
        <v>50</v>
      </c>
      <c r="C55">
        <v>100</v>
      </c>
      <c r="D55">
        <v>6</v>
      </c>
      <c r="E55" s="4" t="str">
        <f t="shared" si="0"/>
        <v>high sales</v>
      </c>
      <c r="F55">
        <v>12001</v>
      </c>
      <c r="G55" t="s">
        <v>727</v>
      </c>
      <c r="H55" s="1" t="str">
        <f t="shared" si="1"/>
        <v>In Process</v>
      </c>
      <c r="I55" s="4" t="str">
        <f t="shared" si="2"/>
        <v>not completed</v>
      </c>
      <c r="J55" t="s">
        <v>300</v>
      </c>
      <c r="K55">
        <v>2</v>
      </c>
      <c r="L55">
        <v>5</v>
      </c>
      <c r="M55">
        <v>2005</v>
      </c>
      <c r="N55" t="s">
        <v>181</v>
      </c>
      <c r="O55">
        <v>214</v>
      </c>
      <c r="P55" t="s">
        <v>182</v>
      </c>
      <c r="Q55" t="s">
        <v>174</v>
      </c>
      <c r="R55" t="s">
        <v>175</v>
      </c>
      <c r="S55" t="s">
        <v>176</v>
      </c>
      <c r="U55" s="1" t="str">
        <f t="shared" si="3"/>
        <v>Madrid</v>
      </c>
      <c r="V55" t="s">
        <v>177</v>
      </c>
      <c r="X55">
        <v>28034</v>
      </c>
      <c r="Y55" s="1" t="str">
        <f t="shared" si="4"/>
        <v>SPAIN</v>
      </c>
      <c r="Z55" s="4" t="str">
        <f t="shared" si="5"/>
        <v>Spain</v>
      </c>
      <c r="AA55" t="s">
        <v>178</v>
      </c>
      <c r="AB55" t="s">
        <v>42</v>
      </c>
      <c r="AC55" t="s">
        <v>179</v>
      </c>
      <c r="AD55" t="s">
        <v>180</v>
      </c>
      <c r="AE55" t="s">
        <v>151</v>
      </c>
    </row>
    <row r="56" spans="1:31" x14ac:dyDescent="0.3">
      <c r="A56">
        <v>10107</v>
      </c>
      <c r="B56">
        <v>39</v>
      </c>
      <c r="C56">
        <v>99.91</v>
      </c>
      <c r="D56">
        <v>5</v>
      </c>
      <c r="E56" s="4" t="str">
        <f t="shared" si="0"/>
        <v>low sales</v>
      </c>
      <c r="F56">
        <v>3896.49</v>
      </c>
      <c r="G56" t="s">
        <v>728</v>
      </c>
      <c r="H56" s="1" t="str">
        <f t="shared" si="1"/>
        <v>Shipped</v>
      </c>
      <c r="I56" s="4" t="str">
        <f t="shared" si="2"/>
        <v>completed</v>
      </c>
      <c r="J56" t="s">
        <v>25</v>
      </c>
      <c r="K56">
        <v>1</v>
      </c>
      <c r="L56">
        <v>2</v>
      </c>
      <c r="M56">
        <v>2003</v>
      </c>
      <c r="N56" t="s">
        <v>26</v>
      </c>
      <c r="O56">
        <v>118</v>
      </c>
      <c r="P56" t="s">
        <v>301</v>
      </c>
      <c r="Q56" t="s">
        <v>28</v>
      </c>
      <c r="R56">
        <v>2125557818</v>
      </c>
      <c r="S56" t="s">
        <v>29</v>
      </c>
      <c r="U56" s="1" t="str">
        <f t="shared" si="3"/>
        <v>Nyc</v>
      </c>
      <c r="V56" t="s">
        <v>30</v>
      </c>
      <c r="W56" t="s">
        <v>31</v>
      </c>
      <c r="X56">
        <v>10022</v>
      </c>
      <c r="Y56" s="1" t="str">
        <f t="shared" si="4"/>
        <v>USA</v>
      </c>
      <c r="Z56" s="4" t="str">
        <f t="shared" si="5"/>
        <v>Usa</v>
      </c>
      <c r="AA56" t="s">
        <v>32</v>
      </c>
      <c r="AB56" t="s">
        <v>33</v>
      </c>
      <c r="AC56" t="s">
        <v>34</v>
      </c>
      <c r="AD56" t="s">
        <v>35</v>
      </c>
      <c r="AE56" t="s">
        <v>51</v>
      </c>
    </row>
    <row r="57" spans="1:31" x14ac:dyDescent="0.3">
      <c r="A57">
        <v>10120</v>
      </c>
      <c r="B57">
        <v>29</v>
      </c>
      <c r="C57">
        <v>96.34</v>
      </c>
      <c r="D57">
        <v>3</v>
      </c>
      <c r="E57" s="4" t="str">
        <f t="shared" si="0"/>
        <v>low sales</v>
      </c>
      <c r="F57">
        <v>2793.86</v>
      </c>
      <c r="G57" t="s">
        <v>729</v>
      </c>
      <c r="H57" s="1" t="str">
        <f t="shared" si="1"/>
        <v>Shipped</v>
      </c>
      <c r="I57" s="4" t="str">
        <f t="shared" si="2"/>
        <v>completed</v>
      </c>
      <c r="J57" t="s">
        <v>25</v>
      </c>
      <c r="K57">
        <v>2</v>
      </c>
      <c r="L57">
        <v>4</v>
      </c>
      <c r="M57">
        <v>2003</v>
      </c>
      <c r="N57" t="s">
        <v>26</v>
      </c>
      <c r="O57">
        <v>118</v>
      </c>
      <c r="P57" t="s">
        <v>301</v>
      </c>
      <c r="Q57" t="s">
        <v>89</v>
      </c>
      <c r="R57" t="s">
        <v>90</v>
      </c>
      <c r="S57" t="s">
        <v>91</v>
      </c>
      <c r="T57" t="s">
        <v>92</v>
      </c>
      <c r="U57" s="1" t="str">
        <f t="shared" si="3"/>
        <v>Melbourne</v>
      </c>
      <c r="V57" t="s">
        <v>93</v>
      </c>
      <c r="W57" t="s">
        <v>94</v>
      </c>
      <c r="X57">
        <v>3004</v>
      </c>
      <c r="Y57" s="1" t="str">
        <f t="shared" si="4"/>
        <v>AUSTRALIA</v>
      </c>
      <c r="Z57" s="4" t="str">
        <f t="shared" si="5"/>
        <v>Australia</v>
      </c>
      <c r="AA57" t="s">
        <v>95</v>
      </c>
      <c r="AB57" t="s">
        <v>96</v>
      </c>
      <c r="AC57" t="s">
        <v>97</v>
      </c>
      <c r="AD57" t="s">
        <v>98</v>
      </c>
      <c r="AE57" t="s">
        <v>36</v>
      </c>
    </row>
    <row r="58" spans="1:31" x14ac:dyDescent="0.3">
      <c r="A58">
        <v>10134</v>
      </c>
      <c r="B58">
        <v>27</v>
      </c>
      <c r="C58">
        <v>100</v>
      </c>
      <c r="D58">
        <v>5</v>
      </c>
      <c r="E58" s="4" t="str">
        <f t="shared" si="0"/>
        <v>low sales</v>
      </c>
      <c r="F58">
        <v>3307.77</v>
      </c>
      <c r="G58" t="s">
        <v>730</v>
      </c>
      <c r="H58" s="1" t="str">
        <f t="shared" si="1"/>
        <v>Shipped</v>
      </c>
      <c r="I58" s="4" t="str">
        <f t="shared" si="2"/>
        <v>completed</v>
      </c>
      <c r="J58" t="s">
        <v>25</v>
      </c>
      <c r="K58">
        <v>3</v>
      </c>
      <c r="L58">
        <v>7</v>
      </c>
      <c r="M58">
        <v>2003</v>
      </c>
      <c r="N58" t="s">
        <v>26</v>
      </c>
      <c r="O58">
        <v>118</v>
      </c>
      <c r="P58" t="s">
        <v>301</v>
      </c>
      <c r="Q58" t="s">
        <v>45</v>
      </c>
      <c r="R58" t="s">
        <v>46</v>
      </c>
      <c r="S58" t="s">
        <v>47</v>
      </c>
      <c r="U58" s="1" t="str">
        <f t="shared" si="3"/>
        <v>Paris</v>
      </c>
      <c r="V58" t="s">
        <v>48</v>
      </c>
      <c r="X58">
        <v>75508</v>
      </c>
      <c r="Y58" s="1" t="str">
        <f t="shared" si="4"/>
        <v>FRANCE</v>
      </c>
      <c r="Z58" s="4" t="str">
        <f t="shared" si="5"/>
        <v>France</v>
      </c>
      <c r="AA58" t="s">
        <v>41</v>
      </c>
      <c r="AB58" t="s">
        <v>42</v>
      </c>
      <c r="AC58" t="s">
        <v>49</v>
      </c>
      <c r="AD58" t="s">
        <v>50</v>
      </c>
      <c r="AE58" t="s">
        <v>51</v>
      </c>
    </row>
    <row r="59" spans="1:31" x14ac:dyDescent="0.3">
      <c r="A59">
        <v>10145</v>
      </c>
      <c r="B59">
        <v>37</v>
      </c>
      <c r="C59">
        <v>100</v>
      </c>
      <c r="D59">
        <v>9</v>
      </c>
      <c r="E59" s="4" t="str">
        <f t="shared" si="0"/>
        <v>high sales</v>
      </c>
      <c r="F59">
        <v>5192.95</v>
      </c>
      <c r="G59" t="s">
        <v>731</v>
      </c>
      <c r="H59" s="1" t="str">
        <f t="shared" si="1"/>
        <v>Shipped</v>
      </c>
      <c r="I59" s="4" t="str">
        <f t="shared" si="2"/>
        <v>completed</v>
      </c>
      <c r="J59" t="s">
        <v>25</v>
      </c>
      <c r="K59">
        <v>3</v>
      </c>
      <c r="L59">
        <v>8</v>
      </c>
      <c r="M59">
        <v>2003</v>
      </c>
      <c r="N59" t="s">
        <v>26</v>
      </c>
      <c r="O59">
        <v>118</v>
      </c>
      <c r="P59" t="s">
        <v>301</v>
      </c>
      <c r="Q59" t="s">
        <v>52</v>
      </c>
      <c r="R59">
        <v>6265557265</v>
      </c>
      <c r="S59" t="s">
        <v>53</v>
      </c>
      <c r="U59" s="1" t="str">
        <f t="shared" si="3"/>
        <v>Pasadena</v>
      </c>
      <c r="V59" t="s">
        <v>54</v>
      </c>
      <c r="W59" t="s">
        <v>55</v>
      </c>
      <c r="X59">
        <v>90003</v>
      </c>
      <c r="Y59" s="1" t="str">
        <f t="shared" si="4"/>
        <v>USA</v>
      </c>
      <c r="Z59" s="4" t="str">
        <f t="shared" si="5"/>
        <v>Usa</v>
      </c>
      <c r="AA59" t="s">
        <v>32</v>
      </c>
      <c r="AB59" t="s">
        <v>33</v>
      </c>
      <c r="AC59" t="s">
        <v>56</v>
      </c>
      <c r="AD59" t="s">
        <v>57</v>
      </c>
      <c r="AE59" t="s">
        <v>51</v>
      </c>
    </row>
    <row r="60" spans="1:31" x14ac:dyDescent="0.3">
      <c r="A60">
        <v>10159</v>
      </c>
      <c r="B60">
        <v>37</v>
      </c>
      <c r="C60">
        <v>100</v>
      </c>
      <c r="D60">
        <v>17</v>
      </c>
      <c r="E60" s="4" t="str">
        <f t="shared" si="0"/>
        <v>high sales</v>
      </c>
      <c r="F60">
        <v>5016.83</v>
      </c>
      <c r="G60" t="s">
        <v>732</v>
      </c>
      <c r="H60" s="1" t="str">
        <f t="shared" si="1"/>
        <v>Shipped</v>
      </c>
      <c r="I60" s="4" t="str">
        <f t="shared" si="2"/>
        <v>completed</v>
      </c>
      <c r="J60" t="s">
        <v>25</v>
      </c>
      <c r="K60">
        <v>4</v>
      </c>
      <c r="L60">
        <v>10</v>
      </c>
      <c r="M60">
        <v>2003</v>
      </c>
      <c r="N60" t="s">
        <v>26</v>
      </c>
      <c r="O60">
        <v>118</v>
      </c>
      <c r="P60" t="s">
        <v>301</v>
      </c>
      <c r="Q60" t="s">
        <v>58</v>
      </c>
      <c r="R60">
        <v>6505551386</v>
      </c>
      <c r="S60" t="s">
        <v>59</v>
      </c>
      <c r="U60" s="1" t="str">
        <f t="shared" si="3"/>
        <v>San Francisco</v>
      </c>
      <c r="V60" t="s">
        <v>60</v>
      </c>
      <c r="W60" t="s">
        <v>55</v>
      </c>
      <c r="Y60" s="1" t="str">
        <f t="shared" si="4"/>
        <v>USA</v>
      </c>
      <c r="Z60" s="4" t="str">
        <f t="shared" si="5"/>
        <v>Usa</v>
      </c>
      <c r="AA60" t="s">
        <v>32</v>
      </c>
      <c r="AB60" t="s">
        <v>33</v>
      </c>
      <c r="AC60" t="s">
        <v>61</v>
      </c>
      <c r="AD60" t="s">
        <v>57</v>
      </c>
      <c r="AE60" t="s">
        <v>51</v>
      </c>
    </row>
    <row r="61" spans="1:31" x14ac:dyDescent="0.3">
      <c r="A61">
        <v>10168</v>
      </c>
      <c r="B61">
        <v>27</v>
      </c>
      <c r="C61">
        <v>100</v>
      </c>
      <c r="D61">
        <v>4</v>
      </c>
      <c r="E61" s="4" t="str">
        <f t="shared" si="0"/>
        <v>low sales</v>
      </c>
      <c r="F61">
        <v>3660.93</v>
      </c>
      <c r="G61" t="s">
        <v>733</v>
      </c>
      <c r="H61" s="1" t="str">
        <f t="shared" si="1"/>
        <v>Shipped</v>
      </c>
      <c r="I61" s="4" t="str">
        <f t="shared" si="2"/>
        <v>completed</v>
      </c>
      <c r="J61" t="s">
        <v>25</v>
      </c>
      <c r="K61">
        <v>4</v>
      </c>
      <c r="L61">
        <v>10</v>
      </c>
      <c r="M61">
        <v>2003</v>
      </c>
      <c r="N61" t="s">
        <v>26</v>
      </c>
      <c r="O61">
        <v>118</v>
      </c>
      <c r="P61" t="s">
        <v>301</v>
      </c>
      <c r="Q61" t="s">
        <v>62</v>
      </c>
      <c r="R61">
        <v>6505556809</v>
      </c>
      <c r="S61" t="s">
        <v>63</v>
      </c>
      <c r="U61" s="1" t="str">
        <f t="shared" si="3"/>
        <v>Burlingame</v>
      </c>
      <c r="V61" t="s">
        <v>64</v>
      </c>
      <c r="W61" t="s">
        <v>55</v>
      </c>
      <c r="X61">
        <v>94217</v>
      </c>
      <c r="Y61" s="1" t="str">
        <f t="shared" si="4"/>
        <v>USA</v>
      </c>
      <c r="Z61" s="4" t="str">
        <f t="shared" si="5"/>
        <v>Usa</v>
      </c>
      <c r="AA61" t="s">
        <v>32</v>
      </c>
      <c r="AB61" t="s">
        <v>33</v>
      </c>
      <c r="AC61" t="s">
        <v>65</v>
      </c>
      <c r="AD61" t="s">
        <v>66</v>
      </c>
      <c r="AE61" t="s">
        <v>51</v>
      </c>
    </row>
    <row r="62" spans="1:31" x14ac:dyDescent="0.3">
      <c r="A62">
        <v>10180</v>
      </c>
      <c r="B62">
        <v>42</v>
      </c>
      <c r="C62">
        <v>100</v>
      </c>
      <c r="D62">
        <v>12</v>
      </c>
      <c r="E62" s="4" t="str">
        <f t="shared" si="0"/>
        <v>high sales</v>
      </c>
      <c r="F62">
        <v>4695.6000000000004</v>
      </c>
      <c r="G62" t="s">
        <v>734</v>
      </c>
      <c r="H62" s="1" t="str">
        <f t="shared" si="1"/>
        <v>Shipped</v>
      </c>
      <c r="I62" s="4" t="str">
        <f t="shared" si="2"/>
        <v>completed</v>
      </c>
      <c r="J62" t="s">
        <v>25</v>
      </c>
      <c r="K62">
        <v>4</v>
      </c>
      <c r="L62">
        <v>11</v>
      </c>
      <c r="M62">
        <v>2003</v>
      </c>
      <c r="N62" t="s">
        <v>26</v>
      </c>
      <c r="O62">
        <v>118</v>
      </c>
      <c r="P62" t="s">
        <v>301</v>
      </c>
      <c r="Q62" t="s">
        <v>67</v>
      </c>
      <c r="R62" t="s">
        <v>68</v>
      </c>
      <c r="S62" t="s">
        <v>69</v>
      </c>
      <c r="U62" s="1" t="str">
        <f t="shared" si="3"/>
        <v>Lille</v>
      </c>
      <c r="V62" t="s">
        <v>70</v>
      </c>
      <c r="X62">
        <v>59000</v>
      </c>
      <c r="Y62" s="1" t="str">
        <f t="shared" si="4"/>
        <v>FRANCE</v>
      </c>
      <c r="Z62" s="4" t="str">
        <f t="shared" si="5"/>
        <v>France</v>
      </c>
      <c r="AA62" t="s">
        <v>41</v>
      </c>
      <c r="AB62" t="s">
        <v>42</v>
      </c>
      <c r="AC62" t="s">
        <v>71</v>
      </c>
      <c r="AD62" t="s">
        <v>72</v>
      </c>
      <c r="AE62" t="s">
        <v>51</v>
      </c>
    </row>
    <row r="63" spans="1:31" x14ac:dyDescent="0.3">
      <c r="A63">
        <v>10188</v>
      </c>
      <c r="B63">
        <v>38</v>
      </c>
      <c r="C63">
        <v>96.34</v>
      </c>
      <c r="D63">
        <v>4</v>
      </c>
      <c r="E63" s="4" t="str">
        <f t="shared" si="0"/>
        <v>low sales</v>
      </c>
      <c r="F63">
        <v>3660.92</v>
      </c>
      <c r="G63" t="s">
        <v>735</v>
      </c>
      <c r="H63" s="1" t="str">
        <f t="shared" si="1"/>
        <v>Shipped</v>
      </c>
      <c r="I63" s="4" t="str">
        <f t="shared" si="2"/>
        <v>completed</v>
      </c>
      <c r="J63" t="s">
        <v>25</v>
      </c>
      <c r="K63">
        <v>4</v>
      </c>
      <c r="L63">
        <v>11</v>
      </c>
      <c r="M63">
        <v>2003</v>
      </c>
      <c r="N63" t="s">
        <v>26</v>
      </c>
      <c r="O63">
        <v>118</v>
      </c>
      <c r="P63" t="s">
        <v>301</v>
      </c>
      <c r="Q63" t="s">
        <v>73</v>
      </c>
      <c r="R63" t="s">
        <v>74</v>
      </c>
      <c r="S63" t="s">
        <v>75</v>
      </c>
      <c r="U63" s="1" t="str">
        <f t="shared" si="3"/>
        <v>Bergen</v>
      </c>
      <c r="V63" t="s">
        <v>76</v>
      </c>
      <c r="X63" t="s">
        <v>77</v>
      </c>
      <c r="Y63" s="1" t="str">
        <f t="shared" si="4"/>
        <v>NORWAY</v>
      </c>
      <c r="Z63" s="4" t="str">
        <f t="shared" si="5"/>
        <v>Norway</v>
      </c>
      <c r="AA63" t="s">
        <v>78</v>
      </c>
      <c r="AB63" t="s">
        <v>42</v>
      </c>
      <c r="AC63" t="s">
        <v>79</v>
      </c>
      <c r="AD63" t="s">
        <v>80</v>
      </c>
      <c r="AE63" t="s">
        <v>51</v>
      </c>
    </row>
    <row r="64" spans="1:31" x14ac:dyDescent="0.3">
      <c r="A64">
        <v>10201</v>
      </c>
      <c r="B64">
        <v>24</v>
      </c>
      <c r="C64">
        <v>100</v>
      </c>
      <c r="D64">
        <v>5</v>
      </c>
      <c r="E64" s="4" t="str">
        <f t="shared" si="0"/>
        <v>low sales</v>
      </c>
      <c r="F64">
        <v>3025.92</v>
      </c>
      <c r="G64" t="s">
        <v>736</v>
      </c>
      <c r="H64" s="1" t="str">
        <f t="shared" si="1"/>
        <v>Shipped</v>
      </c>
      <c r="I64" s="4" t="str">
        <f t="shared" si="2"/>
        <v>completed</v>
      </c>
      <c r="J64" t="s">
        <v>25</v>
      </c>
      <c r="K64">
        <v>4</v>
      </c>
      <c r="L64">
        <v>12</v>
      </c>
      <c r="M64">
        <v>2003</v>
      </c>
      <c r="N64" t="s">
        <v>26</v>
      </c>
      <c r="O64">
        <v>118</v>
      </c>
      <c r="P64" t="s">
        <v>301</v>
      </c>
      <c r="Q64" t="s">
        <v>81</v>
      </c>
      <c r="R64">
        <v>6505555787</v>
      </c>
      <c r="S64" t="s">
        <v>82</v>
      </c>
      <c r="U64" s="1" t="str">
        <f t="shared" si="3"/>
        <v>San Francisco</v>
      </c>
      <c r="V64" t="s">
        <v>60</v>
      </c>
      <c r="W64" t="s">
        <v>55</v>
      </c>
      <c r="Y64" s="1" t="str">
        <f t="shared" si="4"/>
        <v>USA</v>
      </c>
      <c r="Z64" s="4" t="str">
        <f t="shared" si="5"/>
        <v>Usa</v>
      </c>
      <c r="AA64" t="s">
        <v>32</v>
      </c>
      <c r="AB64" t="s">
        <v>33</v>
      </c>
      <c r="AC64" t="s">
        <v>83</v>
      </c>
      <c r="AD64" t="s">
        <v>57</v>
      </c>
      <c r="AE64" t="s">
        <v>51</v>
      </c>
    </row>
    <row r="65" spans="1:31" x14ac:dyDescent="0.3">
      <c r="A65">
        <v>10210</v>
      </c>
      <c r="B65">
        <v>23</v>
      </c>
      <c r="C65">
        <v>100</v>
      </c>
      <c r="D65">
        <v>2</v>
      </c>
      <c r="E65" s="4" t="str">
        <f t="shared" si="0"/>
        <v>low sales</v>
      </c>
      <c r="F65">
        <v>3009.09</v>
      </c>
      <c r="G65" t="s">
        <v>737</v>
      </c>
      <c r="H65" s="1" t="str">
        <f t="shared" si="1"/>
        <v>Shipped</v>
      </c>
      <c r="I65" s="4" t="str">
        <f t="shared" si="2"/>
        <v>completed</v>
      </c>
      <c r="J65" t="s">
        <v>25</v>
      </c>
      <c r="K65">
        <v>1</v>
      </c>
      <c r="L65">
        <v>1</v>
      </c>
      <c r="M65">
        <v>2004</v>
      </c>
      <c r="N65" t="s">
        <v>26</v>
      </c>
      <c r="O65">
        <v>118</v>
      </c>
      <c r="P65" t="s">
        <v>301</v>
      </c>
      <c r="Q65" t="s">
        <v>302</v>
      </c>
      <c r="R65" t="s">
        <v>303</v>
      </c>
      <c r="S65" t="s">
        <v>304</v>
      </c>
      <c r="U65" s="1" t="str">
        <f t="shared" si="3"/>
        <v>Osaka</v>
      </c>
      <c r="V65" t="s">
        <v>305</v>
      </c>
      <c r="W65" t="s">
        <v>305</v>
      </c>
      <c r="X65" t="s">
        <v>306</v>
      </c>
      <c r="Y65" s="1" t="str">
        <f t="shared" si="4"/>
        <v>JAPAN</v>
      </c>
      <c r="Z65" s="4" t="str">
        <f t="shared" si="5"/>
        <v>Japan</v>
      </c>
      <c r="AA65" t="s">
        <v>200</v>
      </c>
      <c r="AB65" t="s">
        <v>200</v>
      </c>
      <c r="AC65" t="s">
        <v>307</v>
      </c>
      <c r="AD65" t="s">
        <v>308</v>
      </c>
      <c r="AE65" t="s">
        <v>51</v>
      </c>
    </row>
    <row r="66" spans="1:31" x14ac:dyDescent="0.3">
      <c r="A66">
        <v>10223</v>
      </c>
      <c r="B66">
        <v>47</v>
      </c>
      <c r="C66">
        <v>100</v>
      </c>
      <c r="D66">
        <v>4</v>
      </c>
      <c r="E66" s="4" t="str">
        <f t="shared" si="0"/>
        <v>high sales</v>
      </c>
      <c r="F66">
        <v>5422.39</v>
      </c>
      <c r="G66" t="s">
        <v>738</v>
      </c>
      <c r="H66" s="1" t="str">
        <f t="shared" si="1"/>
        <v>Shipped</v>
      </c>
      <c r="I66" s="4" t="str">
        <f t="shared" si="2"/>
        <v>completed</v>
      </c>
      <c r="J66" t="s">
        <v>25</v>
      </c>
      <c r="K66">
        <v>1</v>
      </c>
      <c r="L66">
        <v>2</v>
      </c>
      <c r="M66">
        <v>2004</v>
      </c>
      <c r="N66" t="s">
        <v>26</v>
      </c>
      <c r="O66">
        <v>118</v>
      </c>
      <c r="P66" t="s">
        <v>301</v>
      </c>
      <c r="Q66" t="s">
        <v>89</v>
      </c>
      <c r="R66" t="s">
        <v>90</v>
      </c>
      <c r="S66" t="s">
        <v>91</v>
      </c>
      <c r="T66" t="s">
        <v>92</v>
      </c>
      <c r="U66" s="1" t="str">
        <f t="shared" si="3"/>
        <v>Melbourne</v>
      </c>
      <c r="V66" t="s">
        <v>93</v>
      </c>
      <c r="W66" t="s">
        <v>94</v>
      </c>
      <c r="X66">
        <v>3004</v>
      </c>
      <c r="Y66" s="1" t="str">
        <f t="shared" si="4"/>
        <v>AUSTRALIA</v>
      </c>
      <c r="Z66" s="4" t="str">
        <f t="shared" si="5"/>
        <v>Australia</v>
      </c>
      <c r="AA66" t="s">
        <v>95</v>
      </c>
      <c r="AB66" t="s">
        <v>96</v>
      </c>
      <c r="AC66" t="s">
        <v>97</v>
      </c>
      <c r="AD66" t="s">
        <v>98</v>
      </c>
      <c r="AE66" t="s">
        <v>51</v>
      </c>
    </row>
    <row r="67" spans="1:31" x14ac:dyDescent="0.3">
      <c r="A67">
        <v>10236</v>
      </c>
      <c r="B67">
        <v>22</v>
      </c>
      <c r="C67">
        <v>100</v>
      </c>
      <c r="D67">
        <v>1</v>
      </c>
      <c r="E67" s="4" t="str">
        <f t="shared" ref="E67:E130" si="6">IF(F67&gt;4000,"high sales","low sales")</f>
        <v>low sales</v>
      </c>
      <c r="F67">
        <v>2852.08</v>
      </c>
      <c r="G67" t="s">
        <v>739</v>
      </c>
      <c r="H67" s="1" t="str">
        <f t="shared" ref="H67:H130" si="7">PROPER(TRIM(J67))</f>
        <v>Shipped</v>
      </c>
      <c r="I67" s="4" t="str">
        <f t="shared" ref="I67:I130" si="8">IF(J67="shipped","completed","not completed")</f>
        <v>completed</v>
      </c>
      <c r="J67" t="s">
        <v>25</v>
      </c>
      <c r="K67">
        <v>2</v>
      </c>
      <c r="L67">
        <v>4</v>
      </c>
      <c r="M67">
        <v>2004</v>
      </c>
      <c r="N67" t="s">
        <v>26</v>
      </c>
      <c r="O67">
        <v>118</v>
      </c>
      <c r="P67" t="s">
        <v>301</v>
      </c>
      <c r="Q67" t="s">
        <v>309</v>
      </c>
      <c r="R67">
        <v>2155559857</v>
      </c>
      <c r="S67" t="s">
        <v>310</v>
      </c>
      <c r="U67" s="1" t="str">
        <f t="shared" ref="U67:U130" si="9">PROPER(TRIM(V67))</f>
        <v>Philadelphia</v>
      </c>
      <c r="V67" t="s">
        <v>216</v>
      </c>
      <c r="W67" t="s">
        <v>142</v>
      </c>
      <c r="X67">
        <v>71270</v>
      </c>
      <c r="Y67" s="1" t="str">
        <f t="shared" ref="Y67:Y130" si="10">UPPER(TRIM(AA67))</f>
        <v>USA</v>
      </c>
      <c r="Z67" s="4" t="str">
        <f t="shared" ref="Z67:Z130" si="11">PROPER(TRIM(AA67))</f>
        <v>Usa</v>
      </c>
      <c r="AA67" t="s">
        <v>32</v>
      </c>
      <c r="AB67" t="s">
        <v>33</v>
      </c>
      <c r="AC67" t="s">
        <v>124</v>
      </c>
      <c r="AD67" t="s">
        <v>311</v>
      </c>
      <c r="AE67" t="s">
        <v>36</v>
      </c>
    </row>
    <row r="68" spans="1:31" x14ac:dyDescent="0.3">
      <c r="A68">
        <v>10251</v>
      </c>
      <c r="B68">
        <v>44</v>
      </c>
      <c r="C68">
        <v>100</v>
      </c>
      <c r="D68">
        <v>5</v>
      </c>
      <c r="E68" s="4" t="str">
        <f t="shared" si="6"/>
        <v>high sales</v>
      </c>
      <c r="F68">
        <v>5756.52</v>
      </c>
      <c r="G68" t="s">
        <v>740</v>
      </c>
      <c r="H68" s="1" t="str">
        <f t="shared" si="7"/>
        <v>Shipped</v>
      </c>
      <c r="I68" s="4" t="str">
        <f t="shared" si="8"/>
        <v>completed</v>
      </c>
      <c r="J68" t="s">
        <v>25</v>
      </c>
      <c r="K68">
        <v>2</v>
      </c>
      <c r="L68">
        <v>5</v>
      </c>
      <c r="M68">
        <v>2004</v>
      </c>
      <c r="N68" t="s">
        <v>26</v>
      </c>
      <c r="O68">
        <v>118</v>
      </c>
      <c r="P68" t="s">
        <v>301</v>
      </c>
      <c r="Q68" t="s">
        <v>104</v>
      </c>
      <c r="R68">
        <v>2015559350</v>
      </c>
      <c r="S68" t="s">
        <v>105</v>
      </c>
      <c r="U68" s="1" t="str">
        <f t="shared" si="9"/>
        <v>Newark</v>
      </c>
      <c r="V68" t="s">
        <v>106</v>
      </c>
      <c r="W68" t="s">
        <v>107</v>
      </c>
      <c r="X68">
        <v>94019</v>
      </c>
      <c r="Y68" s="1" t="str">
        <f t="shared" si="10"/>
        <v>USA</v>
      </c>
      <c r="Z68" s="4" t="str">
        <f t="shared" si="11"/>
        <v>Usa</v>
      </c>
      <c r="AA68" t="s">
        <v>32</v>
      </c>
      <c r="AB68" t="s">
        <v>33</v>
      </c>
      <c r="AC68" t="s">
        <v>61</v>
      </c>
      <c r="AD68" t="s">
        <v>108</v>
      </c>
      <c r="AE68" t="s">
        <v>51</v>
      </c>
    </row>
    <row r="69" spans="1:31" x14ac:dyDescent="0.3">
      <c r="A69">
        <v>10263</v>
      </c>
      <c r="B69">
        <v>40</v>
      </c>
      <c r="C69">
        <v>100</v>
      </c>
      <c r="D69">
        <v>5</v>
      </c>
      <c r="E69" s="4" t="str">
        <f t="shared" si="6"/>
        <v>high sales</v>
      </c>
      <c r="F69">
        <v>4472</v>
      </c>
      <c r="G69" t="s">
        <v>741</v>
      </c>
      <c r="H69" s="1" t="str">
        <f t="shared" si="7"/>
        <v>Shipped</v>
      </c>
      <c r="I69" s="4" t="str">
        <f t="shared" si="8"/>
        <v>completed</v>
      </c>
      <c r="J69" t="s">
        <v>25</v>
      </c>
      <c r="K69">
        <v>2</v>
      </c>
      <c r="L69">
        <v>6</v>
      </c>
      <c r="M69">
        <v>2004</v>
      </c>
      <c r="N69" t="s">
        <v>26</v>
      </c>
      <c r="O69">
        <v>118</v>
      </c>
      <c r="P69" t="s">
        <v>301</v>
      </c>
      <c r="Q69" t="s">
        <v>109</v>
      </c>
      <c r="R69">
        <v>2035552570</v>
      </c>
      <c r="S69" t="s">
        <v>110</v>
      </c>
      <c r="U69" s="1" t="str">
        <f t="shared" si="9"/>
        <v>Bridgewater</v>
      </c>
      <c r="V69" t="s">
        <v>111</v>
      </c>
      <c r="W69" t="s">
        <v>112</v>
      </c>
      <c r="X69">
        <v>97562</v>
      </c>
      <c r="Y69" s="1" t="str">
        <f t="shared" si="10"/>
        <v>USA</v>
      </c>
      <c r="Z69" s="4" t="str">
        <f t="shared" si="11"/>
        <v>Usa</v>
      </c>
      <c r="AA69" t="s">
        <v>32</v>
      </c>
      <c r="AB69" t="s">
        <v>33</v>
      </c>
      <c r="AC69" t="s">
        <v>113</v>
      </c>
      <c r="AD69" t="s">
        <v>57</v>
      </c>
      <c r="AE69" t="s">
        <v>51</v>
      </c>
    </row>
    <row r="70" spans="1:31" x14ac:dyDescent="0.3">
      <c r="A70">
        <v>10275</v>
      </c>
      <c r="B70">
        <v>22</v>
      </c>
      <c r="C70">
        <v>100</v>
      </c>
      <c r="D70">
        <v>4</v>
      </c>
      <c r="E70" s="4" t="str">
        <f t="shared" si="6"/>
        <v>low sales</v>
      </c>
      <c r="F70">
        <v>2904.44</v>
      </c>
      <c r="G70" t="s">
        <v>742</v>
      </c>
      <c r="H70" s="1" t="str">
        <f t="shared" si="7"/>
        <v>Shipped</v>
      </c>
      <c r="I70" s="4" t="str">
        <f t="shared" si="8"/>
        <v>completed</v>
      </c>
      <c r="J70" t="s">
        <v>25</v>
      </c>
      <c r="K70">
        <v>3</v>
      </c>
      <c r="L70">
        <v>7</v>
      </c>
      <c r="M70">
        <v>2004</v>
      </c>
      <c r="N70" t="s">
        <v>26</v>
      </c>
      <c r="O70">
        <v>118</v>
      </c>
      <c r="P70" t="s">
        <v>301</v>
      </c>
      <c r="Q70" t="s">
        <v>114</v>
      </c>
      <c r="R70" t="s">
        <v>115</v>
      </c>
      <c r="S70" t="s">
        <v>116</v>
      </c>
      <c r="U70" s="1" t="str">
        <f t="shared" si="9"/>
        <v>Nantes</v>
      </c>
      <c r="V70" t="s">
        <v>117</v>
      </c>
      <c r="X70">
        <v>44000</v>
      </c>
      <c r="Y70" s="1" t="str">
        <f t="shared" si="10"/>
        <v>FRANCE</v>
      </c>
      <c r="Z70" s="4" t="str">
        <f t="shared" si="11"/>
        <v>France</v>
      </c>
      <c r="AA70" t="s">
        <v>41</v>
      </c>
      <c r="AB70" t="s">
        <v>42</v>
      </c>
      <c r="AC70" t="s">
        <v>118</v>
      </c>
      <c r="AD70" t="s">
        <v>119</v>
      </c>
      <c r="AE70" t="s">
        <v>36</v>
      </c>
    </row>
    <row r="71" spans="1:31" x14ac:dyDescent="0.3">
      <c r="A71">
        <v>10285</v>
      </c>
      <c r="B71">
        <v>47</v>
      </c>
      <c r="C71">
        <v>100</v>
      </c>
      <c r="D71">
        <v>9</v>
      </c>
      <c r="E71" s="4" t="str">
        <f t="shared" si="6"/>
        <v>high sales</v>
      </c>
      <c r="F71">
        <v>6484.59</v>
      </c>
      <c r="G71" t="s">
        <v>743</v>
      </c>
      <c r="H71" s="1" t="str">
        <f t="shared" si="7"/>
        <v>Shipped</v>
      </c>
      <c r="I71" s="4" t="str">
        <f t="shared" si="8"/>
        <v>completed</v>
      </c>
      <c r="J71" t="s">
        <v>25</v>
      </c>
      <c r="K71">
        <v>3</v>
      </c>
      <c r="L71">
        <v>8</v>
      </c>
      <c r="M71">
        <v>2004</v>
      </c>
      <c r="N71" t="s">
        <v>26</v>
      </c>
      <c r="O71">
        <v>118</v>
      </c>
      <c r="P71" t="s">
        <v>301</v>
      </c>
      <c r="Q71" t="s">
        <v>120</v>
      </c>
      <c r="R71">
        <v>6175558555</v>
      </c>
      <c r="S71" t="s">
        <v>121</v>
      </c>
      <c r="U71" s="1" t="str">
        <f t="shared" si="9"/>
        <v>Cambridge</v>
      </c>
      <c r="V71" t="s">
        <v>122</v>
      </c>
      <c r="W71" t="s">
        <v>123</v>
      </c>
      <c r="X71">
        <v>51247</v>
      </c>
      <c r="Y71" s="1" t="str">
        <f t="shared" si="10"/>
        <v>USA</v>
      </c>
      <c r="Z71" s="4" t="str">
        <f t="shared" si="11"/>
        <v>Usa</v>
      </c>
      <c r="AA71" t="s">
        <v>32</v>
      </c>
      <c r="AB71" t="s">
        <v>33</v>
      </c>
      <c r="AC71" t="s">
        <v>124</v>
      </c>
      <c r="AD71" t="s">
        <v>125</v>
      </c>
      <c r="AE71" t="s">
        <v>51</v>
      </c>
    </row>
    <row r="72" spans="1:31" x14ac:dyDescent="0.3">
      <c r="A72">
        <v>10298</v>
      </c>
      <c r="B72">
        <v>39</v>
      </c>
      <c r="C72">
        <v>96.34</v>
      </c>
      <c r="D72">
        <v>1</v>
      </c>
      <c r="E72" s="4" t="str">
        <f t="shared" si="6"/>
        <v>low sales</v>
      </c>
      <c r="F72">
        <v>3757.26</v>
      </c>
      <c r="G72" t="s">
        <v>744</v>
      </c>
      <c r="H72" s="1" t="str">
        <f t="shared" si="7"/>
        <v>Shipped</v>
      </c>
      <c r="I72" s="4" t="str">
        <f t="shared" si="8"/>
        <v>completed</v>
      </c>
      <c r="J72" t="s">
        <v>25</v>
      </c>
      <c r="K72">
        <v>3</v>
      </c>
      <c r="L72">
        <v>9</v>
      </c>
      <c r="M72">
        <v>2004</v>
      </c>
      <c r="N72" t="s">
        <v>26</v>
      </c>
      <c r="O72">
        <v>118</v>
      </c>
      <c r="P72" t="s">
        <v>301</v>
      </c>
      <c r="Q72" t="s">
        <v>312</v>
      </c>
      <c r="R72" t="s">
        <v>313</v>
      </c>
      <c r="S72" t="s">
        <v>314</v>
      </c>
      <c r="U72" s="1" t="str">
        <f t="shared" si="9"/>
        <v>Nantes</v>
      </c>
      <c r="V72" t="s">
        <v>117</v>
      </c>
      <c r="X72">
        <v>44000</v>
      </c>
      <c r="Y72" s="1" t="str">
        <f t="shared" si="10"/>
        <v>FRANCE</v>
      </c>
      <c r="Z72" s="4" t="str">
        <f t="shared" si="11"/>
        <v>France</v>
      </c>
      <c r="AA72" t="s">
        <v>41</v>
      </c>
      <c r="AB72" t="s">
        <v>42</v>
      </c>
      <c r="AC72" t="s">
        <v>315</v>
      </c>
      <c r="AD72" t="s">
        <v>316</v>
      </c>
      <c r="AE72" t="s">
        <v>51</v>
      </c>
    </row>
    <row r="73" spans="1:31" x14ac:dyDescent="0.3">
      <c r="A73">
        <v>10308</v>
      </c>
      <c r="B73">
        <v>34</v>
      </c>
      <c r="C73">
        <v>100</v>
      </c>
      <c r="D73">
        <v>2</v>
      </c>
      <c r="E73" s="4" t="str">
        <f t="shared" si="6"/>
        <v>high sales</v>
      </c>
      <c r="F73">
        <v>4043.96</v>
      </c>
      <c r="G73" t="s">
        <v>745</v>
      </c>
      <c r="H73" s="1" t="str">
        <f t="shared" si="7"/>
        <v>Shipped</v>
      </c>
      <c r="I73" s="4" t="str">
        <f t="shared" si="8"/>
        <v>completed</v>
      </c>
      <c r="J73" t="s">
        <v>25</v>
      </c>
      <c r="K73">
        <v>4</v>
      </c>
      <c r="L73">
        <v>10</v>
      </c>
      <c r="M73">
        <v>2004</v>
      </c>
      <c r="N73" t="s">
        <v>26</v>
      </c>
      <c r="O73">
        <v>118</v>
      </c>
      <c r="P73" t="s">
        <v>301</v>
      </c>
      <c r="Q73" t="s">
        <v>317</v>
      </c>
      <c r="R73">
        <v>9145554562</v>
      </c>
      <c r="S73" t="s">
        <v>318</v>
      </c>
      <c r="U73" s="1" t="str">
        <f t="shared" si="9"/>
        <v>White Plains</v>
      </c>
      <c r="V73" t="s">
        <v>319</v>
      </c>
      <c r="W73" t="s">
        <v>31</v>
      </c>
      <c r="X73">
        <v>24067</v>
      </c>
      <c r="Y73" s="1" t="str">
        <f t="shared" si="10"/>
        <v>USA</v>
      </c>
      <c r="Z73" s="4" t="str">
        <f t="shared" si="11"/>
        <v>Usa</v>
      </c>
      <c r="AA73" t="s">
        <v>32</v>
      </c>
      <c r="AB73" t="s">
        <v>33</v>
      </c>
      <c r="AC73" t="s">
        <v>102</v>
      </c>
      <c r="AD73" t="s">
        <v>238</v>
      </c>
      <c r="AE73" t="s">
        <v>51</v>
      </c>
    </row>
    <row r="74" spans="1:31" x14ac:dyDescent="0.3">
      <c r="A74">
        <v>10318</v>
      </c>
      <c r="B74">
        <v>45</v>
      </c>
      <c r="C74">
        <v>100</v>
      </c>
      <c r="D74">
        <v>4</v>
      </c>
      <c r="E74" s="4" t="str">
        <f t="shared" si="6"/>
        <v>high sales</v>
      </c>
      <c r="F74">
        <v>5566.5</v>
      </c>
      <c r="G74" t="s">
        <v>746</v>
      </c>
      <c r="H74" s="1" t="str">
        <f t="shared" si="7"/>
        <v>Shipped</v>
      </c>
      <c r="I74" s="4" t="str">
        <f t="shared" si="8"/>
        <v>completed</v>
      </c>
      <c r="J74" t="s">
        <v>25</v>
      </c>
      <c r="K74">
        <v>4</v>
      </c>
      <c r="L74">
        <v>11</v>
      </c>
      <c r="M74">
        <v>2004</v>
      </c>
      <c r="N74" t="s">
        <v>26</v>
      </c>
      <c r="O74">
        <v>118</v>
      </c>
      <c r="P74" t="s">
        <v>301</v>
      </c>
      <c r="Q74" t="s">
        <v>139</v>
      </c>
      <c r="R74">
        <v>2155551555</v>
      </c>
      <c r="S74" t="s">
        <v>140</v>
      </c>
      <c r="U74" s="1" t="str">
        <f t="shared" si="9"/>
        <v>Allentown</v>
      </c>
      <c r="V74" t="s">
        <v>141</v>
      </c>
      <c r="W74" t="s">
        <v>142</v>
      </c>
      <c r="X74">
        <v>70267</v>
      </c>
      <c r="Y74" s="1" t="str">
        <f t="shared" si="10"/>
        <v>USA</v>
      </c>
      <c r="Z74" s="4" t="str">
        <f t="shared" si="11"/>
        <v>Usa</v>
      </c>
      <c r="AA74" t="s">
        <v>32</v>
      </c>
      <c r="AB74" t="s">
        <v>33</v>
      </c>
      <c r="AC74" t="s">
        <v>34</v>
      </c>
      <c r="AD74" t="s">
        <v>143</v>
      </c>
      <c r="AE74" t="s">
        <v>51</v>
      </c>
    </row>
    <row r="75" spans="1:31" x14ac:dyDescent="0.3">
      <c r="A75">
        <v>10329</v>
      </c>
      <c r="B75">
        <v>20</v>
      </c>
      <c r="C75">
        <v>100</v>
      </c>
      <c r="D75">
        <v>2</v>
      </c>
      <c r="E75" s="4" t="str">
        <f t="shared" si="6"/>
        <v>low sales</v>
      </c>
      <c r="F75">
        <v>3176</v>
      </c>
      <c r="G75" t="s">
        <v>747</v>
      </c>
      <c r="H75" s="1" t="str">
        <f t="shared" si="7"/>
        <v>Shipped</v>
      </c>
      <c r="I75" s="4" t="str">
        <f t="shared" si="8"/>
        <v>completed</v>
      </c>
      <c r="J75" t="s">
        <v>25</v>
      </c>
      <c r="K75">
        <v>4</v>
      </c>
      <c r="L75">
        <v>11</v>
      </c>
      <c r="M75">
        <v>2004</v>
      </c>
      <c r="N75" t="s">
        <v>26</v>
      </c>
      <c r="O75">
        <v>118</v>
      </c>
      <c r="P75" t="s">
        <v>301</v>
      </c>
      <c r="Q75" t="s">
        <v>28</v>
      </c>
      <c r="R75">
        <v>2125557818</v>
      </c>
      <c r="S75" t="s">
        <v>29</v>
      </c>
      <c r="U75" s="1" t="str">
        <f t="shared" si="9"/>
        <v>Nyc</v>
      </c>
      <c r="V75" t="s">
        <v>30</v>
      </c>
      <c r="W75" t="s">
        <v>31</v>
      </c>
      <c r="X75">
        <v>10022</v>
      </c>
      <c r="Y75" s="1" t="str">
        <f t="shared" si="10"/>
        <v>USA</v>
      </c>
      <c r="Z75" s="4" t="str">
        <f t="shared" si="11"/>
        <v>Usa</v>
      </c>
      <c r="AA75" t="s">
        <v>32</v>
      </c>
      <c r="AB75" t="s">
        <v>33</v>
      </c>
      <c r="AC75" t="s">
        <v>34</v>
      </c>
      <c r="AD75" t="s">
        <v>35</v>
      </c>
      <c r="AE75" t="s">
        <v>51</v>
      </c>
    </row>
    <row r="76" spans="1:31" x14ac:dyDescent="0.3">
      <c r="A76">
        <v>10339</v>
      </c>
      <c r="B76">
        <v>40</v>
      </c>
      <c r="C76">
        <v>68.92</v>
      </c>
      <c r="D76">
        <v>4</v>
      </c>
      <c r="E76" s="4" t="str">
        <f t="shared" si="6"/>
        <v>low sales</v>
      </c>
      <c r="F76">
        <v>2756.8</v>
      </c>
      <c r="G76" t="s">
        <v>748</v>
      </c>
      <c r="H76" s="1" t="str">
        <f t="shared" si="7"/>
        <v>Shipped</v>
      </c>
      <c r="I76" s="4" t="str">
        <f t="shared" si="8"/>
        <v>completed</v>
      </c>
      <c r="J76" t="s">
        <v>25</v>
      </c>
      <c r="K76">
        <v>4</v>
      </c>
      <c r="L76">
        <v>11</v>
      </c>
      <c r="M76">
        <v>2004</v>
      </c>
      <c r="N76" t="s">
        <v>26</v>
      </c>
      <c r="O76">
        <v>118</v>
      </c>
      <c r="P76" t="s">
        <v>301</v>
      </c>
      <c r="Q76" t="s">
        <v>246</v>
      </c>
      <c r="R76" t="s">
        <v>247</v>
      </c>
      <c r="S76" t="s">
        <v>248</v>
      </c>
      <c r="U76" s="1" t="str">
        <f t="shared" si="9"/>
        <v>Minato-Ku</v>
      </c>
      <c r="V76" t="s">
        <v>249</v>
      </c>
      <c r="W76" t="s">
        <v>250</v>
      </c>
      <c r="X76" t="s">
        <v>251</v>
      </c>
      <c r="Y76" s="1" t="str">
        <f t="shared" si="10"/>
        <v>JAPAN</v>
      </c>
      <c r="Z76" s="4" t="str">
        <f t="shared" si="11"/>
        <v>Japan</v>
      </c>
      <c r="AA76" t="s">
        <v>200</v>
      </c>
      <c r="AB76" t="s">
        <v>200</v>
      </c>
      <c r="AC76" t="s">
        <v>252</v>
      </c>
      <c r="AD76" t="s">
        <v>253</v>
      </c>
      <c r="AE76" t="s">
        <v>36</v>
      </c>
    </row>
    <row r="77" spans="1:31" x14ac:dyDescent="0.3">
      <c r="A77">
        <v>10361</v>
      </c>
      <c r="B77">
        <v>26</v>
      </c>
      <c r="C77">
        <v>51.15</v>
      </c>
      <c r="D77">
        <v>8</v>
      </c>
      <c r="E77" s="4" t="str">
        <f t="shared" si="6"/>
        <v>low sales</v>
      </c>
      <c r="F77">
        <v>1329.9</v>
      </c>
      <c r="G77" t="s">
        <v>749</v>
      </c>
      <c r="H77" s="1" t="str">
        <f t="shared" si="7"/>
        <v>Shipped</v>
      </c>
      <c r="I77" s="4" t="str">
        <f t="shared" si="8"/>
        <v>completed</v>
      </c>
      <c r="J77" t="s">
        <v>25</v>
      </c>
      <c r="K77">
        <v>4</v>
      </c>
      <c r="L77">
        <v>12</v>
      </c>
      <c r="M77">
        <v>2004</v>
      </c>
      <c r="N77" t="s">
        <v>26</v>
      </c>
      <c r="O77">
        <v>118</v>
      </c>
      <c r="P77" t="s">
        <v>301</v>
      </c>
      <c r="Q77" t="s">
        <v>152</v>
      </c>
      <c r="R77" t="s">
        <v>153</v>
      </c>
      <c r="S77" t="s">
        <v>154</v>
      </c>
      <c r="T77" t="s">
        <v>155</v>
      </c>
      <c r="U77" s="1" t="str">
        <f t="shared" si="9"/>
        <v>Chatswood</v>
      </c>
      <c r="V77" t="s">
        <v>156</v>
      </c>
      <c r="W77" t="s">
        <v>157</v>
      </c>
      <c r="X77">
        <v>2067</v>
      </c>
      <c r="Y77" s="1" t="str">
        <f t="shared" si="10"/>
        <v>AUSTRALIA</v>
      </c>
      <c r="Z77" s="4" t="str">
        <f t="shared" si="11"/>
        <v>Australia</v>
      </c>
      <c r="AA77" t="s">
        <v>95</v>
      </c>
      <c r="AB77" t="s">
        <v>96</v>
      </c>
      <c r="AC77" t="s">
        <v>158</v>
      </c>
      <c r="AD77" t="s">
        <v>159</v>
      </c>
      <c r="AE77" t="s">
        <v>36</v>
      </c>
    </row>
    <row r="78" spans="1:31" x14ac:dyDescent="0.3">
      <c r="A78">
        <v>10374</v>
      </c>
      <c r="B78">
        <v>39</v>
      </c>
      <c r="C78">
        <v>100</v>
      </c>
      <c r="D78">
        <v>5</v>
      </c>
      <c r="E78" s="4" t="str">
        <f t="shared" si="6"/>
        <v>high sales</v>
      </c>
      <c r="F78">
        <v>5288.01</v>
      </c>
      <c r="G78" t="s">
        <v>750</v>
      </c>
      <c r="H78" s="1" t="str">
        <f t="shared" si="7"/>
        <v>Shipped</v>
      </c>
      <c r="I78" s="4" t="str">
        <f t="shared" si="8"/>
        <v>completed</v>
      </c>
      <c r="J78" t="s">
        <v>25</v>
      </c>
      <c r="K78">
        <v>1</v>
      </c>
      <c r="L78">
        <v>2</v>
      </c>
      <c r="M78">
        <v>2005</v>
      </c>
      <c r="N78" t="s">
        <v>26</v>
      </c>
      <c r="O78">
        <v>118</v>
      </c>
      <c r="P78" t="s">
        <v>301</v>
      </c>
      <c r="Q78" t="s">
        <v>207</v>
      </c>
      <c r="R78" t="s">
        <v>208</v>
      </c>
      <c r="S78" t="s">
        <v>209</v>
      </c>
      <c r="U78" s="1" t="str">
        <f t="shared" si="9"/>
        <v>South Brisbane</v>
      </c>
      <c r="V78" t="s">
        <v>210</v>
      </c>
      <c r="W78" t="s">
        <v>211</v>
      </c>
      <c r="X78">
        <v>4101</v>
      </c>
      <c r="Y78" s="1" t="str">
        <f t="shared" si="10"/>
        <v>AUSTRALIA</v>
      </c>
      <c r="Z78" s="4" t="str">
        <f t="shared" si="11"/>
        <v>Australia</v>
      </c>
      <c r="AA78" t="s">
        <v>95</v>
      </c>
      <c r="AB78" t="s">
        <v>96</v>
      </c>
      <c r="AC78" t="s">
        <v>212</v>
      </c>
      <c r="AD78" t="s">
        <v>213</v>
      </c>
      <c r="AE78" t="s">
        <v>51</v>
      </c>
    </row>
    <row r="79" spans="1:31" x14ac:dyDescent="0.3">
      <c r="A79">
        <v>10388</v>
      </c>
      <c r="B79">
        <v>50</v>
      </c>
      <c r="C79">
        <v>44.51</v>
      </c>
      <c r="D79">
        <v>5</v>
      </c>
      <c r="E79" s="4" t="str">
        <f t="shared" si="6"/>
        <v>low sales</v>
      </c>
      <c r="F79">
        <v>2225.5</v>
      </c>
      <c r="G79" t="s">
        <v>751</v>
      </c>
      <c r="H79" s="1" t="str">
        <f t="shared" si="7"/>
        <v>Shipped</v>
      </c>
      <c r="I79" s="4" t="str">
        <f t="shared" si="8"/>
        <v>completed</v>
      </c>
      <c r="J79" t="s">
        <v>25</v>
      </c>
      <c r="K79">
        <v>1</v>
      </c>
      <c r="L79">
        <v>3</v>
      </c>
      <c r="M79">
        <v>2005</v>
      </c>
      <c r="N79" t="s">
        <v>26</v>
      </c>
      <c r="O79">
        <v>118</v>
      </c>
      <c r="P79" t="s">
        <v>301</v>
      </c>
      <c r="Q79" t="s">
        <v>160</v>
      </c>
      <c r="R79">
        <v>5085552555</v>
      </c>
      <c r="S79" t="s">
        <v>161</v>
      </c>
      <c r="U79" s="1" t="str">
        <f t="shared" si="9"/>
        <v>New Bedford</v>
      </c>
      <c r="V79" t="s">
        <v>162</v>
      </c>
      <c r="W79" t="s">
        <v>123</v>
      </c>
      <c r="X79">
        <v>50553</v>
      </c>
      <c r="Y79" s="1" t="str">
        <f t="shared" si="10"/>
        <v>USA</v>
      </c>
      <c r="Z79" s="4" t="str">
        <f t="shared" si="11"/>
        <v>Usa</v>
      </c>
      <c r="AA79" t="s">
        <v>32</v>
      </c>
      <c r="AB79" t="s">
        <v>33</v>
      </c>
      <c r="AC79" t="s">
        <v>163</v>
      </c>
      <c r="AD79" t="s">
        <v>164</v>
      </c>
      <c r="AE79" t="s">
        <v>36</v>
      </c>
    </row>
    <row r="80" spans="1:31" x14ac:dyDescent="0.3">
      <c r="A80">
        <v>10402</v>
      </c>
      <c r="B80">
        <v>45</v>
      </c>
      <c r="C80">
        <v>100</v>
      </c>
      <c r="D80">
        <v>1</v>
      </c>
      <c r="E80" s="4" t="str">
        <f t="shared" si="6"/>
        <v>high sales</v>
      </c>
      <c r="F80">
        <v>5833.8</v>
      </c>
      <c r="G80" t="s">
        <v>752</v>
      </c>
      <c r="H80" s="1" t="str">
        <f t="shared" si="7"/>
        <v>Shipped</v>
      </c>
      <c r="I80" s="4" t="str">
        <f t="shared" si="8"/>
        <v>completed</v>
      </c>
      <c r="J80" t="s">
        <v>25</v>
      </c>
      <c r="K80">
        <v>2</v>
      </c>
      <c r="L80">
        <v>4</v>
      </c>
      <c r="M80">
        <v>2005</v>
      </c>
      <c r="N80" t="s">
        <v>26</v>
      </c>
      <c r="O80">
        <v>118</v>
      </c>
      <c r="P80" t="s">
        <v>301</v>
      </c>
      <c r="Q80" t="s">
        <v>84</v>
      </c>
      <c r="R80" t="s">
        <v>85</v>
      </c>
      <c r="S80" t="s">
        <v>86</v>
      </c>
      <c r="U80" s="1" t="str">
        <f t="shared" si="9"/>
        <v>Paris</v>
      </c>
      <c r="V80" t="s">
        <v>48</v>
      </c>
      <c r="X80">
        <v>75016</v>
      </c>
      <c r="Y80" s="1" t="str">
        <f t="shared" si="10"/>
        <v>FRANCE</v>
      </c>
      <c r="Z80" s="4" t="str">
        <f t="shared" si="11"/>
        <v>France</v>
      </c>
      <c r="AA80" t="s">
        <v>41</v>
      </c>
      <c r="AB80" t="s">
        <v>42</v>
      </c>
      <c r="AC80" t="s">
        <v>87</v>
      </c>
      <c r="AD80" t="s">
        <v>88</v>
      </c>
      <c r="AE80" t="s">
        <v>51</v>
      </c>
    </row>
    <row r="81" spans="1:31" x14ac:dyDescent="0.3">
      <c r="A81">
        <v>10417</v>
      </c>
      <c r="B81">
        <v>45</v>
      </c>
      <c r="C81">
        <v>100</v>
      </c>
      <c r="D81">
        <v>5</v>
      </c>
      <c r="E81" s="4" t="str">
        <f t="shared" si="6"/>
        <v>high sales</v>
      </c>
      <c r="F81">
        <v>5887.35</v>
      </c>
      <c r="G81" t="s">
        <v>753</v>
      </c>
      <c r="H81" s="1" t="str">
        <f t="shared" si="7"/>
        <v>Disputed</v>
      </c>
      <c r="I81" s="4" t="str">
        <f t="shared" si="8"/>
        <v>not completed</v>
      </c>
      <c r="J81" t="s">
        <v>173</v>
      </c>
      <c r="K81">
        <v>2</v>
      </c>
      <c r="L81">
        <v>5</v>
      </c>
      <c r="M81">
        <v>2005</v>
      </c>
      <c r="N81" t="s">
        <v>26</v>
      </c>
      <c r="O81">
        <v>118</v>
      </c>
      <c r="P81" t="s">
        <v>301</v>
      </c>
      <c r="Q81" t="s">
        <v>174</v>
      </c>
      <c r="R81" t="s">
        <v>175</v>
      </c>
      <c r="S81" t="s">
        <v>176</v>
      </c>
      <c r="U81" s="1" t="str">
        <f t="shared" si="9"/>
        <v>Madrid</v>
      </c>
      <c r="V81" t="s">
        <v>177</v>
      </c>
      <c r="X81">
        <v>28034</v>
      </c>
      <c r="Y81" s="1" t="str">
        <f t="shared" si="10"/>
        <v>SPAIN</v>
      </c>
      <c r="Z81" s="4" t="str">
        <f t="shared" si="11"/>
        <v>Spain</v>
      </c>
      <c r="AA81" t="s">
        <v>178</v>
      </c>
      <c r="AB81" t="s">
        <v>42</v>
      </c>
      <c r="AC81" t="s">
        <v>179</v>
      </c>
      <c r="AD81" t="s">
        <v>180</v>
      </c>
      <c r="AE81" t="s">
        <v>51</v>
      </c>
    </row>
    <row r="82" spans="1:31" x14ac:dyDescent="0.3">
      <c r="A82">
        <v>10107</v>
      </c>
      <c r="B82">
        <v>27</v>
      </c>
      <c r="C82">
        <v>100</v>
      </c>
      <c r="D82">
        <v>4</v>
      </c>
      <c r="E82" s="4" t="str">
        <f t="shared" si="6"/>
        <v>high sales</v>
      </c>
      <c r="F82">
        <v>6065.55</v>
      </c>
      <c r="G82" t="s">
        <v>754</v>
      </c>
      <c r="H82" s="1" t="str">
        <f t="shared" si="7"/>
        <v>Shipped</v>
      </c>
      <c r="I82" s="4" t="str">
        <f t="shared" si="8"/>
        <v>completed</v>
      </c>
      <c r="J82" t="s">
        <v>25</v>
      </c>
      <c r="K82">
        <v>1</v>
      </c>
      <c r="L82">
        <v>2</v>
      </c>
      <c r="M82">
        <v>2003</v>
      </c>
      <c r="N82" t="s">
        <v>26</v>
      </c>
      <c r="O82">
        <v>193</v>
      </c>
      <c r="P82" t="s">
        <v>320</v>
      </c>
      <c r="Q82" t="s">
        <v>28</v>
      </c>
      <c r="R82">
        <v>2125557818</v>
      </c>
      <c r="S82" t="s">
        <v>29</v>
      </c>
      <c r="U82" s="1" t="str">
        <f t="shared" si="9"/>
        <v>Nyc</v>
      </c>
      <c r="V82" t="s">
        <v>30</v>
      </c>
      <c r="W82" t="s">
        <v>31</v>
      </c>
      <c r="X82">
        <v>10022</v>
      </c>
      <c r="Y82" s="1" t="str">
        <f t="shared" si="10"/>
        <v>USA</v>
      </c>
      <c r="Z82" s="4" t="str">
        <f t="shared" si="11"/>
        <v>Usa</v>
      </c>
      <c r="AA82" t="s">
        <v>32</v>
      </c>
      <c r="AB82" t="s">
        <v>33</v>
      </c>
      <c r="AC82" t="s">
        <v>34</v>
      </c>
      <c r="AD82" t="s">
        <v>35</v>
      </c>
      <c r="AE82" t="s">
        <v>51</v>
      </c>
    </row>
    <row r="83" spans="1:31" x14ac:dyDescent="0.3">
      <c r="A83">
        <v>10120</v>
      </c>
      <c r="B83">
        <v>46</v>
      </c>
      <c r="C83">
        <v>100</v>
      </c>
      <c r="D83">
        <v>2</v>
      </c>
      <c r="E83" s="4" t="str">
        <f t="shared" si="6"/>
        <v>high sales</v>
      </c>
      <c r="F83">
        <v>9264.86</v>
      </c>
      <c r="G83" t="s">
        <v>755</v>
      </c>
      <c r="H83" s="1" t="str">
        <f t="shared" si="7"/>
        <v>Shipped</v>
      </c>
      <c r="I83" s="4" t="str">
        <f t="shared" si="8"/>
        <v>completed</v>
      </c>
      <c r="J83" t="s">
        <v>25</v>
      </c>
      <c r="K83">
        <v>2</v>
      </c>
      <c r="L83">
        <v>4</v>
      </c>
      <c r="M83">
        <v>2003</v>
      </c>
      <c r="N83" t="s">
        <v>26</v>
      </c>
      <c r="O83">
        <v>193</v>
      </c>
      <c r="P83" t="s">
        <v>320</v>
      </c>
      <c r="Q83" t="s">
        <v>89</v>
      </c>
      <c r="R83" t="s">
        <v>90</v>
      </c>
      <c r="S83" t="s">
        <v>91</v>
      </c>
      <c r="T83" t="s">
        <v>92</v>
      </c>
      <c r="U83" s="1" t="str">
        <f t="shared" si="9"/>
        <v>Melbourne</v>
      </c>
      <c r="V83" t="s">
        <v>93</v>
      </c>
      <c r="W83" t="s">
        <v>94</v>
      </c>
      <c r="X83">
        <v>3004</v>
      </c>
      <c r="Y83" s="1" t="str">
        <f t="shared" si="10"/>
        <v>AUSTRALIA</v>
      </c>
      <c r="Z83" s="4" t="str">
        <f t="shared" si="11"/>
        <v>Australia</v>
      </c>
      <c r="AA83" t="s">
        <v>95</v>
      </c>
      <c r="AB83" t="s">
        <v>96</v>
      </c>
      <c r="AC83" t="s">
        <v>97</v>
      </c>
      <c r="AD83" t="s">
        <v>98</v>
      </c>
      <c r="AE83" t="s">
        <v>151</v>
      </c>
    </row>
    <row r="84" spans="1:31" x14ac:dyDescent="0.3">
      <c r="A84">
        <v>10134</v>
      </c>
      <c r="B84">
        <v>31</v>
      </c>
      <c r="C84">
        <v>100</v>
      </c>
      <c r="D84">
        <v>4</v>
      </c>
      <c r="E84" s="4" t="str">
        <f t="shared" si="6"/>
        <v>high sales</v>
      </c>
      <c r="F84">
        <v>7023.98</v>
      </c>
      <c r="G84" t="s">
        <v>756</v>
      </c>
      <c r="H84" s="1" t="str">
        <f t="shared" si="7"/>
        <v>Shipped</v>
      </c>
      <c r="I84" s="4" t="str">
        <f t="shared" si="8"/>
        <v>completed</v>
      </c>
      <c r="J84" t="s">
        <v>25</v>
      </c>
      <c r="K84">
        <v>3</v>
      </c>
      <c r="L84">
        <v>7</v>
      </c>
      <c r="M84">
        <v>2003</v>
      </c>
      <c r="N84" t="s">
        <v>26</v>
      </c>
      <c r="O84">
        <v>193</v>
      </c>
      <c r="P84" t="s">
        <v>320</v>
      </c>
      <c r="Q84" t="s">
        <v>45</v>
      </c>
      <c r="R84" t="s">
        <v>46</v>
      </c>
      <c r="S84" t="s">
        <v>47</v>
      </c>
      <c r="U84" s="1" t="str">
        <f t="shared" si="9"/>
        <v>Paris</v>
      </c>
      <c r="V84" t="s">
        <v>48</v>
      </c>
      <c r="X84">
        <v>75508</v>
      </c>
      <c r="Y84" s="1" t="str">
        <f t="shared" si="10"/>
        <v>FRANCE</v>
      </c>
      <c r="Z84" s="4" t="str">
        <f t="shared" si="11"/>
        <v>France</v>
      </c>
      <c r="AA84" t="s">
        <v>41</v>
      </c>
      <c r="AB84" t="s">
        <v>42</v>
      </c>
      <c r="AC84" t="s">
        <v>49</v>
      </c>
      <c r="AD84" t="s">
        <v>50</v>
      </c>
      <c r="AE84" t="s">
        <v>151</v>
      </c>
    </row>
    <row r="85" spans="1:31" x14ac:dyDescent="0.3">
      <c r="A85">
        <v>10145</v>
      </c>
      <c r="B85">
        <v>33</v>
      </c>
      <c r="C85">
        <v>100</v>
      </c>
      <c r="D85">
        <v>8</v>
      </c>
      <c r="E85" s="4" t="str">
        <f t="shared" si="6"/>
        <v>high sales</v>
      </c>
      <c r="F85">
        <v>5176.38</v>
      </c>
      <c r="G85" t="s">
        <v>757</v>
      </c>
      <c r="H85" s="1" t="str">
        <f t="shared" si="7"/>
        <v>Shipped</v>
      </c>
      <c r="I85" s="4" t="str">
        <f t="shared" si="8"/>
        <v>completed</v>
      </c>
      <c r="J85" t="s">
        <v>25</v>
      </c>
      <c r="K85">
        <v>3</v>
      </c>
      <c r="L85">
        <v>8</v>
      </c>
      <c r="M85">
        <v>2003</v>
      </c>
      <c r="N85" t="s">
        <v>26</v>
      </c>
      <c r="O85">
        <v>193</v>
      </c>
      <c r="P85" t="s">
        <v>320</v>
      </c>
      <c r="Q85" t="s">
        <v>52</v>
      </c>
      <c r="R85">
        <v>6265557265</v>
      </c>
      <c r="S85" t="s">
        <v>53</v>
      </c>
      <c r="U85" s="1" t="str">
        <f t="shared" si="9"/>
        <v>Pasadena</v>
      </c>
      <c r="V85" t="s">
        <v>54</v>
      </c>
      <c r="W85" t="s">
        <v>55</v>
      </c>
      <c r="X85">
        <v>90003</v>
      </c>
      <c r="Y85" s="1" t="str">
        <f t="shared" si="10"/>
        <v>USA</v>
      </c>
      <c r="Z85" s="4" t="str">
        <f t="shared" si="11"/>
        <v>Usa</v>
      </c>
      <c r="AA85" t="s">
        <v>32</v>
      </c>
      <c r="AB85" t="s">
        <v>33</v>
      </c>
      <c r="AC85" t="s">
        <v>56</v>
      </c>
      <c r="AD85" t="s">
        <v>57</v>
      </c>
      <c r="AE85" t="s">
        <v>51</v>
      </c>
    </row>
    <row r="86" spans="1:31" x14ac:dyDescent="0.3">
      <c r="A86">
        <v>10159</v>
      </c>
      <c r="B86">
        <v>22</v>
      </c>
      <c r="C86">
        <v>100</v>
      </c>
      <c r="D86">
        <v>16</v>
      </c>
      <c r="E86" s="4" t="str">
        <f t="shared" si="6"/>
        <v>high sales</v>
      </c>
      <c r="F86">
        <v>4132.7</v>
      </c>
      <c r="G86" t="s">
        <v>758</v>
      </c>
      <c r="H86" s="1" t="str">
        <f t="shared" si="7"/>
        <v>Shipped</v>
      </c>
      <c r="I86" s="4" t="str">
        <f t="shared" si="8"/>
        <v>completed</v>
      </c>
      <c r="J86" t="s">
        <v>25</v>
      </c>
      <c r="K86">
        <v>4</v>
      </c>
      <c r="L86">
        <v>10</v>
      </c>
      <c r="M86">
        <v>2003</v>
      </c>
      <c r="N86" t="s">
        <v>26</v>
      </c>
      <c r="O86">
        <v>193</v>
      </c>
      <c r="P86" t="s">
        <v>320</v>
      </c>
      <c r="Q86" t="s">
        <v>58</v>
      </c>
      <c r="R86">
        <v>6505551386</v>
      </c>
      <c r="S86" t="s">
        <v>59</v>
      </c>
      <c r="U86" s="1" t="str">
        <f t="shared" si="9"/>
        <v>San Francisco</v>
      </c>
      <c r="V86" t="s">
        <v>60</v>
      </c>
      <c r="W86" t="s">
        <v>55</v>
      </c>
      <c r="Y86" s="1" t="str">
        <f t="shared" si="10"/>
        <v>USA</v>
      </c>
      <c r="Z86" s="4" t="str">
        <f t="shared" si="11"/>
        <v>Usa</v>
      </c>
      <c r="AA86" t="s">
        <v>32</v>
      </c>
      <c r="AB86" t="s">
        <v>33</v>
      </c>
      <c r="AC86" t="s">
        <v>61</v>
      </c>
      <c r="AD86" t="s">
        <v>57</v>
      </c>
      <c r="AE86" t="s">
        <v>51</v>
      </c>
    </row>
    <row r="87" spans="1:31" x14ac:dyDescent="0.3">
      <c r="A87">
        <v>10168</v>
      </c>
      <c r="B87">
        <v>20</v>
      </c>
      <c r="C87">
        <v>100</v>
      </c>
      <c r="D87">
        <v>3</v>
      </c>
      <c r="E87" s="4" t="str">
        <f t="shared" si="6"/>
        <v>high sales</v>
      </c>
      <c r="F87">
        <v>4183</v>
      </c>
      <c r="G87" t="s">
        <v>759</v>
      </c>
      <c r="H87" s="1" t="str">
        <f t="shared" si="7"/>
        <v>Shipped</v>
      </c>
      <c r="I87" s="4" t="str">
        <f t="shared" si="8"/>
        <v>completed</v>
      </c>
      <c r="J87" t="s">
        <v>25</v>
      </c>
      <c r="K87">
        <v>4</v>
      </c>
      <c r="L87">
        <v>10</v>
      </c>
      <c r="M87">
        <v>2003</v>
      </c>
      <c r="N87" t="s">
        <v>26</v>
      </c>
      <c r="O87">
        <v>193</v>
      </c>
      <c r="P87" t="s">
        <v>320</v>
      </c>
      <c r="Q87" t="s">
        <v>62</v>
      </c>
      <c r="R87">
        <v>6505556809</v>
      </c>
      <c r="S87" t="s">
        <v>63</v>
      </c>
      <c r="U87" s="1" t="str">
        <f t="shared" si="9"/>
        <v>Burlingame</v>
      </c>
      <c r="V87" t="s">
        <v>64</v>
      </c>
      <c r="W87" t="s">
        <v>55</v>
      </c>
      <c r="X87">
        <v>94217</v>
      </c>
      <c r="Y87" s="1" t="str">
        <f t="shared" si="10"/>
        <v>USA</v>
      </c>
      <c r="Z87" s="4" t="str">
        <f t="shared" si="11"/>
        <v>Usa</v>
      </c>
      <c r="AA87" t="s">
        <v>32</v>
      </c>
      <c r="AB87" t="s">
        <v>33</v>
      </c>
      <c r="AC87" t="s">
        <v>65</v>
      </c>
      <c r="AD87" t="s">
        <v>66</v>
      </c>
      <c r="AE87" t="s">
        <v>51</v>
      </c>
    </row>
    <row r="88" spans="1:31" x14ac:dyDescent="0.3">
      <c r="A88">
        <v>10180</v>
      </c>
      <c r="B88">
        <v>41</v>
      </c>
      <c r="C88">
        <v>100</v>
      </c>
      <c r="D88">
        <v>11</v>
      </c>
      <c r="E88" s="4" t="str">
        <f t="shared" si="6"/>
        <v>high sales</v>
      </c>
      <c r="F88">
        <v>8892.9</v>
      </c>
      <c r="G88" t="s">
        <v>760</v>
      </c>
      <c r="H88" s="1" t="str">
        <f t="shared" si="7"/>
        <v>Shipped</v>
      </c>
      <c r="I88" s="4" t="str">
        <f t="shared" si="8"/>
        <v>completed</v>
      </c>
      <c r="J88" t="s">
        <v>25</v>
      </c>
      <c r="K88">
        <v>4</v>
      </c>
      <c r="L88">
        <v>11</v>
      </c>
      <c r="M88">
        <v>2003</v>
      </c>
      <c r="N88" t="s">
        <v>26</v>
      </c>
      <c r="O88">
        <v>193</v>
      </c>
      <c r="P88" t="s">
        <v>320</v>
      </c>
      <c r="Q88" t="s">
        <v>67</v>
      </c>
      <c r="R88" t="s">
        <v>68</v>
      </c>
      <c r="S88" t="s">
        <v>69</v>
      </c>
      <c r="U88" s="1" t="str">
        <f t="shared" si="9"/>
        <v>Lille</v>
      </c>
      <c r="V88" t="s">
        <v>70</v>
      </c>
      <c r="X88">
        <v>59000</v>
      </c>
      <c r="Y88" s="1" t="str">
        <f t="shared" si="10"/>
        <v>FRANCE</v>
      </c>
      <c r="Z88" s="4" t="str">
        <f t="shared" si="11"/>
        <v>France</v>
      </c>
      <c r="AA88" t="s">
        <v>41</v>
      </c>
      <c r="AB88" t="s">
        <v>42</v>
      </c>
      <c r="AC88" t="s">
        <v>71</v>
      </c>
      <c r="AD88" t="s">
        <v>72</v>
      </c>
      <c r="AE88" t="s">
        <v>151</v>
      </c>
    </row>
    <row r="89" spans="1:31" x14ac:dyDescent="0.3">
      <c r="A89">
        <v>10188</v>
      </c>
      <c r="B89">
        <v>45</v>
      </c>
      <c r="C89">
        <v>100</v>
      </c>
      <c r="D89">
        <v>3</v>
      </c>
      <c r="E89" s="4" t="str">
        <f t="shared" si="6"/>
        <v>high sales</v>
      </c>
      <c r="F89">
        <v>8714.7000000000007</v>
      </c>
      <c r="G89" t="s">
        <v>761</v>
      </c>
      <c r="H89" s="1" t="str">
        <f t="shared" si="7"/>
        <v>Shipped</v>
      </c>
      <c r="I89" s="4" t="str">
        <f t="shared" si="8"/>
        <v>completed</v>
      </c>
      <c r="J89" t="s">
        <v>25</v>
      </c>
      <c r="K89">
        <v>4</v>
      </c>
      <c r="L89">
        <v>11</v>
      </c>
      <c r="M89">
        <v>2003</v>
      </c>
      <c r="N89" t="s">
        <v>26</v>
      </c>
      <c r="O89">
        <v>193</v>
      </c>
      <c r="P89" t="s">
        <v>320</v>
      </c>
      <c r="Q89" t="s">
        <v>73</v>
      </c>
      <c r="R89" t="s">
        <v>74</v>
      </c>
      <c r="S89" t="s">
        <v>75</v>
      </c>
      <c r="U89" s="1" t="str">
        <f t="shared" si="9"/>
        <v>Bergen</v>
      </c>
      <c r="V89" t="s">
        <v>76</v>
      </c>
      <c r="X89" t="s">
        <v>77</v>
      </c>
      <c r="Y89" s="1" t="str">
        <f t="shared" si="10"/>
        <v>NORWAY</v>
      </c>
      <c r="Z89" s="4" t="str">
        <f t="shared" si="11"/>
        <v>Norway</v>
      </c>
      <c r="AA89" t="s">
        <v>78</v>
      </c>
      <c r="AB89" t="s">
        <v>42</v>
      </c>
      <c r="AC89" t="s">
        <v>79</v>
      </c>
      <c r="AD89" t="s">
        <v>80</v>
      </c>
      <c r="AE89" t="s">
        <v>151</v>
      </c>
    </row>
    <row r="90" spans="1:31" x14ac:dyDescent="0.3">
      <c r="A90">
        <v>10201</v>
      </c>
      <c r="B90">
        <v>49</v>
      </c>
      <c r="C90">
        <v>100</v>
      </c>
      <c r="D90">
        <v>4</v>
      </c>
      <c r="E90" s="4" t="str">
        <f t="shared" si="6"/>
        <v>high sales</v>
      </c>
      <c r="F90">
        <v>8065.89</v>
      </c>
      <c r="G90" t="s">
        <v>762</v>
      </c>
      <c r="H90" s="1" t="str">
        <f t="shared" si="7"/>
        <v>Shipped</v>
      </c>
      <c r="I90" s="4" t="str">
        <f t="shared" si="8"/>
        <v>completed</v>
      </c>
      <c r="J90" t="s">
        <v>25</v>
      </c>
      <c r="K90">
        <v>4</v>
      </c>
      <c r="L90">
        <v>12</v>
      </c>
      <c r="M90">
        <v>2003</v>
      </c>
      <c r="N90" t="s">
        <v>26</v>
      </c>
      <c r="O90">
        <v>193</v>
      </c>
      <c r="P90" t="s">
        <v>320</v>
      </c>
      <c r="Q90" t="s">
        <v>81</v>
      </c>
      <c r="R90">
        <v>6505555787</v>
      </c>
      <c r="S90" t="s">
        <v>82</v>
      </c>
      <c r="U90" s="1" t="str">
        <f t="shared" si="9"/>
        <v>San Francisco</v>
      </c>
      <c r="V90" t="s">
        <v>60</v>
      </c>
      <c r="W90" t="s">
        <v>55</v>
      </c>
      <c r="Y90" s="1" t="str">
        <f t="shared" si="10"/>
        <v>USA</v>
      </c>
      <c r="Z90" s="4" t="str">
        <f t="shared" si="11"/>
        <v>Usa</v>
      </c>
      <c r="AA90" t="s">
        <v>32</v>
      </c>
      <c r="AB90" t="s">
        <v>33</v>
      </c>
      <c r="AC90" t="s">
        <v>83</v>
      </c>
      <c r="AD90" t="s">
        <v>57</v>
      </c>
      <c r="AE90" t="s">
        <v>151</v>
      </c>
    </row>
    <row r="91" spans="1:31" x14ac:dyDescent="0.3">
      <c r="A91">
        <v>10210</v>
      </c>
      <c r="B91">
        <v>34</v>
      </c>
      <c r="C91">
        <v>100</v>
      </c>
      <c r="D91">
        <v>1</v>
      </c>
      <c r="E91" s="4" t="str">
        <f t="shared" si="6"/>
        <v>high sales</v>
      </c>
      <c r="F91">
        <v>6123.4</v>
      </c>
      <c r="G91" t="s">
        <v>763</v>
      </c>
      <c r="H91" s="1" t="str">
        <f t="shared" si="7"/>
        <v>Shipped</v>
      </c>
      <c r="I91" s="4" t="str">
        <f t="shared" si="8"/>
        <v>completed</v>
      </c>
      <c r="J91" t="s">
        <v>25</v>
      </c>
      <c r="K91">
        <v>1</v>
      </c>
      <c r="L91">
        <v>1</v>
      </c>
      <c r="M91">
        <v>2004</v>
      </c>
      <c r="N91" t="s">
        <v>26</v>
      </c>
      <c r="O91">
        <v>193</v>
      </c>
      <c r="P91" t="s">
        <v>320</v>
      </c>
      <c r="Q91" t="s">
        <v>302</v>
      </c>
      <c r="R91" t="s">
        <v>303</v>
      </c>
      <c r="S91" t="s">
        <v>304</v>
      </c>
      <c r="U91" s="1" t="str">
        <f t="shared" si="9"/>
        <v>Osaka</v>
      </c>
      <c r="V91" t="s">
        <v>305</v>
      </c>
      <c r="W91" t="s">
        <v>305</v>
      </c>
      <c r="X91" t="s">
        <v>306</v>
      </c>
      <c r="Y91" s="1" t="str">
        <f t="shared" si="10"/>
        <v>JAPAN</v>
      </c>
      <c r="Z91" s="4" t="str">
        <f t="shared" si="11"/>
        <v>Japan</v>
      </c>
      <c r="AA91" t="s">
        <v>200</v>
      </c>
      <c r="AB91" t="s">
        <v>200</v>
      </c>
      <c r="AC91" t="s">
        <v>307</v>
      </c>
      <c r="AD91" t="s">
        <v>308</v>
      </c>
      <c r="AE91" t="s">
        <v>51</v>
      </c>
    </row>
    <row r="92" spans="1:31" x14ac:dyDescent="0.3">
      <c r="A92">
        <v>10223</v>
      </c>
      <c r="B92">
        <v>49</v>
      </c>
      <c r="C92">
        <v>100</v>
      </c>
      <c r="D92">
        <v>3</v>
      </c>
      <c r="E92" s="4" t="str">
        <f t="shared" si="6"/>
        <v>high sales</v>
      </c>
      <c r="F92">
        <v>9774.0300000000007</v>
      </c>
      <c r="G92" t="s">
        <v>764</v>
      </c>
      <c r="H92" s="1" t="str">
        <f t="shared" si="7"/>
        <v>Shipped</v>
      </c>
      <c r="I92" s="4" t="str">
        <f t="shared" si="8"/>
        <v>completed</v>
      </c>
      <c r="J92" t="s">
        <v>25</v>
      </c>
      <c r="K92">
        <v>1</v>
      </c>
      <c r="L92">
        <v>2</v>
      </c>
      <c r="M92">
        <v>2004</v>
      </c>
      <c r="N92" t="s">
        <v>26</v>
      </c>
      <c r="O92">
        <v>193</v>
      </c>
      <c r="P92" t="s">
        <v>320</v>
      </c>
      <c r="Q92" t="s">
        <v>89</v>
      </c>
      <c r="R92" t="s">
        <v>90</v>
      </c>
      <c r="S92" t="s">
        <v>91</v>
      </c>
      <c r="T92" t="s">
        <v>92</v>
      </c>
      <c r="U92" s="1" t="str">
        <f t="shared" si="9"/>
        <v>Melbourne</v>
      </c>
      <c r="V92" t="s">
        <v>93</v>
      </c>
      <c r="W92" t="s">
        <v>94</v>
      </c>
      <c r="X92">
        <v>3004</v>
      </c>
      <c r="Y92" s="1" t="str">
        <f t="shared" si="10"/>
        <v>AUSTRALIA</v>
      </c>
      <c r="Z92" s="4" t="str">
        <f t="shared" si="11"/>
        <v>Australia</v>
      </c>
      <c r="AA92" t="s">
        <v>95</v>
      </c>
      <c r="AB92" t="s">
        <v>96</v>
      </c>
      <c r="AC92" t="s">
        <v>97</v>
      </c>
      <c r="AD92" t="s">
        <v>98</v>
      </c>
      <c r="AE92" t="s">
        <v>151</v>
      </c>
    </row>
    <row r="93" spans="1:31" x14ac:dyDescent="0.3">
      <c r="A93">
        <v>10237</v>
      </c>
      <c r="B93">
        <v>39</v>
      </c>
      <c r="C93">
        <v>100</v>
      </c>
      <c r="D93">
        <v>9</v>
      </c>
      <c r="E93" s="4" t="str">
        <f t="shared" si="6"/>
        <v>high sales</v>
      </c>
      <c r="F93">
        <v>7023.9</v>
      </c>
      <c r="G93" t="s">
        <v>765</v>
      </c>
      <c r="H93" s="1" t="str">
        <f t="shared" si="7"/>
        <v>Shipped</v>
      </c>
      <c r="I93" s="4" t="str">
        <f t="shared" si="8"/>
        <v>completed</v>
      </c>
      <c r="J93" t="s">
        <v>25</v>
      </c>
      <c r="K93">
        <v>2</v>
      </c>
      <c r="L93">
        <v>4</v>
      </c>
      <c r="M93">
        <v>2004</v>
      </c>
      <c r="N93" t="s">
        <v>26</v>
      </c>
      <c r="O93">
        <v>193</v>
      </c>
      <c r="P93" t="s">
        <v>320</v>
      </c>
      <c r="Q93" t="s">
        <v>99</v>
      </c>
      <c r="R93">
        <v>2125551500</v>
      </c>
      <c r="S93" t="s">
        <v>100</v>
      </c>
      <c r="T93" t="s">
        <v>101</v>
      </c>
      <c r="U93" s="1" t="str">
        <f t="shared" si="9"/>
        <v>Nyc</v>
      </c>
      <c r="V93" t="s">
        <v>30</v>
      </c>
      <c r="W93" t="s">
        <v>31</v>
      </c>
      <c r="X93">
        <v>10022</v>
      </c>
      <c r="Y93" s="1" t="str">
        <f t="shared" si="10"/>
        <v>USA</v>
      </c>
      <c r="Z93" s="4" t="str">
        <f t="shared" si="11"/>
        <v>Usa</v>
      </c>
      <c r="AA93" t="s">
        <v>32</v>
      </c>
      <c r="AB93" t="s">
        <v>33</v>
      </c>
      <c r="AC93" t="s">
        <v>102</v>
      </c>
      <c r="AD93" t="s">
        <v>103</v>
      </c>
      <c r="AE93" t="s">
        <v>151</v>
      </c>
    </row>
    <row r="94" spans="1:31" x14ac:dyDescent="0.3">
      <c r="A94">
        <v>10251</v>
      </c>
      <c r="B94">
        <v>43</v>
      </c>
      <c r="C94">
        <v>100</v>
      </c>
      <c r="D94">
        <v>4</v>
      </c>
      <c r="E94" s="4" t="str">
        <f t="shared" si="6"/>
        <v>high sales</v>
      </c>
      <c r="F94">
        <v>7078.23</v>
      </c>
      <c r="G94" t="s">
        <v>766</v>
      </c>
      <c r="H94" s="1" t="str">
        <f t="shared" si="7"/>
        <v>Shipped</v>
      </c>
      <c r="I94" s="4" t="str">
        <f t="shared" si="8"/>
        <v>completed</v>
      </c>
      <c r="J94" t="s">
        <v>25</v>
      </c>
      <c r="K94">
        <v>2</v>
      </c>
      <c r="L94">
        <v>5</v>
      </c>
      <c r="M94">
        <v>2004</v>
      </c>
      <c r="N94" t="s">
        <v>26</v>
      </c>
      <c r="O94">
        <v>193</v>
      </c>
      <c r="P94" t="s">
        <v>320</v>
      </c>
      <c r="Q94" t="s">
        <v>104</v>
      </c>
      <c r="R94">
        <v>2015559350</v>
      </c>
      <c r="S94" t="s">
        <v>105</v>
      </c>
      <c r="U94" s="1" t="str">
        <f t="shared" si="9"/>
        <v>Newark</v>
      </c>
      <c r="V94" t="s">
        <v>106</v>
      </c>
      <c r="W94" t="s">
        <v>107</v>
      </c>
      <c r="X94">
        <v>94019</v>
      </c>
      <c r="Y94" s="1" t="str">
        <f t="shared" si="10"/>
        <v>USA</v>
      </c>
      <c r="Z94" s="4" t="str">
        <f t="shared" si="11"/>
        <v>Usa</v>
      </c>
      <c r="AA94" t="s">
        <v>32</v>
      </c>
      <c r="AB94" t="s">
        <v>33</v>
      </c>
      <c r="AC94" t="s">
        <v>61</v>
      </c>
      <c r="AD94" t="s">
        <v>108</v>
      </c>
      <c r="AE94" t="s">
        <v>151</v>
      </c>
    </row>
    <row r="95" spans="1:31" x14ac:dyDescent="0.3">
      <c r="A95">
        <v>10263</v>
      </c>
      <c r="B95">
        <v>41</v>
      </c>
      <c r="C95">
        <v>100</v>
      </c>
      <c r="D95">
        <v>4</v>
      </c>
      <c r="E95" s="4" t="str">
        <f t="shared" si="6"/>
        <v>high sales</v>
      </c>
      <c r="F95">
        <v>8336.94</v>
      </c>
      <c r="G95" t="s">
        <v>767</v>
      </c>
      <c r="H95" s="1" t="str">
        <f t="shared" si="7"/>
        <v>Shipped</v>
      </c>
      <c r="I95" s="4" t="str">
        <f t="shared" si="8"/>
        <v>completed</v>
      </c>
      <c r="J95" t="s">
        <v>25</v>
      </c>
      <c r="K95">
        <v>2</v>
      </c>
      <c r="L95">
        <v>6</v>
      </c>
      <c r="M95">
        <v>2004</v>
      </c>
      <c r="N95" t="s">
        <v>26</v>
      </c>
      <c r="O95">
        <v>193</v>
      </c>
      <c r="P95" t="s">
        <v>320</v>
      </c>
      <c r="Q95" t="s">
        <v>109</v>
      </c>
      <c r="R95">
        <v>2035552570</v>
      </c>
      <c r="S95" t="s">
        <v>110</v>
      </c>
      <c r="U95" s="1" t="str">
        <f t="shared" si="9"/>
        <v>Bridgewater</v>
      </c>
      <c r="V95" t="s">
        <v>111</v>
      </c>
      <c r="W95" t="s">
        <v>112</v>
      </c>
      <c r="X95">
        <v>97562</v>
      </c>
      <c r="Y95" s="1" t="str">
        <f t="shared" si="10"/>
        <v>USA</v>
      </c>
      <c r="Z95" s="4" t="str">
        <f t="shared" si="11"/>
        <v>Usa</v>
      </c>
      <c r="AA95" t="s">
        <v>32</v>
      </c>
      <c r="AB95" t="s">
        <v>33</v>
      </c>
      <c r="AC95" t="s">
        <v>113</v>
      </c>
      <c r="AD95" t="s">
        <v>57</v>
      </c>
      <c r="AE95" t="s">
        <v>151</v>
      </c>
    </row>
    <row r="96" spans="1:31" x14ac:dyDescent="0.3">
      <c r="A96">
        <v>10275</v>
      </c>
      <c r="B96">
        <v>36</v>
      </c>
      <c r="C96">
        <v>100</v>
      </c>
      <c r="D96">
        <v>3</v>
      </c>
      <c r="E96" s="4" t="str">
        <f t="shared" si="6"/>
        <v>high sales</v>
      </c>
      <c r="F96">
        <v>6901.92</v>
      </c>
      <c r="G96" t="s">
        <v>768</v>
      </c>
      <c r="H96" s="1" t="str">
        <f t="shared" si="7"/>
        <v>Shipped</v>
      </c>
      <c r="I96" s="4" t="str">
        <f t="shared" si="8"/>
        <v>completed</v>
      </c>
      <c r="J96" t="s">
        <v>25</v>
      </c>
      <c r="K96">
        <v>3</v>
      </c>
      <c r="L96">
        <v>7</v>
      </c>
      <c r="M96">
        <v>2004</v>
      </c>
      <c r="N96" t="s">
        <v>26</v>
      </c>
      <c r="O96">
        <v>193</v>
      </c>
      <c r="P96" t="s">
        <v>320</v>
      </c>
      <c r="Q96" t="s">
        <v>114</v>
      </c>
      <c r="R96" t="s">
        <v>115</v>
      </c>
      <c r="S96" t="s">
        <v>116</v>
      </c>
      <c r="U96" s="1" t="str">
        <f t="shared" si="9"/>
        <v>Nantes</v>
      </c>
      <c r="V96" t="s">
        <v>117</v>
      </c>
      <c r="X96">
        <v>44000</v>
      </c>
      <c r="Y96" s="1" t="str">
        <f t="shared" si="10"/>
        <v>FRANCE</v>
      </c>
      <c r="Z96" s="4" t="str">
        <f t="shared" si="11"/>
        <v>France</v>
      </c>
      <c r="AA96" t="s">
        <v>41</v>
      </c>
      <c r="AB96" t="s">
        <v>42</v>
      </c>
      <c r="AC96" t="s">
        <v>118</v>
      </c>
      <c r="AD96" t="s">
        <v>119</v>
      </c>
      <c r="AE96" t="s">
        <v>51</v>
      </c>
    </row>
    <row r="97" spans="1:31" x14ac:dyDescent="0.3">
      <c r="A97">
        <v>10285</v>
      </c>
      <c r="B97">
        <v>27</v>
      </c>
      <c r="C97">
        <v>100</v>
      </c>
      <c r="D97">
        <v>8</v>
      </c>
      <c r="E97" s="4" t="str">
        <f t="shared" si="6"/>
        <v>high sales</v>
      </c>
      <c r="F97">
        <v>5438.07</v>
      </c>
      <c r="G97" t="s">
        <v>769</v>
      </c>
      <c r="H97" s="1" t="str">
        <f t="shared" si="7"/>
        <v>Shipped</v>
      </c>
      <c r="I97" s="4" t="str">
        <f t="shared" si="8"/>
        <v>completed</v>
      </c>
      <c r="J97" t="s">
        <v>25</v>
      </c>
      <c r="K97">
        <v>3</v>
      </c>
      <c r="L97">
        <v>8</v>
      </c>
      <c r="M97">
        <v>2004</v>
      </c>
      <c r="N97" t="s">
        <v>26</v>
      </c>
      <c r="O97">
        <v>193</v>
      </c>
      <c r="P97" t="s">
        <v>320</v>
      </c>
      <c r="Q97" t="s">
        <v>120</v>
      </c>
      <c r="R97">
        <v>6175558555</v>
      </c>
      <c r="S97" t="s">
        <v>121</v>
      </c>
      <c r="U97" s="1" t="str">
        <f t="shared" si="9"/>
        <v>Cambridge</v>
      </c>
      <c r="V97" t="s">
        <v>122</v>
      </c>
      <c r="W97" t="s">
        <v>123</v>
      </c>
      <c r="X97">
        <v>51247</v>
      </c>
      <c r="Y97" s="1" t="str">
        <f t="shared" si="10"/>
        <v>USA</v>
      </c>
      <c r="Z97" s="4" t="str">
        <f t="shared" si="11"/>
        <v>Usa</v>
      </c>
      <c r="AA97" t="s">
        <v>32</v>
      </c>
      <c r="AB97" t="s">
        <v>33</v>
      </c>
      <c r="AC97" t="s">
        <v>124</v>
      </c>
      <c r="AD97" t="s">
        <v>125</v>
      </c>
      <c r="AE97" t="s">
        <v>51</v>
      </c>
    </row>
    <row r="98" spans="1:31" x14ac:dyDescent="0.3">
      <c r="A98">
        <v>10299</v>
      </c>
      <c r="B98">
        <v>29</v>
      </c>
      <c r="C98">
        <v>100</v>
      </c>
      <c r="D98">
        <v>11</v>
      </c>
      <c r="E98" s="4" t="str">
        <f t="shared" si="6"/>
        <v>high sales</v>
      </c>
      <c r="F98">
        <v>6683.34</v>
      </c>
      <c r="G98" t="s">
        <v>770</v>
      </c>
      <c r="H98" s="1" t="str">
        <f t="shared" si="7"/>
        <v>Shipped</v>
      </c>
      <c r="I98" s="4" t="str">
        <f t="shared" si="8"/>
        <v>completed</v>
      </c>
      <c r="J98" t="s">
        <v>25</v>
      </c>
      <c r="K98">
        <v>3</v>
      </c>
      <c r="L98">
        <v>9</v>
      </c>
      <c r="M98">
        <v>2004</v>
      </c>
      <c r="N98" t="s">
        <v>26</v>
      </c>
      <c r="O98">
        <v>193</v>
      </c>
      <c r="P98" t="s">
        <v>320</v>
      </c>
      <c r="Q98" t="s">
        <v>126</v>
      </c>
      <c r="R98" t="s">
        <v>127</v>
      </c>
      <c r="S98" t="s">
        <v>128</v>
      </c>
      <c r="U98" s="1" t="str">
        <f t="shared" si="9"/>
        <v>Helsinki</v>
      </c>
      <c r="V98" t="s">
        <v>129</v>
      </c>
      <c r="X98">
        <v>21240</v>
      </c>
      <c r="Y98" s="1" t="str">
        <f t="shared" si="10"/>
        <v>FINLAND</v>
      </c>
      <c r="Z98" s="4" t="str">
        <f t="shared" si="11"/>
        <v>Finland</v>
      </c>
      <c r="AA98" t="s">
        <v>130</v>
      </c>
      <c r="AB98" t="s">
        <v>42</v>
      </c>
      <c r="AC98" t="s">
        <v>131</v>
      </c>
      <c r="AD98" t="s">
        <v>132</v>
      </c>
      <c r="AE98" t="s">
        <v>51</v>
      </c>
    </row>
    <row r="99" spans="1:31" x14ac:dyDescent="0.3">
      <c r="A99">
        <v>10308</v>
      </c>
      <c r="B99">
        <v>20</v>
      </c>
      <c r="C99">
        <v>100</v>
      </c>
      <c r="D99">
        <v>1</v>
      </c>
      <c r="E99" s="4" t="str">
        <f t="shared" si="6"/>
        <v>high sales</v>
      </c>
      <c r="F99">
        <v>4570.3999999999996</v>
      </c>
      <c r="G99" t="s">
        <v>771</v>
      </c>
      <c r="H99" s="1" t="str">
        <f t="shared" si="7"/>
        <v>Shipped</v>
      </c>
      <c r="I99" s="4" t="str">
        <f t="shared" si="8"/>
        <v>completed</v>
      </c>
      <c r="J99" t="s">
        <v>25</v>
      </c>
      <c r="K99">
        <v>4</v>
      </c>
      <c r="L99">
        <v>10</v>
      </c>
      <c r="M99">
        <v>2004</v>
      </c>
      <c r="N99" t="s">
        <v>26</v>
      </c>
      <c r="O99">
        <v>193</v>
      </c>
      <c r="P99" t="s">
        <v>320</v>
      </c>
      <c r="Q99" t="s">
        <v>317</v>
      </c>
      <c r="R99">
        <v>9145554562</v>
      </c>
      <c r="S99" t="s">
        <v>318</v>
      </c>
      <c r="U99" s="1" t="str">
        <f t="shared" si="9"/>
        <v>White Plains</v>
      </c>
      <c r="V99" t="s">
        <v>319</v>
      </c>
      <c r="W99" t="s">
        <v>31</v>
      </c>
      <c r="X99">
        <v>24067</v>
      </c>
      <c r="Y99" s="1" t="str">
        <f t="shared" si="10"/>
        <v>USA</v>
      </c>
      <c r="Z99" s="4" t="str">
        <f t="shared" si="11"/>
        <v>Usa</v>
      </c>
      <c r="AA99" t="s">
        <v>32</v>
      </c>
      <c r="AB99" t="s">
        <v>33</v>
      </c>
      <c r="AC99" t="s">
        <v>102</v>
      </c>
      <c r="AD99" t="s">
        <v>238</v>
      </c>
      <c r="AE99" t="s">
        <v>51</v>
      </c>
    </row>
    <row r="100" spans="1:31" x14ac:dyDescent="0.3">
      <c r="A100">
        <v>10318</v>
      </c>
      <c r="B100">
        <v>37</v>
      </c>
      <c r="C100">
        <v>100</v>
      </c>
      <c r="D100">
        <v>3</v>
      </c>
      <c r="E100" s="4" t="str">
        <f t="shared" si="6"/>
        <v>high sales</v>
      </c>
      <c r="F100">
        <v>7667.14</v>
      </c>
      <c r="G100" t="s">
        <v>772</v>
      </c>
      <c r="H100" s="1" t="str">
        <f t="shared" si="7"/>
        <v>Shipped</v>
      </c>
      <c r="I100" s="4" t="str">
        <f t="shared" si="8"/>
        <v>completed</v>
      </c>
      <c r="J100" t="s">
        <v>25</v>
      </c>
      <c r="K100">
        <v>4</v>
      </c>
      <c r="L100">
        <v>11</v>
      </c>
      <c r="M100">
        <v>2004</v>
      </c>
      <c r="N100" t="s">
        <v>26</v>
      </c>
      <c r="O100">
        <v>193</v>
      </c>
      <c r="P100" t="s">
        <v>320</v>
      </c>
      <c r="Q100" t="s">
        <v>139</v>
      </c>
      <c r="R100">
        <v>2155551555</v>
      </c>
      <c r="S100" t="s">
        <v>140</v>
      </c>
      <c r="U100" s="1" t="str">
        <f t="shared" si="9"/>
        <v>Allentown</v>
      </c>
      <c r="V100" t="s">
        <v>141</v>
      </c>
      <c r="W100" t="s">
        <v>142</v>
      </c>
      <c r="X100">
        <v>70267</v>
      </c>
      <c r="Y100" s="1" t="str">
        <f t="shared" si="10"/>
        <v>USA</v>
      </c>
      <c r="Z100" s="4" t="str">
        <f t="shared" si="11"/>
        <v>Usa</v>
      </c>
      <c r="AA100" t="s">
        <v>32</v>
      </c>
      <c r="AB100" t="s">
        <v>33</v>
      </c>
      <c r="AC100" t="s">
        <v>34</v>
      </c>
      <c r="AD100" t="s">
        <v>143</v>
      </c>
      <c r="AE100" t="s">
        <v>151</v>
      </c>
    </row>
    <row r="101" spans="1:31" x14ac:dyDescent="0.3">
      <c r="A101">
        <v>10329</v>
      </c>
      <c r="B101">
        <v>26</v>
      </c>
      <c r="C101">
        <v>100</v>
      </c>
      <c r="D101">
        <v>3</v>
      </c>
      <c r="E101" s="4" t="str">
        <f t="shared" si="6"/>
        <v>high sales</v>
      </c>
      <c r="F101">
        <v>5868.2</v>
      </c>
      <c r="G101" t="s">
        <v>773</v>
      </c>
      <c r="H101" s="1" t="str">
        <f t="shared" si="7"/>
        <v>Shipped</v>
      </c>
      <c r="I101" s="4" t="str">
        <f t="shared" si="8"/>
        <v>completed</v>
      </c>
      <c r="J101" t="s">
        <v>25</v>
      </c>
      <c r="K101">
        <v>4</v>
      </c>
      <c r="L101">
        <v>11</v>
      </c>
      <c r="M101">
        <v>2004</v>
      </c>
      <c r="N101" t="s">
        <v>26</v>
      </c>
      <c r="O101">
        <v>193</v>
      </c>
      <c r="P101" t="s">
        <v>320</v>
      </c>
      <c r="Q101" t="s">
        <v>28</v>
      </c>
      <c r="R101">
        <v>2125557818</v>
      </c>
      <c r="S101" t="s">
        <v>29</v>
      </c>
      <c r="U101" s="1" t="str">
        <f t="shared" si="9"/>
        <v>Nyc</v>
      </c>
      <c r="V101" t="s">
        <v>30</v>
      </c>
      <c r="W101" t="s">
        <v>31</v>
      </c>
      <c r="X101">
        <v>10022</v>
      </c>
      <c r="Y101" s="1" t="str">
        <f t="shared" si="10"/>
        <v>USA</v>
      </c>
      <c r="Z101" s="4" t="str">
        <f t="shared" si="11"/>
        <v>Usa</v>
      </c>
      <c r="AA101" t="s">
        <v>32</v>
      </c>
      <c r="AB101" t="s">
        <v>33</v>
      </c>
      <c r="AC101" t="s">
        <v>34</v>
      </c>
      <c r="AD101" t="s">
        <v>35</v>
      </c>
      <c r="AE101" t="s">
        <v>51</v>
      </c>
    </row>
    <row r="102" spans="1:31" x14ac:dyDescent="0.3">
      <c r="A102">
        <v>10339</v>
      </c>
      <c r="B102">
        <v>39</v>
      </c>
      <c r="C102">
        <v>76.67</v>
      </c>
      <c r="D102">
        <v>3</v>
      </c>
      <c r="E102" s="4" t="str">
        <f t="shared" si="6"/>
        <v>low sales</v>
      </c>
      <c r="F102">
        <v>2990.13</v>
      </c>
      <c r="G102" t="s">
        <v>774</v>
      </c>
      <c r="H102" s="1" t="str">
        <f t="shared" si="7"/>
        <v>Shipped</v>
      </c>
      <c r="I102" s="4" t="str">
        <f t="shared" si="8"/>
        <v>completed</v>
      </c>
      <c r="J102" t="s">
        <v>25</v>
      </c>
      <c r="K102">
        <v>4</v>
      </c>
      <c r="L102">
        <v>11</v>
      </c>
      <c r="M102">
        <v>2004</v>
      </c>
      <c r="N102" t="s">
        <v>26</v>
      </c>
      <c r="O102">
        <v>193</v>
      </c>
      <c r="P102" t="s">
        <v>320</v>
      </c>
      <c r="Q102" t="s">
        <v>246</v>
      </c>
      <c r="R102" t="s">
        <v>247</v>
      </c>
      <c r="S102" t="s">
        <v>248</v>
      </c>
      <c r="U102" s="1" t="str">
        <f t="shared" si="9"/>
        <v>Minato-Ku</v>
      </c>
      <c r="V102" t="s">
        <v>249</v>
      </c>
      <c r="W102" t="s">
        <v>250</v>
      </c>
      <c r="X102" t="s">
        <v>251</v>
      </c>
      <c r="Y102" s="1" t="str">
        <f t="shared" si="10"/>
        <v>JAPAN</v>
      </c>
      <c r="Z102" s="4" t="str">
        <f t="shared" si="11"/>
        <v>Japan</v>
      </c>
      <c r="AA102" t="s">
        <v>200</v>
      </c>
      <c r="AB102" t="s">
        <v>200</v>
      </c>
      <c r="AC102" t="s">
        <v>252</v>
      </c>
      <c r="AD102" t="s">
        <v>253</v>
      </c>
      <c r="AE102" t="s">
        <v>36</v>
      </c>
    </row>
    <row r="103" spans="1:31" x14ac:dyDescent="0.3">
      <c r="A103">
        <v>10362</v>
      </c>
      <c r="B103">
        <v>22</v>
      </c>
      <c r="C103">
        <v>100</v>
      </c>
      <c r="D103">
        <v>4</v>
      </c>
      <c r="E103" s="4" t="str">
        <f t="shared" si="6"/>
        <v>low sales</v>
      </c>
      <c r="F103">
        <v>3664.1</v>
      </c>
      <c r="G103" t="s">
        <v>775</v>
      </c>
      <c r="H103" s="1" t="str">
        <f t="shared" si="7"/>
        <v>Shipped</v>
      </c>
      <c r="I103" s="4" t="str">
        <f t="shared" si="8"/>
        <v>completed</v>
      </c>
      <c r="J103" t="s">
        <v>25</v>
      </c>
      <c r="K103">
        <v>1</v>
      </c>
      <c r="L103">
        <v>1</v>
      </c>
      <c r="M103">
        <v>2005</v>
      </c>
      <c r="N103" t="s">
        <v>26</v>
      </c>
      <c r="O103">
        <v>193</v>
      </c>
      <c r="P103" t="s">
        <v>320</v>
      </c>
      <c r="Q103" t="s">
        <v>62</v>
      </c>
      <c r="R103">
        <v>6505556809</v>
      </c>
      <c r="S103" t="s">
        <v>63</v>
      </c>
      <c r="U103" s="1" t="str">
        <f t="shared" si="9"/>
        <v>Burlingame</v>
      </c>
      <c r="V103" t="s">
        <v>64</v>
      </c>
      <c r="W103" t="s">
        <v>55</v>
      </c>
      <c r="X103">
        <v>94217</v>
      </c>
      <c r="Y103" s="1" t="str">
        <f t="shared" si="10"/>
        <v>USA</v>
      </c>
      <c r="Z103" s="4" t="str">
        <f t="shared" si="11"/>
        <v>Usa</v>
      </c>
      <c r="AA103" t="s">
        <v>32</v>
      </c>
      <c r="AB103" t="s">
        <v>33</v>
      </c>
      <c r="AC103" t="s">
        <v>65</v>
      </c>
      <c r="AD103" t="s">
        <v>66</v>
      </c>
      <c r="AE103" t="s">
        <v>51</v>
      </c>
    </row>
    <row r="104" spans="1:31" x14ac:dyDescent="0.3">
      <c r="A104">
        <v>10374</v>
      </c>
      <c r="B104">
        <v>22</v>
      </c>
      <c r="C104">
        <v>100</v>
      </c>
      <c r="D104">
        <v>1</v>
      </c>
      <c r="E104" s="4" t="str">
        <f t="shared" si="6"/>
        <v>low sales</v>
      </c>
      <c r="F104">
        <v>3834.38</v>
      </c>
      <c r="G104" t="s">
        <v>776</v>
      </c>
      <c r="H104" s="1" t="str">
        <f t="shared" si="7"/>
        <v>Shipped</v>
      </c>
      <c r="I104" s="4" t="str">
        <f t="shared" si="8"/>
        <v>completed</v>
      </c>
      <c r="J104" t="s">
        <v>25</v>
      </c>
      <c r="K104">
        <v>1</v>
      </c>
      <c r="L104">
        <v>2</v>
      </c>
      <c r="M104">
        <v>2005</v>
      </c>
      <c r="N104" t="s">
        <v>26</v>
      </c>
      <c r="O104">
        <v>193</v>
      </c>
      <c r="P104" t="s">
        <v>320</v>
      </c>
      <c r="Q104" t="s">
        <v>207</v>
      </c>
      <c r="R104" t="s">
        <v>208</v>
      </c>
      <c r="S104" t="s">
        <v>209</v>
      </c>
      <c r="U104" s="1" t="str">
        <f t="shared" si="9"/>
        <v>South Brisbane</v>
      </c>
      <c r="V104" t="s">
        <v>210</v>
      </c>
      <c r="W104" t="s">
        <v>211</v>
      </c>
      <c r="X104">
        <v>4101</v>
      </c>
      <c r="Y104" s="1" t="str">
        <f t="shared" si="10"/>
        <v>AUSTRALIA</v>
      </c>
      <c r="Z104" s="4" t="str">
        <f t="shared" si="11"/>
        <v>Australia</v>
      </c>
      <c r="AA104" t="s">
        <v>95</v>
      </c>
      <c r="AB104" t="s">
        <v>96</v>
      </c>
      <c r="AC104" t="s">
        <v>212</v>
      </c>
      <c r="AD104" t="s">
        <v>213</v>
      </c>
      <c r="AE104" t="s">
        <v>51</v>
      </c>
    </row>
    <row r="105" spans="1:31" x14ac:dyDescent="0.3">
      <c r="A105">
        <v>10388</v>
      </c>
      <c r="B105">
        <v>21</v>
      </c>
      <c r="C105">
        <v>86.77</v>
      </c>
      <c r="D105">
        <v>7</v>
      </c>
      <c r="E105" s="4" t="str">
        <f t="shared" si="6"/>
        <v>low sales</v>
      </c>
      <c r="F105">
        <v>1822.17</v>
      </c>
      <c r="G105" t="s">
        <v>777</v>
      </c>
      <c r="H105" s="1" t="str">
        <f t="shared" si="7"/>
        <v>Shipped</v>
      </c>
      <c r="I105" s="4" t="str">
        <f t="shared" si="8"/>
        <v>completed</v>
      </c>
      <c r="J105" t="s">
        <v>25</v>
      </c>
      <c r="K105">
        <v>1</v>
      </c>
      <c r="L105">
        <v>3</v>
      </c>
      <c r="M105">
        <v>2005</v>
      </c>
      <c r="N105" t="s">
        <v>26</v>
      </c>
      <c r="O105">
        <v>193</v>
      </c>
      <c r="P105" t="s">
        <v>320</v>
      </c>
      <c r="Q105" t="s">
        <v>160</v>
      </c>
      <c r="R105">
        <v>5085552555</v>
      </c>
      <c r="S105" t="s">
        <v>161</v>
      </c>
      <c r="U105" s="1" t="str">
        <f t="shared" si="9"/>
        <v>New Bedford</v>
      </c>
      <c r="V105" t="s">
        <v>162</v>
      </c>
      <c r="W105" t="s">
        <v>123</v>
      </c>
      <c r="X105">
        <v>50553</v>
      </c>
      <c r="Y105" s="1" t="str">
        <f t="shared" si="10"/>
        <v>USA</v>
      </c>
      <c r="Z105" s="4" t="str">
        <f t="shared" si="11"/>
        <v>Usa</v>
      </c>
      <c r="AA105" t="s">
        <v>32</v>
      </c>
      <c r="AB105" t="s">
        <v>33</v>
      </c>
      <c r="AC105" t="s">
        <v>163</v>
      </c>
      <c r="AD105" t="s">
        <v>164</v>
      </c>
      <c r="AE105" t="s">
        <v>36</v>
      </c>
    </row>
    <row r="106" spans="1:31" x14ac:dyDescent="0.3">
      <c r="A106">
        <v>10403</v>
      </c>
      <c r="B106">
        <v>66</v>
      </c>
      <c r="C106">
        <v>100</v>
      </c>
      <c r="D106">
        <v>9</v>
      </c>
      <c r="E106" s="4" t="str">
        <f t="shared" si="6"/>
        <v>high sales</v>
      </c>
      <c r="F106">
        <v>11886.6</v>
      </c>
      <c r="G106" t="s">
        <v>778</v>
      </c>
      <c r="H106" s="1" t="str">
        <f t="shared" si="7"/>
        <v>Shipped</v>
      </c>
      <c r="I106" s="4" t="str">
        <f t="shared" si="8"/>
        <v>completed</v>
      </c>
      <c r="J106" t="s">
        <v>25</v>
      </c>
      <c r="K106">
        <v>2</v>
      </c>
      <c r="L106">
        <v>4</v>
      </c>
      <c r="M106">
        <v>2005</v>
      </c>
      <c r="N106" t="s">
        <v>26</v>
      </c>
      <c r="O106">
        <v>193</v>
      </c>
      <c r="P106" t="s">
        <v>320</v>
      </c>
      <c r="Q106" t="s">
        <v>165</v>
      </c>
      <c r="R106" t="s">
        <v>166</v>
      </c>
      <c r="S106" t="s">
        <v>167</v>
      </c>
      <c r="U106" s="1" t="str">
        <f t="shared" si="9"/>
        <v>Liverpool</v>
      </c>
      <c r="V106" t="s">
        <v>168</v>
      </c>
      <c r="X106" t="s">
        <v>169</v>
      </c>
      <c r="Y106" s="1" t="str">
        <f t="shared" si="10"/>
        <v>UK</v>
      </c>
      <c r="Z106" s="4" t="str">
        <f t="shared" si="11"/>
        <v>Uk</v>
      </c>
      <c r="AA106" t="s">
        <v>170</v>
      </c>
      <c r="AB106" t="s">
        <v>42</v>
      </c>
      <c r="AC106" t="s">
        <v>171</v>
      </c>
      <c r="AD106" t="s">
        <v>172</v>
      </c>
      <c r="AE106" t="s">
        <v>151</v>
      </c>
    </row>
    <row r="107" spans="1:31" x14ac:dyDescent="0.3">
      <c r="A107">
        <v>10417</v>
      </c>
      <c r="B107">
        <v>56</v>
      </c>
      <c r="C107">
        <v>100</v>
      </c>
      <c r="D107">
        <v>4</v>
      </c>
      <c r="E107" s="4" t="str">
        <f t="shared" si="6"/>
        <v>high sales</v>
      </c>
      <c r="F107">
        <v>9218.16</v>
      </c>
      <c r="G107" t="s">
        <v>779</v>
      </c>
      <c r="H107" s="1" t="str">
        <f t="shared" si="7"/>
        <v>Disputed</v>
      </c>
      <c r="I107" s="4" t="str">
        <f t="shared" si="8"/>
        <v>not completed</v>
      </c>
      <c r="J107" t="s">
        <v>173</v>
      </c>
      <c r="K107">
        <v>2</v>
      </c>
      <c r="L107">
        <v>5</v>
      </c>
      <c r="M107">
        <v>2005</v>
      </c>
      <c r="N107" t="s">
        <v>26</v>
      </c>
      <c r="O107">
        <v>193</v>
      </c>
      <c r="P107" t="s">
        <v>320</v>
      </c>
      <c r="Q107" t="s">
        <v>174</v>
      </c>
      <c r="R107" t="s">
        <v>175</v>
      </c>
      <c r="S107" t="s">
        <v>176</v>
      </c>
      <c r="U107" s="1" t="str">
        <f t="shared" si="9"/>
        <v>Madrid</v>
      </c>
      <c r="V107" t="s">
        <v>177</v>
      </c>
      <c r="X107">
        <v>28034</v>
      </c>
      <c r="Y107" s="1" t="str">
        <f t="shared" si="10"/>
        <v>SPAIN</v>
      </c>
      <c r="Z107" s="4" t="str">
        <f t="shared" si="11"/>
        <v>Spain</v>
      </c>
      <c r="AA107" t="s">
        <v>178</v>
      </c>
      <c r="AB107" t="s">
        <v>42</v>
      </c>
      <c r="AC107" t="s">
        <v>179</v>
      </c>
      <c r="AD107" t="s">
        <v>180</v>
      </c>
      <c r="AE107" t="s">
        <v>151</v>
      </c>
    </row>
    <row r="108" spans="1:31" x14ac:dyDescent="0.3">
      <c r="A108">
        <v>10105</v>
      </c>
      <c r="B108">
        <v>50</v>
      </c>
      <c r="C108">
        <v>100</v>
      </c>
      <c r="D108">
        <v>2</v>
      </c>
      <c r="E108" s="4" t="str">
        <f t="shared" si="6"/>
        <v>high sales</v>
      </c>
      <c r="F108">
        <v>7208</v>
      </c>
      <c r="G108" t="s">
        <v>780</v>
      </c>
      <c r="H108" s="1" t="str">
        <f t="shared" si="7"/>
        <v>Shipped</v>
      </c>
      <c r="I108" s="4" t="str">
        <f t="shared" si="8"/>
        <v>completed</v>
      </c>
      <c r="J108" t="s">
        <v>25</v>
      </c>
      <c r="K108">
        <v>1</v>
      </c>
      <c r="L108">
        <v>2</v>
      </c>
      <c r="M108">
        <v>2003</v>
      </c>
      <c r="N108" t="s">
        <v>181</v>
      </c>
      <c r="O108">
        <v>136</v>
      </c>
      <c r="P108" t="s">
        <v>321</v>
      </c>
      <c r="Q108" t="s">
        <v>322</v>
      </c>
      <c r="R108" t="s">
        <v>323</v>
      </c>
      <c r="S108" t="s">
        <v>324</v>
      </c>
      <c r="U108" s="1" t="str">
        <f t="shared" si="9"/>
        <v>Kobenhavn</v>
      </c>
      <c r="V108" t="s">
        <v>325</v>
      </c>
      <c r="X108">
        <v>1734</v>
      </c>
      <c r="Y108" s="1" t="str">
        <f t="shared" si="10"/>
        <v>DENMARK</v>
      </c>
      <c r="Z108" s="4" t="str">
        <f t="shared" si="11"/>
        <v>Denmark</v>
      </c>
      <c r="AA108" t="s">
        <v>326</v>
      </c>
      <c r="AB108" t="s">
        <v>42</v>
      </c>
      <c r="AC108" t="s">
        <v>327</v>
      </c>
      <c r="AD108" t="s">
        <v>328</v>
      </c>
      <c r="AE108" t="s">
        <v>151</v>
      </c>
    </row>
    <row r="109" spans="1:31" x14ac:dyDescent="0.3">
      <c r="A109">
        <v>10119</v>
      </c>
      <c r="B109">
        <v>46</v>
      </c>
      <c r="C109">
        <v>100</v>
      </c>
      <c r="D109">
        <v>11</v>
      </c>
      <c r="E109" s="4" t="str">
        <f t="shared" si="6"/>
        <v>high sales</v>
      </c>
      <c r="F109">
        <v>5004.8</v>
      </c>
      <c r="G109" t="s">
        <v>781</v>
      </c>
      <c r="H109" s="1" t="str">
        <f t="shared" si="7"/>
        <v>Shipped</v>
      </c>
      <c r="I109" s="4" t="str">
        <f t="shared" si="8"/>
        <v>completed</v>
      </c>
      <c r="J109" t="s">
        <v>25</v>
      </c>
      <c r="K109">
        <v>2</v>
      </c>
      <c r="L109">
        <v>4</v>
      </c>
      <c r="M109">
        <v>2003</v>
      </c>
      <c r="N109" t="s">
        <v>181</v>
      </c>
      <c r="O109">
        <v>136</v>
      </c>
      <c r="P109" t="s">
        <v>321</v>
      </c>
      <c r="Q109" t="s">
        <v>144</v>
      </c>
      <c r="R109" t="s">
        <v>145</v>
      </c>
      <c r="S109" t="s">
        <v>146</v>
      </c>
      <c r="U109" s="1" t="str">
        <f t="shared" si="9"/>
        <v>Salzburg</v>
      </c>
      <c r="V109" t="s">
        <v>147</v>
      </c>
      <c r="X109">
        <v>5020</v>
      </c>
      <c r="Y109" s="1" t="str">
        <f t="shared" si="10"/>
        <v>AUSTRIA</v>
      </c>
      <c r="Z109" s="4" t="str">
        <f t="shared" si="11"/>
        <v>Austria</v>
      </c>
      <c r="AA109" t="s">
        <v>148</v>
      </c>
      <c r="AB109" t="s">
        <v>42</v>
      </c>
      <c r="AC109" t="s">
        <v>149</v>
      </c>
      <c r="AD109" t="s">
        <v>150</v>
      </c>
      <c r="AE109" t="s">
        <v>51</v>
      </c>
    </row>
    <row r="110" spans="1:31" x14ac:dyDescent="0.3">
      <c r="A110">
        <v>10129</v>
      </c>
      <c r="B110">
        <v>33</v>
      </c>
      <c r="C110">
        <v>100</v>
      </c>
      <c r="D110">
        <v>2</v>
      </c>
      <c r="E110" s="4" t="str">
        <f t="shared" si="6"/>
        <v>high sales</v>
      </c>
      <c r="F110">
        <v>4398.24</v>
      </c>
      <c r="G110" t="s">
        <v>782</v>
      </c>
      <c r="H110" s="1" t="str">
        <f t="shared" si="7"/>
        <v>Shipped</v>
      </c>
      <c r="I110" s="4" t="str">
        <f t="shared" si="8"/>
        <v>completed</v>
      </c>
      <c r="J110" t="s">
        <v>25</v>
      </c>
      <c r="K110">
        <v>2</v>
      </c>
      <c r="L110">
        <v>6</v>
      </c>
      <c r="M110">
        <v>2003</v>
      </c>
      <c r="N110" t="s">
        <v>181</v>
      </c>
      <c r="O110">
        <v>136</v>
      </c>
      <c r="P110" t="s">
        <v>321</v>
      </c>
      <c r="Q110" t="s">
        <v>329</v>
      </c>
      <c r="R110" t="s">
        <v>330</v>
      </c>
      <c r="S110" t="s">
        <v>331</v>
      </c>
      <c r="U110" s="1" t="str">
        <f t="shared" si="9"/>
        <v>London</v>
      </c>
      <c r="V110" t="s">
        <v>332</v>
      </c>
      <c r="X110" t="s">
        <v>333</v>
      </c>
      <c r="Y110" s="1" t="str">
        <f t="shared" si="10"/>
        <v>UK</v>
      </c>
      <c r="Z110" s="4" t="str">
        <f t="shared" si="11"/>
        <v>Uk</v>
      </c>
      <c r="AA110" t="s">
        <v>170</v>
      </c>
      <c r="AB110" t="s">
        <v>42</v>
      </c>
      <c r="AC110" t="s">
        <v>61</v>
      </c>
      <c r="AD110" t="s">
        <v>334</v>
      </c>
      <c r="AE110" t="s">
        <v>51</v>
      </c>
    </row>
    <row r="111" spans="1:31" x14ac:dyDescent="0.3">
      <c r="A111">
        <v>10143</v>
      </c>
      <c r="B111">
        <v>49</v>
      </c>
      <c r="C111">
        <v>100</v>
      </c>
      <c r="D111">
        <v>15</v>
      </c>
      <c r="E111" s="4" t="str">
        <f t="shared" si="6"/>
        <v>high sales</v>
      </c>
      <c r="F111">
        <v>5597.76</v>
      </c>
      <c r="G111" t="s">
        <v>783</v>
      </c>
      <c r="H111" s="1" t="str">
        <f t="shared" si="7"/>
        <v>Shipped</v>
      </c>
      <c r="I111" s="4" t="str">
        <f t="shared" si="8"/>
        <v>completed</v>
      </c>
      <c r="J111" t="s">
        <v>25</v>
      </c>
      <c r="K111">
        <v>3</v>
      </c>
      <c r="L111">
        <v>8</v>
      </c>
      <c r="M111">
        <v>2003</v>
      </c>
      <c r="N111" t="s">
        <v>181</v>
      </c>
      <c r="O111">
        <v>136</v>
      </c>
      <c r="P111" t="s">
        <v>321</v>
      </c>
      <c r="Q111" t="s">
        <v>335</v>
      </c>
      <c r="R111">
        <v>5085559555</v>
      </c>
      <c r="S111" t="s">
        <v>336</v>
      </c>
      <c r="U111" s="1" t="str">
        <f t="shared" si="9"/>
        <v>New Bedford</v>
      </c>
      <c r="V111" t="s">
        <v>162</v>
      </c>
      <c r="W111" t="s">
        <v>123</v>
      </c>
      <c r="X111">
        <v>50553</v>
      </c>
      <c r="Y111" s="1" t="str">
        <f t="shared" si="10"/>
        <v>USA</v>
      </c>
      <c r="Z111" s="4" t="str">
        <f t="shared" si="11"/>
        <v>Usa</v>
      </c>
      <c r="AA111" t="s">
        <v>32</v>
      </c>
      <c r="AB111" t="s">
        <v>33</v>
      </c>
      <c r="AC111" t="s">
        <v>337</v>
      </c>
      <c r="AD111" t="s">
        <v>338</v>
      </c>
      <c r="AE111" t="s">
        <v>51</v>
      </c>
    </row>
    <row r="112" spans="1:31" x14ac:dyDescent="0.3">
      <c r="A112">
        <v>10155</v>
      </c>
      <c r="B112">
        <v>32</v>
      </c>
      <c r="C112">
        <v>100</v>
      </c>
      <c r="D112">
        <v>13</v>
      </c>
      <c r="E112" s="4" t="str">
        <f t="shared" si="6"/>
        <v>high sales</v>
      </c>
      <c r="F112">
        <v>4526.08</v>
      </c>
      <c r="G112" t="s">
        <v>784</v>
      </c>
      <c r="H112" s="1" t="str">
        <f t="shared" si="7"/>
        <v>Shipped</v>
      </c>
      <c r="I112" s="4" t="str">
        <f t="shared" si="8"/>
        <v>completed</v>
      </c>
      <c r="J112" t="s">
        <v>25</v>
      </c>
      <c r="K112">
        <v>4</v>
      </c>
      <c r="L112">
        <v>10</v>
      </c>
      <c r="M112">
        <v>2003</v>
      </c>
      <c r="N112" t="s">
        <v>181</v>
      </c>
      <c r="O112">
        <v>136</v>
      </c>
      <c r="P112" t="s">
        <v>321</v>
      </c>
      <c r="Q112" t="s">
        <v>126</v>
      </c>
      <c r="R112" t="s">
        <v>127</v>
      </c>
      <c r="S112" t="s">
        <v>128</v>
      </c>
      <c r="U112" s="1" t="str">
        <f t="shared" si="9"/>
        <v>Helsinki</v>
      </c>
      <c r="V112" t="s">
        <v>129</v>
      </c>
      <c r="X112">
        <v>21240</v>
      </c>
      <c r="Y112" s="1" t="str">
        <f t="shared" si="10"/>
        <v>FINLAND</v>
      </c>
      <c r="Z112" s="4" t="str">
        <f t="shared" si="11"/>
        <v>Finland</v>
      </c>
      <c r="AA112" t="s">
        <v>130</v>
      </c>
      <c r="AB112" t="s">
        <v>42</v>
      </c>
      <c r="AC112" t="s">
        <v>131</v>
      </c>
      <c r="AD112" t="s">
        <v>132</v>
      </c>
      <c r="AE112" t="s">
        <v>51</v>
      </c>
    </row>
    <row r="113" spans="1:31" x14ac:dyDescent="0.3">
      <c r="A113">
        <v>10167</v>
      </c>
      <c r="B113">
        <v>44</v>
      </c>
      <c r="C113">
        <v>100</v>
      </c>
      <c r="D113">
        <v>9</v>
      </c>
      <c r="E113" s="4" t="str">
        <f t="shared" si="6"/>
        <v>high sales</v>
      </c>
      <c r="F113">
        <v>5924.16</v>
      </c>
      <c r="G113" t="s">
        <v>785</v>
      </c>
      <c r="H113" s="1" t="str">
        <f t="shared" si="7"/>
        <v>Cancelled</v>
      </c>
      <c r="I113" s="4" t="str">
        <f t="shared" si="8"/>
        <v>not completed</v>
      </c>
      <c r="J113" t="s">
        <v>339</v>
      </c>
      <c r="K113">
        <v>4</v>
      </c>
      <c r="L113">
        <v>10</v>
      </c>
      <c r="M113">
        <v>2003</v>
      </c>
      <c r="N113" t="s">
        <v>181</v>
      </c>
      <c r="O113">
        <v>136</v>
      </c>
      <c r="P113" t="s">
        <v>321</v>
      </c>
      <c r="Q113" t="s">
        <v>261</v>
      </c>
      <c r="R113" t="s">
        <v>262</v>
      </c>
      <c r="S113" t="s">
        <v>263</v>
      </c>
      <c r="U113" s="1" t="str">
        <f t="shared" si="9"/>
        <v>Boras</v>
      </c>
      <c r="V113" t="s">
        <v>264</v>
      </c>
      <c r="X113" t="s">
        <v>265</v>
      </c>
      <c r="Y113" s="1" t="str">
        <f t="shared" si="10"/>
        <v>SWEDEN</v>
      </c>
      <c r="Z113" s="4" t="str">
        <f t="shared" si="11"/>
        <v>Sweden</v>
      </c>
      <c r="AA113" t="s">
        <v>188</v>
      </c>
      <c r="AB113" t="s">
        <v>42</v>
      </c>
      <c r="AC113" t="s">
        <v>266</v>
      </c>
      <c r="AD113" t="s">
        <v>206</v>
      </c>
      <c r="AE113" t="s">
        <v>51</v>
      </c>
    </row>
    <row r="114" spans="1:31" x14ac:dyDescent="0.3">
      <c r="A114">
        <v>10178</v>
      </c>
      <c r="B114">
        <v>24</v>
      </c>
      <c r="C114">
        <v>100</v>
      </c>
      <c r="D114">
        <v>12</v>
      </c>
      <c r="E114" s="4" t="str">
        <f t="shared" si="6"/>
        <v>low sales</v>
      </c>
      <c r="F114">
        <v>3492.48</v>
      </c>
      <c r="G114" t="s">
        <v>786</v>
      </c>
      <c r="H114" s="1" t="str">
        <f t="shared" si="7"/>
        <v>Shipped</v>
      </c>
      <c r="I114" s="4" t="str">
        <f t="shared" si="8"/>
        <v>completed</v>
      </c>
      <c r="J114" t="s">
        <v>25</v>
      </c>
      <c r="K114">
        <v>4</v>
      </c>
      <c r="L114">
        <v>11</v>
      </c>
      <c r="M114">
        <v>2003</v>
      </c>
      <c r="N114" t="s">
        <v>181</v>
      </c>
      <c r="O114">
        <v>136</v>
      </c>
      <c r="P114" t="s">
        <v>321</v>
      </c>
      <c r="Q114" t="s">
        <v>340</v>
      </c>
      <c r="R114" t="s">
        <v>341</v>
      </c>
      <c r="S114" t="s">
        <v>342</v>
      </c>
      <c r="U114" s="1" t="str">
        <f t="shared" si="9"/>
        <v>Toulouse</v>
      </c>
      <c r="V114" t="s">
        <v>343</v>
      </c>
      <c r="X114">
        <v>31000</v>
      </c>
      <c r="Y114" s="1" t="str">
        <f t="shared" si="10"/>
        <v>FRANCE</v>
      </c>
      <c r="Z114" s="4" t="str">
        <f t="shared" si="11"/>
        <v>France</v>
      </c>
      <c r="AA114" t="s">
        <v>41</v>
      </c>
      <c r="AB114" t="s">
        <v>42</v>
      </c>
      <c r="AC114" t="s">
        <v>344</v>
      </c>
      <c r="AD114" t="s">
        <v>345</v>
      </c>
      <c r="AE114" t="s">
        <v>51</v>
      </c>
    </row>
    <row r="115" spans="1:31" x14ac:dyDescent="0.3">
      <c r="A115">
        <v>10186</v>
      </c>
      <c r="B115">
        <v>26</v>
      </c>
      <c r="C115">
        <v>100</v>
      </c>
      <c r="D115">
        <v>9</v>
      </c>
      <c r="E115" s="4" t="str">
        <f t="shared" si="6"/>
        <v>low sales</v>
      </c>
      <c r="F115">
        <v>3854.24</v>
      </c>
      <c r="G115" t="s">
        <v>787</v>
      </c>
      <c r="H115" s="1" t="str">
        <f t="shared" si="7"/>
        <v>Shipped</v>
      </c>
      <c r="I115" s="4" t="str">
        <f t="shared" si="8"/>
        <v>completed</v>
      </c>
      <c r="J115" t="s">
        <v>25</v>
      </c>
      <c r="K115">
        <v>4</v>
      </c>
      <c r="L115">
        <v>11</v>
      </c>
      <c r="M115">
        <v>2003</v>
      </c>
      <c r="N115" t="s">
        <v>181</v>
      </c>
      <c r="O115">
        <v>136</v>
      </c>
      <c r="P115" t="s">
        <v>321</v>
      </c>
      <c r="Q115" t="s">
        <v>346</v>
      </c>
      <c r="R115" t="s">
        <v>347</v>
      </c>
      <c r="S115" t="s">
        <v>348</v>
      </c>
      <c r="U115" s="1" t="str">
        <f t="shared" si="9"/>
        <v>London</v>
      </c>
      <c r="V115" t="s">
        <v>332</v>
      </c>
      <c r="X115" t="s">
        <v>349</v>
      </c>
      <c r="Y115" s="1" t="str">
        <f t="shared" si="10"/>
        <v>UK</v>
      </c>
      <c r="Z115" s="4" t="str">
        <f t="shared" si="11"/>
        <v>Uk</v>
      </c>
      <c r="AA115" t="s">
        <v>170</v>
      </c>
      <c r="AB115" t="s">
        <v>42</v>
      </c>
      <c r="AC115" t="s">
        <v>350</v>
      </c>
      <c r="AD115" t="s">
        <v>351</v>
      </c>
      <c r="AE115" t="s">
        <v>51</v>
      </c>
    </row>
    <row r="116" spans="1:31" x14ac:dyDescent="0.3">
      <c r="A116">
        <v>10197</v>
      </c>
      <c r="B116">
        <v>45</v>
      </c>
      <c r="C116">
        <v>100</v>
      </c>
      <c r="D116">
        <v>6</v>
      </c>
      <c r="E116" s="4" t="str">
        <f t="shared" si="6"/>
        <v>high sales</v>
      </c>
      <c r="F116">
        <v>5324.4</v>
      </c>
      <c r="G116" t="s">
        <v>788</v>
      </c>
      <c r="H116" s="1" t="str">
        <f t="shared" si="7"/>
        <v>Shipped</v>
      </c>
      <c r="I116" s="4" t="str">
        <f t="shared" si="8"/>
        <v>completed</v>
      </c>
      <c r="J116" t="s">
        <v>25</v>
      </c>
      <c r="K116">
        <v>4</v>
      </c>
      <c r="L116">
        <v>11</v>
      </c>
      <c r="M116">
        <v>2003</v>
      </c>
      <c r="N116" t="s">
        <v>181</v>
      </c>
      <c r="O116">
        <v>136</v>
      </c>
      <c r="P116" t="s">
        <v>321</v>
      </c>
      <c r="Q116" t="s">
        <v>352</v>
      </c>
      <c r="R116" t="s">
        <v>353</v>
      </c>
      <c r="S116" t="s">
        <v>354</v>
      </c>
      <c r="U116" s="1" t="str">
        <f t="shared" si="9"/>
        <v>Barcelona</v>
      </c>
      <c r="V116" t="s">
        <v>355</v>
      </c>
      <c r="X116">
        <v>8022</v>
      </c>
      <c r="Y116" s="1" t="str">
        <f t="shared" si="10"/>
        <v>SPAIN</v>
      </c>
      <c r="Z116" s="4" t="str">
        <f t="shared" si="11"/>
        <v>Spain</v>
      </c>
      <c r="AA116" t="s">
        <v>178</v>
      </c>
      <c r="AB116" t="s">
        <v>42</v>
      </c>
      <c r="AC116" t="s">
        <v>356</v>
      </c>
      <c r="AD116" t="s">
        <v>357</v>
      </c>
      <c r="AE116" t="s">
        <v>51</v>
      </c>
    </row>
    <row r="117" spans="1:31" x14ac:dyDescent="0.3">
      <c r="A117">
        <v>10209</v>
      </c>
      <c r="B117">
        <v>39</v>
      </c>
      <c r="C117">
        <v>100</v>
      </c>
      <c r="D117">
        <v>8</v>
      </c>
      <c r="E117" s="4" t="str">
        <f t="shared" si="6"/>
        <v>high sales</v>
      </c>
      <c r="F117">
        <v>5197.92</v>
      </c>
      <c r="G117" t="s">
        <v>789</v>
      </c>
      <c r="H117" s="1" t="str">
        <f t="shared" si="7"/>
        <v>Shipped</v>
      </c>
      <c r="I117" s="4" t="str">
        <f t="shared" si="8"/>
        <v>completed</v>
      </c>
      <c r="J117" t="s">
        <v>25</v>
      </c>
      <c r="K117">
        <v>1</v>
      </c>
      <c r="L117">
        <v>1</v>
      </c>
      <c r="M117">
        <v>2004</v>
      </c>
      <c r="N117" t="s">
        <v>181</v>
      </c>
      <c r="O117">
        <v>136</v>
      </c>
      <c r="P117" t="s">
        <v>321</v>
      </c>
      <c r="Q117" t="s">
        <v>358</v>
      </c>
      <c r="R117">
        <v>2155554369</v>
      </c>
      <c r="S117" t="s">
        <v>359</v>
      </c>
      <c r="U117" s="1" t="str">
        <f t="shared" si="9"/>
        <v>Los Angeles</v>
      </c>
      <c r="V117" t="s">
        <v>360</v>
      </c>
      <c r="W117" t="s">
        <v>55</v>
      </c>
      <c r="Y117" s="1" t="str">
        <f t="shared" si="10"/>
        <v>USA</v>
      </c>
      <c r="Z117" s="4" t="str">
        <f t="shared" si="11"/>
        <v>Usa</v>
      </c>
      <c r="AA117" t="s">
        <v>32</v>
      </c>
      <c r="AB117" t="s">
        <v>33</v>
      </c>
      <c r="AC117" t="s">
        <v>361</v>
      </c>
      <c r="AD117" t="s">
        <v>103</v>
      </c>
      <c r="AE117" t="s">
        <v>51</v>
      </c>
    </row>
    <row r="118" spans="1:31" x14ac:dyDescent="0.3">
      <c r="A118">
        <v>10222</v>
      </c>
      <c r="B118">
        <v>49</v>
      </c>
      <c r="C118">
        <v>100</v>
      </c>
      <c r="D118">
        <v>12</v>
      </c>
      <c r="E118" s="4" t="str">
        <f t="shared" si="6"/>
        <v>high sales</v>
      </c>
      <c r="F118">
        <v>5997.6</v>
      </c>
      <c r="G118" t="s">
        <v>790</v>
      </c>
      <c r="H118" s="1" t="str">
        <f t="shared" si="7"/>
        <v>Shipped</v>
      </c>
      <c r="I118" s="4" t="str">
        <f t="shared" si="8"/>
        <v>completed</v>
      </c>
      <c r="J118" t="s">
        <v>25</v>
      </c>
      <c r="K118">
        <v>1</v>
      </c>
      <c r="L118">
        <v>2</v>
      </c>
      <c r="M118">
        <v>2004</v>
      </c>
      <c r="N118" t="s">
        <v>181</v>
      </c>
      <c r="O118">
        <v>136</v>
      </c>
      <c r="P118" t="s">
        <v>321</v>
      </c>
      <c r="Q118" t="s">
        <v>362</v>
      </c>
      <c r="R118">
        <v>7605558146</v>
      </c>
      <c r="S118" t="s">
        <v>363</v>
      </c>
      <c r="U118" s="1" t="str">
        <f t="shared" si="9"/>
        <v>San Diego</v>
      </c>
      <c r="V118" t="s">
        <v>364</v>
      </c>
      <c r="W118" t="s">
        <v>55</v>
      </c>
      <c r="X118">
        <v>91217</v>
      </c>
      <c r="Y118" s="1" t="str">
        <f t="shared" si="10"/>
        <v>USA</v>
      </c>
      <c r="Z118" s="4" t="str">
        <f t="shared" si="11"/>
        <v>Usa</v>
      </c>
      <c r="AA118" t="s">
        <v>32</v>
      </c>
      <c r="AB118" t="s">
        <v>33</v>
      </c>
      <c r="AC118" t="s">
        <v>237</v>
      </c>
      <c r="AD118" t="s">
        <v>276</v>
      </c>
      <c r="AE118" t="s">
        <v>51</v>
      </c>
    </row>
    <row r="119" spans="1:31" x14ac:dyDescent="0.3">
      <c r="A119">
        <v>10248</v>
      </c>
      <c r="B119">
        <v>20</v>
      </c>
      <c r="C119">
        <v>100</v>
      </c>
      <c r="D119">
        <v>3</v>
      </c>
      <c r="E119" s="4" t="str">
        <f t="shared" si="6"/>
        <v>low sales</v>
      </c>
      <c r="F119">
        <v>2910.4</v>
      </c>
      <c r="G119" t="s">
        <v>791</v>
      </c>
      <c r="H119" s="1" t="str">
        <f t="shared" si="7"/>
        <v>Cancelled</v>
      </c>
      <c r="I119" s="4" t="str">
        <f t="shared" si="8"/>
        <v>not completed</v>
      </c>
      <c r="J119" t="s">
        <v>339</v>
      </c>
      <c r="K119">
        <v>2</v>
      </c>
      <c r="L119">
        <v>5</v>
      </c>
      <c r="M119">
        <v>2004</v>
      </c>
      <c r="N119" t="s">
        <v>181</v>
      </c>
      <c r="O119">
        <v>136</v>
      </c>
      <c r="P119" t="s">
        <v>321</v>
      </c>
      <c r="Q119" t="s">
        <v>28</v>
      </c>
      <c r="R119">
        <v>2125557818</v>
      </c>
      <c r="S119" t="s">
        <v>29</v>
      </c>
      <c r="U119" s="1" t="str">
        <f t="shared" si="9"/>
        <v>Nyc</v>
      </c>
      <c r="V119" t="s">
        <v>30</v>
      </c>
      <c r="W119" t="s">
        <v>31</v>
      </c>
      <c r="X119">
        <v>10022</v>
      </c>
      <c r="Y119" s="1" t="str">
        <f t="shared" si="10"/>
        <v>USA</v>
      </c>
      <c r="Z119" s="4" t="str">
        <f t="shared" si="11"/>
        <v>Usa</v>
      </c>
      <c r="AA119" t="s">
        <v>32</v>
      </c>
      <c r="AB119" t="s">
        <v>33</v>
      </c>
      <c r="AC119" t="s">
        <v>34</v>
      </c>
      <c r="AD119" t="s">
        <v>35</v>
      </c>
      <c r="AE119" t="s">
        <v>36</v>
      </c>
    </row>
    <row r="120" spans="1:31" x14ac:dyDescent="0.3">
      <c r="A120">
        <v>10261</v>
      </c>
      <c r="B120">
        <v>27</v>
      </c>
      <c r="C120">
        <v>100</v>
      </c>
      <c r="D120">
        <v>1</v>
      </c>
      <c r="E120" s="4" t="str">
        <f t="shared" si="6"/>
        <v>low sales</v>
      </c>
      <c r="F120">
        <v>3378.24</v>
      </c>
      <c r="G120" t="s">
        <v>792</v>
      </c>
      <c r="H120" s="1" t="str">
        <f t="shared" si="7"/>
        <v>Shipped</v>
      </c>
      <c r="I120" s="4" t="str">
        <f t="shared" si="8"/>
        <v>completed</v>
      </c>
      <c r="J120" t="s">
        <v>25</v>
      </c>
      <c r="K120">
        <v>2</v>
      </c>
      <c r="L120">
        <v>6</v>
      </c>
      <c r="M120">
        <v>2004</v>
      </c>
      <c r="N120" t="s">
        <v>181</v>
      </c>
      <c r="O120">
        <v>136</v>
      </c>
      <c r="P120" t="s">
        <v>321</v>
      </c>
      <c r="Q120" t="s">
        <v>292</v>
      </c>
      <c r="R120" t="s">
        <v>293</v>
      </c>
      <c r="S120" t="s">
        <v>294</v>
      </c>
      <c r="U120" s="1" t="str">
        <f t="shared" si="9"/>
        <v>Montreal</v>
      </c>
      <c r="V120" t="s">
        <v>295</v>
      </c>
      <c r="W120" t="s">
        <v>296</v>
      </c>
      <c r="X120" t="s">
        <v>297</v>
      </c>
      <c r="Y120" s="1" t="str">
        <f t="shared" si="10"/>
        <v>CANADA</v>
      </c>
      <c r="Z120" s="4" t="str">
        <f t="shared" si="11"/>
        <v>Canada</v>
      </c>
      <c r="AA120" t="s">
        <v>231</v>
      </c>
      <c r="AB120" t="s">
        <v>33</v>
      </c>
      <c r="AC120" t="s">
        <v>298</v>
      </c>
      <c r="AD120" t="s">
        <v>299</v>
      </c>
      <c r="AE120" t="s">
        <v>51</v>
      </c>
    </row>
    <row r="121" spans="1:31" x14ac:dyDescent="0.3">
      <c r="A121">
        <v>10273</v>
      </c>
      <c r="B121">
        <v>30</v>
      </c>
      <c r="C121">
        <v>100</v>
      </c>
      <c r="D121">
        <v>4</v>
      </c>
      <c r="E121" s="4" t="str">
        <f t="shared" si="6"/>
        <v>low sales</v>
      </c>
      <c r="F121">
        <v>3508.8</v>
      </c>
      <c r="G121" t="s">
        <v>793</v>
      </c>
      <c r="H121" s="1" t="str">
        <f t="shared" si="7"/>
        <v>Shipped</v>
      </c>
      <c r="I121" s="4" t="str">
        <f t="shared" si="8"/>
        <v>completed</v>
      </c>
      <c r="J121" t="s">
        <v>25</v>
      </c>
      <c r="K121">
        <v>3</v>
      </c>
      <c r="L121">
        <v>7</v>
      </c>
      <c r="M121">
        <v>2004</v>
      </c>
      <c r="N121" t="s">
        <v>181</v>
      </c>
      <c r="O121">
        <v>136</v>
      </c>
      <c r="P121" t="s">
        <v>321</v>
      </c>
      <c r="Q121" t="s">
        <v>365</v>
      </c>
      <c r="R121" t="s">
        <v>366</v>
      </c>
      <c r="S121" t="s">
        <v>367</v>
      </c>
      <c r="U121" s="1" t="str">
        <f t="shared" si="9"/>
        <v>Bruxelles</v>
      </c>
      <c r="V121" t="s">
        <v>368</v>
      </c>
      <c r="X121" t="s">
        <v>369</v>
      </c>
      <c r="Y121" s="1" t="str">
        <f t="shared" si="10"/>
        <v>BELGIUM</v>
      </c>
      <c r="Z121" s="4" t="str">
        <f t="shared" si="11"/>
        <v>Belgium</v>
      </c>
      <c r="AA121" t="s">
        <v>370</v>
      </c>
      <c r="AB121" t="s">
        <v>42</v>
      </c>
      <c r="AC121" t="s">
        <v>371</v>
      </c>
      <c r="AD121" t="s">
        <v>372</v>
      </c>
      <c r="AE121" t="s">
        <v>51</v>
      </c>
    </row>
    <row r="122" spans="1:31" x14ac:dyDescent="0.3">
      <c r="A122">
        <v>10283</v>
      </c>
      <c r="B122">
        <v>25</v>
      </c>
      <c r="C122">
        <v>100</v>
      </c>
      <c r="D122">
        <v>6</v>
      </c>
      <c r="E122" s="4" t="str">
        <f t="shared" si="6"/>
        <v>low sales</v>
      </c>
      <c r="F122">
        <v>2992</v>
      </c>
      <c r="G122" t="s">
        <v>794</v>
      </c>
      <c r="H122" s="1" t="str">
        <f t="shared" si="7"/>
        <v>Shipped</v>
      </c>
      <c r="I122" s="4" t="str">
        <f t="shared" si="8"/>
        <v>completed</v>
      </c>
      <c r="J122" t="s">
        <v>25</v>
      </c>
      <c r="K122">
        <v>3</v>
      </c>
      <c r="L122">
        <v>8</v>
      </c>
      <c r="M122">
        <v>2004</v>
      </c>
      <c r="N122" t="s">
        <v>181</v>
      </c>
      <c r="O122">
        <v>136</v>
      </c>
      <c r="P122" t="s">
        <v>321</v>
      </c>
      <c r="Q122" t="s">
        <v>373</v>
      </c>
      <c r="R122" t="s">
        <v>374</v>
      </c>
      <c r="S122" t="s">
        <v>375</v>
      </c>
      <c r="U122" s="1" t="str">
        <f t="shared" si="9"/>
        <v>Tsawassen</v>
      </c>
      <c r="V122" t="s">
        <v>376</v>
      </c>
      <c r="W122" t="s">
        <v>229</v>
      </c>
      <c r="X122" t="s">
        <v>377</v>
      </c>
      <c r="Y122" s="1" t="str">
        <f t="shared" si="10"/>
        <v>CANADA</v>
      </c>
      <c r="Z122" s="4" t="str">
        <f t="shared" si="11"/>
        <v>Canada</v>
      </c>
      <c r="AA122" t="s">
        <v>231</v>
      </c>
      <c r="AB122" t="s">
        <v>33</v>
      </c>
      <c r="AC122" t="s">
        <v>378</v>
      </c>
      <c r="AD122" t="s">
        <v>172</v>
      </c>
      <c r="AE122" t="s">
        <v>36</v>
      </c>
    </row>
    <row r="123" spans="1:31" x14ac:dyDescent="0.3">
      <c r="A123">
        <v>10295</v>
      </c>
      <c r="B123">
        <v>24</v>
      </c>
      <c r="C123">
        <v>100</v>
      </c>
      <c r="D123">
        <v>1</v>
      </c>
      <c r="E123" s="4" t="str">
        <f t="shared" si="6"/>
        <v>low sales</v>
      </c>
      <c r="F123">
        <v>3427.2</v>
      </c>
      <c r="G123" t="s">
        <v>795</v>
      </c>
      <c r="H123" s="1" t="str">
        <f t="shared" si="7"/>
        <v>Shipped</v>
      </c>
      <c r="I123" s="4" t="str">
        <f t="shared" si="8"/>
        <v>completed</v>
      </c>
      <c r="J123" t="s">
        <v>25</v>
      </c>
      <c r="K123">
        <v>3</v>
      </c>
      <c r="L123">
        <v>9</v>
      </c>
      <c r="M123">
        <v>2004</v>
      </c>
      <c r="N123" t="s">
        <v>181</v>
      </c>
      <c r="O123">
        <v>136</v>
      </c>
      <c r="P123" t="s">
        <v>321</v>
      </c>
      <c r="Q123" t="s">
        <v>379</v>
      </c>
      <c r="R123">
        <v>6175559555</v>
      </c>
      <c r="S123" t="s">
        <v>380</v>
      </c>
      <c r="U123" s="1" t="str">
        <f t="shared" si="9"/>
        <v>Boston</v>
      </c>
      <c r="V123" t="s">
        <v>381</v>
      </c>
      <c r="W123" t="s">
        <v>123</v>
      </c>
      <c r="X123">
        <v>51003</v>
      </c>
      <c r="Y123" s="1" t="str">
        <f t="shared" si="10"/>
        <v>USA</v>
      </c>
      <c r="Z123" s="4" t="str">
        <f t="shared" si="11"/>
        <v>Usa</v>
      </c>
      <c r="AA123" t="s">
        <v>32</v>
      </c>
      <c r="AB123" t="s">
        <v>33</v>
      </c>
      <c r="AC123" t="s">
        <v>382</v>
      </c>
      <c r="AD123" t="s">
        <v>66</v>
      </c>
      <c r="AE123" t="s">
        <v>51</v>
      </c>
    </row>
    <row r="124" spans="1:31" x14ac:dyDescent="0.3">
      <c r="A124">
        <v>10307</v>
      </c>
      <c r="B124">
        <v>22</v>
      </c>
      <c r="C124">
        <v>100</v>
      </c>
      <c r="D124">
        <v>9</v>
      </c>
      <c r="E124" s="4" t="str">
        <f t="shared" si="6"/>
        <v>low sales</v>
      </c>
      <c r="F124">
        <v>2692.8</v>
      </c>
      <c r="G124" t="s">
        <v>796</v>
      </c>
      <c r="H124" s="1" t="str">
        <f t="shared" si="7"/>
        <v>Shipped</v>
      </c>
      <c r="I124" s="4" t="str">
        <f t="shared" si="8"/>
        <v>completed</v>
      </c>
      <c r="J124" t="s">
        <v>25</v>
      </c>
      <c r="K124">
        <v>4</v>
      </c>
      <c r="L124">
        <v>10</v>
      </c>
      <c r="M124">
        <v>2004</v>
      </c>
      <c r="N124" t="s">
        <v>181</v>
      </c>
      <c r="O124">
        <v>136</v>
      </c>
      <c r="P124" t="s">
        <v>321</v>
      </c>
      <c r="Q124" t="s">
        <v>214</v>
      </c>
      <c r="R124">
        <v>2155554695</v>
      </c>
      <c r="S124" t="s">
        <v>215</v>
      </c>
      <c r="U124" s="1" t="str">
        <f t="shared" si="9"/>
        <v>Philadelphia</v>
      </c>
      <c r="V124" t="s">
        <v>216</v>
      </c>
      <c r="W124" t="s">
        <v>142</v>
      </c>
      <c r="X124">
        <v>71270</v>
      </c>
      <c r="Y124" s="1" t="str">
        <f t="shared" si="10"/>
        <v>USA</v>
      </c>
      <c r="Z124" s="4" t="str">
        <f t="shared" si="11"/>
        <v>Usa</v>
      </c>
      <c r="AA124" t="s">
        <v>32</v>
      </c>
      <c r="AB124" t="s">
        <v>33</v>
      </c>
      <c r="AC124" t="s">
        <v>217</v>
      </c>
      <c r="AD124" t="s">
        <v>218</v>
      </c>
      <c r="AE124" t="s">
        <v>36</v>
      </c>
    </row>
    <row r="125" spans="1:31" x14ac:dyDescent="0.3">
      <c r="A125">
        <v>10316</v>
      </c>
      <c r="B125">
        <v>33</v>
      </c>
      <c r="C125">
        <v>100</v>
      </c>
      <c r="D125">
        <v>17</v>
      </c>
      <c r="E125" s="4" t="str">
        <f t="shared" si="6"/>
        <v>high sales</v>
      </c>
      <c r="F125">
        <v>4128.96</v>
      </c>
      <c r="G125" t="s">
        <v>797</v>
      </c>
      <c r="H125" s="1" t="str">
        <f t="shared" si="7"/>
        <v>Shipped</v>
      </c>
      <c r="I125" s="4" t="str">
        <f t="shared" si="8"/>
        <v>completed</v>
      </c>
      <c r="J125" t="s">
        <v>25</v>
      </c>
      <c r="K125">
        <v>4</v>
      </c>
      <c r="L125">
        <v>11</v>
      </c>
      <c r="M125">
        <v>2004</v>
      </c>
      <c r="N125" t="s">
        <v>181</v>
      </c>
      <c r="O125">
        <v>136</v>
      </c>
      <c r="P125" t="s">
        <v>321</v>
      </c>
      <c r="Q125" t="s">
        <v>383</v>
      </c>
      <c r="R125" t="s">
        <v>384</v>
      </c>
      <c r="S125" t="s">
        <v>385</v>
      </c>
      <c r="U125" s="1" t="str">
        <f t="shared" si="9"/>
        <v>Cowes</v>
      </c>
      <c r="V125" t="s">
        <v>386</v>
      </c>
      <c r="W125" t="s">
        <v>387</v>
      </c>
      <c r="X125" t="s">
        <v>388</v>
      </c>
      <c r="Y125" s="1" t="str">
        <f t="shared" si="10"/>
        <v>UK</v>
      </c>
      <c r="Z125" s="4" t="str">
        <f t="shared" si="11"/>
        <v>Uk</v>
      </c>
      <c r="AA125" t="s">
        <v>170</v>
      </c>
      <c r="AB125" t="s">
        <v>42</v>
      </c>
      <c r="AC125" t="s">
        <v>389</v>
      </c>
      <c r="AD125" t="s">
        <v>390</v>
      </c>
      <c r="AE125" t="s">
        <v>51</v>
      </c>
    </row>
    <row r="126" spans="1:31" x14ac:dyDescent="0.3">
      <c r="A126">
        <v>10325</v>
      </c>
      <c r="B126">
        <v>47</v>
      </c>
      <c r="C126">
        <v>64.930000000000007</v>
      </c>
      <c r="D126">
        <v>6</v>
      </c>
      <c r="E126" s="4" t="str">
        <f t="shared" si="6"/>
        <v>low sales</v>
      </c>
      <c r="F126">
        <v>3051.71</v>
      </c>
      <c r="G126" t="s">
        <v>798</v>
      </c>
      <c r="H126" s="1" t="str">
        <f t="shared" si="7"/>
        <v>Shipped</v>
      </c>
      <c r="I126" s="4" t="str">
        <f t="shared" si="8"/>
        <v>completed</v>
      </c>
      <c r="J126" t="s">
        <v>25</v>
      </c>
      <c r="K126">
        <v>4</v>
      </c>
      <c r="L126">
        <v>11</v>
      </c>
      <c r="M126">
        <v>2004</v>
      </c>
      <c r="N126" t="s">
        <v>181</v>
      </c>
      <c r="O126">
        <v>136</v>
      </c>
      <c r="P126" t="s">
        <v>321</v>
      </c>
      <c r="Q126" t="s">
        <v>133</v>
      </c>
      <c r="R126" t="s">
        <v>134</v>
      </c>
      <c r="S126" t="s">
        <v>135</v>
      </c>
      <c r="U126" s="1" t="str">
        <f t="shared" si="9"/>
        <v>Stavern</v>
      </c>
      <c r="V126" t="s">
        <v>136</v>
      </c>
      <c r="X126">
        <v>4110</v>
      </c>
      <c r="Y126" s="1" t="str">
        <f t="shared" si="10"/>
        <v>NORWAY</v>
      </c>
      <c r="Z126" s="4" t="str">
        <f t="shared" si="11"/>
        <v>Norway</v>
      </c>
      <c r="AA126" t="s">
        <v>78</v>
      </c>
      <c r="AB126" t="s">
        <v>42</v>
      </c>
      <c r="AC126" t="s">
        <v>137</v>
      </c>
      <c r="AD126" t="s">
        <v>138</v>
      </c>
      <c r="AE126" t="s">
        <v>51</v>
      </c>
    </row>
    <row r="127" spans="1:31" x14ac:dyDescent="0.3">
      <c r="A127">
        <v>10337</v>
      </c>
      <c r="B127">
        <v>25</v>
      </c>
      <c r="C127">
        <v>48.05</v>
      </c>
      <c r="D127">
        <v>8</v>
      </c>
      <c r="E127" s="4" t="str">
        <f t="shared" si="6"/>
        <v>low sales</v>
      </c>
      <c r="F127">
        <v>1201.25</v>
      </c>
      <c r="G127" t="s">
        <v>799</v>
      </c>
      <c r="H127" s="1" t="str">
        <f t="shared" si="7"/>
        <v>Shipped</v>
      </c>
      <c r="I127" s="4" t="str">
        <f t="shared" si="8"/>
        <v>completed</v>
      </c>
      <c r="J127" t="s">
        <v>25</v>
      </c>
      <c r="K127">
        <v>4</v>
      </c>
      <c r="L127">
        <v>11</v>
      </c>
      <c r="M127">
        <v>2004</v>
      </c>
      <c r="N127" t="s">
        <v>181</v>
      </c>
      <c r="O127">
        <v>136</v>
      </c>
      <c r="P127" t="s">
        <v>321</v>
      </c>
      <c r="Q127" t="s">
        <v>203</v>
      </c>
      <c r="R127">
        <v>2125558493</v>
      </c>
      <c r="S127" t="s">
        <v>204</v>
      </c>
      <c r="T127" t="s">
        <v>205</v>
      </c>
      <c r="U127" s="1" t="str">
        <f t="shared" si="9"/>
        <v>Nyc</v>
      </c>
      <c r="V127" t="s">
        <v>30</v>
      </c>
      <c r="W127" t="s">
        <v>31</v>
      </c>
      <c r="X127">
        <v>10022</v>
      </c>
      <c r="Y127" s="1" t="str">
        <f t="shared" si="10"/>
        <v>USA</v>
      </c>
      <c r="Z127" s="4" t="str">
        <f t="shared" si="11"/>
        <v>Usa</v>
      </c>
      <c r="AA127" t="s">
        <v>32</v>
      </c>
      <c r="AB127" t="s">
        <v>33</v>
      </c>
      <c r="AC127" t="s">
        <v>124</v>
      </c>
      <c r="AD127" t="s">
        <v>206</v>
      </c>
      <c r="AE127" t="s">
        <v>36</v>
      </c>
    </row>
    <row r="128" spans="1:31" x14ac:dyDescent="0.3">
      <c r="A128">
        <v>10350</v>
      </c>
      <c r="B128">
        <v>26</v>
      </c>
      <c r="C128">
        <v>75.47</v>
      </c>
      <c r="D128">
        <v>5</v>
      </c>
      <c r="E128" s="4" t="str">
        <f t="shared" si="6"/>
        <v>low sales</v>
      </c>
      <c r="F128">
        <v>1962.22</v>
      </c>
      <c r="G128" t="s">
        <v>800</v>
      </c>
      <c r="H128" s="1" t="str">
        <f t="shared" si="7"/>
        <v>Shipped</v>
      </c>
      <c r="I128" s="4" t="str">
        <f t="shared" si="8"/>
        <v>completed</v>
      </c>
      <c r="J128" t="s">
        <v>25</v>
      </c>
      <c r="K128">
        <v>4</v>
      </c>
      <c r="L128">
        <v>12</v>
      </c>
      <c r="M128">
        <v>2004</v>
      </c>
      <c r="N128" t="s">
        <v>181</v>
      </c>
      <c r="O128">
        <v>136</v>
      </c>
      <c r="P128" t="s">
        <v>321</v>
      </c>
      <c r="Q128" t="s">
        <v>174</v>
      </c>
      <c r="R128" t="s">
        <v>175</v>
      </c>
      <c r="S128" t="s">
        <v>176</v>
      </c>
      <c r="U128" s="1" t="str">
        <f t="shared" si="9"/>
        <v>Madrid</v>
      </c>
      <c r="V128" t="s">
        <v>177</v>
      </c>
      <c r="X128">
        <v>28034</v>
      </c>
      <c r="Y128" s="1" t="str">
        <f t="shared" si="10"/>
        <v>SPAIN</v>
      </c>
      <c r="Z128" s="4" t="str">
        <f t="shared" si="11"/>
        <v>Spain</v>
      </c>
      <c r="AA128" t="s">
        <v>178</v>
      </c>
      <c r="AB128" t="s">
        <v>42</v>
      </c>
      <c r="AC128" t="s">
        <v>179</v>
      </c>
      <c r="AD128" t="s">
        <v>180</v>
      </c>
      <c r="AE128" t="s">
        <v>36</v>
      </c>
    </row>
    <row r="129" spans="1:31" x14ac:dyDescent="0.3">
      <c r="A129">
        <v>10359</v>
      </c>
      <c r="B129">
        <v>48</v>
      </c>
      <c r="C129">
        <v>54.68</v>
      </c>
      <c r="D129">
        <v>6</v>
      </c>
      <c r="E129" s="4" t="str">
        <f t="shared" si="6"/>
        <v>low sales</v>
      </c>
      <c r="F129">
        <v>2624.64</v>
      </c>
      <c r="G129" t="s">
        <v>801</v>
      </c>
      <c r="H129" s="1" t="str">
        <f t="shared" si="7"/>
        <v>Shipped</v>
      </c>
      <c r="I129" s="4" t="str">
        <f t="shared" si="8"/>
        <v>completed</v>
      </c>
      <c r="J129" t="s">
        <v>25</v>
      </c>
      <c r="K129">
        <v>4</v>
      </c>
      <c r="L129">
        <v>12</v>
      </c>
      <c r="M129">
        <v>2004</v>
      </c>
      <c r="N129" t="s">
        <v>181</v>
      </c>
      <c r="O129">
        <v>136</v>
      </c>
      <c r="P129" t="s">
        <v>321</v>
      </c>
      <c r="Q129" t="s">
        <v>37</v>
      </c>
      <c r="R129" t="s">
        <v>38</v>
      </c>
      <c r="S129" t="s">
        <v>39</v>
      </c>
      <c r="U129" s="1" t="str">
        <f t="shared" si="9"/>
        <v>Reims</v>
      </c>
      <c r="V129" t="s">
        <v>40</v>
      </c>
      <c r="X129">
        <v>51100</v>
      </c>
      <c r="Y129" s="1" t="str">
        <f t="shared" si="10"/>
        <v>FRANCE</v>
      </c>
      <c r="Z129" s="4" t="str">
        <f t="shared" si="11"/>
        <v>France</v>
      </c>
      <c r="AA129" t="s">
        <v>41</v>
      </c>
      <c r="AB129" t="s">
        <v>42</v>
      </c>
      <c r="AC129" t="s">
        <v>43</v>
      </c>
      <c r="AD129" t="s">
        <v>44</v>
      </c>
      <c r="AE129" t="s">
        <v>36</v>
      </c>
    </row>
    <row r="130" spans="1:31" x14ac:dyDescent="0.3">
      <c r="A130">
        <v>10373</v>
      </c>
      <c r="B130">
        <v>39</v>
      </c>
      <c r="C130">
        <v>100</v>
      </c>
      <c r="D130">
        <v>3</v>
      </c>
      <c r="E130" s="4" t="str">
        <f t="shared" si="6"/>
        <v>high sales</v>
      </c>
      <c r="F130">
        <v>4046.25</v>
      </c>
      <c r="G130" t="s">
        <v>802</v>
      </c>
      <c r="H130" s="1" t="str">
        <f t="shared" si="7"/>
        <v>Shipped</v>
      </c>
      <c r="I130" s="4" t="str">
        <f t="shared" si="8"/>
        <v>completed</v>
      </c>
      <c r="J130" t="s">
        <v>25</v>
      </c>
      <c r="K130">
        <v>1</v>
      </c>
      <c r="L130">
        <v>1</v>
      </c>
      <c r="M130">
        <v>2005</v>
      </c>
      <c r="N130" t="s">
        <v>181</v>
      </c>
      <c r="O130">
        <v>136</v>
      </c>
      <c r="P130" t="s">
        <v>321</v>
      </c>
      <c r="Q130" t="s">
        <v>391</v>
      </c>
      <c r="R130" t="s">
        <v>392</v>
      </c>
      <c r="S130" t="s">
        <v>393</v>
      </c>
      <c r="U130" s="1" t="str">
        <f t="shared" si="9"/>
        <v>Oulu</v>
      </c>
      <c r="V130" t="s">
        <v>394</v>
      </c>
      <c r="X130">
        <v>90110</v>
      </c>
      <c r="Y130" s="1" t="str">
        <f t="shared" si="10"/>
        <v>FINLAND</v>
      </c>
      <c r="Z130" s="4" t="str">
        <f t="shared" si="11"/>
        <v>Finland</v>
      </c>
      <c r="AA130" t="s">
        <v>130</v>
      </c>
      <c r="AB130" t="s">
        <v>42</v>
      </c>
      <c r="AC130" t="s">
        <v>395</v>
      </c>
      <c r="AD130" t="s">
        <v>396</v>
      </c>
      <c r="AE130" t="s">
        <v>51</v>
      </c>
    </row>
    <row r="131" spans="1:31" x14ac:dyDescent="0.3">
      <c r="A131">
        <v>10384</v>
      </c>
      <c r="B131">
        <v>34</v>
      </c>
      <c r="C131">
        <v>100</v>
      </c>
      <c r="D131">
        <v>4</v>
      </c>
      <c r="E131" s="4" t="str">
        <f t="shared" ref="E131:E194" si="12">IF(F131&gt;4000,"high sales","low sales")</f>
        <v>high sales</v>
      </c>
      <c r="F131">
        <v>4846.7</v>
      </c>
      <c r="G131" t="s">
        <v>803</v>
      </c>
      <c r="H131" s="1" t="str">
        <f t="shared" ref="H131:H194" si="13">PROPER(TRIM(J131))</f>
        <v>Shipped</v>
      </c>
      <c r="I131" s="4" t="str">
        <f t="shared" ref="I131:I194" si="14">IF(J131="shipped","completed","not completed")</f>
        <v>completed</v>
      </c>
      <c r="J131" t="s">
        <v>25</v>
      </c>
      <c r="K131">
        <v>1</v>
      </c>
      <c r="L131">
        <v>2</v>
      </c>
      <c r="M131">
        <v>2005</v>
      </c>
      <c r="N131" t="s">
        <v>181</v>
      </c>
      <c r="O131">
        <v>136</v>
      </c>
      <c r="P131" t="s">
        <v>321</v>
      </c>
      <c r="Q131" t="s">
        <v>58</v>
      </c>
      <c r="R131">
        <v>6505551386</v>
      </c>
      <c r="S131" t="s">
        <v>59</v>
      </c>
      <c r="U131" s="1" t="str">
        <f t="shared" ref="U131:U194" si="15">PROPER(TRIM(V131))</f>
        <v>San Francisco</v>
      </c>
      <c r="V131" t="s">
        <v>60</v>
      </c>
      <c r="W131" t="s">
        <v>55</v>
      </c>
      <c r="Y131" s="1" t="str">
        <f t="shared" ref="Y131:Y194" si="16">UPPER(TRIM(AA131))</f>
        <v>USA</v>
      </c>
      <c r="Z131" s="4" t="str">
        <f t="shared" ref="Z131:Z194" si="17">PROPER(TRIM(AA131))</f>
        <v>Usa</v>
      </c>
      <c r="AA131" t="s">
        <v>32</v>
      </c>
      <c r="AB131" t="s">
        <v>33</v>
      </c>
      <c r="AC131" t="s">
        <v>61</v>
      </c>
      <c r="AD131" t="s">
        <v>57</v>
      </c>
      <c r="AE131" t="s">
        <v>51</v>
      </c>
    </row>
    <row r="132" spans="1:31" x14ac:dyDescent="0.3">
      <c r="A132">
        <v>10395</v>
      </c>
      <c r="B132">
        <v>32</v>
      </c>
      <c r="C132">
        <v>100</v>
      </c>
      <c r="D132">
        <v>2</v>
      </c>
      <c r="E132" s="4" t="str">
        <f t="shared" si="12"/>
        <v>low sales</v>
      </c>
      <c r="F132">
        <v>3370.56</v>
      </c>
      <c r="G132" t="s">
        <v>804</v>
      </c>
      <c r="H132" s="1" t="str">
        <f t="shared" si="13"/>
        <v>Shipped</v>
      </c>
      <c r="I132" s="4" t="str">
        <f t="shared" si="14"/>
        <v>completed</v>
      </c>
      <c r="J132" t="s">
        <v>25</v>
      </c>
      <c r="K132">
        <v>1</v>
      </c>
      <c r="L132">
        <v>3</v>
      </c>
      <c r="M132">
        <v>2005</v>
      </c>
      <c r="N132" t="s">
        <v>181</v>
      </c>
      <c r="O132">
        <v>136</v>
      </c>
      <c r="P132" t="s">
        <v>321</v>
      </c>
      <c r="Q132" t="s">
        <v>45</v>
      </c>
      <c r="R132" t="s">
        <v>46</v>
      </c>
      <c r="S132" t="s">
        <v>47</v>
      </c>
      <c r="U132" s="1" t="str">
        <f t="shared" si="15"/>
        <v>Paris</v>
      </c>
      <c r="V132" t="s">
        <v>48</v>
      </c>
      <c r="X132">
        <v>75508</v>
      </c>
      <c r="Y132" s="1" t="str">
        <f t="shared" si="16"/>
        <v>FRANCE</v>
      </c>
      <c r="Z132" s="4" t="str">
        <f t="shared" si="17"/>
        <v>France</v>
      </c>
      <c r="AA132" t="s">
        <v>41</v>
      </c>
      <c r="AB132" t="s">
        <v>42</v>
      </c>
      <c r="AC132" t="s">
        <v>49</v>
      </c>
      <c r="AD132" t="s">
        <v>50</v>
      </c>
      <c r="AE132" t="s">
        <v>51</v>
      </c>
    </row>
    <row r="133" spans="1:31" x14ac:dyDescent="0.3">
      <c r="A133">
        <v>10400</v>
      </c>
      <c r="B133">
        <v>64</v>
      </c>
      <c r="C133">
        <v>100</v>
      </c>
      <c r="D133">
        <v>9</v>
      </c>
      <c r="E133" s="4" t="str">
        <f t="shared" si="12"/>
        <v>high sales</v>
      </c>
      <c r="F133">
        <v>9661.44</v>
      </c>
      <c r="G133" t="s">
        <v>805</v>
      </c>
      <c r="H133" s="1" t="str">
        <f t="shared" si="13"/>
        <v>Shipped</v>
      </c>
      <c r="I133" s="4" t="str">
        <f t="shared" si="14"/>
        <v>completed</v>
      </c>
      <c r="J133" t="s">
        <v>25</v>
      </c>
      <c r="K133">
        <v>2</v>
      </c>
      <c r="L133">
        <v>4</v>
      </c>
      <c r="M133">
        <v>2005</v>
      </c>
      <c r="N133" t="s">
        <v>181</v>
      </c>
      <c r="O133">
        <v>136</v>
      </c>
      <c r="P133" t="s">
        <v>321</v>
      </c>
      <c r="Q133" t="s">
        <v>397</v>
      </c>
      <c r="R133">
        <v>4085553659</v>
      </c>
      <c r="S133" t="s">
        <v>398</v>
      </c>
      <c r="U133" s="1" t="str">
        <f t="shared" si="15"/>
        <v>San Jose</v>
      </c>
      <c r="V133" t="s">
        <v>399</v>
      </c>
      <c r="W133" t="s">
        <v>55</v>
      </c>
      <c r="X133">
        <v>94217</v>
      </c>
      <c r="Y133" s="1" t="str">
        <f t="shared" si="16"/>
        <v>USA</v>
      </c>
      <c r="Z133" s="4" t="str">
        <f t="shared" si="17"/>
        <v>Usa</v>
      </c>
      <c r="AA133" t="s">
        <v>32</v>
      </c>
      <c r="AB133" t="s">
        <v>33</v>
      </c>
      <c r="AC133" t="s">
        <v>102</v>
      </c>
      <c r="AD133" t="s">
        <v>400</v>
      </c>
      <c r="AE133" t="s">
        <v>151</v>
      </c>
    </row>
    <row r="134" spans="1:31" x14ac:dyDescent="0.3">
      <c r="A134">
        <v>10414</v>
      </c>
      <c r="B134">
        <v>19</v>
      </c>
      <c r="C134">
        <v>100</v>
      </c>
      <c r="D134">
        <v>3</v>
      </c>
      <c r="E134" s="4" t="str">
        <f t="shared" si="12"/>
        <v>low sales</v>
      </c>
      <c r="F134">
        <v>2764.88</v>
      </c>
      <c r="G134" t="s">
        <v>806</v>
      </c>
      <c r="H134" s="1" t="str">
        <f t="shared" si="13"/>
        <v>On Hold</v>
      </c>
      <c r="I134" s="4" t="str">
        <f t="shared" si="14"/>
        <v>not completed</v>
      </c>
      <c r="J134" t="s">
        <v>401</v>
      </c>
      <c r="K134">
        <v>2</v>
      </c>
      <c r="L134">
        <v>5</v>
      </c>
      <c r="M134">
        <v>2005</v>
      </c>
      <c r="N134" t="s">
        <v>181</v>
      </c>
      <c r="O134">
        <v>136</v>
      </c>
      <c r="P134" t="s">
        <v>321</v>
      </c>
      <c r="Q134" t="s">
        <v>379</v>
      </c>
      <c r="R134">
        <v>6175559555</v>
      </c>
      <c r="S134" t="s">
        <v>380</v>
      </c>
      <c r="U134" s="1" t="str">
        <f t="shared" si="15"/>
        <v>Boston</v>
      </c>
      <c r="V134" t="s">
        <v>381</v>
      </c>
      <c r="W134" t="s">
        <v>123</v>
      </c>
      <c r="X134">
        <v>51003</v>
      </c>
      <c r="Y134" s="1" t="str">
        <f t="shared" si="16"/>
        <v>USA</v>
      </c>
      <c r="Z134" s="4" t="str">
        <f t="shared" si="17"/>
        <v>Usa</v>
      </c>
      <c r="AA134" t="s">
        <v>32</v>
      </c>
      <c r="AB134" t="s">
        <v>33</v>
      </c>
      <c r="AC134" t="s">
        <v>382</v>
      </c>
      <c r="AD134" t="s">
        <v>66</v>
      </c>
      <c r="AE134" t="s">
        <v>36</v>
      </c>
    </row>
    <row r="135" spans="1:31" x14ac:dyDescent="0.3">
      <c r="A135">
        <v>10103</v>
      </c>
      <c r="B135">
        <v>42</v>
      </c>
      <c r="C135">
        <v>100</v>
      </c>
      <c r="D135">
        <v>4</v>
      </c>
      <c r="E135" s="4" t="str">
        <f t="shared" si="12"/>
        <v>high sales</v>
      </c>
      <c r="F135">
        <v>5398.26</v>
      </c>
      <c r="G135" t="s">
        <v>807</v>
      </c>
      <c r="H135" s="1" t="str">
        <f t="shared" si="13"/>
        <v>Shipped</v>
      </c>
      <c r="I135" s="4" t="str">
        <f t="shared" si="14"/>
        <v>completed</v>
      </c>
      <c r="J135" t="s">
        <v>25</v>
      </c>
      <c r="K135">
        <v>1</v>
      </c>
      <c r="L135">
        <v>1</v>
      </c>
      <c r="M135">
        <v>2003</v>
      </c>
      <c r="N135" t="s">
        <v>181</v>
      </c>
      <c r="O135">
        <v>147</v>
      </c>
      <c r="P135" t="s">
        <v>402</v>
      </c>
      <c r="Q135" t="s">
        <v>133</v>
      </c>
      <c r="R135" t="s">
        <v>134</v>
      </c>
      <c r="S135" t="s">
        <v>135</v>
      </c>
      <c r="U135" s="1" t="str">
        <f t="shared" si="15"/>
        <v>Stavern</v>
      </c>
      <c r="V135" t="s">
        <v>136</v>
      </c>
      <c r="X135">
        <v>4110</v>
      </c>
      <c r="Y135" s="1" t="str">
        <f t="shared" si="16"/>
        <v>NORWAY</v>
      </c>
      <c r="Z135" s="4" t="str">
        <f t="shared" si="17"/>
        <v>Norway</v>
      </c>
      <c r="AA135" t="s">
        <v>78</v>
      </c>
      <c r="AB135" t="s">
        <v>42</v>
      </c>
      <c r="AC135" t="s">
        <v>137</v>
      </c>
      <c r="AD135" t="s">
        <v>138</v>
      </c>
      <c r="AE135" t="s">
        <v>51</v>
      </c>
    </row>
    <row r="136" spans="1:31" x14ac:dyDescent="0.3">
      <c r="A136">
        <v>10114</v>
      </c>
      <c r="B136">
        <v>31</v>
      </c>
      <c r="C136">
        <v>100</v>
      </c>
      <c r="D136">
        <v>8</v>
      </c>
      <c r="E136" s="4" t="str">
        <f t="shared" si="12"/>
        <v>high sales</v>
      </c>
      <c r="F136">
        <v>4305.28</v>
      </c>
      <c r="G136" t="s">
        <v>808</v>
      </c>
      <c r="H136" s="1" t="str">
        <f t="shared" si="13"/>
        <v>Shipped</v>
      </c>
      <c r="I136" s="4" t="str">
        <f t="shared" si="14"/>
        <v>completed</v>
      </c>
      <c r="J136" t="s">
        <v>25</v>
      </c>
      <c r="K136">
        <v>2</v>
      </c>
      <c r="L136">
        <v>4</v>
      </c>
      <c r="M136">
        <v>2003</v>
      </c>
      <c r="N136" t="s">
        <v>181</v>
      </c>
      <c r="O136">
        <v>147</v>
      </c>
      <c r="P136" t="s">
        <v>402</v>
      </c>
      <c r="Q136" t="s">
        <v>403</v>
      </c>
      <c r="R136" t="s">
        <v>404</v>
      </c>
      <c r="S136" t="s">
        <v>405</v>
      </c>
      <c r="U136" s="1" t="str">
        <f t="shared" si="15"/>
        <v>Paris</v>
      </c>
      <c r="V136" t="s">
        <v>48</v>
      </c>
      <c r="X136">
        <v>75012</v>
      </c>
      <c r="Y136" s="1" t="str">
        <f t="shared" si="16"/>
        <v>FRANCE</v>
      </c>
      <c r="Z136" s="4" t="str">
        <f t="shared" si="17"/>
        <v>France</v>
      </c>
      <c r="AA136" t="s">
        <v>41</v>
      </c>
      <c r="AB136" t="s">
        <v>42</v>
      </c>
      <c r="AC136" t="s">
        <v>406</v>
      </c>
      <c r="AD136" t="s">
        <v>407</v>
      </c>
      <c r="AE136" t="s">
        <v>51</v>
      </c>
    </row>
    <row r="137" spans="1:31" x14ac:dyDescent="0.3">
      <c r="A137">
        <v>10126</v>
      </c>
      <c r="B137">
        <v>22</v>
      </c>
      <c r="C137">
        <v>100</v>
      </c>
      <c r="D137">
        <v>4</v>
      </c>
      <c r="E137" s="4" t="str">
        <f t="shared" si="12"/>
        <v>low sales</v>
      </c>
      <c r="F137">
        <v>3347.74</v>
      </c>
      <c r="G137" t="s">
        <v>809</v>
      </c>
      <c r="H137" s="1" t="str">
        <f t="shared" si="13"/>
        <v>Shipped</v>
      </c>
      <c r="I137" s="4" t="str">
        <f t="shared" si="14"/>
        <v>completed</v>
      </c>
      <c r="J137" t="s">
        <v>25</v>
      </c>
      <c r="K137">
        <v>2</v>
      </c>
      <c r="L137">
        <v>5</v>
      </c>
      <c r="M137">
        <v>2003</v>
      </c>
      <c r="N137" t="s">
        <v>181</v>
      </c>
      <c r="O137">
        <v>147</v>
      </c>
      <c r="P137" t="s">
        <v>402</v>
      </c>
      <c r="Q137" t="s">
        <v>191</v>
      </c>
      <c r="R137" t="s">
        <v>192</v>
      </c>
      <c r="S137" t="s">
        <v>193</v>
      </c>
      <c r="U137" s="1" t="str">
        <f t="shared" si="15"/>
        <v>Madrid</v>
      </c>
      <c r="V137" t="s">
        <v>177</v>
      </c>
      <c r="X137">
        <v>28023</v>
      </c>
      <c r="Y137" s="1" t="str">
        <f t="shared" si="16"/>
        <v>SPAIN</v>
      </c>
      <c r="Z137" s="4" t="str">
        <f t="shared" si="17"/>
        <v>Spain</v>
      </c>
      <c r="AA137" t="s">
        <v>178</v>
      </c>
      <c r="AB137" t="s">
        <v>42</v>
      </c>
      <c r="AC137" t="s">
        <v>194</v>
      </c>
      <c r="AD137" t="s">
        <v>195</v>
      </c>
      <c r="AE137" t="s">
        <v>51</v>
      </c>
    </row>
    <row r="138" spans="1:31" x14ac:dyDescent="0.3">
      <c r="A138">
        <v>10140</v>
      </c>
      <c r="B138">
        <v>26</v>
      </c>
      <c r="C138">
        <v>100</v>
      </c>
      <c r="D138">
        <v>4</v>
      </c>
      <c r="E138" s="4" t="str">
        <f t="shared" si="12"/>
        <v>low sales</v>
      </c>
      <c r="F138">
        <v>3188.12</v>
      </c>
      <c r="G138" t="s">
        <v>810</v>
      </c>
      <c r="H138" s="1" t="str">
        <f t="shared" si="13"/>
        <v>Shipped</v>
      </c>
      <c r="I138" s="4" t="str">
        <f t="shared" si="14"/>
        <v>completed</v>
      </c>
      <c r="J138" t="s">
        <v>25</v>
      </c>
      <c r="K138">
        <v>3</v>
      </c>
      <c r="L138">
        <v>7</v>
      </c>
      <c r="M138">
        <v>2003</v>
      </c>
      <c r="N138" t="s">
        <v>181</v>
      </c>
      <c r="O138">
        <v>147</v>
      </c>
      <c r="P138" t="s">
        <v>402</v>
      </c>
      <c r="Q138" t="s">
        <v>62</v>
      </c>
      <c r="R138">
        <v>6505556809</v>
      </c>
      <c r="S138" t="s">
        <v>63</v>
      </c>
      <c r="U138" s="1" t="str">
        <f t="shared" si="15"/>
        <v>Burlingame</v>
      </c>
      <c r="V138" t="s">
        <v>64</v>
      </c>
      <c r="W138" t="s">
        <v>55</v>
      </c>
      <c r="X138">
        <v>94217</v>
      </c>
      <c r="Y138" s="1" t="str">
        <f t="shared" si="16"/>
        <v>USA</v>
      </c>
      <c r="Z138" s="4" t="str">
        <f t="shared" si="17"/>
        <v>Usa</v>
      </c>
      <c r="AA138" t="s">
        <v>32</v>
      </c>
      <c r="AB138" t="s">
        <v>33</v>
      </c>
      <c r="AC138" t="s">
        <v>65</v>
      </c>
      <c r="AD138" t="s">
        <v>66</v>
      </c>
      <c r="AE138" t="s">
        <v>51</v>
      </c>
    </row>
    <row r="139" spans="1:31" x14ac:dyDescent="0.3">
      <c r="A139">
        <v>10150</v>
      </c>
      <c r="B139">
        <v>20</v>
      </c>
      <c r="C139">
        <v>100</v>
      </c>
      <c r="D139">
        <v>1</v>
      </c>
      <c r="E139" s="4" t="str">
        <f t="shared" si="12"/>
        <v>low sales</v>
      </c>
      <c r="F139">
        <v>3191.2</v>
      </c>
      <c r="G139" t="s">
        <v>811</v>
      </c>
      <c r="H139" s="1" t="str">
        <f t="shared" si="13"/>
        <v>Shipped</v>
      </c>
      <c r="I139" s="4" t="str">
        <f t="shared" si="14"/>
        <v>completed</v>
      </c>
      <c r="J139" t="s">
        <v>25</v>
      </c>
      <c r="K139">
        <v>3</v>
      </c>
      <c r="L139">
        <v>9</v>
      </c>
      <c r="M139">
        <v>2003</v>
      </c>
      <c r="N139" t="s">
        <v>181</v>
      </c>
      <c r="O139">
        <v>147</v>
      </c>
      <c r="P139" t="s">
        <v>402</v>
      </c>
      <c r="Q139" t="s">
        <v>196</v>
      </c>
      <c r="R139" t="s">
        <v>197</v>
      </c>
      <c r="S139" t="s">
        <v>198</v>
      </c>
      <c r="U139" s="1" t="str">
        <f t="shared" si="15"/>
        <v>Singapore</v>
      </c>
      <c r="V139" t="s">
        <v>199</v>
      </c>
      <c r="X139">
        <v>79903</v>
      </c>
      <c r="Y139" s="1" t="str">
        <f t="shared" si="16"/>
        <v>SINGAPORE</v>
      </c>
      <c r="Z139" s="4" t="str">
        <f t="shared" si="17"/>
        <v>Singapore</v>
      </c>
      <c r="AA139" t="s">
        <v>199</v>
      </c>
      <c r="AB139" t="s">
        <v>200</v>
      </c>
      <c r="AC139" t="s">
        <v>201</v>
      </c>
      <c r="AD139" t="s">
        <v>202</v>
      </c>
      <c r="AE139" t="s">
        <v>51</v>
      </c>
    </row>
    <row r="140" spans="1:31" x14ac:dyDescent="0.3">
      <c r="A140">
        <v>10164</v>
      </c>
      <c r="B140">
        <v>21</v>
      </c>
      <c r="C140">
        <v>100</v>
      </c>
      <c r="D140">
        <v>2</v>
      </c>
      <c r="E140" s="4" t="str">
        <f t="shared" si="12"/>
        <v>low sales</v>
      </c>
      <c r="F140">
        <v>3536.82</v>
      </c>
      <c r="G140" t="s">
        <v>812</v>
      </c>
      <c r="H140" s="1" t="str">
        <f t="shared" si="13"/>
        <v>Resolved</v>
      </c>
      <c r="I140" s="4" t="str">
        <f t="shared" si="14"/>
        <v>not completed</v>
      </c>
      <c r="J140" t="s">
        <v>408</v>
      </c>
      <c r="K140">
        <v>4</v>
      </c>
      <c r="L140">
        <v>10</v>
      </c>
      <c r="M140">
        <v>2003</v>
      </c>
      <c r="N140" t="s">
        <v>181</v>
      </c>
      <c r="O140">
        <v>147</v>
      </c>
      <c r="P140" t="s">
        <v>402</v>
      </c>
      <c r="Q140" t="s">
        <v>409</v>
      </c>
      <c r="R140" t="s">
        <v>410</v>
      </c>
      <c r="S140" t="s">
        <v>411</v>
      </c>
      <c r="U140" s="1" t="str">
        <f t="shared" si="15"/>
        <v>Graz</v>
      </c>
      <c r="V140" t="s">
        <v>412</v>
      </c>
      <c r="X140">
        <v>8010</v>
      </c>
      <c r="Y140" s="1" t="str">
        <f t="shared" si="16"/>
        <v>AUSTRIA</v>
      </c>
      <c r="Z140" s="4" t="str">
        <f t="shared" si="17"/>
        <v>Austria</v>
      </c>
      <c r="AA140" t="s">
        <v>148</v>
      </c>
      <c r="AB140" t="s">
        <v>42</v>
      </c>
      <c r="AC140" t="s">
        <v>413</v>
      </c>
      <c r="AD140" t="s">
        <v>414</v>
      </c>
      <c r="AE140" t="s">
        <v>51</v>
      </c>
    </row>
    <row r="141" spans="1:31" x14ac:dyDescent="0.3">
      <c r="A141">
        <v>10175</v>
      </c>
      <c r="B141">
        <v>33</v>
      </c>
      <c r="C141">
        <v>100</v>
      </c>
      <c r="D141">
        <v>9</v>
      </c>
      <c r="E141" s="4" t="str">
        <f t="shared" si="12"/>
        <v>high sales</v>
      </c>
      <c r="F141">
        <v>5362.83</v>
      </c>
      <c r="G141" t="s">
        <v>813</v>
      </c>
      <c r="H141" s="1" t="str">
        <f t="shared" si="13"/>
        <v>Shipped</v>
      </c>
      <c r="I141" s="4" t="str">
        <f t="shared" si="14"/>
        <v>completed</v>
      </c>
      <c r="J141" t="s">
        <v>25</v>
      </c>
      <c r="K141">
        <v>4</v>
      </c>
      <c r="L141">
        <v>11</v>
      </c>
      <c r="M141">
        <v>2003</v>
      </c>
      <c r="N141" t="s">
        <v>181</v>
      </c>
      <c r="O141">
        <v>147</v>
      </c>
      <c r="P141" t="s">
        <v>402</v>
      </c>
      <c r="Q141" t="s">
        <v>329</v>
      </c>
      <c r="R141" t="s">
        <v>330</v>
      </c>
      <c r="S141" t="s">
        <v>331</v>
      </c>
      <c r="U141" s="1" t="str">
        <f t="shared" si="15"/>
        <v>London</v>
      </c>
      <c r="V141" t="s">
        <v>332</v>
      </c>
      <c r="X141" t="s">
        <v>333</v>
      </c>
      <c r="Y141" s="1" t="str">
        <f t="shared" si="16"/>
        <v>UK</v>
      </c>
      <c r="Z141" s="4" t="str">
        <f t="shared" si="17"/>
        <v>Uk</v>
      </c>
      <c r="AA141" t="s">
        <v>170</v>
      </c>
      <c r="AB141" t="s">
        <v>42</v>
      </c>
      <c r="AC141" t="s">
        <v>61</v>
      </c>
      <c r="AD141" t="s">
        <v>334</v>
      </c>
      <c r="AE141" t="s">
        <v>51</v>
      </c>
    </row>
    <row r="142" spans="1:31" x14ac:dyDescent="0.3">
      <c r="A142">
        <v>10183</v>
      </c>
      <c r="B142">
        <v>28</v>
      </c>
      <c r="C142">
        <v>100</v>
      </c>
      <c r="D142">
        <v>1</v>
      </c>
      <c r="E142" s="4" t="str">
        <f t="shared" si="12"/>
        <v>low sales</v>
      </c>
      <c r="F142">
        <v>3433.36</v>
      </c>
      <c r="G142" t="s">
        <v>814</v>
      </c>
      <c r="H142" s="1" t="str">
        <f t="shared" si="13"/>
        <v>Shipped</v>
      </c>
      <c r="I142" s="4" t="str">
        <f t="shared" si="14"/>
        <v>completed</v>
      </c>
      <c r="J142" t="s">
        <v>25</v>
      </c>
      <c r="K142">
        <v>4</v>
      </c>
      <c r="L142">
        <v>11</v>
      </c>
      <c r="M142">
        <v>2003</v>
      </c>
      <c r="N142" t="s">
        <v>181</v>
      </c>
      <c r="O142">
        <v>147</v>
      </c>
      <c r="P142" t="s">
        <v>402</v>
      </c>
      <c r="Q142" t="s">
        <v>214</v>
      </c>
      <c r="R142">
        <v>2155554695</v>
      </c>
      <c r="S142" t="s">
        <v>215</v>
      </c>
      <c r="U142" s="1" t="str">
        <f t="shared" si="15"/>
        <v>Philadelphia</v>
      </c>
      <c r="V142" t="s">
        <v>216</v>
      </c>
      <c r="W142" t="s">
        <v>142</v>
      </c>
      <c r="X142">
        <v>71270</v>
      </c>
      <c r="Y142" s="1" t="str">
        <f t="shared" si="16"/>
        <v>USA</v>
      </c>
      <c r="Z142" s="4" t="str">
        <f t="shared" si="17"/>
        <v>Usa</v>
      </c>
      <c r="AA142" t="s">
        <v>32</v>
      </c>
      <c r="AB142" t="s">
        <v>33</v>
      </c>
      <c r="AC142" t="s">
        <v>217</v>
      </c>
      <c r="AD142" t="s">
        <v>218</v>
      </c>
      <c r="AE142" t="s">
        <v>51</v>
      </c>
    </row>
    <row r="143" spans="1:31" x14ac:dyDescent="0.3">
      <c r="A143">
        <v>10194</v>
      </c>
      <c r="B143">
        <v>26</v>
      </c>
      <c r="C143">
        <v>100</v>
      </c>
      <c r="D143">
        <v>4</v>
      </c>
      <c r="E143" s="4" t="str">
        <f t="shared" si="12"/>
        <v>high sales</v>
      </c>
      <c r="F143">
        <v>4263.74</v>
      </c>
      <c r="G143" t="s">
        <v>815</v>
      </c>
      <c r="H143" s="1" t="str">
        <f t="shared" si="13"/>
        <v>Shipped</v>
      </c>
      <c r="I143" s="4" t="str">
        <f t="shared" si="14"/>
        <v>completed</v>
      </c>
      <c r="J143" t="s">
        <v>25</v>
      </c>
      <c r="K143">
        <v>4</v>
      </c>
      <c r="L143">
        <v>11</v>
      </c>
      <c r="M143">
        <v>2003</v>
      </c>
      <c r="N143" t="s">
        <v>181</v>
      </c>
      <c r="O143">
        <v>147</v>
      </c>
      <c r="P143" t="s">
        <v>402</v>
      </c>
      <c r="Q143" t="s">
        <v>219</v>
      </c>
      <c r="R143" t="s">
        <v>220</v>
      </c>
      <c r="S143" t="s">
        <v>221</v>
      </c>
      <c r="U143" s="1" t="str">
        <f t="shared" si="15"/>
        <v>Lyon</v>
      </c>
      <c r="V143" t="s">
        <v>222</v>
      </c>
      <c r="X143">
        <v>69004</v>
      </c>
      <c r="Y143" s="1" t="str">
        <f t="shared" si="16"/>
        <v>FRANCE</v>
      </c>
      <c r="Z143" s="4" t="str">
        <f t="shared" si="17"/>
        <v>France</v>
      </c>
      <c r="AA143" t="s">
        <v>41</v>
      </c>
      <c r="AB143" t="s">
        <v>42</v>
      </c>
      <c r="AC143" t="s">
        <v>223</v>
      </c>
      <c r="AD143" t="s">
        <v>224</v>
      </c>
      <c r="AE143" t="s">
        <v>51</v>
      </c>
    </row>
    <row r="144" spans="1:31" x14ac:dyDescent="0.3">
      <c r="A144">
        <v>10207</v>
      </c>
      <c r="B144">
        <v>31</v>
      </c>
      <c r="C144">
        <v>100</v>
      </c>
      <c r="D144">
        <v>15</v>
      </c>
      <c r="E144" s="4" t="str">
        <f t="shared" si="12"/>
        <v>high sales</v>
      </c>
      <c r="F144">
        <v>4076.19</v>
      </c>
      <c r="G144" t="s">
        <v>816</v>
      </c>
      <c r="H144" s="1" t="str">
        <f t="shared" si="13"/>
        <v>Shipped</v>
      </c>
      <c r="I144" s="4" t="str">
        <f t="shared" si="14"/>
        <v>completed</v>
      </c>
      <c r="J144" t="s">
        <v>25</v>
      </c>
      <c r="K144">
        <v>4</v>
      </c>
      <c r="L144">
        <v>12</v>
      </c>
      <c r="M144">
        <v>2003</v>
      </c>
      <c r="N144" t="s">
        <v>181</v>
      </c>
      <c r="O144">
        <v>147</v>
      </c>
      <c r="P144" t="s">
        <v>402</v>
      </c>
      <c r="Q144" t="s">
        <v>415</v>
      </c>
      <c r="R144">
        <v>6175552555</v>
      </c>
      <c r="S144" t="s">
        <v>416</v>
      </c>
      <c r="U144" s="1" t="str">
        <f t="shared" si="15"/>
        <v>Boston</v>
      </c>
      <c r="V144" t="s">
        <v>381</v>
      </c>
      <c r="W144" t="s">
        <v>123</v>
      </c>
      <c r="X144">
        <v>51003</v>
      </c>
      <c r="Y144" s="1" t="str">
        <f t="shared" si="16"/>
        <v>USA</v>
      </c>
      <c r="Z144" s="4" t="str">
        <f t="shared" si="17"/>
        <v>Usa</v>
      </c>
      <c r="AA144" t="s">
        <v>32</v>
      </c>
      <c r="AB144" t="s">
        <v>33</v>
      </c>
      <c r="AC144" t="s">
        <v>417</v>
      </c>
      <c r="AD144" t="s">
        <v>276</v>
      </c>
      <c r="AE144" t="s">
        <v>51</v>
      </c>
    </row>
    <row r="145" spans="1:31" x14ac:dyDescent="0.3">
      <c r="A145">
        <v>10217</v>
      </c>
      <c r="B145">
        <v>48</v>
      </c>
      <c r="C145">
        <v>100</v>
      </c>
      <c r="D145">
        <v>4</v>
      </c>
      <c r="E145" s="4" t="str">
        <f t="shared" si="12"/>
        <v>high sales</v>
      </c>
      <c r="F145">
        <v>7020.48</v>
      </c>
      <c r="G145" t="s">
        <v>817</v>
      </c>
      <c r="H145" s="1" t="str">
        <f t="shared" si="13"/>
        <v>Shipped</v>
      </c>
      <c r="I145" s="4" t="str">
        <f t="shared" si="14"/>
        <v>completed</v>
      </c>
      <c r="J145" t="s">
        <v>25</v>
      </c>
      <c r="K145">
        <v>1</v>
      </c>
      <c r="L145">
        <v>2</v>
      </c>
      <c r="M145">
        <v>2004</v>
      </c>
      <c r="N145" t="s">
        <v>181</v>
      </c>
      <c r="O145">
        <v>147</v>
      </c>
      <c r="P145" t="s">
        <v>402</v>
      </c>
      <c r="Q145" t="s">
        <v>418</v>
      </c>
      <c r="R145" t="s">
        <v>419</v>
      </c>
      <c r="S145" t="s">
        <v>420</v>
      </c>
      <c r="T145" t="s">
        <v>421</v>
      </c>
      <c r="U145" s="1" t="str">
        <f t="shared" si="15"/>
        <v>Singapore</v>
      </c>
      <c r="V145" t="s">
        <v>199</v>
      </c>
      <c r="X145">
        <v>69045</v>
      </c>
      <c r="Y145" s="1" t="str">
        <f t="shared" si="16"/>
        <v>SINGAPORE</v>
      </c>
      <c r="Z145" s="4" t="str">
        <f t="shared" si="17"/>
        <v>Singapore</v>
      </c>
      <c r="AA145" t="s">
        <v>199</v>
      </c>
      <c r="AB145" t="s">
        <v>96</v>
      </c>
      <c r="AC145" t="s">
        <v>422</v>
      </c>
      <c r="AD145" t="s">
        <v>423</v>
      </c>
      <c r="AE145" t="s">
        <v>151</v>
      </c>
    </row>
    <row r="146" spans="1:31" x14ac:dyDescent="0.3">
      <c r="A146">
        <v>10229</v>
      </c>
      <c r="B146">
        <v>50</v>
      </c>
      <c r="C146">
        <v>100</v>
      </c>
      <c r="D146">
        <v>9</v>
      </c>
      <c r="E146" s="4" t="str">
        <f t="shared" si="12"/>
        <v>high sales</v>
      </c>
      <c r="F146">
        <v>6426.5</v>
      </c>
      <c r="G146" t="s">
        <v>818</v>
      </c>
      <c r="H146" s="1" t="str">
        <f t="shared" si="13"/>
        <v>Shipped</v>
      </c>
      <c r="I146" s="4" t="str">
        <f t="shared" si="14"/>
        <v>completed</v>
      </c>
      <c r="J146" t="s">
        <v>25</v>
      </c>
      <c r="K146">
        <v>1</v>
      </c>
      <c r="L146">
        <v>3</v>
      </c>
      <c r="M146">
        <v>2004</v>
      </c>
      <c r="N146" t="s">
        <v>181</v>
      </c>
      <c r="O146">
        <v>147</v>
      </c>
      <c r="P146" t="s">
        <v>402</v>
      </c>
      <c r="Q146" t="s">
        <v>272</v>
      </c>
      <c r="R146">
        <v>4155551450</v>
      </c>
      <c r="S146" t="s">
        <v>273</v>
      </c>
      <c r="U146" s="1" t="str">
        <f t="shared" si="15"/>
        <v>San Rafael</v>
      </c>
      <c r="V146" t="s">
        <v>274</v>
      </c>
      <c r="W146" t="s">
        <v>55</v>
      </c>
      <c r="X146">
        <v>97562</v>
      </c>
      <c r="Y146" s="1" t="str">
        <f t="shared" si="16"/>
        <v>USA</v>
      </c>
      <c r="Z146" s="4" t="str">
        <f t="shared" si="17"/>
        <v>Usa</v>
      </c>
      <c r="AA146" t="s">
        <v>32</v>
      </c>
      <c r="AB146" t="s">
        <v>33</v>
      </c>
      <c r="AC146" t="s">
        <v>275</v>
      </c>
      <c r="AD146" t="s">
        <v>276</v>
      </c>
      <c r="AE146" t="s">
        <v>51</v>
      </c>
    </row>
    <row r="147" spans="1:31" x14ac:dyDescent="0.3">
      <c r="A147">
        <v>10245</v>
      </c>
      <c r="B147">
        <v>28</v>
      </c>
      <c r="C147">
        <v>100</v>
      </c>
      <c r="D147">
        <v>2</v>
      </c>
      <c r="E147" s="4" t="str">
        <f t="shared" si="12"/>
        <v>high sales</v>
      </c>
      <c r="F147">
        <v>4591.72</v>
      </c>
      <c r="G147" t="s">
        <v>819</v>
      </c>
      <c r="H147" s="1" t="str">
        <f t="shared" si="13"/>
        <v>Shipped</v>
      </c>
      <c r="I147" s="4" t="str">
        <f t="shared" si="14"/>
        <v>completed</v>
      </c>
      <c r="J147" t="s">
        <v>25</v>
      </c>
      <c r="K147">
        <v>2</v>
      </c>
      <c r="L147">
        <v>5</v>
      </c>
      <c r="M147">
        <v>2004</v>
      </c>
      <c r="N147" t="s">
        <v>181</v>
      </c>
      <c r="O147">
        <v>147</v>
      </c>
      <c r="P147" t="s">
        <v>402</v>
      </c>
      <c r="Q147" t="s">
        <v>242</v>
      </c>
      <c r="R147">
        <v>2035559545</v>
      </c>
      <c r="S147" t="s">
        <v>243</v>
      </c>
      <c r="U147" s="1" t="str">
        <f t="shared" si="15"/>
        <v>New Haven</v>
      </c>
      <c r="V147" t="s">
        <v>244</v>
      </c>
      <c r="W147" t="s">
        <v>112</v>
      </c>
      <c r="X147">
        <v>97823</v>
      </c>
      <c r="Y147" s="1" t="str">
        <f t="shared" si="16"/>
        <v>USA</v>
      </c>
      <c r="Z147" s="4" t="str">
        <f t="shared" si="17"/>
        <v>Usa</v>
      </c>
      <c r="AA147" t="s">
        <v>32</v>
      </c>
      <c r="AB147" t="s">
        <v>33</v>
      </c>
      <c r="AC147" t="s">
        <v>83</v>
      </c>
      <c r="AD147" t="s">
        <v>245</v>
      </c>
      <c r="AE147" t="s">
        <v>51</v>
      </c>
    </row>
    <row r="148" spans="1:31" x14ac:dyDescent="0.3">
      <c r="A148">
        <v>10259</v>
      </c>
      <c r="B148">
        <v>26</v>
      </c>
      <c r="C148">
        <v>100</v>
      </c>
      <c r="D148">
        <v>12</v>
      </c>
      <c r="E148" s="4" t="str">
        <f t="shared" si="12"/>
        <v>high sales</v>
      </c>
      <c r="F148">
        <v>4033.38</v>
      </c>
      <c r="G148" t="s">
        <v>820</v>
      </c>
      <c r="H148" s="1" t="str">
        <f t="shared" si="13"/>
        <v>Shipped</v>
      </c>
      <c r="I148" s="4" t="str">
        <f t="shared" si="14"/>
        <v>completed</v>
      </c>
      <c r="J148" t="s">
        <v>25</v>
      </c>
      <c r="K148">
        <v>2</v>
      </c>
      <c r="L148">
        <v>6</v>
      </c>
      <c r="M148">
        <v>2004</v>
      </c>
      <c r="N148" t="s">
        <v>181</v>
      </c>
      <c r="O148">
        <v>147</v>
      </c>
      <c r="P148" t="s">
        <v>402</v>
      </c>
      <c r="Q148" t="s">
        <v>418</v>
      </c>
      <c r="R148" t="s">
        <v>419</v>
      </c>
      <c r="S148" t="s">
        <v>420</v>
      </c>
      <c r="T148" t="s">
        <v>421</v>
      </c>
      <c r="U148" s="1" t="str">
        <f t="shared" si="15"/>
        <v>Singapore</v>
      </c>
      <c r="V148" t="s">
        <v>199</v>
      </c>
      <c r="X148">
        <v>69045</v>
      </c>
      <c r="Y148" s="1" t="str">
        <f t="shared" si="16"/>
        <v>SINGAPORE</v>
      </c>
      <c r="Z148" s="4" t="str">
        <f t="shared" si="17"/>
        <v>Singapore</v>
      </c>
      <c r="AA148" t="s">
        <v>199</v>
      </c>
      <c r="AB148" t="s">
        <v>96</v>
      </c>
      <c r="AC148" t="s">
        <v>422</v>
      </c>
      <c r="AD148" t="s">
        <v>423</v>
      </c>
      <c r="AE148" t="s">
        <v>51</v>
      </c>
    </row>
    <row r="149" spans="1:31" x14ac:dyDescent="0.3">
      <c r="A149">
        <v>10270</v>
      </c>
      <c r="B149">
        <v>32</v>
      </c>
      <c r="C149">
        <v>100</v>
      </c>
      <c r="D149">
        <v>2</v>
      </c>
      <c r="E149" s="4" t="str">
        <f t="shared" si="12"/>
        <v>high sales</v>
      </c>
      <c r="F149">
        <v>4302.08</v>
      </c>
      <c r="G149" t="s">
        <v>821</v>
      </c>
      <c r="H149" s="1" t="str">
        <f t="shared" si="13"/>
        <v>Shipped</v>
      </c>
      <c r="I149" s="4" t="str">
        <f t="shared" si="14"/>
        <v>completed</v>
      </c>
      <c r="J149" t="s">
        <v>25</v>
      </c>
      <c r="K149">
        <v>3</v>
      </c>
      <c r="L149">
        <v>7</v>
      </c>
      <c r="M149">
        <v>2004</v>
      </c>
      <c r="N149" t="s">
        <v>181</v>
      </c>
      <c r="O149">
        <v>147</v>
      </c>
      <c r="P149" t="s">
        <v>402</v>
      </c>
      <c r="Q149" t="s">
        <v>152</v>
      </c>
      <c r="R149" t="s">
        <v>153</v>
      </c>
      <c r="S149" t="s">
        <v>154</v>
      </c>
      <c r="T149" t="s">
        <v>155</v>
      </c>
      <c r="U149" s="1" t="str">
        <f t="shared" si="15"/>
        <v>Chatswood</v>
      </c>
      <c r="V149" t="s">
        <v>156</v>
      </c>
      <c r="W149" t="s">
        <v>157</v>
      </c>
      <c r="X149">
        <v>2067</v>
      </c>
      <c r="Y149" s="1" t="str">
        <f t="shared" si="16"/>
        <v>AUSTRALIA</v>
      </c>
      <c r="Z149" s="4" t="str">
        <f t="shared" si="17"/>
        <v>Australia</v>
      </c>
      <c r="AA149" t="s">
        <v>95</v>
      </c>
      <c r="AB149" t="s">
        <v>96</v>
      </c>
      <c r="AC149" t="s">
        <v>158</v>
      </c>
      <c r="AD149" t="s">
        <v>159</v>
      </c>
      <c r="AE149" t="s">
        <v>51</v>
      </c>
    </row>
    <row r="150" spans="1:31" x14ac:dyDescent="0.3">
      <c r="A150">
        <v>10281</v>
      </c>
      <c r="B150">
        <v>44</v>
      </c>
      <c r="C150">
        <v>100</v>
      </c>
      <c r="D150">
        <v>9</v>
      </c>
      <c r="E150" s="4" t="str">
        <f t="shared" si="12"/>
        <v>high sales</v>
      </c>
      <c r="F150">
        <v>7020.64</v>
      </c>
      <c r="G150" t="s">
        <v>822</v>
      </c>
      <c r="H150" s="1" t="str">
        <f t="shared" si="13"/>
        <v>Shipped</v>
      </c>
      <c r="I150" s="4" t="str">
        <f t="shared" si="14"/>
        <v>completed</v>
      </c>
      <c r="J150" t="s">
        <v>25</v>
      </c>
      <c r="K150">
        <v>3</v>
      </c>
      <c r="L150">
        <v>8</v>
      </c>
      <c r="M150">
        <v>2004</v>
      </c>
      <c r="N150" t="s">
        <v>181</v>
      </c>
      <c r="O150">
        <v>147</v>
      </c>
      <c r="P150" t="s">
        <v>402</v>
      </c>
      <c r="Q150" t="s">
        <v>139</v>
      </c>
      <c r="R150">
        <v>2155551555</v>
      </c>
      <c r="S150" t="s">
        <v>140</v>
      </c>
      <c r="U150" s="1" t="str">
        <f t="shared" si="15"/>
        <v>Allentown</v>
      </c>
      <c r="V150" t="s">
        <v>141</v>
      </c>
      <c r="W150" t="s">
        <v>142</v>
      </c>
      <c r="X150">
        <v>70267</v>
      </c>
      <c r="Y150" s="1" t="str">
        <f t="shared" si="16"/>
        <v>USA</v>
      </c>
      <c r="Z150" s="4" t="str">
        <f t="shared" si="17"/>
        <v>Usa</v>
      </c>
      <c r="AA150" t="s">
        <v>32</v>
      </c>
      <c r="AB150" t="s">
        <v>33</v>
      </c>
      <c r="AC150" t="s">
        <v>34</v>
      </c>
      <c r="AD150" t="s">
        <v>143</v>
      </c>
      <c r="AE150" t="s">
        <v>151</v>
      </c>
    </row>
    <row r="151" spans="1:31" x14ac:dyDescent="0.3">
      <c r="A151">
        <v>10291</v>
      </c>
      <c r="B151">
        <v>30</v>
      </c>
      <c r="C151">
        <v>100</v>
      </c>
      <c r="D151">
        <v>4</v>
      </c>
      <c r="E151" s="4" t="str">
        <f t="shared" si="12"/>
        <v>low sales</v>
      </c>
      <c r="F151">
        <v>3855.9</v>
      </c>
      <c r="G151" t="s">
        <v>823</v>
      </c>
      <c r="H151" s="1" t="str">
        <f t="shared" si="13"/>
        <v>Shipped</v>
      </c>
      <c r="I151" s="4" t="str">
        <f t="shared" si="14"/>
        <v>completed</v>
      </c>
      <c r="J151" t="s">
        <v>25</v>
      </c>
      <c r="K151">
        <v>3</v>
      </c>
      <c r="L151">
        <v>9</v>
      </c>
      <c r="M151">
        <v>2004</v>
      </c>
      <c r="N151" t="s">
        <v>181</v>
      </c>
      <c r="O151">
        <v>147</v>
      </c>
      <c r="P151" t="s">
        <v>402</v>
      </c>
      <c r="Q151" t="s">
        <v>261</v>
      </c>
      <c r="R151" t="s">
        <v>262</v>
      </c>
      <c r="S151" t="s">
        <v>263</v>
      </c>
      <c r="U151" s="1" t="str">
        <f t="shared" si="15"/>
        <v>Boras</v>
      </c>
      <c r="V151" t="s">
        <v>264</v>
      </c>
      <c r="X151" t="s">
        <v>265</v>
      </c>
      <c r="Y151" s="1" t="str">
        <f t="shared" si="16"/>
        <v>SWEDEN</v>
      </c>
      <c r="Z151" s="4" t="str">
        <f t="shared" si="17"/>
        <v>Sweden</v>
      </c>
      <c r="AA151" t="s">
        <v>188</v>
      </c>
      <c r="AB151" t="s">
        <v>42</v>
      </c>
      <c r="AC151" t="s">
        <v>266</v>
      </c>
      <c r="AD151" t="s">
        <v>206</v>
      </c>
      <c r="AE151" t="s">
        <v>51</v>
      </c>
    </row>
    <row r="152" spans="1:31" x14ac:dyDescent="0.3">
      <c r="A152">
        <v>10305</v>
      </c>
      <c r="B152">
        <v>38</v>
      </c>
      <c r="C152">
        <v>100</v>
      </c>
      <c r="D152">
        <v>13</v>
      </c>
      <c r="E152" s="4" t="str">
        <f t="shared" si="12"/>
        <v>high sales</v>
      </c>
      <c r="F152">
        <v>6680.78</v>
      </c>
      <c r="G152" t="s">
        <v>824</v>
      </c>
      <c r="H152" s="1" t="str">
        <f t="shared" si="13"/>
        <v>Shipped</v>
      </c>
      <c r="I152" s="4" t="str">
        <f t="shared" si="14"/>
        <v>completed</v>
      </c>
      <c r="J152" t="s">
        <v>25</v>
      </c>
      <c r="K152">
        <v>4</v>
      </c>
      <c r="L152">
        <v>10</v>
      </c>
      <c r="M152">
        <v>2004</v>
      </c>
      <c r="N152" t="s">
        <v>181</v>
      </c>
      <c r="O152">
        <v>147</v>
      </c>
      <c r="P152" t="s">
        <v>402</v>
      </c>
      <c r="Q152" t="s">
        <v>120</v>
      </c>
      <c r="R152">
        <v>6175558555</v>
      </c>
      <c r="S152" t="s">
        <v>121</v>
      </c>
      <c r="U152" s="1" t="str">
        <f t="shared" si="15"/>
        <v>Cambridge</v>
      </c>
      <c r="V152" t="s">
        <v>122</v>
      </c>
      <c r="W152" t="s">
        <v>123</v>
      </c>
      <c r="X152">
        <v>51247</v>
      </c>
      <c r="Y152" s="1" t="str">
        <f t="shared" si="16"/>
        <v>USA</v>
      </c>
      <c r="Z152" s="4" t="str">
        <f t="shared" si="17"/>
        <v>Usa</v>
      </c>
      <c r="AA152" t="s">
        <v>32</v>
      </c>
      <c r="AB152" t="s">
        <v>33</v>
      </c>
      <c r="AC152" t="s">
        <v>124</v>
      </c>
      <c r="AD152" t="s">
        <v>125</v>
      </c>
      <c r="AE152" t="s">
        <v>51</v>
      </c>
    </row>
    <row r="153" spans="1:31" x14ac:dyDescent="0.3">
      <c r="A153">
        <v>10313</v>
      </c>
      <c r="B153">
        <v>40</v>
      </c>
      <c r="C153">
        <v>100</v>
      </c>
      <c r="D153">
        <v>7</v>
      </c>
      <c r="E153" s="4" t="str">
        <f t="shared" si="12"/>
        <v>high sales</v>
      </c>
      <c r="F153">
        <v>6678</v>
      </c>
      <c r="G153" t="s">
        <v>825</v>
      </c>
      <c r="H153" s="1" t="str">
        <f t="shared" si="13"/>
        <v>Shipped</v>
      </c>
      <c r="I153" s="4" t="str">
        <f t="shared" si="14"/>
        <v>completed</v>
      </c>
      <c r="J153" t="s">
        <v>25</v>
      </c>
      <c r="K153">
        <v>4</v>
      </c>
      <c r="L153">
        <v>10</v>
      </c>
      <c r="M153">
        <v>2004</v>
      </c>
      <c r="N153" t="s">
        <v>181</v>
      </c>
      <c r="O153">
        <v>147</v>
      </c>
      <c r="P153" t="s">
        <v>402</v>
      </c>
      <c r="Q153" t="s">
        <v>225</v>
      </c>
      <c r="R153" t="s">
        <v>226</v>
      </c>
      <c r="S153" t="s">
        <v>227</v>
      </c>
      <c r="U153" s="1" t="str">
        <f t="shared" si="15"/>
        <v>Vancouver</v>
      </c>
      <c r="V153" t="s">
        <v>228</v>
      </c>
      <c r="W153" t="s">
        <v>229</v>
      </c>
      <c r="X153" t="s">
        <v>230</v>
      </c>
      <c r="Y153" s="1" t="str">
        <f t="shared" si="16"/>
        <v>CANADA</v>
      </c>
      <c r="Z153" s="4" t="str">
        <f t="shared" si="17"/>
        <v>Canada</v>
      </c>
      <c r="AA153" t="s">
        <v>231</v>
      </c>
      <c r="AB153" t="s">
        <v>33</v>
      </c>
      <c r="AC153" t="s">
        <v>232</v>
      </c>
      <c r="AD153" t="s">
        <v>233</v>
      </c>
      <c r="AE153" t="s">
        <v>51</v>
      </c>
    </row>
    <row r="154" spans="1:31" x14ac:dyDescent="0.3">
      <c r="A154">
        <v>10322</v>
      </c>
      <c r="B154">
        <v>46</v>
      </c>
      <c r="C154">
        <v>61.99</v>
      </c>
      <c r="D154">
        <v>8</v>
      </c>
      <c r="E154" s="4" t="str">
        <f t="shared" si="12"/>
        <v>low sales</v>
      </c>
      <c r="F154">
        <v>2851.54</v>
      </c>
      <c r="G154" t="s">
        <v>826</v>
      </c>
      <c r="H154" s="1" t="str">
        <f t="shared" si="13"/>
        <v>Shipped</v>
      </c>
      <c r="I154" s="4" t="str">
        <f t="shared" si="14"/>
        <v>completed</v>
      </c>
      <c r="J154" t="s">
        <v>25</v>
      </c>
      <c r="K154">
        <v>4</v>
      </c>
      <c r="L154">
        <v>11</v>
      </c>
      <c r="M154">
        <v>2004</v>
      </c>
      <c r="N154" t="s">
        <v>181</v>
      </c>
      <c r="O154">
        <v>147</v>
      </c>
      <c r="P154" t="s">
        <v>402</v>
      </c>
      <c r="Q154" t="s">
        <v>277</v>
      </c>
      <c r="R154">
        <v>6035558647</v>
      </c>
      <c r="S154" t="s">
        <v>278</v>
      </c>
      <c r="U154" s="1" t="str">
        <f t="shared" si="15"/>
        <v>Nashua</v>
      </c>
      <c r="V154" t="s">
        <v>279</v>
      </c>
      <c r="W154" t="s">
        <v>280</v>
      </c>
      <c r="X154">
        <v>62005</v>
      </c>
      <c r="Y154" s="1" t="str">
        <f t="shared" si="16"/>
        <v>USA</v>
      </c>
      <c r="Z154" s="4" t="str">
        <f t="shared" si="17"/>
        <v>Usa</v>
      </c>
      <c r="AA154" t="s">
        <v>32</v>
      </c>
      <c r="AB154" t="s">
        <v>33</v>
      </c>
      <c r="AC154" t="s">
        <v>56</v>
      </c>
      <c r="AD154" t="s">
        <v>276</v>
      </c>
      <c r="AE154" t="s">
        <v>36</v>
      </c>
    </row>
    <row r="155" spans="1:31" x14ac:dyDescent="0.3">
      <c r="A155">
        <v>10334</v>
      </c>
      <c r="B155">
        <v>26</v>
      </c>
      <c r="C155">
        <v>100</v>
      </c>
      <c r="D155">
        <v>2</v>
      </c>
      <c r="E155" s="4" t="str">
        <f t="shared" si="12"/>
        <v>low sales</v>
      </c>
      <c r="F155">
        <v>3188.12</v>
      </c>
      <c r="G155" t="s">
        <v>827</v>
      </c>
      <c r="H155" s="1" t="str">
        <f t="shared" si="13"/>
        <v>On Hold</v>
      </c>
      <c r="I155" s="4" t="str">
        <f t="shared" si="14"/>
        <v>not completed</v>
      </c>
      <c r="J155" t="s">
        <v>401</v>
      </c>
      <c r="K155">
        <v>4</v>
      </c>
      <c r="L155">
        <v>11</v>
      </c>
      <c r="M155">
        <v>2004</v>
      </c>
      <c r="N155" t="s">
        <v>181</v>
      </c>
      <c r="O155">
        <v>147</v>
      </c>
      <c r="P155" t="s">
        <v>402</v>
      </c>
      <c r="Q155" t="s">
        <v>183</v>
      </c>
      <c r="R155" t="s">
        <v>184</v>
      </c>
      <c r="S155" t="s">
        <v>185</v>
      </c>
      <c r="U155" s="1" t="str">
        <f t="shared" si="15"/>
        <v>Lule</v>
      </c>
      <c r="V155" t="s">
        <v>186</v>
      </c>
      <c r="X155" t="s">
        <v>187</v>
      </c>
      <c r="Y155" s="1" t="str">
        <f t="shared" si="16"/>
        <v>SWEDEN</v>
      </c>
      <c r="Z155" s="4" t="str">
        <f t="shared" si="17"/>
        <v>Sweden</v>
      </c>
      <c r="AA155" t="s">
        <v>188</v>
      </c>
      <c r="AB155" t="s">
        <v>42</v>
      </c>
      <c r="AC155" t="s">
        <v>189</v>
      </c>
      <c r="AD155" t="s">
        <v>190</v>
      </c>
      <c r="AE155" t="s">
        <v>51</v>
      </c>
    </row>
    <row r="156" spans="1:31" x14ac:dyDescent="0.3">
      <c r="A156">
        <v>10347</v>
      </c>
      <c r="B156">
        <v>27</v>
      </c>
      <c r="C156">
        <v>100</v>
      </c>
      <c r="D156">
        <v>2</v>
      </c>
      <c r="E156" s="4" t="str">
        <f t="shared" si="12"/>
        <v>high sales</v>
      </c>
      <c r="F156">
        <v>4428</v>
      </c>
      <c r="G156" t="s">
        <v>828</v>
      </c>
      <c r="H156" s="1" t="str">
        <f t="shared" si="13"/>
        <v>Shipped</v>
      </c>
      <c r="I156" s="4" t="str">
        <f t="shared" si="14"/>
        <v>completed</v>
      </c>
      <c r="J156" t="s">
        <v>25</v>
      </c>
      <c r="K156">
        <v>4</v>
      </c>
      <c r="L156">
        <v>11</v>
      </c>
      <c r="M156">
        <v>2004</v>
      </c>
      <c r="N156" t="s">
        <v>181</v>
      </c>
      <c r="O156">
        <v>147</v>
      </c>
      <c r="P156" t="s">
        <v>402</v>
      </c>
      <c r="Q156" t="s">
        <v>89</v>
      </c>
      <c r="R156" t="s">
        <v>90</v>
      </c>
      <c r="S156" t="s">
        <v>91</v>
      </c>
      <c r="T156" t="s">
        <v>92</v>
      </c>
      <c r="U156" s="1" t="str">
        <f t="shared" si="15"/>
        <v>Melbourne</v>
      </c>
      <c r="V156" t="s">
        <v>93</v>
      </c>
      <c r="W156" t="s">
        <v>94</v>
      </c>
      <c r="X156">
        <v>3004</v>
      </c>
      <c r="Y156" s="1" t="str">
        <f t="shared" si="16"/>
        <v>AUSTRALIA</v>
      </c>
      <c r="Z156" s="4" t="str">
        <f t="shared" si="17"/>
        <v>Australia</v>
      </c>
      <c r="AA156" t="s">
        <v>95</v>
      </c>
      <c r="AB156" t="s">
        <v>96</v>
      </c>
      <c r="AC156" t="s">
        <v>97</v>
      </c>
      <c r="AD156" t="s">
        <v>98</v>
      </c>
      <c r="AE156" t="s">
        <v>51</v>
      </c>
    </row>
    <row r="157" spans="1:31" x14ac:dyDescent="0.3">
      <c r="A157">
        <v>10357</v>
      </c>
      <c r="B157">
        <v>43</v>
      </c>
      <c r="C157">
        <v>100</v>
      </c>
      <c r="D157">
        <v>9</v>
      </c>
      <c r="E157" s="4" t="str">
        <f t="shared" si="12"/>
        <v>high sales</v>
      </c>
      <c r="F157">
        <v>5780.92</v>
      </c>
      <c r="G157" t="s">
        <v>829</v>
      </c>
      <c r="H157" s="1" t="str">
        <f t="shared" si="13"/>
        <v>Shipped</v>
      </c>
      <c r="I157" s="4" t="str">
        <f t="shared" si="14"/>
        <v>completed</v>
      </c>
      <c r="J157" t="s">
        <v>25</v>
      </c>
      <c r="K157">
        <v>4</v>
      </c>
      <c r="L157">
        <v>12</v>
      </c>
      <c r="M157">
        <v>2004</v>
      </c>
      <c r="N157" t="s">
        <v>181</v>
      </c>
      <c r="O157">
        <v>147</v>
      </c>
      <c r="P157" t="s">
        <v>402</v>
      </c>
      <c r="Q157" t="s">
        <v>272</v>
      </c>
      <c r="R157">
        <v>4155551450</v>
      </c>
      <c r="S157" t="s">
        <v>273</v>
      </c>
      <c r="U157" s="1" t="str">
        <f t="shared" si="15"/>
        <v>San Rafael</v>
      </c>
      <c r="V157" t="s">
        <v>274</v>
      </c>
      <c r="W157" t="s">
        <v>55</v>
      </c>
      <c r="X157">
        <v>97562</v>
      </c>
      <c r="Y157" s="1" t="str">
        <f t="shared" si="16"/>
        <v>USA</v>
      </c>
      <c r="Z157" s="4" t="str">
        <f t="shared" si="17"/>
        <v>Usa</v>
      </c>
      <c r="AA157" t="s">
        <v>32</v>
      </c>
      <c r="AB157" t="s">
        <v>33</v>
      </c>
      <c r="AC157" t="s">
        <v>275</v>
      </c>
      <c r="AD157" t="s">
        <v>276</v>
      </c>
      <c r="AE157" t="s">
        <v>51</v>
      </c>
    </row>
    <row r="158" spans="1:31" x14ac:dyDescent="0.3">
      <c r="A158">
        <v>10370</v>
      </c>
      <c r="B158">
        <v>35</v>
      </c>
      <c r="C158">
        <v>65.63</v>
      </c>
      <c r="D158">
        <v>4</v>
      </c>
      <c r="E158" s="4" t="str">
        <f t="shared" si="12"/>
        <v>low sales</v>
      </c>
      <c r="F158">
        <v>2297.0500000000002</v>
      </c>
      <c r="G158" t="s">
        <v>830</v>
      </c>
      <c r="H158" s="1" t="str">
        <f t="shared" si="13"/>
        <v>Shipped</v>
      </c>
      <c r="I158" s="4" t="str">
        <f t="shared" si="14"/>
        <v>completed</v>
      </c>
      <c r="J158" t="s">
        <v>25</v>
      </c>
      <c r="K158">
        <v>1</v>
      </c>
      <c r="L158">
        <v>1</v>
      </c>
      <c r="M158">
        <v>2005</v>
      </c>
      <c r="N158" t="s">
        <v>181</v>
      </c>
      <c r="O158">
        <v>147</v>
      </c>
      <c r="P158" t="s">
        <v>402</v>
      </c>
      <c r="Q158" t="s">
        <v>285</v>
      </c>
      <c r="R158" t="s">
        <v>286</v>
      </c>
      <c r="S158" t="s">
        <v>287</v>
      </c>
      <c r="T158" t="s">
        <v>288</v>
      </c>
      <c r="U158" s="1" t="str">
        <f t="shared" si="15"/>
        <v>North Sydney</v>
      </c>
      <c r="V158" t="s">
        <v>289</v>
      </c>
      <c r="W158" t="s">
        <v>157</v>
      </c>
      <c r="X158">
        <v>2060</v>
      </c>
      <c r="Y158" s="1" t="str">
        <f t="shared" si="16"/>
        <v>AUSTRALIA</v>
      </c>
      <c r="Z158" s="4" t="str">
        <f t="shared" si="17"/>
        <v>Australia</v>
      </c>
      <c r="AA158" t="s">
        <v>95</v>
      </c>
      <c r="AB158" t="s">
        <v>96</v>
      </c>
      <c r="AC158" t="s">
        <v>290</v>
      </c>
      <c r="AD158" t="s">
        <v>291</v>
      </c>
      <c r="AE158" t="s">
        <v>36</v>
      </c>
    </row>
    <row r="159" spans="1:31" x14ac:dyDescent="0.3">
      <c r="A159">
        <v>10381</v>
      </c>
      <c r="B159">
        <v>37</v>
      </c>
      <c r="C159">
        <v>100</v>
      </c>
      <c r="D159">
        <v>6</v>
      </c>
      <c r="E159" s="4" t="str">
        <f t="shared" si="12"/>
        <v>high sales</v>
      </c>
      <c r="F159">
        <v>6231.54</v>
      </c>
      <c r="G159" t="s">
        <v>831</v>
      </c>
      <c r="H159" s="1" t="str">
        <f t="shared" si="13"/>
        <v>Shipped</v>
      </c>
      <c r="I159" s="4" t="str">
        <f t="shared" si="14"/>
        <v>completed</v>
      </c>
      <c r="J159" t="s">
        <v>25</v>
      </c>
      <c r="K159">
        <v>1</v>
      </c>
      <c r="L159">
        <v>2</v>
      </c>
      <c r="M159">
        <v>2005</v>
      </c>
      <c r="N159" t="s">
        <v>181</v>
      </c>
      <c r="O159">
        <v>147</v>
      </c>
      <c r="P159" t="s">
        <v>402</v>
      </c>
      <c r="Q159" t="s">
        <v>58</v>
      </c>
      <c r="R159">
        <v>6505551386</v>
      </c>
      <c r="S159" t="s">
        <v>59</v>
      </c>
      <c r="U159" s="1" t="str">
        <f t="shared" si="15"/>
        <v>San Francisco</v>
      </c>
      <c r="V159" t="s">
        <v>60</v>
      </c>
      <c r="W159" t="s">
        <v>55</v>
      </c>
      <c r="Y159" s="1" t="str">
        <f t="shared" si="16"/>
        <v>USA</v>
      </c>
      <c r="Z159" s="4" t="str">
        <f t="shared" si="17"/>
        <v>Usa</v>
      </c>
      <c r="AA159" t="s">
        <v>32</v>
      </c>
      <c r="AB159" t="s">
        <v>33</v>
      </c>
      <c r="AC159" t="s">
        <v>61</v>
      </c>
      <c r="AD159" t="s">
        <v>57</v>
      </c>
      <c r="AE159" t="s">
        <v>51</v>
      </c>
    </row>
    <row r="160" spans="1:31" x14ac:dyDescent="0.3">
      <c r="A160">
        <v>10391</v>
      </c>
      <c r="B160">
        <v>37</v>
      </c>
      <c r="C160">
        <v>46.9</v>
      </c>
      <c r="D160">
        <v>7</v>
      </c>
      <c r="E160" s="4" t="str">
        <f t="shared" si="12"/>
        <v>low sales</v>
      </c>
      <c r="F160">
        <v>1735.3</v>
      </c>
      <c r="G160" t="s">
        <v>832</v>
      </c>
      <c r="H160" s="1" t="str">
        <f t="shared" si="13"/>
        <v>Shipped</v>
      </c>
      <c r="I160" s="4" t="str">
        <f t="shared" si="14"/>
        <v>completed</v>
      </c>
      <c r="J160" t="s">
        <v>25</v>
      </c>
      <c r="K160">
        <v>1</v>
      </c>
      <c r="L160">
        <v>3</v>
      </c>
      <c r="M160">
        <v>2005</v>
      </c>
      <c r="N160" t="s">
        <v>181</v>
      </c>
      <c r="O160">
        <v>147</v>
      </c>
      <c r="P160" t="s">
        <v>402</v>
      </c>
      <c r="Q160" t="s">
        <v>285</v>
      </c>
      <c r="R160" t="s">
        <v>286</v>
      </c>
      <c r="S160" t="s">
        <v>287</v>
      </c>
      <c r="T160" t="s">
        <v>288</v>
      </c>
      <c r="U160" s="1" t="str">
        <f t="shared" si="15"/>
        <v>North Sydney</v>
      </c>
      <c r="V160" t="s">
        <v>289</v>
      </c>
      <c r="W160" t="s">
        <v>157</v>
      </c>
      <c r="X160">
        <v>2060</v>
      </c>
      <c r="Y160" s="1" t="str">
        <f t="shared" si="16"/>
        <v>AUSTRALIA</v>
      </c>
      <c r="Z160" s="4" t="str">
        <f t="shared" si="17"/>
        <v>Australia</v>
      </c>
      <c r="AA160" t="s">
        <v>95</v>
      </c>
      <c r="AB160" t="s">
        <v>96</v>
      </c>
      <c r="AC160" t="s">
        <v>290</v>
      </c>
      <c r="AD160" t="s">
        <v>291</v>
      </c>
      <c r="AE160" t="s">
        <v>36</v>
      </c>
    </row>
    <row r="161" spans="1:31" x14ac:dyDescent="0.3">
      <c r="A161">
        <v>10411</v>
      </c>
      <c r="B161">
        <v>27</v>
      </c>
      <c r="C161">
        <v>100</v>
      </c>
      <c r="D161">
        <v>2</v>
      </c>
      <c r="E161" s="4" t="str">
        <f t="shared" si="12"/>
        <v>high sales</v>
      </c>
      <c r="F161">
        <v>4427.7299999999996</v>
      </c>
      <c r="G161" t="s">
        <v>833</v>
      </c>
      <c r="H161" s="1" t="str">
        <f t="shared" si="13"/>
        <v>Shipped</v>
      </c>
      <c r="I161" s="4" t="str">
        <f t="shared" si="14"/>
        <v>completed</v>
      </c>
      <c r="J161" t="s">
        <v>25</v>
      </c>
      <c r="K161">
        <v>2</v>
      </c>
      <c r="L161">
        <v>5</v>
      </c>
      <c r="M161">
        <v>2005</v>
      </c>
      <c r="N161" t="s">
        <v>181</v>
      </c>
      <c r="O161">
        <v>147</v>
      </c>
      <c r="P161" t="s">
        <v>402</v>
      </c>
      <c r="Q161" t="s">
        <v>292</v>
      </c>
      <c r="R161" t="s">
        <v>293</v>
      </c>
      <c r="S161" t="s">
        <v>294</v>
      </c>
      <c r="U161" s="1" t="str">
        <f t="shared" si="15"/>
        <v>Montreal</v>
      </c>
      <c r="V161" t="s">
        <v>295</v>
      </c>
      <c r="W161" t="s">
        <v>296</v>
      </c>
      <c r="X161" t="s">
        <v>297</v>
      </c>
      <c r="Y161" s="1" t="str">
        <f t="shared" si="16"/>
        <v>CANADA</v>
      </c>
      <c r="Z161" s="4" t="str">
        <f t="shared" si="17"/>
        <v>Canada</v>
      </c>
      <c r="AA161" t="s">
        <v>231</v>
      </c>
      <c r="AB161" t="s">
        <v>33</v>
      </c>
      <c r="AC161" t="s">
        <v>298</v>
      </c>
      <c r="AD161" t="s">
        <v>299</v>
      </c>
      <c r="AE161" t="s">
        <v>51</v>
      </c>
    </row>
    <row r="162" spans="1:31" x14ac:dyDescent="0.3">
      <c r="A162">
        <v>10425</v>
      </c>
      <c r="B162">
        <v>38</v>
      </c>
      <c r="C162">
        <v>100</v>
      </c>
      <c r="D162">
        <v>12</v>
      </c>
      <c r="E162" s="4" t="str">
        <f t="shared" si="12"/>
        <v>high sales</v>
      </c>
      <c r="F162">
        <v>5894.94</v>
      </c>
      <c r="G162" t="s">
        <v>834</v>
      </c>
      <c r="H162" s="1" t="str">
        <f t="shared" si="13"/>
        <v>In Process</v>
      </c>
      <c r="I162" s="4" t="str">
        <f t="shared" si="14"/>
        <v>not completed</v>
      </c>
      <c r="J162" t="s">
        <v>300</v>
      </c>
      <c r="K162">
        <v>2</v>
      </c>
      <c r="L162">
        <v>5</v>
      </c>
      <c r="M162">
        <v>2005</v>
      </c>
      <c r="N162" t="s">
        <v>181</v>
      </c>
      <c r="O162">
        <v>147</v>
      </c>
      <c r="P162" t="s">
        <v>402</v>
      </c>
      <c r="Q162" t="s">
        <v>114</v>
      </c>
      <c r="R162" t="s">
        <v>115</v>
      </c>
      <c r="S162" t="s">
        <v>116</v>
      </c>
      <c r="U162" s="1" t="str">
        <f t="shared" si="15"/>
        <v>Nantes</v>
      </c>
      <c r="V162" t="s">
        <v>117</v>
      </c>
      <c r="X162">
        <v>44000</v>
      </c>
      <c r="Y162" s="1" t="str">
        <f t="shared" si="16"/>
        <v>FRANCE</v>
      </c>
      <c r="Z162" s="4" t="str">
        <f t="shared" si="17"/>
        <v>France</v>
      </c>
      <c r="AA162" t="s">
        <v>41</v>
      </c>
      <c r="AB162" t="s">
        <v>42</v>
      </c>
      <c r="AC162" t="s">
        <v>118</v>
      </c>
      <c r="AD162" t="s">
        <v>119</v>
      </c>
      <c r="AE162" t="s">
        <v>51</v>
      </c>
    </row>
    <row r="163" spans="1:31" x14ac:dyDescent="0.3">
      <c r="A163">
        <v>10108</v>
      </c>
      <c r="B163">
        <v>33</v>
      </c>
      <c r="C163">
        <v>100</v>
      </c>
      <c r="D163">
        <v>6</v>
      </c>
      <c r="E163" s="4" t="str">
        <f t="shared" si="12"/>
        <v>high sales</v>
      </c>
      <c r="F163">
        <v>5265.15</v>
      </c>
      <c r="G163" t="s">
        <v>835</v>
      </c>
      <c r="H163" s="1" t="str">
        <f t="shared" si="13"/>
        <v>Shipped</v>
      </c>
      <c r="I163" s="4" t="str">
        <f t="shared" si="14"/>
        <v>completed</v>
      </c>
      <c r="J163" t="s">
        <v>25</v>
      </c>
      <c r="K163">
        <v>1</v>
      </c>
      <c r="L163">
        <v>3</v>
      </c>
      <c r="M163">
        <v>2003</v>
      </c>
      <c r="N163" t="s">
        <v>181</v>
      </c>
      <c r="O163">
        <v>194</v>
      </c>
      <c r="P163" t="s">
        <v>424</v>
      </c>
      <c r="Q163" t="s">
        <v>425</v>
      </c>
      <c r="R163" t="s">
        <v>426</v>
      </c>
      <c r="S163" t="s">
        <v>427</v>
      </c>
      <c r="U163" s="1" t="str">
        <f t="shared" si="15"/>
        <v>Makati City</v>
      </c>
      <c r="V163" t="s">
        <v>428</v>
      </c>
      <c r="X163" t="s">
        <v>429</v>
      </c>
      <c r="Y163" s="1" t="str">
        <f t="shared" si="16"/>
        <v>PHILIPPINES</v>
      </c>
      <c r="Z163" s="4" t="str">
        <f t="shared" si="17"/>
        <v>Philippines</v>
      </c>
      <c r="AA163" t="s">
        <v>430</v>
      </c>
      <c r="AB163" t="s">
        <v>200</v>
      </c>
      <c r="AC163" t="s">
        <v>431</v>
      </c>
      <c r="AD163" t="s">
        <v>432</v>
      </c>
      <c r="AE163" t="s">
        <v>51</v>
      </c>
    </row>
    <row r="164" spans="1:31" x14ac:dyDescent="0.3">
      <c r="A164">
        <v>10122</v>
      </c>
      <c r="B164">
        <v>42</v>
      </c>
      <c r="C164">
        <v>100</v>
      </c>
      <c r="D164">
        <v>10</v>
      </c>
      <c r="E164" s="4" t="str">
        <f t="shared" si="12"/>
        <v>high sales</v>
      </c>
      <c r="F164">
        <v>7599.9</v>
      </c>
      <c r="G164" t="s">
        <v>836</v>
      </c>
      <c r="H164" s="1" t="str">
        <f t="shared" si="13"/>
        <v>Shipped</v>
      </c>
      <c r="I164" s="4" t="str">
        <f t="shared" si="14"/>
        <v>completed</v>
      </c>
      <c r="J164" t="s">
        <v>25</v>
      </c>
      <c r="K164">
        <v>2</v>
      </c>
      <c r="L164">
        <v>5</v>
      </c>
      <c r="M164">
        <v>2003</v>
      </c>
      <c r="N164" t="s">
        <v>181</v>
      </c>
      <c r="O164">
        <v>194</v>
      </c>
      <c r="P164" t="s">
        <v>424</v>
      </c>
      <c r="Q164" t="s">
        <v>433</v>
      </c>
      <c r="R164" t="s">
        <v>434</v>
      </c>
      <c r="S164" t="s">
        <v>435</v>
      </c>
      <c r="U164" s="1" t="str">
        <f t="shared" si="15"/>
        <v>Marseille</v>
      </c>
      <c r="V164" t="s">
        <v>436</v>
      </c>
      <c r="X164">
        <v>13008</v>
      </c>
      <c r="Y164" s="1" t="str">
        <f t="shared" si="16"/>
        <v>FRANCE</v>
      </c>
      <c r="Z164" s="4" t="str">
        <f t="shared" si="17"/>
        <v>France</v>
      </c>
      <c r="AA164" t="s">
        <v>41</v>
      </c>
      <c r="AB164" t="s">
        <v>42</v>
      </c>
      <c r="AC164" t="s">
        <v>437</v>
      </c>
      <c r="AD164" t="s">
        <v>438</v>
      </c>
      <c r="AE164" t="s">
        <v>151</v>
      </c>
    </row>
    <row r="165" spans="1:31" x14ac:dyDescent="0.3">
      <c r="A165">
        <v>10135</v>
      </c>
      <c r="B165">
        <v>42</v>
      </c>
      <c r="C165">
        <v>100</v>
      </c>
      <c r="D165">
        <v>7</v>
      </c>
      <c r="E165" s="4" t="str">
        <f t="shared" si="12"/>
        <v>high sales</v>
      </c>
      <c r="F165">
        <v>8008.56</v>
      </c>
      <c r="G165" t="s">
        <v>837</v>
      </c>
      <c r="H165" s="1" t="str">
        <f t="shared" si="13"/>
        <v>Shipped</v>
      </c>
      <c r="I165" s="4" t="str">
        <f t="shared" si="14"/>
        <v>completed</v>
      </c>
      <c r="J165" t="s">
        <v>25</v>
      </c>
      <c r="K165">
        <v>3</v>
      </c>
      <c r="L165">
        <v>7</v>
      </c>
      <c r="M165">
        <v>2003</v>
      </c>
      <c r="N165" t="s">
        <v>181</v>
      </c>
      <c r="O165">
        <v>194</v>
      </c>
      <c r="P165" t="s">
        <v>424</v>
      </c>
      <c r="Q165" t="s">
        <v>272</v>
      </c>
      <c r="R165">
        <v>4155551450</v>
      </c>
      <c r="S165" t="s">
        <v>273</v>
      </c>
      <c r="U165" s="1" t="str">
        <f t="shared" si="15"/>
        <v>San Rafael</v>
      </c>
      <c r="V165" t="s">
        <v>274</v>
      </c>
      <c r="W165" t="s">
        <v>55</v>
      </c>
      <c r="X165">
        <v>97562</v>
      </c>
      <c r="Y165" s="1" t="str">
        <f t="shared" si="16"/>
        <v>USA</v>
      </c>
      <c r="Z165" s="4" t="str">
        <f t="shared" si="17"/>
        <v>Usa</v>
      </c>
      <c r="AA165" t="s">
        <v>32</v>
      </c>
      <c r="AB165" t="s">
        <v>33</v>
      </c>
      <c r="AC165" t="s">
        <v>275</v>
      </c>
      <c r="AD165" t="s">
        <v>276</v>
      </c>
      <c r="AE165" t="s">
        <v>151</v>
      </c>
    </row>
    <row r="166" spans="1:31" x14ac:dyDescent="0.3">
      <c r="A166">
        <v>10147</v>
      </c>
      <c r="B166">
        <v>48</v>
      </c>
      <c r="C166">
        <v>100</v>
      </c>
      <c r="D166">
        <v>7</v>
      </c>
      <c r="E166" s="4" t="str">
        <f t="shared" si="12"/>
        <v>high sales</v>
      </c>
      <c r="F166">
        <v>9245.76</v>
      </c>
      <c r="G166" t="s">
        <v>838</v>
      </c>
      <c r="H166" s="1" t="str">
        <f t="shared" si="13"/>
        <v>Shipped</v>
      </c>
      <c r="I166" s="4" t="str">
        <f t="shared" si="14"/>
        <v>completed</v>
      </c>
      <c r="J166" t="s">
        <v>25</v>
      </c>
      <c r="K166">
        <v>3</v>
      </c>
      <c r="L166">
        <v>9</v>
      </c>
      <c r="M166">
        <v>2003</v>
      </c>
      <c r="N166" t="s">
        <v>181</v>
      </c>
      <c r="O166">
        <v>194</v>
      </c>
      <c r="P166" t="s">
        <v>424</v>
      </c>
      <c r="Q166" t="s">
        <v>281</v>
      </c>
      <c r="R166">
        <v>6175558555</v>
      </c>
      <c r="S166" t="s">
        <v>282</v>
      </c>
      <c r="U166" s="1" t="str">
        <f t="shared" si="15"/>
        <v>Brickhaven</v>
      </c>
      <c r="V166" t="s">
        <v>283</v>
      </c>
      <c r="W166" t="s">
        <v>123</v>
      </c>
      <c r="X166">
        <v>58339</v>
      </c>
      <c r="Y166" s="1" t="str">
        <f t="shared" si="16"/>
        <v>USA</v>
      </c>
      <c r="Z166" s="4" t="str">
        <f t="shared" si="17"/>
        <v>Usa</v>
      </c>
      <c r="AA166" t="s">
        <v>32</v>
      </c>
      <c r="AB166" t="s">
        <v>33</v>
      </c>
      <c r="AC166" t="s">
        <v>275</v>
      </c>
      <c r="AD166" t="s">
        <v>284</v>
      </c>
      <c r="AE166" t="s">
        <v>151</v>
      </c>
    </row>
    <row r="167" spans="1:31" x14ac:dyDescent="0.3">
      <c r="A167">
        <v>10159</v>
      </c>
      <c r="B167">
        <v>41</v>
      </c>
      <c r="C167">
        <v>100</v>
      </c>
      <c r="D167">
        <v>2</v>
      </c>
      <c r="E167" s="4" t="str">
        <f t="shared" si="12"/>
        <v>high sales</v>
      </c>
      <c r="F167">
        <v>8296.35</v>
      </c>
      <c r="G167" t="s">
        <v>839</v>
      </c>
      <c r="H167" s="1" t="str">
        <f t="shared" si="13"/>
        <v>Shipped</v>
      </c>
      <c r="I167" s="4" t="str">
        <f t="shared" si="14"/>
        <v>completed</v>
      </c>
      <c r="J167" t="s">
        <v>25</v>
      </c>
      <c r="K167">
        <v>4</v>
      </c>
      <c r="L167">
        <v>10</v>
      </c>
      <c r="M167">
        <v>2003</v>
      </c>
      <c r="N167" t="s">
        <v>181</v>
      </c>
      <c r="O167">
        <v>194</v>
      </c>
      <c r="P167" t="s">
        <v>424</v>
      </c>
      <c r="Q167" t="s">
        <v>58</v>
      </c>
      <c r="R167">
        <v>6505551386</v>
      </c>
      <c r="S167" t="s">
        <v>59</v>
      </c>
      <c r="U167" s="1" t="str">
        <f t="shared" si="15"/>
        <v>San Francisco</v>
      </c>
      <c r="V167" t="s">
        <v>60</v>
      </c>
      <c r="W167" t="s">
        <v>55</v>
      </c>
      <c r="Y167" s="1" t="str">
        <f t="shared" si="16"/>
        <v>USA</v>
      </c>
      <c r="Z167" s="4" t="str">
        <f t="shared" si="17"/>
        <v>Usa</v>
      </c>
      <c r="AA167" t="s">
        <v>32</v>
      </c>
      <c r="AB167" t="s">
        <v>33</v>
      </c>
      <c r="AC167" t="s">
        <v>61</v>
      </c>
      <c r="AD167" t="s">
        <v>57</v>
      </c>
      <c r="AE167" t="s">
        <v>151</v>
      </c>
    </row>
    <row r="168" spans="1:31" x14ac:dyDescent="0.3">
      <c r="A168">
        <v>10169</v>
      </c>
      <c r="B168">
        <v>30</v>
      </c>
      <c r="C168">
        <v>100</v>
      </c>
      <c r="D168">
        <v>2</v>
      </c>
      <c r="E168" s="4" t="str">
        <f t="shared" si="12"/>
        <v>high sales</v>
      </c>
      <c r="F168">
        <v>5019.8999999999996</v>
      </c>
      <c r="G168" t="s">
        <v>840</v>
      </c>
      <c r="H168" s="1" t="str">
        <f t="shared" si="13"/>
        <v>Shipped</v>
      </c>
      <c r="I168" s="4" t="str">
        <f t="shared" si="14"/>
        <v>completed</v>
      </c>
      <c r="J168" t="s">
        <v>25</v>
      </c>
      <c r="K168">
        <v>4</v>
      </c>
      <c r="L168">
        <v>11</v>
      </c>
      <c r="M168">
        <v>2003</v>
      </c>
      <c r="N168" t="s">
        <v>181</v>
      </c>
      <c r="O168">
        <v>194</v>
      </c>
      <c r="P168" t="s">
        <v>424</v>
      </c>
      <c r="Q168" t="s">
        <v>285</v>
      </c>
      <c r="R168" t="s">
        <v>286</v>
      </c>
      <c r="S168" t="s">
        <v>287</v>
      </c>
      <c r="T168" t="s">
        <v>288</v>
      </c>
      <c r="U168" s="1" t="str">
        <f t="shared" si="15"/>
        <v>North Sydney</v>
      </c>
      <c r="V168" t="s">
        <v>289</v>
      </c>
      <c r="W168" t="s">
        <v>157</v>
      </c>
      <c r="X168">
        <v>2060</v>
      </c>
      <c r="Y168" s="1" t="str">
        <f t="shared" si="16"/>
        <v>AUSTRALIA</v>
      </c>
      <c r="Z168" s="4" t="str">
        <f t="shared" si="17"/>
        <v>Australia</v>
      </c>
      <c r="AA168" t="s">
        <v>95</v>
      </c>
      <c r="AB168" t="s">
        <v>96</v>
      </c>
      <c r="AC168" t="s">
        <v>290</v>
      </c>
      <c r="AD168" t="s">
        <v>291</v>
      </c>
      <c r="AE168" t="s">
        <v>51</v>
      </c>
    </row>
    <row r="169" spans="1:31" x14ac:dyDescent="0.3">
      <c r="A169">
        <v>10181</v>
      </c>
      <c r="B169">
        <v>27</v>
      </c>
      <c r="C169">
        <v>100</v>
      </c>
      <c r="D169">
        <v>14</v>
      </c>
      <c r="E169" s="4" t="str">
        <f t="shared" si="12"/>
        <v>high sales</v>
      </c>
      <c r="F169">
        <v>5411.07</v>
      </c>
      <c r="G169" t="s">
        <v>841</v>
      </c>
      <c r="H169" s="1" t="str">
        <f t="shared" si="13"/>
        <v>Shipped</v>
      </c>
      <c r="I169" s="4" t="str">
        <f t="shared" si="14"/>
        <v>completed</v>
      </c>
      <c r="J169" t="s">
        <v>25</v>
      </c>
      <c r="K169">
        <v>4</v>
      </c>
      <c r="L169">
        <v>11</v>
      </c>
      <c r="M169">
        <v>2003</v>
      </c>
      <c r="N169" t="s">
        <v>181</v>
      </c>
      <c r="O169">
        <v>194</v>
      </c>
      <c r="P169" t="s">
        <v>424</v>
      </c>
      <c r="Q169" t="s">
        <v>73</v>
      </c>
      <c r="R169" t="s">
        <v>74</v>
      </c>
      <c r="S169" t="s">
        <v>75</v>
      </c>
      <c r="U169" s="1" t="str">
        <f t="shared" si="15"/>
        <v>Bergen</v>
      </c>
      <c r="V169" t="s">
        <v>76</v>
      </c>
      <c r="X169" t="s">
        <v>77</v>
      </c>
      <c r="Y169" s="1" t="str">
        <f t="shared" si="16"/>
        <v>NORWAY</v>
      </c>
      <c r="Z169" s="4" t="str">
        <f t="shared" si="17"/>
        <v>Norway</v>
      </c>
      <c r="AA169" t="s">
        <v>78</v>
      </c>
      <c r="AB169" t="s">
        <v>42</v>
      </c>
      <c r="AC169" t="s">
        <v>79</v>
      </c>
      <c r="AD169" t="s">
        <v>80</v>
      </c>
      <c r="AE169" t="s">
        <v>51</v>
      </c>
    </row>
    <row r="170" spans="1:31" x14ac:dyDescent="0.3">
      <c r="A170">
        <v>10191</v>
      </c>
      <c r="B170">
        <v>21</v>
      </c>
      <c r="C170">
        <v>100</v>
      </c>
      <c r="D170">
        <v>3</v>
      </c>
      <c r="E170" s="4" t="str">
        <f t="shared" si="12"/>
        <v>low sales</v>
      </c>
      <c r="F170">
        <v>3840.9</v>
      </c>
      <c r="G170" t="s">
        <v>842</v>
      </c>
      <c r="H170" s="1" t="str">
        <f t="shared" si="13"/>
        <v>Shipped</v>
      </c>
      <c r="I170" s="4" t="str">
        <f t="shared" si="14"/>
        <v>completed</v>
      </c>
      <c r="J170" t="s">
        <v>25</v>
      </c>
      <c r="K170">
        <v>4</v>
      </c>
      <c r="L170">
        <v>11</v>
      </c>
      <c r="M170">
        <v>2003</v>
      </c>
      <c r="N170" t="s">
        <v>181</v>
      </c>
      <c r="O170">
        <v>194</v>
      </c>
      <c r="P170" t="s">
        <v>424</v>
      </c>
      <c r="Q170" t="s">
        <v>439</v>
      </c>
      <c r="R170" t="s">
        <v>440</v>
      </c>
      <c r="S170" t="s">
        <v>441</v>
      </c>
      <c r="U170" s="1" t="str">
        <f t="shared" si="15"/>
        <v>Koln</v>
      </c>
      <c r="V170" t="s">
        <v>442</v>
      </c>
      <c r="X170">
        <v>50739</v>
      </c>
      <c r="Y170" s="1" t="str">
        <f t="shared" si="16"/>
        <v>GERMANY</v>
      </c>
      <c r="Z170" s="4" t="str">
        <f t="shared" si="17"/>
        <v>Germany</v>
      </c>
      <c r="AA170" t="s">
        <v>443</v>
      </c>
      <c r="AB170" t="s">
        <v>42</v>
      </c>
      <c r="AC170" t="s">
        <v>444</v>
      </c>
      <c r="AD170" t="s">
        <v>445</v>
      </c>
      <c r="AE170" t="s">
        <v>51</v>
      </c>
    </row>
    <row r="171" spans="1:31" x14ac:dyDescent="0.3">
      <c r="A171">
        <v>10203</v>
      </c>
      <c r="B171">
        <v>20</v>
      </c>
      <c r="C171">
        <v>100</v>
      </c>
      <c r="D171">
        <v>8</v>
      </c>
      <c r="E171" s="4" t="str">
        <f t="shared" si="12"/>
        <v>low sales</v>
      </c>
      <c r="F171">
        <v>3930.4</v>
      </c>
      <c r="G171" t="s">
        <v>843</v>
      </c>
      <c r="H171" s="1" t="str">
        <f t="shared" si="13"/>
        <v>Shipped</v>
      </c>
      <c r="I171" s="4" t="str">
        <f t="shared" si="14"/>
        <v>completed</v>
      </c>
      <c r="J171" t="s">
        <v>25</v>
      </c>
      <c r="K171">
        <v>4</v>
      </c>
      <c r="L171">
        <v>12</v>
      </c>
      <c r="M171">
        <v>2003</v>
      </c>
      <c r="N171" t="s">
        <v>181</v>
      </c>
      <c r="O171">
        <v>194</v>
      </c>
      <c r="P171" t="s">
        <v>424</v>
      </c>
      <c r="Q171" t="s">
        <v>174</v>
      </c>
      <c r="R171" t="s">
        <v>175</v>
      </c>
      <c r="S171" t="s">
        <v>176</v>
      </c>
      <c r="U171" s="1" t="str">
        <f t="shared" si="15"/>
        <v>Madrid</v>
      </c>
      <c r="V171" t="s">
        <v>177</v>
      </c>
      <c r="X171">
        <v>28034</v>
      </c>
      <c r="Y171" s="1" t="str">
        <f t="shared" si="16"/>
        <v>SPAIN</v>
      </c>
      <c r="Z171" s="4" t="str">
        <f t="shared" si="17"/>
        <v>Spain</v>
      </c>
      <c r="AA171" t="s">
        <v>178</v>
      </c>
      <c r="AB171" t="s">
        <v>42</v>
      </c>
      <c r="AC171" t="s">
        <v>179</v>
      </c>
      <c r="AD171" t="s">
        <v>180</v>
      </c>
      <c r="AE171" t="s">
        <v>51</v>
      </c>
    </row>
    <row r="172" spans="1:31" x14ac:dyDescent="0.3">
      <c r="A172">
        <v>10211</v>
      </c>
      <c r="B172">
        <v>41</v>
      </c>
      <c r="C172">
        <v>100</v>
      </c>
      <c r="D172">
        <v>2</v>
      </c>
      <c r="E172" s="4" t="str">
        <f t="shared" si="12"/>
        <v>high sales</v>
      </c>
      <c r="F172">
        <v>7498.9</v>
      </c>
      <c r="G172" t="s">
        <v>844</v>
      </c>
      <c r="H172" s="1" t="str">
        <f t="shared" si="13"/>
        <v>Shipped</v>
      </c>
      <c r="I172" s="4" t="str">
        <f t="shared" si="14"/>
        <v>completed</v>
      </c>
      <c r="J172" t="s">
        <v>25</v>
      </c>
      <c r="K172">
        <v>1</v>
      </c>
      <c r="L172">
        <v>1</v>
      </c>
      <c r="M172">
        <v>2004</v>
      </c>
      <c r="N172" t="s">
        <v>181</v>
      </c>
      <c r="O172">
        <v>194</v>
      </c>
      <c r="P172" t="s">
        <v>424</v>
      </c>
      <c r="Q172" t="s">
        <v>84</v>
      </c>
      <c r="R172" t="s">
        <v>85</v>
      </c>
      <c r="S172" t="s">
        <v>86</v>
      </c>
      <c r="U172" s="1" t="str">
        <f t="shared" si="15"/>
        <v>Paris</v>
      </c>
      <c r="V172" t="s">
        <v>48</v>
      </c>
      <c r="X172">
        <v>75016</v>
      </c>
      <c r="Y172" s="1" t="str">
        <f t="shared" si="16"/>
        <v>FRANCE</v>
      </c>
      <c r="Z172" s="4" t="str">
        <f t="shared" si="17"/>
        <v>France</v>
      </c>
      <c r="AA172" t="s">
        <v>41</v>
      </c>
      <c r="AB172" t="s">
        <v>42</v>
      </c>
      <c r="AC172" t="s">
        <v>87</v>
      </c>
      <c r="AD172" t="s">
        <v>88</v>
      </c>
      <c r="AE172" t="s">
        <v>151</v>
      </c>
    </row>
    <row r="173" spans="1:31" x14ac:dyDescent="0.3">
      <c r="A173">
        <v>10225</v>
      </c>
      <c r="B173">
        <v>27</v>
      </c>
      <c r="C173">
        <v>100</v>
      </c>
      <c r="D173">
        <v>9</v>
      </c>
      <c r="E173" s="4" t="str">
        <f t="shared" si="12"/>
        <v>high sales</v>
      </c>
      <c r="F173">
        <v>4517.91</v>
      </c>
      <c r="G173" t="s">
        <v>845</v>
      </c>
      <c r="H173" s="1" t="str">
        <f t="shared" si="13"/>
        <v>Shipped</v>
      </c>
      <c r="I173" s="4" t="str">
        <f t="shared" si="14"/>
        <v>completed</v>
      </c>
      <c r="J173" t="s">
        <v>25</v>
      </c>
      <c r="K173">
        <v>1</v>
      </c>
      <c r="L173">
        <v>2</v>
      </c>
      <c r="M173">
        <v>2004</v>
      </c>
      <c r="N173" t="s">
        <v>181</v>
      </c>
      <c r="O173">
        <v>194</v>
      </c>
      <c r="P173" t="s">
        <v>424</v>
      </c>
      <c r="Q173" t="s">
        <v>446</v>
      </c>
      <c r="R173" t="s">
        <v>447</v>
      </c>
      <c r="S173" t="s">
        <v>448</v>
      </c>
      <c r="U173" s="1" t="str">
        <f t="shared" si="15"/>
        <v>Gensve</v>
      </c>
      <c r="V173" t="s">
        <v>449</v>
      </c>
      <c r="X173">
        <v>1203</v>
      </c>
      <c r="Y173" s="1" t="str">
        <f t="shared" si="16"/>
        <v>SWITZERLAND</v>
      </c>
      <c r="Z173" s="4" t="str">
        <f t="shared" si="17"/>
        <v>Switzerland</v>
      </c>
      <c r="AA173" t="s">
        <v>450</v>
      </c>
      <c r="AB173" t="s">
        <v>42</v>
      </c>
      <c r="AC173" t="s">
        <v>451</v>
      </c>
      <c r="AD173" t="s">
        <v>103</v>
      </c>
      <c r="AE173" t="s">
        <v>51</v>
      </c>
    </row>
    <row r="174" spans="1:31" x14ac:dyDescent="0.3">
      <c r="A174">
        <v>10238</v>
      </c>
      <c r="B174">
        <v>28</v>
      </c>
      <c r="C174">
        <v>100</v>
      </c>
      <c r="D174">
        <v>3</v>
      </c>
      <c r="E174" s="4" t="str">
        <f t="shared" si="12"/>
        <v>high sales</v>
      </c>
      <c r="F174">
        <v>5774.72</v>
      </c>
      <c r="G174" t="s">
        <v>846</v>
      </c>
      <c r="H174" s="1" t="str">
        <f t="shared" si="13"/>
        <v>Shipped</v>
      </c>
      <c r="I174" s="4" t="str">
        <f t="shared" si="14"/>
        <v>completed</v>
      </c>
      <c r="J174" t="s">
        <v>25</v>
      </c>
      <c r="K174">
        <v>2</v>
      </c>
      <c r="L174">
        <v>4</v>
      </c>
      <c r="M174">
        <v>2004</v>
      </c>
      <c r="N174" t="s">
        <v>181</v>
      </c>
      <c r="O174">
        <v>194</v>
      </c>
      <c r="P174" t="s">
        <v>424</v>
      </c>
      <c r="Q174" t="s">
        <v>322</v>
      </c>
      <c r="R174" t="s">
        <v>323</v>
      </c>
      <c r="S174" t="s">
        <v>324</v>
      </c>
      <c r="U174" s="1" t="str">
        <f t="shared" si="15"/>
        <v>Kobenhavn</v>
      </c>
      <c r="V174" t="s">
        <v>325</v>
      </c>
      <c r="X174">
        <v>1734</v>
      </c>
      <c r="Y174" s="1" t="str">
        <f t="shared" si="16"/>
        <v>DENMARK</v>
      </c>
      <c r="Z174" s="4" t="str">
        <f t="shared" si="17"/>
        <v>Denmark</v>
      </c>
      <c r="AA174" t="s">
        <v>326</v>
      </c>
      <c r="AB174" t="s">
        <v>42</v>
      </c>
      <c r="AC174" t="s">
        <v>327</v>
      </c>
      <c r="AD174" t="s">
        <v>328</v>
      </c>
      <c r="AE174" t="s">
        <v>51</v>
      </c>
    </row>
    <row r="175" spans="1:31" x14ac:dyDescent="0.3">
      <c r="A175">
        <v>10253</v>
      </c>
      <c r="B175">
        <v>24</v>
      </c>
      <c r="C175">
        <v>100</v>
      </c>
      <c r="D175">
        <v>13</v>
      </c>
      <c r="E175" s="4" t="str">
        <f t="shared" si="12"/>
        <v>low sales</v>
      </c>
      <c r="F175">
        <v>3922.56</v>
      </c>
      <c r="G175" t="s">
        <v>847</v>
      </c>
      <c r="H175" s="1" t="str">
        <f t="shared" si="13"/>
        <v>Cancelled</v>
      </c>
      <c r="I175" s="4" t="str">
        <f t="shared" si="14"/>
        <v>not completed</v>
      </c>
      <c r="J175" t="s">
        <v>339</v>
      </c>
      <c r="K175">
        <v>2</v>
      </c>
      <c r="L175">
        <v>6</v>
      </c>
      <c r="M175">
        <v>2004</v>
      </c>
      <c r="N175" t="s">
        <v>181</v>
      </c>
      <c r="O175">
        <v>194</v>
      </c>
      <c r="P175" t="s">
        <v>424</v>
      </c>
      <c r="Q175" t="s">
        <v>165</v>
      </c>
      <c r="R175" t="s">
        <v>166</v>
      </c>
      <c r="S175" t="s">
        <v>167</v>
      </c>
      <c r="U175" s="1" t="str">
        <f t="shared" si="15"/>
        <v>Liverpool</v>
      </c>
      <c r="V175" t="s">
        <v>168</v>
      </c>
      <c r="X175" t="s">
        <v>169</v>
      </c>
      <c r="Y175" s="1" t="str">
        <f t="shared" si="16"/>
        <v>UK</v>
      </c>
      <c r="Z175" s="4" t="str">
        <f t="shared" si="17"/>
        <v>Uk</v>
      </c>
      <c r="AA175" t="s">
        <v>170</v>
      </c>
      <c r="AB175" t="s">
        <v>42</v>
      </c>
      <c r="AC175" t="s">
        <v>171</v>
      </c>
      <c r="AD175" t="s">
        <v>172</v>
      </c>
      <c r="AE175" t="s">
        <v>51</v>
      </c>
    </row>
    <row r="176" spans="1:31" x14ac:dyDescent="0.3">
      <c r="A176">
        <v>10266</v>
      </c>
      <c r="B176">
        <v>44</v>
      </c>
      <c r="C176">
        <v>100</v>
      </c>
      <c r="D176">
        <v>14</v>
      </c>
      <c r="E176" s="4" t="str">
        <f t="shared" si="12"/>
        <v>high sales</v>
      </c>
      <c r="F176">
        <v>9160.36</v>
      </c>
      <c r="G176" t="s">
        <v>848</v>
      </c>
      <c r="H176" s="1" t="str">
        <f t="shared" si="13"/>
        <v>Shipped</v>
      </c>
      <c r="I176" s="4" t="str">
        <f t="shared" si="14"/>
        <v>completed</v>
      </c>
      <c r="J176" t="s">
        <v>25</v>
      </c>
      <c r="K176">
        <v>3</v>
      </c>
      <c r="L176">
        <v>7</v>
      </c>
      <c r="M176">
        <v>2004</v>
      </c>
      <c r="N176" t="s">
        <v>181</v>
      </c>
      <c r="O176">
        <v>194</v>
      </c>
      <c r="P176" t="s">
        <v>424</v>
      </c>
      <c r="Q176" t="s">
        <v>452</v>
      </c>
      <c r="R176" t="s">
        <v>453</v>
      </c>
      <c r="S176" t="s">
        <v>454</v>
      </c>
      <c r="U176" s="1" t="str">
        <f t="shared" si="15"/>
        <v>Reggio Emilia</v>
      </c>
      <c r="V176" t="s">
        <v>455</v>
      </c>
      <c r="X176">
        <v>42100</v>
      </c>
      <c r="Y176" s="1" t="str">
        <f t="shared" si="16"/>
        <v>ITALY</v>
      </c>
      <c r="Z176" s="4" t="str">
        <f t="shared" si="17"/>
        <v>Italy</v>
      </c>
      <c r="AA176" t="s">
        <v>258</v>
      </c>
      <c r="AB176" t="s">
        <v>42</v>
      </c>
      <c r="AC176" t="s">
        <v>456</v>
      </c>
      <c r="AD176" t="s">
        <v>457</v>
      </c>
      <c r="AE176" t="s">
        <v>151</v>
      </c>
    </row>
    <row r="177" spans="1:31" x14ac:dyDescent="0.3">
      <c r="A177">
        <v>10276</v>
      </c>
      <c r="B177">
        <v>50</v>
      </c>
      <c r="C177">
        <v>100</v>
      </c>
      <c r="D177">
        <v>3</v>
      </c>
      <c r="E177" s="4" t="str">
        <f t="shared" si="12"/>
        <v>high sales</v>
      </c>
      <c r="F177">
        <v>9631</v>
      </c>
      <c r="G177" t="s">
        <v>849</v>
      </c>
      <c r="H177" s="1" t="str">
        <f t="shared" si="13"/>
        <v>Shipped</v>
      </c>
      <c r="I177" s="4" t="str">
        <f t="shared" si="14"/>
        <v>completed</v>
      </c>
      <c r="J177" t="s">
        <v>25</v>
      </c>
      <c r="K177">
        <v>3</v>
      </c>
      <c r="L177">
        <v>8</v>
      </c>
      <c r="M177">
        <v>2004</v>
      </c>
      <c r="N177" t="s">
        <v>181</v>
      </c>
      <c r="O177">
        <v>194</v>
      </c>
      <c r="P177" t="s">
        <v>424</v>
      </c>
      <c r="Q177" t="s">
        <v>458</v>
      </c>
      <c r="R177">
        <v>6175557555</v>
      </c>
      <c r="S177" t="s">
        <v>459</v>
      </c>
      <c r="U177" s="1" t="str">
        <f t="shared" si="15"/>
        <v>Brickhaven</v>
      </c>
      <c r="V177" t="s">
        <v>283</v>
      </c>
      <c r="W177" t="s">
        <v>123</v>
      </c>
      <c r="X177">
        <v>58339</v>
      </c>
      <c r="Y177" s="1" t="str">
        <f t="shared" si="16"/>
        <v>USA</v>
      </c>
      <c r="Z177" s="4" t="str">
        <f t="shared" si="17"/>
        <v>Usa</v>
      </c>
      <c r="AA177" t="s">
        <v>32</v>
      </c>
      <c r="AB177" t="s">
        <v>33</v>
      </c>
      <c r="AC177" t="s">
        <v>460</v>
      </c>
      <c r="AD177" t="s">
        <v>461</v>
      </c>
      <c r="AE177" t="s">
        <v>151</v>
      </c>
    </row>
    <row r="178" spans="1:31" x14ac:dyDescent="0.3">
      <c r="A178">
        <v>10287</v>
      </c>
      <c r="B178">
        <v>21</v>
      </c>
      <c r="C178">
        <v>100</v>
      </c>
      <c r="D178">
        <v>12</v>
      </c>
      <c r="E178" s="4" t="str">
        <f t="shared" si="12"/>
        <v>low sales</v>
      </c>
      <c r="F178">
        <v>3432.24</v>
      </c>
      <c r="G178" t="s">
        <v>850</v>
      </c>
      <c r="H178" s="1" t="str">
        <f t="shared" si="13"/>
        <v>Shipped</v>
      </c>
      <c r="I178" s="4" t="str">
        <f t="shared" si="14"/>
        <v>completed</v>
      </c>
      <c r="J178" t="s">
        <v>25</v>
      </c>
      <c r="K178">
        <v>3</v>
      </c>
      <c r="L178">
        <v>8</v>
      </c>
      <c r="M178">
        <v>2004</v>
      </c>
      <c r="N178" t="s">
        <v>181</v>
      </c>
      <c r="O178">
        <v>194</v>
      </c>
      <c r="P178" t="s">
        <v>424</v>
      </c>
      <c r="Q178" t="s">
        <v>446</v>
      </c>
      <c r="R178" t="s">
        <v>447</v>
      </c>
      <c r="S178" t="s">
        <v>448</v>
      </c>
      <c r="U178" s="1" t="str">
        <f t="shared" si="15"/>
        <v>Gensve</v>
      </c>
      <c r="V178" t="s">
        <v>449</v>
      </c>
      <c r="X178">
        <v>1203</v>
      </c>
      <c r="Y178" s="1" t="str">
        <f t="shared" si="16"/>
        <v>SWITZERLAND</v>
      </c>
      <c r="Z178" s="4" t="str">
        <f t="shared" si="17"/>
        <v>Switzerland</v>
      </c>
      <c r="AA178" t="s">
        <v>450</v>
      </c>
      <c r="AB178" t="s">
        <v>42</v>
      </c>
      <c r="AC178" t="s">
        <v>451</v>
      </c>
      <c r="AD178" t="s">
        <v>103</v>
      </c>
      <c r="AE178" t="s">
        <v>51</v>
      </c>
    </row>
    <row r="179" spans="1:31" x14ac:dyDescent="0.3">
      <c r="A179">
        <v>10300</v>
      </c>
      <c r="B179">
        <v>33</v>
      </c>
      <c r="C179">
        <v>100</v>
      </c>
      <c r="D179">
        <v>5</v>
      </c>
      <c r="E179" s="4" t="str">
        <f t="shared" si="12"/>
        <v>high sales</v>
      </c>
      <c r="F179">
        <v>5521.89</v>
      </c>
      <c r="G179" t="s">
        <v>851</v>
      </c>
      <c r="H179" s="1" t="str">
        <f t="shared" si="13"/>
        <v>Shipped</v>
      </c>
      <c r="I179" s="4" t="str">
        <f t="shared" si="14"/>
        <v>completed</v>
      </c>
      <c r="J179" t="s">
        <v>25</v>
      </c>
      <c r="K179">
        <v>4</v>
      </c>
      <c r="L179">
        <v>10</v>
      </c>
      <c r="M179">
        <v>2003</v>
      </c>
      <c r="N179" t="s">
        <v>181</v>
      </c>
      <c r="O179">
        <v>194</v>
      </c>
      <c r="P179" t="s">
        <v>424</v>
      </c>
      <c r="Q179" t="s">
        <v>462</v>
      </c>
      <c r="R179" t="s">
        <v>463</v>
      </c>
      <c r="S179" t="s">
        <v>464</v>
      </c>
      <c r="U179" s="1" t="str">
        <f t="shared" si="15"/>
        <v>Frankfurt</v>
      </c>
      <c r="V179" t="s">
        <v>465</v>
      </c>
      <c r="X179">
        <v>60528</v>
      </c>
      <c r="Y179" s="1" t="str">
        <f t="shared" si="16"/>
        <v>GERMANY</v>
      </c>
      <c r="Z179" s="4" t="str">
        <f t="shared" si="17"/>
        <v>Germany</v>
      </c>
      <c r="AA179" t="s">
        <v>443</v>
      </c>
      <c r="AB179" t="s">
        <v>42</v>
      </c>
      <c r="AC179" t="s">
        <v>466</v>
      </c>
      <c r="AD179" t="s">
        <v>414</v>
      </c>
      <c r="AE179" t="s">
        <v>51</v>
      </c>
    </row>
    <row r="180" spans="1:31" x14ac:dyDescent="0.3">
      <c r="A180">
        <v>10310</v>
      </c>
      <c r="B180">
        <v>33</v>
      </c>
      <c r="C180">
        <v>100</v>
      </c>
      <c r="D180">
        <v>10</v>
      </c>
      <c r="E180" s="4" t="str">
        <f t="shared" si="12"/>
        <v>high sales</v>
      </c>
      <c r="F180">
        <v>6934.62</v>
      </c>
      <c r="G180" t="s">
        <v>852</v>
      </c>
      <c r="H180" s="1" t="str">
        <f t="shared" si="13"/>
        <v>Shipped</v>
      </c>
      <c r="I180" s="4" t="str">
        <f t="shared" si="14"/>
        <v>completed</v>
      </c>
      <c r="J180" t="s">
        <v>25</v>
      </c>
      <c r="K180">
        <v>4</v>
      </c>
      <c r="L180">
        <v>10</v>
      </c>
      <c r="M180">
        <v>2004</v>
      </c>
      <c r="N180" t="s">
        <v>181</v>
      </c>
      <c r="O180">
        <v>194</v>
      </c>
      <c r="P180" t="s">
        <v>424</v>
      </c>
      <c r="Q180" t="s">
        <v>439</v>
      </c>
      <c r="R180" t="s">
        <v>440</v>
      </c>
      <c r="S180" t="s">
        <v>441</v>
      </c>
      <c r="U180" s="1" t="str">
        <f t="shared" si="15"/>
        <v>Koln</v>
      </c>
      <c r="V180" t="s">
        <v>442</v>
      </c>
      <c r="X180">
        <v>50739</v>
      </c>
      <c r="Y180" s="1" t="str">
        <f t="shared" si="16"/>
        <v>GERMANY</v>
      </c>
      <c r="Z180" s="4" t="str">
        <f t="shared" si="17"/>
        <v>Germany</v>
      </c>
      <c r="AA180" t="s">
        <v>443</v>
      </c>
      <c r="AB180" t="s">
        <v>42</v>
      </c>
      <c r="AC180" t="s">
        <v>444</v>
      </c>
      <c r="AD180" t="s">
        <v>445</v>
      </c>
      <c r="AE180" t="s">
        <v>51</v>
      </c>
    </row>
    <row r="181" spans="1:31" x14ac:dyDescent="0.3">
      <c r="A181">
        <v>10320</v>
      </c>
      <c r="B181">
        <v>31</v>
      </c>
      <c r="C181">
        <v>100</v>
      </c>
      <c r="D181">
        <v>3</v>
      </c>
      <c r="E181" s="4" t="str">
        <f t="shared" si="12"/>
        <v>high sales</v>
      </c>
      <c r="F181">
        <v>6876.11</v>
      </c>
      <c r="G181" t="s">
        <v>853</v>
      </c>
      <c r="H181" s="1" t="str">
        <f t="shared" si="13"/>
        <v>Shipped</v>
      </c>
      <c r="I181" s="4" t="str">
        <f t="shared" si="14"/>
        <v>completed</v>
      </c>
      <c r="J181" t="s">
        <v>25</v>
      </c>
      <c r="K181">
        <v>4</v>
      </c>
      <c r="L181">
        <v>11</v>
      </c>
      <c r="M181">
        <v>2004</v>
      </c>
      <c r="N181" t="s">
        <v>181</v>
      </c>
      <c r="O181">
        <v>194</v>
      </c>
      <c r="P181" t="s">
        <v>424</v>
      </c>
      <c r="Q181" t="s">
        <v>183</v>
      </c>
      <c r="R181" t="s">
        <v>184</v>
      </c>
      <c r="S181" t="s">
        <v>185</v>
      </c>
      <c r="U181" s="1" t="str">
        <f t="shared" si="15"/>
        <v>Lule</v>
      </c>
      <c r="V181" t="s">
        <v>186</v>
      </c>
      <c r="X181" t="s">
        <v>187</v>
      </c>
      <c r="Y181" s="1" t="str">
        <f t="shared" si="16"/>
        <v>SWEDEN</v>
      </c>
      <c r="Z181" s="4" t="str">
        <f t="shared" si="17"/>
        <v>Sweden</v>
      </c>
      <c r="AA181" t="s">
        <v>188</v>
      </c>
      <c r="AB181" t="s">
        <v>42</v>
      </c>
      <c r="AC181" t="s">
        <v>189</v>
      </c>
      <c r="AD181" t="s">
        <v>190</v>
      </c>
      <c r="AE181" t="s">
        <v>51</v>
      </c>
    </row>
    <row r="182" spans="1:31" x14ac:dyDescent="0.3">
      <c r="A182">
        <v>10329</v>
      </c>
      <c r="B182">
        <v>41</v>
      </c>
      <c r="C182">
        <v>71.47</v>
      </c>
      <c r="D182">
        <v>5</v>
      </c>
      <c r="E182" s="4" t="str">
        <f t="shared" si="12"/>
        <v>low sales</v>
      </c>
      <c r="F182">
        <v>2930.27</v>
      </c>
      <c r="G182" t="s">
        <v>854</v>
      </c>
      <c r="H182" s="1" t="str">
        <f t="shared" si="13"/>
        <v>Shipped</v>
      </c>
      <c r="I182" s="4" t="str">
        <f t="shared" si="14"/>
        <v>completed</v>
      </c>
      <c r="J182" t="s">
        <v>25</v>
      </c>
      <c r="K182">
        <v>4</v>
      </c>
      <c r="L182">
        <v>11</v>
      </c>
      <c r="M182">
        <v>2004</v>
      </c>
      <c r="N182" t="s">
        <v>181</v>
      </c>
      <c r="O182">
        <v>194</v>
      </c>
      <c r="P182" t="s">
        <v>424</v>
      </c>
      <c r="Q182" t="s">
        <v>28</v>
      </c>
      <c r="R182">
        <v>2125557818</v>
      </c>
      <c r="S182" t="s">
        <v>29</v>
      </c>
      <c r="U182" s="1" t="str">
        <f t="shared" si="15"/>
        <v>Nyc</v>
      </c>
      <c r="V182" t="s">
        <v>30</v>
      </c>
      <c r="W182" t="s">
        <v>31</v>
      </c>
      <c r="X182">
        <v>10022</v>
      </c>
      <c r="Y182" s="1" t="str">
        <f t="shared" si="16"/>
        <v>USA</v>
      </c>
      <c r="Z182" s="4" t="str">
        <f t="shared" si="17"/>
        <v>Usa</v>
      </c>
      <c r="AA182" t="s">
        <v>32</v>
      </c>
      <c r="AB182" t="s">
        <v>33</v>
      </c>
      <c r="AC182" t="s">
        <v>34</v>
      </c>
      <c r="AD182" t="s">
        <v>35</v>
      </c>
      <c r="AE182" t="s">
        <v>36</v>
      </c>
    </row>
    <row r="183" spans="1:31" x14ac:dyDescent="0.3">
      <c r="A183">
        <v>10341</v>
      </c>
      <c r="B183">
        <v>45</v>
      </c>
      <c r="C183">
        <v>79.650000000000006</v>
      </c>
      <c r="D183">
        <v>2</v>
      </c>
      <c r="E183" s="4" t="str">
        <f t="shared" si="12"/>
        <v>low sales</v>
      </c>
      <c r="F183">
        <v>3584.25</v>
      </c>
      <c r="G183" t="s">
        <v>855</v>
      </c>
      <c r="H183" s="1" t="str">
        <f t="shared" si="13"/>
        <v>Shipped</v>
      </c>
      <c r="I183" s="4" t="str">
        <f t="shared" si="14"/>
        <v>completed</v>
      </c>
      <c r="J183" t="s">
        <v>25</v>
      </c>
      <c r="K183">
        <v>4</v>
      </c>
      <c r="L183">
        <v>11</v>
      </c>
      <c r="M183">
        <v>2004</v>
      </c>
      <c r="N183" t="s">
        <v>181</v>
      </c>
      <c r="O183">
        <v>194</v>
      </c>
      <c r="P183" t="s">
        <v>424</v>
      </c>
      <c r="Q183" t="s">
        <v>144</v>
      </c>
      <c r="R183" t="s">
        <v>145</v>
      </c>
      <c r="S183" t="s">
        <v>146</v>
      </c>
      <c r="U183" s="1" t="str">
        <f t="shared" si="15"/>
        <v>Salzburg</v>
      </c>
      <c r="V183" t="s">
        <v>147</v>
      </c>
      <c r="X183">
        <v>5020</v>
      </c>
      <c r="Y183" s="1" t="str">
        <f t="shared" si="16"/>
        <v>AUSTRIA</v>
      </c>
      <c r="Z183" s="4" t="str">
        <f t="shared" si="17"/>
        <v>Austria</v>
      </c>
      <c r="AA183" t="s">
        <v>148</v>
      </c>
      <c r="AB183" t="s">
        <v>42</v>
      </c>
      <c r="AC183" t="s">
        <v>149</v>
      </c>
      <c r="AD183" t="s">
        <v>150</v>
      </c>
      <c r="AE183" t="s">
        <v>51</v>
      </c>
    </row>
    <row r="184" spans="1:31" x14ac:dyDescent="0.3">
      <c r="A184">
        <v>10363</v>
      </c>
      <c r="B184">
        <v>33</v>
      </c>
      <c r="C184">
        <v>85.39</v>
      </c>
      <c r="D184">
        <v>3</v>
      </c>
      <c r="E184" s="4" t="str">
        <f t="shared" si="12"/>
        <v>low sales</v>
      </c>
      <c r="F184">
        <v>2817.87</v>
      </c>
      <c r="G184" t="s">
        <v>856</v>
      </c>
      <c r="H184" s="1" t="str">
        <f t="shared" si="13"/>
        <v>Shipped</v>
      </c>
      <c r="I184" s="4" t="str">
        <f t="shared" si="14"/>
        <v>completed</v>
      </c>
      <c r="J184" t="s">
        <v>25</v>
      </c>
      <c r="K184">
        <v>1</v>
      </c>
      <c r="L184">
        <v>1</v>
      </c>
      <c r="M184">
        <v>2005</v>
      </c>
      <c r="N184" t="s">
        <v>181</v>
      </c>
      <c r="O184">
        <v>194</v>
      </c>
      <c r="P184" t="s">
        <v>424</v>
      </c>
      <c r="Q184" t="s">
        <v>467</v>
      </c>
      <c r="R184" t="s">
        <v>468</v>
      </c>
      <c r="S184" t="s">
        <v>469</v>
      </c>
      <c r="U184" s="1" t="str">
        <f t="shared" si="15"/>
        <v>Espoo</v>
      </c>
      <c r="V184" t="s">
        <v>470</v>
      </c>
      <c r="X184" t="s">
        <v>471</v>
      </c>
      <c r="Y184" s="1" t="str">
        <f t="shared" si="16"/>
        <v>FINLAND</v>
      </c>
      <c r="Z184" s="4" t="str">
        <f t="shared" si="17"/>
        <v>Finland</v>
      </c>
      <c r="AA184" t="s">
        <v>130</v>
      </c>
      <c r="AB184" t="s">
        <v>42</v>
      </c>
      <c r="AC184" t="s">
        <v>472</v>
      </c>
      <c r="AD184" t="s">
        <v>473</v>
      </c>
      <c r="AE184" t="s">
        <v>36</v>
      </c>
    </row>
    <row r="185" spans="1:31" x14ac:dyDescent="0.3">
      <c r="A185">
        <v>10375</v>
      </c>
      <c r="B185">
        <v>45</v>
      </c>
      <c r="C185">
        <v>76</v>
      </c>
      <c r="D185">
        <v>7</v>
      </c>
      <c r="E185" s="4" t="str">
        <f t="shared" si="12"/>
        <v>low sales</v>
      </c>
      <c r="F185">
        <v>3420</v>
      </c>
      <c r="G185" t="s">
        <v>857</v>
      </c>
      <c r="H185" s="1" t="str">
        <f t="shared" si="13"/>
        <v>Shipped</v>
      </c>
      <c r="I185" s="4" t="str">
        <f t="shared" si="14"/>
        <v>completed</v>
      </c>
      <c r="J185" t="s">
        <v>25</v>
      </c>
      <c r="K185">
        <v>1</v>
      </c>
      <c r="L185">
        <v>2</v>
      </c>
      <c r="M185">
        <v>2005</v>
      </c>
      <c r="N185" t="s">
        <v>181</v>
      </c>
      <c r="O185">
        <v>194</v>
      </c>
      <c r="P185" t="s">
        <v>424</v>
      </c>
      <c r="Q185" t="s">
        <v>114</v>
      </c>
      <c r="R185" t="s">
        <v>115</v>
      </c>
      <c r="S185" t="s">
        <v>116</v>
      </c>
      <c r="U185" s="1" t="str">
        <f t="shared" si="15"/>
        <v>Nantes</v>
      </c>
      <c r="V185" t="s">
        <v>117</v>
      </c>
      <c r="X185">
        <v>44000</v>
      </c>
      <c r="Y185" s="1" t="str">
        <f t="shared" si="16"/>
        <v>FRANCE</v>
      </c>
      <c r="Z185" s="4" t="str">
        <f t="shared" si="17"/>
        <v>France</v>
      </c>
      <c r="AA185" t="s">
        <v>41</v>
      </c>
      <c r="AB185" t="s">
        <v>42</v>
      </c>
      <c r="AC185" t="s">
        <v>118</v>
      </c>
      <c r="AD185" t="s">
        <v>119</v>
      </c>
      <c r="AE185" t="s">
        <v>51</v>
      </c>
    </row>
    <row r="186" spans="1:31" x14ac:dyDescent="0.3">
      <c r="A186">
        <v>10389</v>
      </c>
      <c r="B186">
        <v>26</v>
      </c>
      <c r="C186">
        <v>99.04</v>
      </c>
      <c r="D186">
        <v>4</v>
      </c>
      <c r="E186" s="4" t="str">
        <f t="shared" si="12"/>
        <v>low sales</v>
      </c>
      <c r="F186">
        <v>2575.04</v>
      </c>
      <c r="G186" t="s">
        <v>858</v>
      </c>
      <c r="H186" s="1" t="str">
        <f t="shared" si="13"/>
        <v>Shipped</v>
      </c>
      <c r="I186" s="4" t="str">
        <f t="shared" si="14"/>
        <v>completed</v>
      </c>
      <c r="J186" t="s">
        <v>25</v>
      </c>
      <c r="K186">
        <v>1</v>
      </c>
      <c r="L186">
        <v>3</v>
      </c>
      <c r="M186">
        <v>2005</v>
      </c>
      <c r="N186" t="s">
        <v>181</v>
      </c>
      <c r="O186">
        <v>194</v>
      </c>
      <c r="P186" t="s">
        <v>424</v>
      </c>
      <c r="Q186" t="s">
        <v>261</v>
      </c>
      <c r="R186" t="s">
        <v>262</v>
      </c>
      <c r="S186" t="s">
        <v>263</v>
      </c>
      <c r="U186" s="1" t="str">
        <f t="shared" si="15"/>
        <v>Boras</v>
      </c>
      <c r="V186" t="s">
        <v>264</v>
      </c>
      <c r="X186" t="s">
        <v>265</v>
      </c>
      <c r="Y186" s="1" t="str">
        <f t="shared" si="16"/>
        <v>SWEDEN</v>
      </c>
      <c r="Z186" s="4" t="str">
        <f t="shared" si="17"/>
        <v>Sweden</v>
      </c>
      <c r="AA186" t="s">
        <v>188</v>
      </c>
      <c r="AB186" t="s">
        <v>42</v>
      </c>
      <c r="AC186" t="s">
        <v>266</v>
      </c>
      <c r="AD186" t="s">
        <v>206</v>
      </c>
      <c r="AE186" t="s">
        <v>36</v>
      </c>
    </row>
    <row r="187" spans="1:31" x14ac:dyDescent="0.3">
      <c r="A187">
        <v>10419</v>
      </c>
      <c r="B187">
        <v>12</v>
      </c>
      <c r="C187">
        <v>100</v>
      </c>
      <c r="D187">
        <v>13</v>
      </c>
      <c r="E187" s="4" t="str">
        <f t="shared" si="12"/>
        <v>low sales</v>
      </c>
      <c r="F187">
        <v>1961.28</v>
      </c>
      <c r="G187" t="s">
        <v>859</v>
      </c>
      <c r="H187" s="1" t="str">
        <f t="shared" si="13"/>
        <v>Shipped</v>
      </c>
      <c r="I187" s="4" t="str">
        <f t="shared" si="14"/>
        <v>completed</v>
      </c>
      <c r="J187" t="s">
        <v>25</v>
      </c>
      <c r="K187">
        <v>2</v>
      </c>
      <c r="L187">
        <v>5</v>
      </c>
      <c r="M187">
        <v>2005</v>
      </c>
      <c r="N187" t="s">
        <v>181</v>
      </c>
      <c r="O187">
        <v>194</v>
      </c>
      <c r="P187" t="s">
        <v>424</v>
      </c>
      <c r="Q187" t="s">
        <v>144</v>
      </c>
      <c r="R187" t="s">
        <v>145</v>
      </c>
      <c r="S187" t="s">
        <v>146</v>
      </c>
      <c r="U187" s="1" t="str">
        <f t="shared" si="15"/>
        <v>Salzburg</v>
      </c>
      <c r="V187" t="s">
        <v>147</v>
      </c>
      <c r="X187">
        <v>5020</v>
      </c>
      <c r="Y187" s="1" t="str">
        <f t="shared" si="16"/>
        <v>AUSTRIA</v>
      </c>
      <c r="Z187" s="4" t="str">
        <f t="shared" si="17"/>
        <v>Austria</v>
      </c>
      <c r="AA187" t="s">
        <v>148</v>
      </c>
      <c r="AB187" t="s">
        <v>42</v>
      </c>
      <c r="AC187" t="s">
        <v>149</v>
      </c>
      <c r="AD187" t="s">
        <v>150</v>
      </c>
      <c r="AE187" t="s">
        <v>36</v>
      </c>
    </row>
    <row r="188" spans="1:31" x14ac:dyDescent="0.3">
      <c r="A188">
        <v>10105</v>
      </c>
      <c r="B188">
        <v>41</v>
      </c>
      <c r="C188">
        <v>100</v>
      </c>
      <c r="D188">
        <v>15</v>
      </c>
      <c r="E188" s="4" t="str">
        <f t="shared" si="12"/>
        <v>high sales</v>
      </c>
      <c r="F188">
        <v>8690.36</v>
      </c>
      <c r="G188" t="s">
        <v>860</v>
      </c>
      <c r="H188" s="1" t="str">
        <f t="shared" si="13"/>
        <v>Shipped</v>
      </c>
      <c r="I188" s="4" t="str">
        <f t="shared" si="14"/>
        <v>completed</v>
      </c>
      <c r="J188" t="s">
        <v>25</v>
      </c>
      <c r="K188">
        <v>1</v>
      </c>
      <c r="L188">
        <v>2</v>
      </c>
      <c r="M188">
        <v>2003</v>
      </c>
      <c r="N188" t="s">
        <v>181</v>
      </c>
      <c r="O188">
        <v>207</v>
      </c>
      <c r="P188" t="s">
        <v>474</v>
      </c>
      <c r="Q188" t="s">
        <v>322</v>
      </c>
      <c r="R188" t="s">
        <v>323</v>
      </c>
      <c r="S188" t="s">
        <v>324</v>
      </c>
      <c r="U188" s="1" t="str">
        <f t="shared" si="15"/>
        <v>Kobenhavn</v>
      </c>
      <c r="V188" t="s">
        <v>325</v>
      </c>
      <c r="X188">
        <v>1734</v>
      </c>
      <c r="Y188" s="1" t="str">
        <f t="shared" si="16"/>
        <v>DENMARK</v>
      </c>
      <c r="Z188" s="4" t="str">
        <f t="shared" si="17"/>
        <v>Denmark</v>
      </c>
      <c r="AA188" t="s">
        <v>326</v>
      </c>
      <c r="AB188" t="s">
        <v>42</v>
      </c>
      <c r="AC188" t="s">
        <v>327</v>
      </c>
      <c r="AD188" t="s">
        <v>328</v>
      </c>
      <c r="AE188" t="s">
        <v>151</v>
      </c>
    </row>
    <row r="189" spans="1:31" x14ac:dyDescent="0.3">
      <c r="A189">
        <v>10117</v>
      </c>
      <c r="B189">
        <v>33</v>
      </c>
      <c r="C189">
        <v>100</v>
      </c>
      <c r="D189">
        <v>9</v>
      </c>
      <c r="E189" s="4" t="str">
        <f t="shared" si="12"/>
        <v>high sales</v>
      </c>
      <c r="F189">
        <v>6034.38</v>
      </c>
      <c r="G189" t="s">
        <v>861</v>
      </c>
      <c r="H189" s="1" t="str">
        <f t="shared" si="13"/>
        <v>Shipped</v>
      </c>
      <c r="I189" s="4" t="str">
        <f t="shared" si="14"/>
        <v>completed</v>
      </c>
      <c r="J189" t="s">
        <v>25</v>
      </c>
      <c r="K189">
        <v>2</v>
      </c>
      <c r="L189">
        <v>4</v>
      </c>
      <c r="M189">
        <v>2003</v>
      </c>
      <c r="N189" t="s">
        <v>181</v>
      </c>
      <c r="O189">
        <v>207</v>
      </c>
      <c r="P189" t="s">
        <v>474</v>
      </c>
      <c r="Q189" t="s">
        <v>196</v>
      </c>
      <c r="R189" t="s">
        <v>197</v>
      </c>
      <c r="S189" t="s">
        <v>198</v>
      </c>
      <c r="U189" s="1" t="str">
        <f t="shared" si="15"/>
        <v>Singapore</v>
      </c>
      <c r="V189" t="s">
        <v>199</v>
      </c>
      <c r="X189">
        <v>79903</v>
      </c>
      <c r="Y189" s="1" t="str">
        <f t="shared" si="16"/>
        <v>SINGAPORE</v>
      </c>
      <c r="Z189" s="4" t="str">
        <f t="shared" si="17"/>
        <v>Singapore</v>
      </c>
      <c r="AA189" t="s">
        <v>199</v>
      </c>
      <c r="AB189" t="s">
        <v>200</v>
      </c>
      <c r="AC189" t="s">
        <v>201</v>
      </c>
      <c r="AD189" t="s">
        <v>202</v>
      </c>
      <c r="AE189" t="s">
        <v>51</v>
      </c>
    </row>
    <row r="190" spans="1:31" x14ac:dyDescent="0.3">
      <c r="A190">
        <v>10127</v>
      </c>
      <c r="B190">
        <v>46</v>
      </c>
      <c r="C190">
        <v>100</v>
      </c>
      <c r="D190">
        <v>2</v>
      </c>
      <c r="E190" s="4" t="str">
        <f t="shared" si="12"/>
        <v>high sales</v>
      </c>
      <c r="F190">
        <v>11279.2</v>
      </c>
      <c r="G190" t="s">
        <v>862</v>
      </c>
      <c r="H190" s="1" t="str">
        <f t="shared" si="13"/>
        <v>Shipped</v>
      </c>
      <c r="I190" s="4" t="str">
        <f t="shared" si="14"/>
        <v>completed</v>
      </c>
      <c r="J190" t="s">
        <v>25</v>
      </c>
      <c r="K190">
        <v>2</v>
      </c>
      <c r="L190">
        <v>6</v>
      </c>
      <c r="M190">
        <v>2003</v>
      </c>
      <c r="N190" t="s">
        <v>181</v>
      </c>
      <c r="O190">
        <v>207</v>
      </c>
      <c r="P190" t="s">
        <v>474</v>
      </c>
      <c r="Q190" t="s">
        <v>475</v>
      </c>
      <c r="R190">
        <v>2125557413</v>
      </c>
      <c r="S190" t="s">
        <v>476</v>
      </c>
      <c r="T190" t="s">
        <v>477</v>
      </c>
      <c r="U190" s="1" t="str">
        <f t="shared" si="15"/>
        <v>Nyc</v>
      </c>
      <c r="V190" t="s">
        <v>30</v>
      </c>
      <c r="W190" t="s">
        <v>31</v>
      </c>
      <c r="X190">
        <v>10022</v>
      </c>
      <c r="Y190" s="1" t="str">
        <f t="shared" si="16"/>
        <v>USA</v>
      </c>
      <c r="Z190" s="4" t="str">
        <f t="shared" si="17"/>
        <v>Usa</v>
      </c>
      <c r="AA190" t="s">
        <v>32</v>
      </c>
      <c r="AB190" t="s">
        <v>33</v>
      </c>
      <c r="AC190" t="s">
        <v>56</v>
      </c>
      <c r="AD190" t="s">
        <v>478</v>
      </c>
      <c r="AE190" t="s">
        <v>151</v>
      </c>
    </row>
    <row r="191" spans="1:31" x14ac:dyDescent="0.3">
      <c r="A191">
        <v>10142</v>
      </c>
      <c r="B191">
        <v>33</v>
      </c>
      <c r="C191">
        <v>100</v>
      </c>
      <c r="D191">
        <v>12</v>
      </c>
      <c r="E191" s="4" t="str">
        <f t="shared" si="12"/>
        <v>high sales</v>
      </c>
      <c r="F191">
        <v>8023.29</v>
      </c>
      <c r="G191" t="s">
        <v>863</v>
      </c>
      <c r="H191" s="1" t="str">
        <f t="shared" si="13"/>
        <v>Shipped</v>
      </c>
      <c r="I191" s="4" t="str">
        <f t="shared" si="14"/>
        <v>completed</v>
      </c>
      <c r="J191" t="s">
        <v>25</v>
      </c>
      <c r="K191">
        <v>3</v>
      </c>
      <c r="L191">
        <v>8</v>
      </c>
      <c r="M191">
        <v>2003</v>
      </c>
      <c r="N191" t="s">
        <v>181</v>
      </c>
      <c r="O191">
        <v>207</v>
      </c>
      <c r="P191" t="s">
        <v>474</v>
      </c>
      <c r="Q191" t="s">
        <v>272</v>
      </c>
      <c r="R191">
        <v>4155551450</v>
      </c>
      <c r="S191" t="s">
        <v>273</v>
      </c>
      <c r="U191" s="1" t="str">
        <f t="shared" si="15"/>
        <v>San Rafael</v>
      </c>
      <c r="V191" t="s">
        <v>274</v>
      </c>
      <c r="W191" t="s">
        <v>55</v>
      </c>
      <c r="X191">
        <v>97562</v>
      </c>
      <c r="Y191" s="1" t="str">
        <f t="shared" si="16"/>
        <v>USA</v>
      </c>
      <c r="Z191" s="4" t="str">
        <f t="shared" si="17"/>
        <v>Usa</v>
      </c>
      <c r="AA191" t="s">
        <v>32</v>
      </c>
      <c r="AB191" t="s">
        <v>33</v>
      </c>
      <c r="AC191" t="s">
        <v>275</v>
      </c>
      <c r="AD191" t="s">
        <v>276</v>
      </c>
      <c r="AE191" t="s">
        <v>151</v>
      </c>
    </row>
    <row r="192" spans="1:31" x14ac:dyDescent="0.3">
      <c r="A192">
        <v>10153</v>
      </c>
      <c r="B192">
        <v>20</v>
      </c>
      <c r="C192">
        <v>100</v>
      </c>
      <c r="D192">
        <v>11</v>
      </c>
      <c r="E192" s="4" t="str">
        <f t="shared" si="12"/>
        <v>high sales</v>
      </c>
      <c r="F192">
        <v>4904</v>
      </c>
      <c r="G192" t="s">
        <v>864</v>
      </c>
      <c r="H192" s="1" t="str">
        <f t="shared" si="13"/>
        <v>Shipped</v>
      </c>
      <c r="I192" s="4" t="str">
        <f t="shared" si="14"/>
        <v>completed</v>
      </c>
      <c r="J192" t="s">
        <v>25</v>
      </c>
      <c r="K192">
        <v>3</v>
      </c>
      <c r="L192">
        <v>9</v>
      </c>
      <c r="M192">
        <v>2003</v>
      </c>
      <c r="N192" t="s">
        <v>181</v>
      </c>
      <c r="O192">
        <v>207</v>
      </c>
      <c r="P192" t="s">
        <v>474</v>
      </c>
      <c r="Q192" t="s">
        <v>174</v>
      </c>
      <c r="R192" t="s">
        <v>175</v>
      </c>
      <c r="S192" t="s">
        <v>176</v>
      </c>
      <c r="U192" s="1" t="str">
        <f t="shared" si="15"/>
        <v>Madrid</v>
      </c>
      <c r="V192" t="s">
        <v>177</v>
      </c>
      <c r="X192">
        <v>28034</v>
      </c>
      <c r="Y192" s="1" t="str">
        <f t="shared" si="16"/>
        <v>SPAIN</v>
      </c>
      <c r="Z192" s="4" t="str">
        <f t="shared" si="17"/>
        <v>Spain</v>
      </c>
      <c r="AA192" t="s">
        <v>178</v>
      </c>
      <c r="AB192" t="s">
        <v>42</v>
      </c>
      <c r="AC192" t="s">
        <v>179</v>
      </c>
      <c r="AD192" t="s">
        <v>180</v>
      </c>
      <c r="AE192" t="s">
        <v>51</v>
      </c>
    </row>
    <row r="193" spans="1:31" x14ac:dyDescent="0.3">
      <c r="A193">
        <v>10165</v>
      </c>
      <c r="B193">
        <v>44</v>
      </c>
      <c r="C193">
        <v>100</v>
      </c>
      <c r="D193">
        <v>3</v>
      </c>
      <c r="E193" s="4" t="str">
        <f t="shared" si="12"/>
        <v>high sales</v>
      </c>
      <c r="F193">
        <v>8594.52</v>
      </c>
      <c r="G193" t="s">
        <v>865</v>
      </c>
      <c r="H193" s="1" t="str">
        <f t="shared" si="13"/>
        <v>Shipped</v>
      </c>
      <c r="I193" s="4" t="str">
        <f t="shared" si="14"/>
        <v>completed</v>
      </c>
      <c r="J193" t="s">
        <v>25</v>
      </c>
      <c r="K193">
        <v>4</v>
      </c>
      <c r="L193">
        <v>10</v>
      </c>
      <c r="M193">
        <v>2003</v>
      </c>
      <c r="N193" t="s">
        <v>181</v>
      </c>
      <c r="O193">
        <v>207</v>
      </c>
      <c r="P193" t="s">
        <v>474</v>
      </c>
      <c r="Q193" t="s">
        <v>196</v>
      </c>
      <c r="R193" t="s">
        <v>197</v>
      </c>
      <c r="S193" t="s">
        <v>198</v>
      </c>
      <c r="U193" s="1" t="str">
        <f t="shared" si="15"/>
        <v>Singapore</v>
      </c>
      <c r="V193" t="s">
        <v>199</v>
      </c>
      <c r="X193">
        <v>79903</v>
      </c>
      <c r="Y193" s="1" t="str">
        <f t="shared" si="16"/>
        <v>SINGAPORE</v>
      </c>
      <c r="Z193" s="4" t="str">
        <f t="shared" si="17"/>
        <v>Singapore</v>
      </c>
      <c r="AA193" t="s">
        <v>199</v>
      </c>
      <c r="AB193" t="s">
        <v>200</v>
      </c>
      <c r="AC193" t="s">
        <v>201</v>
      </c>
      <c r="AD193" t="s">
        <v>202</v>
      </c>
      <c r="AE193" t="s">
        <v>151</v>
      </c>
    </row>
    <row r="194" spans="1:31" x14ac:dyDescent="0.3">
      <c r="A194">
        <v>10176</v>
      </c>
      <c r="B194">
        <v>33</v>
      </c>
      <c r="C194">
        <v>100</v>
      </c>
      <c r="D194">
        <v>2</v>
      </c>
      <c r="E194" s="4" t="str">
        <f t="shared" si="12"/>
        <v>high sales</v>
      </c>
      <c r="F194">
        <v>7474.5</v>
      </c>
      <c r="G194" t="s">
        <v>866</v>
      </c>
      <c r="H194" s="1" t="str">
        <f t="shared" si="13"/>
        <v>Shipped</v>
      </c>
      <c r="I194" s="4" t="str">
        <f t="shared" si="14"/>
        <v>completed</v>
      </c>
      <c r="J194" t="s">
        <v>25</v>
      </c>
      <c r="K194">
        <v>4</v>
      </c>
      <c r="L194">
        <v>11</v>
      </c>
      <c r="M194">
        <v>2003</v>
      </c>
      <c r="N194" t="s">
        <v>181</v>
      </c>
      <c r="O194">
        <v>207</v>
      </c>
      <c r="P194" t="s">
        <v>474</v>
      </c>
      <c r="Q194" t="s">
        <v>452</v>
      </c>
      <c r="R194" t="s">
        <v>453</v>
      </c>
      <c r="S194" t="s">
        <v>454</v>
      </c>
      <c r="U194" s="1" t="str">
        <f t="shared" si="15"/>
        <v>Reggio Emilia</v>
      </c>
      <c r="V194" t="s">
        <v>455</v>
      </c>
      <c r="X194">
        <v>42100</v>
      </c>
      <c r="Y194" s="1" t="str">
        <f t="shared" si="16"/>
        <v>ITALY</v>
      </c>
      <c r="Z194" s="4" t="str">
        <f t="shared" si="17"/>
        <v>Italy</v>
      </c>
      <c r="AA194" t="s">
        <v>258</v>
      </c>
      <c r="AB194" t="s">
        <v>42</v>
      </c>
      <c r="AC194" t="s">
        <v>456</v>
      </c>
      <c r="AD194" t="s">
        <v>457</v>
      </c>
      <c r="AE194" t="s">
        <v>151</v>
      </c>
    </row>
    <row r="195" spans="1:31" x14ac:dyDescent="0.3">
      <c r="A195">
        <v>10185</v>
      </c>
      <c r="B195">
        <v>21</v>
      </c>
      <c r="C195">
        <v>100</v>
      </c>
      <c r="D195">
        <v>13</v>
      </c>
      <c r="E195" s="4" t="str">
        <f t="shared" ref="E195:E258" si="18">IF(F195&gt;4000,"high sales","low sales")</f>
        <v>low sales</v>
      </c>
      <c r="F195">
        <v>3883.74</v>
      </c>
      <c r="G195" t="s">
        <v>867</v>
      </c>
      <c r="H195" s="1" t="str">
        <f t="shared" ref="H195:H258" si="19">PROPER(TRIM(J195))</f>
        <v>Shipped</v>
      </c>
      <c r="I195" s="4" t="str">
        <f t="shared" ref="I195:I258" si="20">IF(J195="shipped","completed","not completed")</f>
        <v>completed</v>
      </c>
      <c r="J195" t="s">
        <v>25</v>
      </c>
      <c r="K195">
        <v>4</v>
      </c>
      <c r="L195">
        <v>11</v>
      </c>
      <c r="M195">
        <v>2003</v>
      </c>
      <c r="N195" t="s">
        <v>181</v>
      </c>
      <c r="O195">
        <v>207</v>
      </c>
      <c r="P195" t="s">
        <v>474</v>
      </c>
      <c r="Q195" t="s">
        <v>335</v>
      </c>
      <c r="R195">
        <v>5085559555</v>
      </c>
      <c r="S195" t="s">
        <v>336</v>
      </c>
      <c r="U195" s="1" t="str">
        <f t="shared" ref="U195:U258" si="21">PROPER(TRIM(V195))</f>
        <v>New Bedford</v>
      </c>
      <c r="V195" t="s">
        <v>162</v>
      </c>
      <c r="W195" t="s">
        <v>123</v>
      </c>
      <c r="X195">
        <v>50553</v>
      </c>
      <c r="Y195" s="1" t="str">
        <f t="shared" ref="Y195:Y258" si="22">UPPER(TRIM(AA195))</f>
        <v>USA</v>
      </c>
      <c r="Z195" s="4" t="str">
        <f t="shared" ref="Z195:Z258" si="23">PROPER(TRIM(AA195))</f>
        <v>Usa</v>
      </c>
      <c r="AA195" t="s">
        <v>32</v>
      </c>
      <c r="AB195" t="s">
        <v>33</v>
      </c>
      <c r="AC195" t="s">
        <v>337</v>
      </c>
      <c r="AD195" t="s">
        <v>338</v>
      </c>
      <c r="AE195" t="s">
        <v>51</v>
      </c>
    </row>
    <row r="196" spans="1:31" x14ac:dyDescent="0.3">
      <c r="A196">
        <v>10196</v>
      </c>
      <c r="B196">
        <v>47</v>
      </c>
      <c r="C196">
        <v>100</v>
      </c>
      <c r="D196">
        <v>5</v>
      </c>
      <c r="E196" s="4" t="str">
        <f t="shared" si="18"/>
        <v>high sales</v>
      </c>
      <c r="F196">
        <v>8887.7000000000007</v>
      </c>
      <c r="G196" t="s">
        <v>868</v>
      </c>
      <c r="H196" s="1" t="str">
        <f t="shared" si="19"/>
        <v>Shipped</v>
      </c>
      <c r="I196" s="4" t="str">
        <f t="shared" si="20"/>
        <v>completed</v>
      </c>
      <c r="J196" t="s">
        <v>25</v>
      </c>
      <c r="K196">
        <v>4</v>
      </c>
      <c r="L196">
        <v>11</v>
      </c>
      <c r="M196">
        <v>2003</v>
      </c>
      <c r="N196" t="s">
        <v>181</v>
      </c>
      <c r="O196">
        <v>207</v>
      </c>
      <c r="P196" t="s">
        <v>474</v>
      </c>
      <c r="Q196" t="s">
        <v>242</v>
      </c>
      <c r="R196">
        <v>2035559545</v>
      </c>
      <c r="S196" t="s">
        <v>243</v>
      </c>
      <c r="U196" s="1" t="str">
        <f t="shared" si="21"/>
        <v>New Haven</v>
      </c>
      <c r="V196" t="s">
        <v>244</v>
      </c>
      <c r="W196" t="s">
        <v>112</v>
      </c>
      <c r="X196">
        <v>97823</v>
      </c>
      <c r="Y196" s="1" t="str">
        <f t="shared" si="22"/>
        <v>USA</v>
      </c>
      <c r="Z196" s="4" t="str">
        <f t="shared" si="23"/>
        <v>Usa</v>
      </c>
      <c r="AA196" t="s">
        <v>32</v>
      </c>
      <c r="AB196" t="s">
        <v>33</v>
      </c>
      <c r="AC196" t="s">
        <v>83</v>
      </c>
      <c r="AD196" t="s">
        <v>245</v>
      </c>
      <c r="AE196" t="s">
        <v>151</v>
      </c>
    </row>
    <row r="197" spans="1:31" x14ac:dyDescent="0.3">
      <c r="A197">
        <v>10208</v>
      </c>
      <c r="B197">
        <v>46</v>
      </c>
      <c r="C197">
        <v>100</v>
      </c>
      <c r="D197">
        <v>13</v>
      </c>
      <c r="E197" s="4" t="str">
        <f t="shared" si="18"/>
        <v>high sales</v>
      </c>
      <c r="F197">
        <v>8602.92</v>
      </c>
      <c r="G197" t="s">
        <v>869</v>
      </c>
      <c r="H197" s="1" t="str">
        <f t="shared" si="19"/>
        <v>Shipped</v>
      </c>
      <c r="I197" s="4" t="str">
        <f t="shared" si="20"/>
        <v>completed</v>
      </c>
      <c r="J197" t="s">
        <v>25</v>
      </c>
      <c r="K197">
        <v>1</v>
      </c>
      <c r="L197">
        <v>1</v>
      </c>
      <c r="M197">
        <v>2004</v>
      </c>
      <c r="N197" t="s">
        <v>181</v>
      </c>
      <c r="O197">
        <v>207</v>
      </c>
      <c r="P197" t="s">
        <v>474</v>
      </c>
      <c r="Q197" t="s">
        <v>219</v>
      </c>
      <c r="R197" t="s">
        <v>220</v>
      </c>
      <c r="S197" t="s">
        <v>221</v>
      </c>
      <c r="U197" s="1" t="str">
        <f t="shared" si="21"/>
        <v>Lyon</v>
      </c>
      <c r="V197" t="s">
        <v>222</v>
      </c>
      <c r="X197">
        <v>69004</v>
      </c>
      <c r="Y197" s="1" t="str">
        <f t="shared" si="22"/>
        <v>FRANCE</v>
      </c>
      <c r="Z197" s="4" t="str">
        <f t="shared" si="23"/>
        <v>France</v>
      </c>
      <c r="AA197" t="s">
        <v>41</v>
      </c>
      <c r="AB197" t="s">
        <v>42</v>
      </c>
      <c r="AC197" t="s">
        <v>223</v>
      </c>
      <c r="AD197" t="s">
        <v>224</v>
      </c>
      <c r="AE197" t="s">
        <v>151</v>
      </c>
    </row>
    <row r="198" spans="1:31" x14ac:dyDescent="0.3">
      <c r="A198">
        <v>10220</v>
      </c>
      <c r="B198">
        <v>32</v>
      </c>
      <c r="C198">
        <v>100</v>
      </c>
      <c r="D198">
        <v>2</v>
      </c>
      <c r="E198" s="4" t="str">
        <f t="shared" si="18"/>
        <v>high sales</v>
      </c>
      <c r="F198">
        <v>7181.44</v>
      </c>
      <c r="G198" t="s">
        <v>870</v>
      </c>
      <c r="H198" s="1" t="str">
        <f t="shared" si="19"/>
        <v>Shipped</v>
      </c>
      <c r="I198" s="4" t="str">
        <f t="shared" si="20"/>
        <v>completed</v>
      </c>
      <c r="J198" t="s">
        <v>25</v>
      </c>
      <c r="K198">
        <v>1</v>
      </c>
      <c r="L198">
        <v>2</v>
      </c>
      <c r="M198">
        <v>2004</v>
      </c>
      <c r="N198" t="s">
        <v>181</v>
      </c>
      <c r="O198">
        <v>207</v>
      </c>
      <c r="P198" t="s">
        <v>474</v>
      </c>
      <c r="Q198" t="s">
        <v>479</v>
      </c>
      <c r="R198" t="s">
        <v>480</v>
      </c>
      <c r="S198" t="s">
        <v>481</v>
      </c>
      <c r="T198" t="s">
        <v>482</v>
      </c>
      <c r="U198" s="1" t="str">
        <f t="shared" si="21"/>
        <v>Dublin</v>
      </c>
      <c r="V198" t="s">
        <v>483</v>
      </c>
      <c r="X198">
        <v>2</v>
      </c>
      <c r="Y198" s="1" t="str">
        <f t="shared" si="22"/>
        <v>IRELAND</v>
      </c>
      <c r="Z198" s="4" t="str">
        <f t="shared" si="23"/>
        <v>Ireland</v>
      </c>
      <c r="AA198" t="s">
        <v>484</v>
      </c>
      <c r="AB198" t="s">
        <v>42</v>
      </c>
      <c r="AC198" t="s">
        <v>485</v>
      </c>
      <c r="AD198" t="s">
        <v>486</v>
      </c>
      <c r="AE198" t="s">
        <v>151</v>
      </c>
    </row>
    <row r="199" spans="1:31" x14ac:dyDescent="0.3">
      <c r="A199">
        <v>10231</v>
      </c>
      <c r="B199">
        <v>42</v>
      </c>
      <c r="C199">
        <v>100</v>
      </c>
      <c r="D199">
        <v>2</v>
      </c>
      <c r="E199" s="4" t="str">
        <f t="shared" si="18"/>
        <v>high sales</v>
      </c>
      <c r="F199">
        <v>8378.58</v>
      </c>
      <c r="G199" t="s">
        <v>871</v>
      </c>
      <c r="H199" s="1" t="str">
        <f t="shared" si="19"/>
        <v>Shipped</v>
      </c>
      <c r="I199" s="4" t="str">
        <f t="shared" si="20"/>
        <v>completed</v>
      </c>
      <c r="J199" t="s">
        <v>25</v>
      </c>
      <c r="K199">
        <v>1</v>
      </c>
      <c r="L199">
        <v>3</v>
      </c>
      <c r="M199">
        <v>2004</v>
      </c>
      <c r="N199" t="s">
        <v>181</v>
      </c>
      <c r="O199">
        <v>207</v>
      </c>
      <c r="P199" t="s">
        <v>474</v>
      </c>
      <c r="Q199" t="s">
        <v>487</v>
      </c>
      <c r="R199" t="s">
        <v>488</v>
      </c>
      <c r="S199" t="s">
        <v>489</v>
      </c>
      <c r="U199" s="1" t="str">
        <f t="shared" si="21"/>
        <v>Madrid</v>
      </c>
      <c r="V199" t="s">
        <v>177</v>
      </c>
      <c r="X199">
        <v>28023</v>
      </c>
      <c r="Y199" s="1" t="str">
        <f t="shared" si="22"/>
        <v>SPAIN</v>
      </c>
      <c r="Z199" s="4" t="str">
        <f t="shared" si="23"/>
        <v>Spain</v>
      </c>
      <c r="AA199" t="s">
        <v>178</v>
      </c>
      <c r="AB199" t="s">
        <v>42</v>
      </c>
      <c r="AC199" t="s">
        <v>490</v>
      </c>
      <c r="AD199" t="s">
        <v>491</v>
      </c>
      <c r="AE199" t="s">
        <v>151</v>
      </c>
    </row>
    <row r="200" spans="1:31" x14ac:dyDescent="0.3">
      <c r="A200">
        <v>10247</v>
      </c>
      <c r="B200">
        <v>44</v>
      </c>
      <c r="C200">
        <v>100</v>
      </c>
      <c r="D200">
        <v>2</v>
      </c>
      <c r="E200" s="4" t="str">
        <f t="shared" si="18"/>
        <v>high sales</v>
      </c>
      <c r="F200">
        <v>10606.2</v>
      </c>
      <c r="G200" t="s">
        <v>872</v>
      </c>
      <c r="H200" s="1" t="str">
        <f t="shared" si="19"/>
        <v>Shipped</v>
      </c>
      <c r="I200" s="4" t="str">
        <f t="shared" si="20"/>
        <v>completed</v>
      </c>
      <c r="J200" t="s">
        <v>25</v>
      </c>
      <c r="K200">
        <v>2</v>
      </c>
      <c r="L200">
        <v>5</v>
      </c>
      <c r="M200">
        <v>2004</v>
      </c>
      <c r="N200" t="s">
        <v>181</v>
      </c>
      <c r="O200">
        <v>207</v>
      </c>
      <c r="P200" t="s">
        <v>474</v>
      </c>
      <c r="Q200" t="s">
        <v>467</v>
      </c>
      <c r="R200" t="s">
        <v>468</v>
      </c>
      <c r="S200" t="s">
        <v>469</v>
      </c>
      <c r="U200" s="1" t="str">
        <f t="shared" si="21"/>
        <v>Espoo</v>
      </c>
      <c r="V200" t="s">
        <v>470</v>
      </c>
      <c r="X200" t="s">
        <v>471</v>
      </c>
      <c r="Y200" s="1" t="str">
        <f t="shared" si="22"/>
        <v>FINLAND</v>
      </c>
      <c r="Z200" s="4" t="str">
        <f t="shared" si="23"/>
        <v>Finland</v>
      </c>
      <c r="AA200" t="s">
        <v>130</v>
      </c>
      <c r="AB200" t="s">
        <v>42</v>
      </c>
      <c r="AC200" t="s">
        <v>472</v>
      </c>
      <c r="AD200" t="s">
        <v>473</v>
      </c>
      <c r="AE200" t="s">
        <v>151</v>
      </c>
    </row>
    <row r="201" spans="1:31" x14ac:dyDescent="0.3">
      <c r="A201">
        <v>10272</v>
      </c>
      <c r="B201">
        <v>35</v>
      </c>
      <c r="C201">
        <v>100</v>
      </c>
      <c r="D201">
        <v>2</v>
      </c>
      <c r="E201" s="4" t="str">
        <f t="shared" si="18"/>
        <v>high sales</v>
      </c>
      <c r="F201">
        <v>5818.4</v>
      </c>
      <c r="G201" t="s">
        <v>873</v>
      </c>
      <c r="H201" s="1" t="str">
        <f t="shared" si="19"/>
        <v>Shipped</v>
      </c>
      <c r="I201" s="4" t="str">
        <f t="shared" si="20"/>
        <v>completed</v>
      </c>
      <c r="J201" t="s">
        <v>25</v>
      </c>
      <c r="K201">
        <v>3</v>
      </c>
      <c r="L201">
        <v>7</v>
      </c>
      <c r="M201">
        <v>2004</v>
      </c>
      <c r="N201" t="s">
        <v>181</v>
      </c>
      <c r="O201">
        <v>207</v>
      </c>
      <c r="P201" t="s">
        <v>474</v>
      </c>
      <c r="Q201" t="s">
        <v>139</v>
      </c>
      <c r="R201">
        <v>2155551555</v>
      </c>
      <c r="S201" t="s">
        <v>140</v>
      </c>
      <c r="U201" s="1" t="str">
        <f t="shared" si="21"/>
        <v>Allentown</v>
      </c>
      <c r="V201" t="s">
        <v>141</v>
      </c>
      <c r="W201" t="s">
        <v>142</v>
      </c>
      <c r="X201">
        <v>70267</v>
      </c>
      <c r="Y201" s="1" t="str">
        <f t="shared" si="22"/>
        <v>USA</v>
      </c>
      <c r="Z201" s="4" t="str">
        <f t="shared" si="23"/>
        <v>Usa</v>
      </c>
      <c r="AA201" t="s">
        <v>32</v>
      </c>
      <c r="AB201" t="s">
        <v>33</v>
      </c>
      <c r="AC201" t="s">
        <v>34</v>
      </c>
      <c r="AD201" t="s">
        <v>143</v>
      </c>
      <c r="AE201" t="s">
        <v>51</v>
      </c>
    </row>
    <row r="202" spans="1:31" x14ac:dyDescent="0.3">
      <c r="A202">
        <v>10282</v>
      </c>
      <c r="B202">
        <v>41</v>
      </c>
      <c r="C202">
        <v>100</v>
      </c>
      <c r="D202">
        <v>5</v>
      </c>
      <c r="E202" s="4" t="str">
        <f t="shared" si="18"/>
        <v>high sales</v>
      </c>
      <c r="F202">
        <v>7071.27</v>
      </c>
      <c r="G202" t="s">
        <v>874</v>
      </c>
      <c r="H202" s="1" t="str">
        <f t="shared" si="19"/>
        <v>Shipped</v>
      </c>
      <c r="I202" s="4" t="str">
        <f t="shared" si="20"/>
        <v>completed</v>
      </c>
      <c r="J202" t="s">
        <v>25</v>
      </c>
      <c r="K202">
        <v>3</v>
      </c>
      <c r="L202">
        <v>8</v>
      </c>
      <c r="M202">
        <v>2004</v>
      </c>
      <c r="N202" t="s">
        <v>181</v>
      </c>
      <c r="O202">
        <v>207</v>
      </c>
      <c r="P202" t="s">
        <v>474</v>
      </c>
      <c r="Q202" t="s">
        <v>272</v>
      </c>
      <c r="R202">
        <v>4155551450</v>
      </c>
      <c r="S202" t="s">
        <v>273</v>
      </c>
      <c r="U202" s="1" t="str">
        <f t="shared" si="21"/>
        <v>San Rafael</v>
      </c>
      <c r="V202" t="s">
        <v>274</v>
      </c>
      <c r="W202" t="s">
        <v>55</v>
      </c>
      <c r="X202">
        <v>97562</v>
      </c>
      <c r="Y202" s="1" t="str">
        <f t="shared" si="22"/>
        <v>USA</v>
      </c>
      <c r="Z202" s="4" t="str">
        <f t="shared" si="23"/>
        <v>Usa</v>
      </c>
      <c r="AA202" t="s">
        <v>32</v>
      </c>
      <c r="AB202" t="s">
        <v>33</v>
      </c>
      <c r="AC202" t="s">
        <v>275</v>
      </c>
      <c r="AD202" t="s">
        <v>276</v>
      </c>
      <c r="AE202" t="s">
        <v>151</v>
      </c>
    </row>
    <row r="203" spans="1:31" x14ac:dyDescent="0.3">
      <c r="A203">
        <v>10293</v>
      </c>
      <c r="B203">
        <v>46</v>
      </c>
      <c r="C203">
        <v>100</v>
      </c>
      <c r="D203">
        <v>8</v>
      </c>
      <c r="E203" s="4" t="str">
        <f t="shared" si="18"/>
        <v>high sales</v>
      </c>
      <c r="F203">
        <v>8411.56</v>
      </c>
      <c r="G203" t="s">
        <v>875</v>
      </c>
      <c r="H203" s="1" t="str">
        <f t="shared" si="19"/>
        <v>Shipped</v>
      </c>
      <c r="I203" s="4" t="str">
        <f t="shared" si="20"/>
        <v>completed</v>
      </c>
      <c r="J203" t="s">
        <v>25</v>
      </c>
      <c r="K203">
        <v>3</v>
      </c>
      <c r="L203">
        <v>9</v>
      </c>
      <c r="M203">
        <v>2004</v>
      </c>
      <c r="N203" t="s">
        <v>181</v>
      </c>
      <c r="O203">
        <v>207</v>
      </c>
      <c r="P203" t="s">
        <v>474</v>
      </c>
      <c r="Q203" t="s">
        <v>254</v>
      </c>
      <c r="R203" t="s">
        <v>255</v>
      </c>
      <c r="S203" t="s">
        <v>256</v>
      </c>
      <c r="U203" s="1" t="str">
        <f t="shared" si="21"/>
        <v>Torino</v>
      </c>
      <c r="V203" t="s">
        <v>257</v>
      </c>
      <c r="X203">
        <v>10100</v>
      </c>
      <c r="Y203" s="1" t="str">
        <f t="shared" si="22"/>
        <v>ITALY</v>
      </c>
      <c r="Z203" s="4" t="str">
        <f t="shared" si="23"/>
        <v>Italy</v>
      </c>
      <c r="AA203" t="s">
        <v>258</v>
      </c>
      <c r="AB203" t="s">
        <v>42</v>
      </c>
      <c r="AC203" t="s">
        <v>259</v>
      </c>
      <c r="AD203" t="s">
        <v>260</v>
      </c>
      <c r="AE203" t="s">
        <v>151</v>
      </c>
    </row>
    <row r="204" spans="1:31" x14ac:dyDescent="0.3">
      <c r="A204">
        <v>10306</v>
      </c>
      <c r="B204">
        <v>31</v>
      </c>
      <c r="C204">
        <v>100</v>
      </c>
      <c r="D204">
        <v>13</v>
      </c>
      <c r="E204" s="4" t="str">
        <f t="shared" si="18"/>
        <v>high sales</v>
      </c>
      <c r="F204">
        <v>6570.76</v>
      </c>
      <c r="G204" t="s">
        <v>876</v>
      </c>
      <c r="H204" s="1" t="str">
        <f t="shared" si="19"/>
        <v>Shipped</v>
      </c>
      <c r="I204" s="4" t="str">
        <f t="shared" si="20"/>
        <v>completed</v>
      </c>
      <c r="J204" t="s">
        <v>25</v>
      </c>
      <c r="K204">
        <v>4</v>
      </c>
      <c r="L204">
        <v>10</v>
      </c>
      <c r="M204">
        <v>2004</v>
      </c>
      <c r="N204" t="s">
        <v>181</v>
      </c>
      <c r="O204">
        <v>207</v>
      </c>
      <c r="P204" t="s">
        <v>474</v>
      </c>
      <c r="Q204" t="s">
        <v>492</v>
      </c>
      <c r="R204" t="s">
        <v>493</v>
      </c>
      <c r="S204" t="s">
        <v>494</v>
      </c>
      <c r="U204" s="1" t="str">
        <f t="shared" si="21"/>
        <v>Manchester</v>
      </c>
      <c r="V204" t="s">
        <v>495</v>
      </c>
      <c r="X204" t="s">
        <v>496</v>
      </c>
      <c r="Y204" s="1" t="str">
        <f t="shared" si="22"/>
        <v>UK</v>
      </c>
      <c r="Z204" s="4" t="str">
        <f t="shared" si="23"/>
        <v>Uk</v>
      </c>
      <c r="AA204" t="s">
        <v>170</v>
      </c>
      <c r="AB204" t="s">
        <v>42</v>
      </c>
      <c r="AC204" t="s">
        <v>497</v>
      </c>
      <c r="AD204" t="s">
        <v>94</v>
      </c>
      <c r="AE204" t="s">
        <v>51</v>
      </c>
    </row>
    <row r="205" spans="1:31" x14ac:dyDescent="0.3">
      <c r="A205">
        <v>10314</v>
      </c>
      <c r="B205">
        <v>38</v>
      </c>
      <c r="C205">
        <v>100</v>
      </c>
      <c r="D205">
        <v>5</v>
      </c>
      <c r="E205" s="4" t="str">
        <f t="shared" si="18"/>
        <v>high sales</v>
      </c>
      <c r="F205">
        <v>7975.44</v>
      </c>
      <c r="G205" t="s">
        <v>877</v>
      </c>
      <c r="H205" s="1" t="str">
        <f t="shared" si="19"/>
        <v>Shipped</v>
      </c>
      <c r="I205" s="4" t="str">
        <f t="shared" si="20"/>
        <v>completed</v>
      </c>
      <c r="J205" t="s">
        <v>25</v>
      </c>
      <c r="K205">
        <v>4</v>
      </c>
      <c r="L205">
        <v>10</v>
      </c>
      <c r="M205">
        <v>2004</v>
      </c>
      <c r="N205" t="s">
        <v>181</v>
      </c>
      <c r="O205">
        <v>207</v>
      </c>
      <c r="P205" t="s">
        <v>474</v>
      </c>
      <c r="Q205" t="s">
        <v>498</v>
      </c>
      <c r="R205" t="s">
        <v>499</v>
      </c>
      <c r="S205" t="s">
        <v>500</v>
      </c>
      <c r="U205" s="1" t="str">
        <f t="shared" si="21"/>
        <v>Aaarhus</v>
      </c>
      <c r="V205" t="s">
        <v>501</v>
      </c>
      <c r="X205">
        <v>8200</v>
      </c>
      <c r="Y205" s="1" t="str">
        <f t="shared" si="22"/>
        <v>DENMARK</v>
      </c>
      <c r="Z205" s="4" t="str">
        <f t="shared" si="23"/>
        <v>Denmark</v>
      </c>
      <c r="AA205" t="s">
        <v>326</v>
      </c>
      <c r="AB205" t="s">
        <v>42</v>
      </c>
      <c r="AC205" t="s">
        <v>502</v>
      </c>
      <c r="AD205" t="s">
        <v>503</v>
      </c>
      <c r="AE205" t="s">
        <v>151</v>
      </c>
    </row>
    <row r="206" spans="1:31" x14ac:dyDescent="0.3">
      <c r="A206">
        <v>10325</v>
      </c>
      <c r="B206">
        <v>42</v>
      </c>
      <c r="C206">
        <v>64</v>
      </c>
      <c r="D206">
        <v>8</v>
      </c>
      <c r="E206" s="4" t="str">
        <f t="shared" si="18"/>
        <v>low sales</v>
      </c>
      <c r="F206">
        <v>2688</v>
      </c>
      <c r="G206" t="s">
        <v>878</v>
      </c>
      <c r="H206" s="1" t="str">
        <f t="shared" si="19"/>
        <v>Shipped</v>
      </c>
      <c r="I206" s="4" t="str">
        <f t="shared" si="20"/>
        <v>completed</v>
      </c>
      <c r="J206" t="s">
        <v>25</v>
      </c>
      <c r="K206">
        <v>4</v>
      </c>
      <c r="L206">
        <v>11</v>
      </c>
      <c r="M206">
        <v>2004</v>
      </c>
      <c r="N206" t="s">
        <v>181</v>
      </c>
      <c r="O206">
        <v>207</v>
      </c>
      <c r="P206" t="s">
        <v>474</v>
      </c>
      <c r="Q206" t="s">
        <v>133</v>
      </c>
      <c r="R206" t="s">
        <v>134</v>
      </c>
      <c r="S206" t="s">
        <v>135</v>
      </c>
      <c r="U206" s="1" t="str">
        <f t="shared" si="21"/>
        <v>Stavern</v>
      </c>
      <c r="V206" t="s">
        <v>136</v>
      </c>
      <c r="X206">
        <v>4110</v>
      </c>
      <c r="Y206" s="1" t="str">
        <f t="shared" si="22"/>
        <v>NORWAY</v>
      </c>
      <c r="Z206" s="4" t="str">
        <f t="shared" si="23"/>
        <v>Norway</v>
      </c>
      <c r="AA206" t="s">
        <v>78</v>
      </c>
      <c r="AB206" t="s">
        <v>42</v>
      </c>
      <c r="AC206" t="s">
        <v>137</v>
      </c>
      <c r="AD206" t="s">
        <v>138</v>
      </c>
      <c r="AE206" t="s">
        <v>36</v>
      </c>
    </row>
    <row r="207" spans="1:31" x14ac:dyDescent="0.3">
      <c r="A207">
        <v>10336</v>
      </c>
      <c r="B207">
        <v>33</v>
      </c>
      <c r="C207">
        <v>57.22</v>
      </c>
      <c r="D207">
        <v>10</v>
      </c>
      <c r="E207" s="4" t="str">
        <f t="shared" si="18"/>
        <v>low sales</v>
      </c>
      <c r="F207">
        <v>1888.26</v>
      </c>
      <c r="G207" t="s">
        <v>879</v>
      </c>
      <c r="H207" s="1" t="str">
        <f t="shared" si="19"/>
        <v>Shipped</v>
      </c>
      <c r="I207" s="4" t="str">
        <f t="shared" si="20"/>
        <v>completed</v>
      </c>
      <c r="J207" t="s">
        <v>25</v>
      </c>
      <c r="K207">
        <v>4</v>
      </c>
      <c r="L207">
        <v>11</v>
      </c>
      <c r="M207">
        <v>2004</v>
      </c>
      <c r="N207" t="s">
        <v>181</v>
      </c>
      <c r="O207">
        <v>207</v>
      </c>
      <c r="P207" t="s">
        <v>474</v>
      </c>
      <c r="Q207" t="s">
        <v>403</v>
      </c>
      <c r="R207" t="s">
        <v>404</v>
      </c>
      <c r="S207" t="s">
        <v>405</v>
      </c>
      <c r="U207" s="1" t="str">
        <f t="shared" si="21"/>
        <v>Paris</v>
      </c>
      <c r="V207" t="s">
        <v>48</v>
      </c>
      <c r="X207">
        <v>75012</v>
      </c>
      <c r="Y207" s="1" t="str">
        <f t="shared" si="22"/>
        <v>FRANCE</v>
      </c>
      <c r="Z207" s="4" t="str">
        <f t="shared" si="23"/>
        <v>France</v>
      </c>
      <c r="AA207" t="s">
        <v>41</v>
      </c>
      <c r="AB207" t="s">
        <v>42</v>
      </c>
      <c r="AC207" t="s">
        <v>406</v>
      </c>
      <c r="AD207" t="s">
        <v>407</v>
      </c>
      <c r="AE207" t="s">
        <v>36</v>
      </c>
    </row>
    <row r="208" spans="1:31" x14ac:dyDescent="0.3">
      <c r="A208">
        <v>10348</v>
      </c>
      <c r="B208">
        <v>48</v>
      </c>
      <c r="C208">
        <v>52.36</v>
      </c>
      <c r="D208">
        <v>8</v>
      </c>
      <c r="E208" s="4" t="str">
        <f t="shared" si="18"/>
        <v>low sales</v>
      </c>
      <c r="F208">
        <v>2513.2800000000002</v>
      </c>
      <c r="G208" t="s">
        <v>880</v>
      </c>
      <c r="H208" s="1" t="str">
        <f t="shared" si="19"/>
        <v>Shipped</v>
      </c>
      <c r="I208" s="4" t="str">
        <f t="shared" si="20"/>
        <v>completed</v>
      </c>
      <c r="J208" t="s">
        <v>25</v>
      </c>
      <c r="K208">
        <v>4</v>
      </c>
      <c r="L208">
        <v>11</v>
      </c>
      <c r="M208">
        <v>2004</v>
      </c>
      <c r="N208" t="s">
        <v>181</v>
      </c>
      <c r="O208">
        <v>207</v>
      </c>
      <c r="P208" t="s">
        <v>474</v>
      </c>
      <c r="Q208" t="s">
        <v>191</v>
      </c>
      <c r="R208" t="s">
        <v>192</v>
      </c>
      <c r="S208" t="s">
        <v>193</v>
      </c>
      <c r="U208" s="1" t="str">
        <f t="shared" si="21"/>
        <v>Madrid</v>
      </c>
      <c r="V208" t="s">
        <v>177</v>
      </c>
      <c r="X208">
        <v>28023</v>
      </c>
      <c r="Y208" s="1" t="str">
        <f t="shared" si="22"/>
        <v>SPAIN</v>
      </c>
      <c r="Z208" s="4" t="str">
        <f t="shared" si="23"/>
        <v>Spain</v>
      </c>
      <c r="AA208" t="s">
        <v>178</v>
      </c>
      <c r="AB208" t="s">
        <v>42</v>
      </c>
      <c r="AC208" t="s">
        <v>194</v>
      </c>
      <c r="AD208" t="s">
        <v>195</v>
      </c>
      <c r="AE208" t="s">
        <v>36</v>
      </c>
    </row>
    <row r="209" spans="1:31" x14ac:dyDescent="0.3">
      <c r="A209">
        <v>10359</v>
      </c>
      <c r="B209">
        <v>42</v>
      </c>
      <c r="C209">
        <v>100</v>
      </c>
      <c r="D209">
        <v>8</v>
      </c>
      <c r="E209" s="4" t="str">
        <f t="shared" si="18"/>
        <v>high sales</v>
      </c>
      <c r="F209">
        <v>4764.4799999999996</v>
      </c>
      <c r="G209" t="s">
        <v>881</v>
      </c>
      <c r="H209" s="1" t="str">
        <f t="shared" si="19"/>
        <v>Shipped</v>
      </c>
      <c r="I209" s="4" t="str">
        <f t="shared" si="20"/>
        <v>completed</v>
      </c>
      <c r="J209" t="s">
        <v>25</v>
      </c>
      <c r="K209">
        <v>4</v>
      </c>
      <c r="L209">
        <v>12</v>
      </c>
      <c r="M209">
        <v>2004</v>
      </c>
      <c r="N209" t="s">
        <v>181</v>
      </c>
      <c r="O209">
        <v>207</v>
      </c>
      <c r="P209" t="s">
        <v>474</v>
      </c>
      <c r="Q209" t="s">
        <v>37</v>
      </c>
      <c r="R209" t="s">
        <v>38</v>
      </c>
      <c r="S209" t="s">
        <v>39</v>
      </c>
      <c r="U209" s="1" t="str">
        <f t="shared" si="21"/>
        <v>Reims</v>
      </c>
      <c r="V209" t="s">
        <v>40</v>
      </c>
      <c r="X209">
        <v>51100</v>
      </c>
      <c r="Y209" s="1" t="str">
        <f t="shared" si="22"/>
        <v>FRANCE</v>
      </c>
      <c r="Z209" s="4" t="str">
        <f t="shared" si="23"/>
        <v>France</v>
      </c>
      <c r="AA209" t="s">
        <v>41</v>
      </c>
      <c r="AB209" t="s">
        <v>42</v>
      </c>
      <c r="AC209" t="s">
        <v>43</v>
      </c>
      <c r="AD209" t="s">
        <v>44</v>
      </c>
      <c r="AE209" t="s">
        <v>51</v>
      </c>
    </row>
    <row r="210" spans="1:31" x14ac:dyDescent="0.3">
      <c r="A210">
        <v>10371</v>
      </c>
      <c r="B210">
        <v>32</v>
      </c>
      <c r="C210">
        <v>100</v>
      </c>
      <c r="D210">
        <v>6</v>
      </c>
      <c r="E210" s="4" t="str">
        <f t="shared" si="18"/>
        <v>low sales</v>
      </c>
      <c r="F210">
        <v>3560.64</v>
      </c>
      <c r="G210" t="s">
        <v>882</v>
      </c>
      <c r="H210" s="1" t="str">
        <f t="shared" si="19"/>
        <v>Shipped</v>
      </c>
      <c r="I210" s="4" t="str">
        <f t="shared" si="20"/>
        <v>completed</v>
      </c>
      <c r="J210" t="s">
        <v>25</v>
      </c>
      <c r="K210">
        <v>1</v>
      </c>
      <c r="L210">
        <v>1</v>
      </c>
      <c r="M210">
        <v>2005</v>
      </c>
      <c r="N210" t="s">
        <v>181</v>
      </c>
      <c r="O210">
        <v>207</v>
      </c>
      <c r="P210" t="s">
        <v>474</v>
      </c>
      <c r="Q210" t="s">
        <v>272</v>
      </c>
      <c r="R210">
        <v>4155551450</v>
      </c>
      <c r="S210" t="s">
        <v>273</v>
      </c>
      <c r="U210" s="1" t="str">
        <f t="shared" si="21"/>
        <v>San Rafael</v>
      </c>
      <c r="V210" t="s">
        <v>274</v>
      </c>
      <c r="W210" t="s">
        <v>55</v>
      </c>
      <c r="X210">
        <v>97562</v>
      </c>
      <c r="Y210" s="1" t="str">
        <f t="shared" si="22"/>
        <v>USA</v>
      </c>
      <c r="Z210" s="4" t="str">
        <f t="shared" si="23"/>
        <v>Usa</v>
      </c>
      <c r="AA210" t="s">
        <v>32</v>
      </c>
      <c r="AB210" t="s">
        <v>33</v>
      </c>
      <c r="AC210" t="s">
        <v>275</v>
      </c>
      <c r="AD210" t="s">
        <v>276</v>
      </c>
      <c r="AE210" t="s">
        <v>51</v>
      </c>
    </row>
    <row r="211" spans="1:31" x14ac:dyDescent="0.3">
      <c r="A211">
        <v>10382</v>
      </c>
      <c r="B211">
        <v>34</v>
      </c>
      <c r="C211">
        <v>100</v>
      </c>
      <c r="D211">
        <v>10</v>
      </c>
      <c r="E211" s="4" t="str">
        <f t="shared" si="18"/>
        <v>low sales</v>
      </c>
      <c r="F211">
        <v>3823.64</v>
      </c>
      <c r="G211" t="s">
        <v>883</v>
      </c>
      <c r="H211" s="1" t="str">
        <f t="shared" si="19"/>
        <v>Shipped</v>
      </c>
      <c r="I211" s="4" t="str">
        <f t="shared" si="20"/>
        <v>completed</v>
      </c>
      <c r="J211" t="s">
        <v>25</v>
      </c>
      <c r="K211">
        <v>1</v>
      </c>
      <c r="L211">
        <v>2</v>
      </c>
      <c r="M211">
        <v>2005</v>
      </c>
      <c r="N211" t="s">
        <v>181</v>
      </c>
      <c r="O211">
        <v>207</v>
      </c>
      <c r="P211" t="s">
        <v>474</v>
      </c>
      <c r="Q211" t="s">
        <v>272</v>
      </c>
      <c r="R211">
        <v>4155551450</v>
      </c>
      <c r="S211" t="s">
        <v>273</v>
      </c>
      <c r="U211" s="1" t="str">
        <f t="shared" si="21"/>
        <v>San Rafael</v>
      </c>
      <c r="V211" t="s">
        <v>274</v>
      </c>
      <c r="W211" t="s">
        <v>55</v>
      </c>
      <c r="X211">
        <v>97562</v>
      </c>
      <c r="Y211" s="1" t="str">
        <f t="shared" si="22"/>
        <v>USA</v>
      </c>
      <c r="Z211" s="4" t="str">
        <f t="shared" si="23"/>
        <v>Usa</v>
      </c>
      <c r="AA211" t="s">
        <v>32</v>
      </c>
      <c r="AB211" t="s">
        <v>33</v>
      </c>
      <c r="AC211" t="s">
        <v>275</v>
      </c>
      <c r="AD211" t="s">
        <v>276</v>
      </c>
      <c r="AE211" t="s">
        <v>51</v>
      </c>
    </row>
    <row r="212" spans="1:31" x14ac:dyDescent="0.3">
      <c r="A212">
        <v>10395</v>
      </c>
      <c r="B212">
        <v>33</v>
      </c>
      <c r="C212">
        <v>69.12</v>
      </c>
      <c r="D212">
        <v>1</v>
      </c>
      <c r="E212" s="4" t="str">
        <f t="shared" si="18"/>
        <v>low sales</v>
      </c>
      <c r="F212">
        <v>2280.96</v>
      </c>
      <c r="G212" t="s">
        <v>884</v>
      </c>
      <c r="H212" s="1" t="str">
        <f t="shared" si="19"/>
        <v>Shipped</v>
      </c>
      <c r="I212" s="4" t="str">
        <f t="shared" si="20"/>
        <v>completed</v>
      </c>
      <c r="J212" t="s">
        <v>25</v>
      </c>
      <c r="K212">
        <v>1</v>
      </c>
      <c r="L212">
        <v>3</v>
      </c>
      <c r="M212">
        <v>2005</v>
      </c>
      <c r="N212" t="s">
        <v>181</v>
      </c>
      <c r="O212">
        <v>207</v>
      </c>
      <c r="P212" t="s">
        <v>474</v>
      </c>
      <c r="Q212" t="s">
        <v>45</v>
      </c>
      <c r="R212" t="s">
        <v>46</v>
      </c>
      <c r="S212" t="s">
        <v>47</v>
      </c>
      <c r="U212" s="1" t="str">
        <f t="shared" si="21"/>
        <v>Paris</v>
      </c>
      <c r="V212" t="s">
        <v>48</v>
      </c>
      <c r="X212">
        <v>75508</v>
      </c>
      <c r="Y212" s="1" t="str">
        <f t="shared" si="22"/>
        <v>FRANCE</v>
      </c>
      <c r="Z212" s="4" t="str">
        <f t="shared" si="23"/>
        <v>France</v>
      </c>
      <c r="AA212" t="s">
        <v>41</v>
      </c>
      <c r="AB212" t="s">
        <v>42</v>
      </c>
      <c r="AC212" t="s">
        <v>49</v>
      </c>
      <c r="AD212" t="s">
        <v>50</v>
      </c>
      <c r="AE212" t="s">
        <v>36</v>
      </c>
    </row>
    <row r="213" spans="1:31" x14ac:dyDescent="0.3">
      <c r="A213">
        <v>10413</v>
      </c>
      <c r="B213">
        <v>36</v>
      </c>
      <c r="C213">
        <v>100</v>
      </c>
      <c r="D213">
        <v>2</v>
      </c>
      <c r="E213" s="4" t="str">
        <f t="shared" si="18"/>
        <v>high sales</v>
      </c>
      <c r="F213">
        <v>8677.7999999999993</v>
      </c>
      <c r="G213" t="s">
        <v>885</v>
      </c>
      <c r="H213" s="1" t="str">
        <f t="shared" si="19"/>
        <v>Shipped</v>
      </c>
      <c r="I213" s="4" t="str">
        <f t="shared" si="20"/>
        <v>completed</v>
      </c>
      <c r="J213" t="s">
        <v>25</v>
      </c>
      <c r="K213">
        <v>2</v>
      </c>
      <c r="L213">
        <v>5</v>
      </c>
      <c r="M213">
        <v>2005</v>
      </c>
      <c r="N213" t="s">
        <v>181</v>
      </c>
      <c r="O213">
        <v>207</v>
      </c>
      <c r="P213" t="s">
        <v>474</v>
      </c>
      <c r="Q213" t="s">
        <v>109</v>
      </c>
      <c r="R213">
        <v>2035552570</v>
      </c>
      <c r="S213" t="s">
        <v>110</v>
      </c>
      <c r="U213" s="1" t="str">
        <f t="shared" si="21"/>
        <v>Bridgewater</v>
      </c>
      <c r="V213" t="s">
        <v>111</v>
      </c>
      <c r="W213" t="s">
        <v>112</v>
      </c>
      <c r="X213">
        <v>97562</v>
      </c>
      <c r="Y213" s="1" t="str">
        <f t="shared" si="22"/>
        <v>USA</v>
      </c>
      <c r="Z213" s="4" t="str">
        <f t="shared" si="23"/>
        <v>Usa</v>
      </c>
      <c r="AA213" t="s">
        <v>32</v>
      </c>
      <c r="AB213" t="s">
        <v>33</v>
      </c>
      <c r="AC213" t="s">
        <v>113</v>
      </c>
      <c r="AD213" t="s">
        <v>57</v>
      </c>
      <c r="AE213" t="s">
        <v>151</v>
      </c>
    </row>
    <row r="214" spans="1:31" x14ac:dyDescent="0.3">
      <c r="A214">
        <v>10103</v>
      </c>
      <c r="B214">
        <v>27</v>
      </c>
      <c r="C214">
        <v>100</v>
      </c>
      <c r="D214">
        <v>8</v>
      </c>
      <c r="E214" s="4" t="str">
        <f t="shared" si="18"/>
        <v>low sales</v>
      </c>
      <c r="F214">
        <v>3394.98</v>
      </c>
      <c r="G214" t="s">
        <v>886</v>
      </c>
      <c r="H214" s="1" t="str">
        <f t="shared" si="19"/>
        <v>Shipped</v>
      </c>
      <c r="I214" s="4" t="str">
        <f t="shared" si="20"/>
        <v>completed</v>
      </c>
      <c r="J214" t="s">
        <v>25</v>
      </c>
      <c r="K214">
        <v>1</v>
      </c>
      <c r="L214">
        <v>1</v>
      </c>
      <c r="M214">
        <v>2003</v>
      </c>
      <c r="N214" t="s">
        <v>504</v>
      </c>
      <c r="O214">
        <v>136</v>
      </c>
      <c r="P214" t="s">
        <v>505</v>
      </c>
      <c r="Q214" t="s">
        <v>133</v>
      </c>
      <c r="R214" t="s">
        <v>134</v>
      </c>
      <c r="S214" t="s">
        <v>135</v>
      </c>
      <c r="U214" s="1" t="str">
        <f t="shared" si="21"/>
        <v>Stavern</v>
      </c>
      <c r="V214" t="s">
        <v>136</v>
      </c>
      <c r="X214">
        <v>4110</v>
      </c>
      <c r="Y214" s="1" t="str">
        <f t="shared" si="22"/>
        <v>NORWAY</v>
      </c>
      <c r="Z214" s="4" t="str">
        <f t="shared" si="23"/>
        <v>Norway</v>
      </c>
      <c r="AA214" t="s">
        <v>78</v>
      </c>
      <c r="AB214" t="s">
        <v>42</v>
      </c>
      <c r="AC214" t="s">
        <v>137</v>
      </c>
      <c r="AD214" t="s">
        <v>138</v>
      </c>
      <c r="AE214" t="s">
        <v>51</v>
      </c>
    </row>
    <row r="215" spans="1:31" x14ac:dyDescent="0.3">
      <c r="A215">
        <v>10113</v>
      </c>
      <c r="B215">
        <v>21</v>
      </c>
      <c r="C215">
        <v>100</v>
      </c>
      <c r="D215">
        <v>2</v>
      </c>
      <c r="E215" s="4" t="str">
        <f t="shared" si="18"/>
        <v>low sales</v>
      </c>
      <c r="F215">
        <v>3415.44</v>
      </c>
      <c r="G215" t="s">
        <v>887</v>
      </c>
      <c r="H215" s="1" t="str">
        <f t="shared" si="19"/>
        <v>Shipped</v>
      </c>
      <c r="I215" s="4" t="str">
        <f t="shared" si="20"/>
        <v>completed</v>
      </c>
      <c r="J215" t="s">
        <v>25</v>
      </c>
      <c r="K215">
        <v>1</v>
      </c>
      <c r="L215">
        <v>3</v>
      </c>
      <c r="M215">
        <v>2003</v>
      </c>
      <c r="N215" t="s">
        <v>504</v>
      </c>
      <c r="O215">
        <v>136</v>
      </c>
      <c r="P215" t="s">
        <v>505</v>
      </c>
      <c r="Q215" t="s">
        <v>272</v>
      </c>
      <c r="R215">
        <v>4155551450</v>
      </c>
      <c r="S215" t="s">
        <v>273</v>
      </c>
      <c r="U215" s="1" t="str">
        <f t="shared" si="21"/>
        <v>San Rafael</v>
      </c>
      <c r="V215" t="s">
        <v>274</v>
      </c>
      <c r="W215" t="s">
        <v>55</v>
      </c>
      <c r="X215">
        <v>97562</v>
      </c>
      <c r="Y215" s="1" t="str">
        <f t="shared" si="22"/>
        <v>USA</v>
      </c>
      <c r="Z215" s="4" t="str">
        <f t="shared" si="23"/>
        <v>Usa</v>
      </c>
      <c r="AA215" t="s">
        <v>32</v>
      </c>
      <c r="AB215" t="s">
        <v>33</v>
      </c>
      <c r="AC215" t="s">
        <v>275</v>
      </c>
      <c r="AD215" t="s">
        <v>276</v>
      </c>
      <c r="AE215" t="s">
        <v>51</v>
      </c>
    </row>
    <row r="216" spans="1:31" x14ac:dyDescent="0.3">
      <c r="A216">
        <v>10126</v>
      </c>
      <c r="B216">
        <v>21</v>
      </c>
      <c r="C216">
        <v>100</v>
      </c>
      <c r="D216">
        <v>8</v>
      </c>
      <c r="E216" s="4" t="str">
        <f t="shared" si="18"/>
        <v>low sales</v>
      </c>
      <c r="F216">
        <v>2439.5700000000002</v>
      </c>
      <c r="G216" t="s">
        <v>888</v>
      </c>
      <c r="H216" s="1" t="str">
        <f t="shared" si="19"/>
        <v>Shipped</v>
      </c>
      <c r="I216" s="4" t="str">
        <f t="shared" si="20"/>
        <v>completed</v>
      </c>
      <c r="J216" t="s">
        <v>25</v>
      </c>
      <c r="K216">
        <v>2</v>
      </c>
      <c r="L216">
        <v>5</v>
      </c>
      <c r="M216">
        <v>2003</v>
      </c>
      <c r="N216" t="s">
        <v>504</v>
      </c>
      <c r="O216">
        <v>136</v>
      </c>
      <c r="P216" t="s">
        <v>505</v>
      </c>
      <c r="Q216" t="s">
        <v>191</v>
      </c>
      <c r="R216" t="s">
        <v>192</v>
      </c>
      <c r="S216" t="s">
        <v>193</v>
      </c>
      <c r="U216" s="1" t="str">
        <f t="shared" si="21"/>
        <v>Madrid</v>
      </c>
      <c r="V216" t="s">
        <v>177</v>
      </c>
      <c r="X216">
        <v>28023</v>
      </c>
      <c r="Y216" s="1" t="str">
        <f t="shared" si="22"/>
        <v>SPAIN</v>
      </c>
      <c r="Z216" s="4" t="str">
        <f t="shared" si="23"/>
        <v>Spain</v>
      </c>
      <c r="AA216" t="s">
        <v>178</v>
      </c>
      <c r="AB216" t="s">
        <v>42</v>
      </c>
      <c r="AC216" t="s">
        <v>194</v>
      </c>
      <c r="AD216" t="s">
        <v>195</v>
      </c>
      <c r="AE216" t="s">
        <v>36</v>
      </c>
    </row>
    <row r="217" spans="1:31" x14ac:dyDescent="0.3">
      <c r="A217">
        <v>10140</v>
      </c>
      <c r="B217">
        <v>38</v>
      </c>
      <c r="C217">
        <v>100</v>
      </c>
      <c r="D217">
        <v>8</v>
      </c>
      <c r="E217" s="4" t="str">
        <f t="shared" si="18"/>
        <v>high sales</v>
      </c>
      <c r="F217">
        <v>4829.8</v>
      </c>
      <c r="G217" t="s">
        <v>889</v>
      </c>
      <c r="H217" s="1" t="str">
        <f t="shared" si="19"/>
        <v>Shipped</v>
      </c>
      <c r="I217" s="4" t="str">
        <f t="shared" si="20"/>
        <v>completed</v>
      </c>
      <c r="J217" t="s">
        <v>25</v>
      </c>
      <c r="K217">
        <v>3</v>
      </c>
      <c r="L217">
        <v>7</v>
      </c>
      <c r="M217">
        <v>2003</v>
      </c>
      <c r="N217" t="s">
        <v>504</v>
      </c>
      <c r="O217">
        <v>136</v>
      </c>
      <c r="P217" t="s">
        <v>505</v>
      </c>
      <c r="Q217" t="s">
        <v>62</v>
      </c>
      <c r="R217">
        <v>6505556809</v>
      </c>
      <c r="S217" t="s">
        <v>63</v>
      </c>
      <c r="U217" s="1" t="str">
        <f t="shared" si="21"/>
        <v>Burlingame</v>
      </c>
      <c r="V217" t="s">
        <v>64</v>
      </c>
      <c r="W217" t="s">
        <v>55</v>
      </c>
      <c r="X217">
        <v>94217</v>
      </c>
      <c r="Y217" s="1" t="str">
        <f t="shared" si="22"/>
        <v>USA</v>
      </c>
      <c r="Z217" s="4" t="str">
        <f t="shared" si="23"/>
        <v>Usa</v>
      </c>
      <c r="AA217" t="s">
        <v>32</v>
      </c>
      <c r="AB217" t="s">
        <v>33</v>
      </c>
      <c r="AC217" t="s">
        <v>65</v>
      </c>
      <c r="AD217" t="s">
        <v>66</v>
      </c>
      <c r="AE217" t="s">
        <v>51</v>
      </c>
    </row>
    <row r="218" spans="1:31" x14ac:dyDescent="0.3">
      <c r="A218">
        <v>10150</v>
      </c>
      <c r="B218">
        <v>30</v>
      </c>
      <c r="C218">
        <v>100</v>
      </c>
      <c r="D218">
        <v>5</v>
      </c>
      <c r="E218" s="4" t="str">
        <f t="shared" si="18"/>
        <v>high sales</v>
      </c>
      <c r="F218">
        <v>4100.1000000000004</v>
      </c>
      <c r="G218" t="s">
        <v>890</v>
      </c>
      <c r="H218" s="1" t="str">
        <f t="shared" si="19"/>
        <v>Shipped</v>
      </c>
      <c r="I218" s="4" t="str">
        <f t="shared" si="20"/>
        <v>completed</v>
      </c>
      <c r="J218" t="s">
        <v>25</v>
      </c>
      <c r="K218">
        <v>3</v>
      </c>
      <c r="L218">
        <v>9</v>
      </c>
      <c r="M218">
        <v>2003</v>
      </c>
      <c r="N218" t="s">
        <v>504</v>
      </c>
      <c r="O218">
        <v>136</v>
      </c>
      <c r="P218" t="s">
        <v>505</v>
      </c>
      <c r="Q218" t="s">
        <v>196</v>
      </c>
      <c r="R218" t="s">
        <v>197</v>
      </c>
      <c r="S218" t="s">
        <v>198</v>
      </c>
      <c r="U218" s="1" t="str">
        <f t="shared" si="21"/>
        <v>Singapore</v>
      </c>
      <c r="V218" t="s">
        <v>199</v>
      </c>
      <c r="X218">
        <v>79903</v>
      </c>
      <c r="Y218" s="1" t="str">
        <f t="shared" si="22"/>
        <v>SINGAPORE</v>
      </c>
      <c r="Z218" s="4" t="str">
        <f t="shared" si="23"/>
        <v>Singapore</v>
      </c>
      <c r="AA218" t="s">
        <v>199</v>
      </c>
      <c r="AB218" t="s">
        <v>200</v>
      </c>
      <c r="AC218" t="s">
        <v>201</v>
      </c>
      <c r="AD218" t="s">
        <v>202</v>
      </c>
      <c r="AE218" t="s">
        <v>51</v>
      </c>
    </row>
    <row r="219" spans="1:31" x14ac:dyDescent="0.3">
      <c r="A219">
        <v>10164</v>
      </c>
      <c r="B219">
        <v>49</v>
      </c>
      <c r="C219">
        <v>100</v>
      </c>
      <c r="D219">
        <v>6</v>
      </c>
      <c r="E219" s="4" t="str">
        <f t="shared" si="18"/>
        <v>high sales</v>
      </c>
      <c r="F219">
        <v>6563.06</v>
      </c>
      <c r="G219" t="s">
        <v>891</v>
      </c>
      <c r="H219" s="1" t="str">
        <f t="shared" si="19"/>
        <v>Resolved</v>
      </c>
      <c r="I219" s="4" t="str">
        <f t="shared" si="20"/>
        <v>not completed</v>
      </c>
      <c r="J219" t="s">
        <v>408</v>
      </c>
      <c r="K219">
        <v>4</v>
      </c>
      <c r="L219">
        <v>10</v>
      </c>
      <c r="M219">
        <v>2003</v>
      </c>
      <c r="N219" t="s">
        <v>504</v>
      </c>
      <c r="O219">
        <v>136</v>
      </c>
      <c r="P219" t="s">
        <v>505</v>
      </c>
      <c r="Q219" t="s">
        <v>409</v>
      </c>
      <c r="R219" t="s">
        <v>410</v>
      </c>
      <c r="S219" t="s">
        <v>411</v>
      </c>
      <c r="U219" s="1" t="str">
        <f t="shared" si="21"/>
        <v>Graz</v>
      </c>
      <c r="V219" t="s">
        <v>412</v>
      </c>
      <c r="X219">
        <v>8010</v>
      </c>
      <c r="Y219" s="1" t="str">
        <f t="shared" si="22"/>
        <v>AUSTRIA</v>
      </c>
      <c r="Z219" s="4" t="str">
        <f t="shared" si="23"/>
        <v>Austria</v>
      </c>
      <c r="AA219" t="s">
        <v>148</v>
      </c>
      <c r="AB219" t="s">
        <v>42</v>
      </c>
      <c r="AC219" t="s">
        <v>413</v>
      </c>
      <c r="AD219" t="s">
        <v>414</v>
      </c>
      <c r="AE219" t="s">
        <v>51</v>
      </c>
    </row>
    <row r="220" spans="1:31" x14ac:dyDescent="0.3">
      <c r="A220">
        <v>10174</v>
      </c>
      <c r="B220">
        <v>43</v>
      </c>
      <c r="C220">
        <v>100</v>
      </c>
      <c r="D220">
        <v>1</v>
      </c>
      <c r="E220" s="4" t="str">
        <f t="shared" si="18"/>
        <v>high sales</v>
      </c>
      <c r="F220">
        <v>6817.22</v>
      </c>
      <c r="G220" t="s">
        <v>892</v>
      </c>
      <c r="H220" s="1" t="str">
        <f t="shared" si="19"/>
        <v>Shipped</v>
      </c>
      <c r="I220" s="4" t="str">
        <f t="shared" si="20"/>
        <v>completed</v>
      </c>
      <c r="J220" t="s">
        <v>25</v>
      </c>
      <c r="K220">
        <v>4</v>
      </c>
      <c r="L220">
        <v>11</v>
      </c>
      <c r="M220">
        <v>2003</v>
      </c>
      <c r="N220" t="s">
        <v>504</v>
      </c>
      <c r="O220">
        <v>136</v>
      </c>
      <c r="P220" t="s">
        <v>505</v>
      </c>
      <c r="Q220" t="s">
        <v>207</v>
      </c>
      <c r="R220" t="s">
        <v>208</v>
      </c>
      <c r="S220" t="s">
        <v>209</v>
      </c>
      <c r="U220" s="1" t="str">
        <f t="shared" si="21"/>
        <v>South Brisbane</v>
      </c>
      <c r="V220" t="s">
        <v>210</v>
      </c>
      <c r="W220" t="s">
        <v>211</v>
      </c>
      <c r="X220">
        <v>4101</v>
      </c>
      <c r="Y220" s="1" t="str">
        <f t="shared" si="22"/>
        <v>AUSTRALIA</v>
      </c>
      <c r="Z220" s="4" t="str">
        <f t="shared" si="23"/>
        <v>Australia</v>
      </c>
      <c r="AA220" t="s">
        <v>95</v>
      </c>
      <c r="AB220" t="s">
        <v>96</v>
      </c>
      <c r="AC220" t="s">
        <v>212</v>
      </c>
      <c r="AD220" t="s">
        <v>213</v>
      </c>
      <c r="AE220" t="s">
        <v>51</v>
      </c>
    </row>
    <row r="221" spans="1:31" x14ac:dyDescent="0.3">
      <c r="A221">
        <v>10183</v>
      </c>
      <c r="B221">
        <v>41</v>
      </c>
      <c r="C221">
        <v>100</v>
      </c>
      <c r="D221">
        <v>5</v>
      </c>
      <c r="E221" s="4" t="str">
        <f t="shared" si="18"/>
        <v>high sales</v>
      </c>
      <c r="F221">
        <v>6163.94</v>
      </c>
      <c r="G221" t="s">
        <v>893</v>
      </c>
      <c r="H221" s="1" t="str">
        <f t="shared" si="19"/>
        <v>Shipped</v>
      </c>
      <c r="I221" s="4" t="str">
        <f t="shared" si="20"/>
        <v>completed</v>
      </c>
      <c r="J221" t="s">
        <v>25</v>
      </c>
      <c r="K221">
        <v>4</v>
      </c>
      <c r="L221">
        <v>11</v>
      </c>
      <c r="M221">
        <v>2003</v>
      </c>
      <c r="N221" t="s">
        <v>504</v>
      </c>
      <c r="O221">
        <v>136</v>
      </c>
      <c r="P221" t="s">
        <v>505</v>
      </c>
      <c r="Q221" t="s">
        <v>214</v>
      </c>
      <c r="R221">
        <v>2155554695</v>
      </c>
      <c r="S221" t="s">
        <v>215</v>
      </c>
      <c r="U221" s="1" t="str">
        <f t="shared" si="21"/>
        <v>Philadelphia</v>
      </c>
      <c r="V221" t="s">
        <v>216</v>
      </c>
      <c r="W221" t="s">
        <v>142</v>
      </c>
      <c r="X221">
        <v>71270</v>
      </c>
      <c r="Y221" s="1" t="str">
        <f t="shared" si="22"/>
        <v>USA</v>
      </c>
      <c r="Z221" s="4" t="str">
        <f t="shared" si="23"/>
        <v>Usa</v>
      </c>
      <c r="AA221" t="s">
        <v>32</v>
      </c>
      <c r="AB221" t="s">
        <v>33</v>
      </c>
      <c r="AC221" t="s">
        <v>217</v>
      </c>
      <c r="AD221" t="s">
        <v>218</v>
      </c>
      <c r="AE221" t="s">
        <v>51</v>
      </c>
    </row>
    <row r="222" spans="1:31" x14ac:dyDescent="0.3">
      <c r="A222">
        <v>10194</v>
      </c>
      <c r="B222">
        <v>38</v>
      </c>
      <c r="C222">
        <v>100</v>
      </c>
      <c r="D222">
        <v>8</v>
      </c>
      <c r="E222" s="4" t="str">
        <f t="shared" si="18"/>
        <v>high sales</v>
      </c>
      <c r="F222">
        <v>4933.92</v>
      </c>
      <c r="G222" t="s">
        <v>894</v>
      </c>
      <c r="H222" s="1" t="str">
        <f t="shared" si="19"/>
        <v>Shipped</v>
      </c>
      <c r="I222" s="4" t="str">
        <f t="shared" si="20"/>
        <v>completed</v>
      </c>
      <c r="J222" t="s">
        <v>25</v>
      </c>
      <c r="K222">
        <v>4</v>
      </c>
      <c r="L222">
        <v>11</v>
      </c>
      <c r="M222">
        <v>2003</v>
      </c>
      <c r="N222" t="s">
        <v>504</v>
      </c>
      <c r="O222">
        <v>136</v>
      </c>
      <c r="P222" t="s">
        <v>505</v>
      </c>
      <c r="Q222" t="s">
        <v>219</v>
      </c>
      <c r="R222" t="s">
        <v>220</v>
      </c>
      <c r="S222" t="s">
        <v>221</v>
      </c>
      <c r="U222" s="1" t="str">
        <f t="shared" si="21"/>
        <v>Lyon</v>
      </c>
      <c r="V222" t="s">
        <v>222</v>
      </c>
      <c r="X222">
        <v>69004</v>
      </c>
      <c r="Y222" s="1" t="str">
        <f t="shared" si="22"/>
        <v>FRANCE</v>
      </c>
      <c r="Z222" s="4" t="str">
        <f t="shared" si="23"/>
        <v>France</v>
      </c>
      <c r="AA222" t="s">
        <v>41</v>
      </c>
      <c r="AB222" t="s">
        <v>42</v>
      </c>
      <c r="AC222" t="s">
        <v>223</v>
      </c>
      <c r="AD222" t="s">
        <v>224</v>
      </c>
      <c r="AE222" t="s">
        <v>51</v>
      </c>
    </row>
    <row r="223" spans="1:31" x14ac:dyDescent="0.3">
      <c r="A223">
        <v>10206</v>
      </c>
      <c r="B223">
        <v>28</v>
      </c>
      <c r="C223">
        <v>100</v>
      </c>
      <c r="D223">
        <v>3</v>
      </c>
      <c r="E223" s="4" t="str">
        <f t="shared" si="18"/>
        <v>high sales</v>
      </c>
      <c r="F223">
        <v>4056.36</v>
      </c>
      <c r="G223" t="s">
        <v>895</v>
      </c>
      <c r="H223" s="1" t="str">
        <f t="shared" si="19"/>
        <v>Shipped</v>
      </c>
      <c r="I223" s="4" t="str">
        <f t="shared" si="20"/>
        <v>completed</v>
      </c>
      <c r="J223" t="s">
        <v>25</v>
      </c>
      <c r="K223">
        <v>4</v>
      </c>
      <c r="L223">
        <v>12</v>
      </c>
      <c r="M223">
        <v>2003</v>
      </c>
      <c r="N223" t="s">
        <v>504</v>
      </c>
      <c r="O223">
        <v>136</v>
      </c>
      <c r="P223" t="s">
        <v>505</v>
      </c>
      <c r="Q223" t="s">
        <v>225</v>
      </c>
      <c r="R223" t="s">
        <v>226</v>
      </c>
      <c r="S223" t="s">
        <v>227</v>
      </c>
      <c r="U223" s="1" t="str">
        <f t="shared" si="21"/>
        <v>Vancouver</v>
      </c>
      <c r="V223" t="s">
        <v>228</v>
      </c>
      <c r="W223" t="s">
        <v>229</v>
      </c>
      <c r="X223" t="s">
        <v>230</v>
      </c>
      <c r="Y223" s="1" t="str">
        <f t="shared" si="22"/>
        <v>CANADA</v>
      </c>
      <c r="Z223" s="4" t="str">
        <f t="shared" si="23"/>
        <v>Canada</v>
      </c>
      <c r="AA223" t="s">
        <v>231</v>
      </c>
      <c r="AB223" t="s">
        <v>33</v>
      </c>
      <c r="AC223" t="s">
        <v>232</v>
      </c>
      <c r="AD223" t="s">
        <v>233</v>
      </c>
      <c r="AE223" t="s">
        <v>51</v>
      </c>
    </row>
    <row r="224" spans="1:31" x14ac:dyDescent="0.3">
      <c r="A224">
        <v>10216</v>
      </c>
      <c r="B224">
        <v>43</v>
      </c>
      <c r="C224">
        <v>100</v>
      </c>
      <c r="D224">
        <v>1</v>
      </c>
      <c r="E224" s="4" t="str">
        <f t="shared" si="18"/>
        <v>high sales</v>
      </c>
      <c r="F224">
        <v>5759.42</v>
      </c>
      <c r="G224" t="s">
        <v>896</v>
      </c>
      <c r="H224" s="1" t="str">
        <f t="shared" si="19"/>
        <v>Shipped</v>
      </c>
      <c r="I224" s="4" t="str">
        <f t="shared" si="20"/>
        <v>completed</v>
      </c>
      <c r="J224" t="s">
        <v>25</v>
      </c>
      <c r="K224">
        <v>1</v>
      </c>
      <c r="L224">
        <v>2</v>
      </c>
      <c r="M224">
        <v>2004</v>
      </c>
      <c r="N224" t="s">
        <v>504</v>
      </c>
      <c r="O224">
        <v>136</v>
      </c>
      <c r="P224" t="s">
        <v>505</v>
      </c>
      <c r="Q224" t="s">
        <v>267</v>
      </c>
      <c r="R224" t="s">
        <v>268</v>
      </c>
      <c r="S224" t="s">
        <v>269</v>
      </c>
      <c r="U224" s="1" t="str">
        <f t="shared" si="21"/>
        <v>Versailles</v>
      </c>
      <c r="V224" t="s">
        <v>270</v>
      </c>
      <c r="X224">
        <v>78000</v>
      </c>
      <c r="Y224" s="1" t="str">
        <f t="shared" si="22"/>
        <v>FRANCE</v>
      </c>
      <c r="Z224" s="4" t="str">
        <f t="shared" si="23"/>
        <v>France</v>
      </c>
      <c r="AA224" t="s">
        <v>41</v>
      </c>
      <c r="AB224" t="s">
        <v>42</v>
      </c>
      <c r="AC224" t="s">
        <v>271</v>
      </c>
      <c r="AD224" t="s">
        <v>50</v>
      </c>
      <c r="AE224" t="s">
        <v>51</v>
      </c>
    </row>
    <row r="225" spans="1:31" x14ac:dyDescent="0.3">
      <c r="A225">
        <v>10229</v>
      </c>
      <c r="B225">
        <v>25</v>
      </c>
      <c r="C225">
        <v>100</v>
      </c>
      <c r="D225">
        <v>13</v>
      </c>
      <c r="E225" s="4" t="str">
        <f t="shared" si="18"/>
        <v>low sales</v>
      </c>
      <c r="F225">
        <v>3451</v>
      </c>
      <c r="G225" t="s">
        <v>897</v>
      </c>
      <c r="H225" s="1" t="str">
        <f t="shared" si="19"/>
        <v>Shipped</v>
      </c>
      <c r="I225" s="4" t="str">
        <f t="shared" si="20"/>
        <v>completed</v>
      </c>
      <c r="J225" t="s">
        <v>25</v>
      </c>
      <c r="K225">
        <v>1</v>
      </c>
      <c r="L225">
        <v>3</v>
      </c>
      <c r="M225">
        <v>2004</v>
      </c>
      <c r="N225" t="s">
        <v>504</v>
      </c>
      <c r="O225">
        <v>136</v>
      </c>
      <c r="P225" t="s">
        <v>505</v>
      </c>
      <c r="Q225" t="s">
        <v>272</v>
      </c>
      <c r="R225">
        <v>4155551450</v>
      </c>
      <c r="S225" t="s">
        <v>273</v>
      </c>
      <c r="U225" s="1" t="str">
        <f t="shared" si="21"/>
        <v>San Rafael</v>
      </c>
      <c r="V225" t="s">
        <v>274</v>
      </c>
      <c r="W225" t="s">
        <v>55</v>
      </c>
      <c r="X225">
        <v>97562</v>
      </c>
      <c r="Y225" s="1" t="str">
        <f t="shared" si="22"/>
        <v>USA</v>
      </c>
      <c r="Z225" s="4" t="str">
        <f t="shared" si="23"/>
        <v>Usa</v>
      </c>
      <c r="AA225" t="s">
        <v>32</v>
      </c>
      <c r="AB225" t="s">
        <v>33</v>
      </c>
      <c r="AC225" t="s">
        <v>275</v>
      </c>
      <c r="AD225" t="s">
        <v>276</v>
      </c>
      <c r="AE225" t="s">
        <v>51</v>
      </c>
    </row>
    <row r="226" spans="1:31" x14ac:dyDescent="0.3">
      <c r="A226">
        <v>10245</v>
      </c>
      <c r="B226">
        <v>38</v>
      </c>
      <c r="C226">
        <v>100</v>
      </c>
      <c r="D226">
        <v>6</v>
      </c>
      <c r="E226" s="4" t="str">
        <f t="shared" si="18"/>
        <v>high sales</v>
      </c>
      <c r="F226">
        <v>5920.4</v>
      </c>
      <c r="G226" t="s">
        <v>898</v>
      </c>
      <c r="H226" s="1" t="str">
        <f t="shared" si="19"/>
        <v>Shipped</v>
      </c>
      <c r="I226" s="4" t="str">
        <f t="shared" si="20"/>
        <v>completed</v>
      </c>
      <c r="J226" t="s">
        <v>25</v>
      </c>
      <c r="K226">
        <v>2</v>
      </c>
      <c r="L226">
        <v>5</v>
      </c>
      <c r="M226">
        <v>2004</v>
      </c>
      <c r="N226" t="s">
        <v>504</v>
      </c>
      <c r="O226">
        <v>136</v>
      </c>
      <c r="P226" t="s">
        <v>505</v>
      </c>
      <c r="Q226" t="s">
        <v>242</v>
      </c>
      <c r="R226">
        <v>2035559545</v>
      </c>
      <c r="S226" t="s">
        <v>243</v>
      </c>
      <c r="U226" s="1" t="str">
        <f t="shared" si="21"/>
        <v>New Haven</v>
      </c>
      <c r="V226" t="s">
        <v>244</v>
      </c>
      <c r="W226" t="s">
        <v>112</v>
      </c>
      <c r="X226">
        <v>97823</v>
      </c>
      <c r="Y226" s="1" t="str">
        <f t="shared" si="22"/>
        <v>USA</v>
      </c>
      <c r="Z226" s="4" t="str">
        <f t="shared" si="23"/>
        <v>Usa</v>
      </c>
      <c r="AA226" t="s">
        <v>32</v>
      </c>
      <c r="AB226" t="s">
        <v>33</v>
      </c>
      <c r="AC226" t="s">
        <v>83</v>
      </c>
      <c r="AD226" t="s">
        <v>245</v>
      </c>
      <c r="AE226" t="s">
        <v>51</v>
      </c>
    </row>
    <row r="227" spans="1:31" x14ac:dyDescent="0.3">
      <c r="A227">
        <v>10258</v>
      </c>
      <c r="B227">
        <v>41</v>
      </c>
      <c r="C227">
        <v>100</v>
      </c>
      <c r="D227">
        <v>3</v>
      </c>
      <c r="E227" s="4" t="str">
        <f t="shared" si="18"/>
        <v>high sales</v>
      </c>
      <c r="F227">
        <v>6668.24</v>
      </c>
      <c r="G227" t="s">
        <v>899</v>
      </c>
      <c r="H227" s="1" t="str">
        <f t="shared" si="19"/>
        <v>Shipped</v>
      </c>
      <c r="I227" s="4" t="str">
        <f t="shared" si="20"/>
        <v>completed</v>
      </c>
      <c r="J227" t="s">
        <v>25</v>
      </c>
      <c r="K227">
        <v>2</v>
      </c>
      <c r="L227">
        <v>6</v>
      </c>
      <c r="M227">
        <v>2004</v>
      </c>
      <c r="N227" t="s">
        <v>504</v>
      </c>
      <c r="O227">
        <v>136</v>
      </c>
      <c r="P227" t="s">
        <v>505</v>
      </c>
      <c r="Q227" t="s">
        <v>246</v>
      </c>
      <c r="R227" t="s">
        <v>247</v>
      </c>
      <c r="S227" t="s">
        <v>248</v>
      </c>
      <c r="U227" s="1" t="str">
        <f t="shared" si="21"/>
        <v>Minato-Ku</v>
      </c>
      <c r="V227" t="s">
        <v>249</v>
      </c>
      <c r="W227" t="s">
        <v>250</v>
      </c>
      <c r="X227" t="s">
        <v>251</v>
      </c>
      <c r="Y227" s="1" t="str">
        <f t="shared" si="22"/>
        <v>JAPAN</v>
      </c>
      <c r="Z227" s="4" t="str">
        <f t="shared" si="23"/>
        <v>Japan</v>
      </c>
      <c r="AA227" t="s">
        <v>200</v>
      </c>
      <c r="AB227" t="s">
        <v>200</v>
      </c>
      <c r="AC227" t="s">
        <v>252</v>
      </c>
      <c r="AD227" t="s">
        <v>253</v>
      </c>
      <c r="AE227" t="s">
        <v>51</v>
      </c>
    </row>
    <row r="228" spans="1:31" x14ac:dyDescent="0.3">
      <c r="A228">
        <v>10270</v>
      </c>
      <c r="B228">
        <v>28</v>
      </c>
      <c r="C228">
        <v>100</v>
      </c>
      <c r="D228">
        <v>6</v>
      </c>
      <c r="E228" s="4" t="str">
        <f t="shared" si="18"/>
        <v>high sales</v>
      </c>
      <c r="F228">
        <v>4094.72</v>
      </c>
      <c r="G228" t="s">
        <v>900</v>
      </c>
      <c r="H228" s="1" t="str">
        <f t="shared" si="19"/>
        <v>Shipped</v>
      </c>
      <c r="I228" s="4" t="str">
        <f t="shared" si="20"/>
        <v>completed</v>
      </c>
      <c r="J228" t="s">
        <v>25</v>
      </c>
      <c r="K228">
        <v>3</v>
      </c>
      <c r="L228">
        <v>7</v>
      </c>
      <c r="M228">
        <v>2004</v>
      </c>
      <c r="N228" t="s">
        <v>504</v>
      </c>
      <c r="O228">
        <v>136</v>
      </c>
      <c r="P228" t="s">
        <v>505</v>
      </c>
      <c r="Q228" t="s">
        <v>152</v>
      </c>
      <c r="R228" t="s">
        <v>153</v>
      </c>
      <c r="S228" t="s">
        <v>154</v>
      </c>
      <c r="T228" t="s">
        <v>155</v>
      </c>
      <c r="U228" s="1" t="str">
        <f t="shared" si="21"/>
        <v>Chatswood</v>
      </c>
      <c r="V228" t="s">
        <v>156</v>
      </c>
      <c r="W228" t="s">
        <v>157</v>
      </c>
      <c r="X228">
        <v>2067</v>
      </c>
      <c r="Y228" s="1" t="str">
        <f t="shared" si="22"/>
        <v>AUSTRALIA</v>
      </c>
      <c r="Z228" s="4" t="str">
        <f t="shared" si="23"/>
        <v>Australia</v>
      </c>
      <c r="AA228" t="s">
        <v>95</v>
      </c>
      <c r="AB228" t="s">
        <v>96</v>
      </c>
      <c r="AC228" t="s">
        <v>158</v>
      </c>
      <c r="AD228" t="s">
        <v>159</v>
      </c>
      <c r="AE228" t="s">
        <v>51</v>
      </c>
    </row>
    <row r="229" spans="1:31" x14ac:dyDescent="0.3">
      <c r="A229">
        <v>10281</v>
      </c>
      <c r="B229">
        <v>25</v>
      </c>
      <c r="C229">
        <v>100</v>
      </c>
      <c r="D229">
        <v>13</v>
      </c>
      <c r="E229" s="4" t="str">
        <f t="shared" si="18"/>
        <v>low sales</v>
      </c>
      <c r="F229">
        <v>2938.5</v>
      </c>
      <c r="G229" t="s">
        <v>901</v>
      </c>
      <c r="H229" s="1" t="str">
        <f t="shared" si="19"/>
        <v>Shipped</v>
      </c>
      <c r="I229" s="4" t="str">
        <f t="shared" si="20"/>
        <v>completed</v>
      </c>
      <c r="J229" t="s">
        <v>25</v>
      </c>
      <c r="K229">
        <v>3</v>
      </c>
      <c r="L229">
        <v>8</v>
      </c>
      <c r="M229">
        <v>2004</v>
      </c>
      <c r="N229" t="s">
        <v>504</v>
      </c>
      <c r="O229">
        <v>136</v>
      </c>
      <c r="P229" t="s">
        <v>505</v>
      </c>
      <c r="Q229" t="s">
        <v>139</v>
      </c>
      <c r="R229">
        <v>2155551555</v>
      </c>
      <c r="S229" t="s">
        <v>140</v>
      </c>
      <c r="U229" s="1" t="str">
        <f t="shared" si="21"/>
        <v>Allentown</v>
      </c>
      <c r="V229" t="s">
        <v>141</v>
      </c>
      <c r="W229" t="s">
        <v>142</v>
      </c>
      <c r="X229">
        <v>70267</v>
      </c>
      <c r="Y229" s="1" t="str">
        <f t="shared" si="22"/>
        <v>USA</v>
      </c>
      <c r="Z229" s="4" t="str">
        <f t="shared" si="23"/>
        <v>Usa</v>
      </c>
      <c r="AA229" t="s">
        <v>32</v>
      </c>
      <c r="AB229" t="s">
        <v>33</v>
      </c>
      <c r="AC229" t="s">
        <v>34</v>
      </c>
      <c r="AD229" t="s">
        <v>143</v>
      </c>
      <c r="AE229" t="s">
        <v>36</v>
      </c>
    </row>
    <row r="230" spans="1:31" x14ac:dyDescent="0.3">
      <c r="A230">
        <v>10291</v>
      </c>
      <c r="B230">
        <v>41</v>
      </c>
      <c r="C230">
        <v>100</v>
      </c>
      <c r="D230">
        <v>8</v>
      </c>
      <c r="E230" s="4" t="str">
        <f t="shared" si="18"/>
        <v>high sales</v>
      </c>
      <c r="F230">
        <v>6387.8</v>
      </c>
      <c r="G230" t="s">
        <v>902</v>
      </c>
      <c r="H230" s="1" t="str">
        <f t="shared" si="19"/>
        <v>Shipped</v>
      </c>
      <c r="I230" s="4" t="str">
        <f t="shared" si="20"/>
        <v>completed</v>
      </c>
      <c r="J230" t="s">
        <v>25</v>
      </c>
      <c r="K230">
        <v>3</v>
      </c>
      <c r="L230">
        <v>9</v>
      </c>
      <c r="M230">
        <v>2004</v>
      </c>
      <c r="N230" t="s">
        <v>504</v>
      </c>
      <c r="O230">
        <v>136</v>
      </c>
      <c r="P230" t="s">
        <v>505</v>
      </c>
      <c r="Q230" t="s">
        <v>261</v>
      </c>
      <c r="R230" t="s">
        <v>262</v>
      </c>
      <c r="S230" t="s">
        <v>263</v>
      </c>
      <c r="U230" s="1" t="str">
        <f t="shared" si="21"/>
        <v>Boras</v>
      </c>
      <c r="V230" t="s">
        <v>264</v>
      </c>
      <c r="X230" t="s">
        <v>265</v>
      </c>
      <c r="Y230" s="1" t="str">
        <f t="shared" si="22"/>
        <v>SWEDEN</v>
      </c>
      <c r="Z230" s="4" t="str">
        <f t="shared" si="23"/>
        <v>Sweden</v>
      </c>
      <c r="AA230" t="s">
        <v>188</v>
      </c>
      <c r="AB230" t="s">
        <v>42</v>
      </c>
      <c r="AC230" t="s">
        <v>266</v>
      </c>
      <c r="AD230" t="s">
        <v>206</v>
      </c>
      <c r="AE230" t="s">
        <v>51</v>
      </c>
    </row>
    <row r="231" spans="1:31" x14ac:dyDescent="0.3">
      <c r="A231">
        <v>10304</v>
      </c>
      <c r="B231">
        <v>39</v>
      </c>
      <c r="C231">
        <v>100</v>
      </c>
      <c r="D231">
        <v>3</v>
      </c>
      <c r="E231" s="4" t="str">
        <f t="shared" si="18"/>
        <v>high sales</v>
      </c>
      <c r="F231">
        <v>6396</v>
      </c>
      <c r="G231" t="s">
        <v>903</v>
      </c>
      <c r="H231" s="1" t="str">
        <f t="shared" si="19"/>
        <v>Shipped</v>
      </c>
      <c r="I231" s="4" t="str">
        <f t="shared" si="20"/>
        <v>completed</v>
      </c>
      <c r="J231" t="s">
        <v>25</v>
      </c>
      <c r="K231">
        <v>4</v>
      </c>
      <c r="L231">
        <v>10</v>
      </c>
      <c r="M231">
        <v>2004</v>
      </c>
      <c r="N231" t="s">
        <v>504</v>
      </c>
      <c r="O231">
        <v>136</v>
      </c>
      <c r="P231" t="s">
        <v>505</v>
      </c>
      <c r="Q231" t="s">
        <v>267</v>
      </c>
      <c r="R231" t="s">
        <v>268</v>
      </c>
      <c r="S231" t="s">
        <v>269</v>
      </c>
      <c r="U231" s="1" t="str">
        <f t="shared" si="21"/>
        <v>Versailles</v>
      </c>
      <c r="V231" t="s">
        <v>270</v>
      </c>
      <c r="X231">
        <v>78000</v>
      </c>
      <c r="Y231" s="1" t="str">
        <f t="shared" si="22"/>
        <v>FRANCE</v>
      </c>
      <c r="Z231" s="4" t="str">
        <f t="shared" si="23"/>
        <v>France</v>
      </c>
      <c r="AA231" t="s">
        <v>41</v>
      </c>
      <c r="AB231" t="s">
        <v>42</v>
      </c>
      <c r="AC231" t="s">
        <v>271</v>
      </c>
      <c r="AD231" t="s">
        <v>50</v>
      </c>
      <c r="AE231" t="s">
        <v>51</v>
      </c>
    </row>
    <row r="232" spans="1:31" x14ac:dyDescent="0.3">
      <c r="A232">
        <v>10313</v>
      </c>
      <c r="B232">
        <v>21</v>
      </c>
      <c r="C232">
        <v>100</v>
      </c>
      <c r="D232">
        <v>11</v>
      </c>
      <c r="E232" s="4" t="str">
        <f t="shared" si="18"/>
        <v>low sales</v>
      </c>
      <c r="F232">
        <v>2669.1</v>
      </c>
      <c r="G232" t="s">
        <v>904</v>
      </c>
      <c r="H232" s="1" t="str">
        <f t="shared" si="19"/>
        <v>Shipped</v>
      </c>
      <c r="I232" s="4" t="str">
        <f t="shared" si="20"/>
        <v>completed</v>
      </c>
      <c r="J232" t="s">
        <v>25</v>
      </c>
      <c r="K232">
        <v>4</v>
      </c>
      <c r="L232">
        <v>10</v>
      </c>
      <c r="M232">
        <v>2004</v>
      </c>
      <c r="N232" t="s">
        <v>504</v>
      </c>
      <c r="O232">
        <v>136</v>
      </c>
      <c r="P232" t="s">
        <v>505</v>
      </c>
      <c r="Q232" t="s">
        <v>225</v>
      </c>
      <c r="R232" t="s">
        <v>226</v>
      </c>
      <c r="S232" t="s">
        <v>227</v>
      </c>
      <c r="U232" s="1" t="str">
        <f t="shared" si="21"/>
        <v>Vancouver</v>
      </c>
      <c r="V232" t="s">
        <v>228</v>
      </c>
      <c r="W232" t="s">
        <v>229</v>
      </c>
      <c r="X232" t="s">
        <v>230</v>
      </c>
      <c r="Y232" s="1" t="str">
        <f t="shared" si="22"/>
        <v>CANADA</v>
      </c>
      <c r="Z232" s="4" t="str">
        <f t="shared" si="23"/>
        <v>Canada</v>
      </c>
      <c r="AA232" t="s">
        <v>231</v>
      </c>
      <c r="AB232" t="s">
        <v>33</v>
      </c>
      <c r="AC232" t="s">
        <v>232</v>
      </c>
      <c r="AD232" t="s">
        <v>233</v>
      </c>
      <c r="AE232" t="s">
        <v>36</v>
      </c>
    </row>
    <row r="233" spans="1:31" x14ac:dyDescent="0.3">
      <c r="A233">
        <v>10322</v>
      </c>
      <c r="B233">
        <v>27</v>
      </c>
      <c r="C233">
        <v>100</v>
      </c>
      <c r="D233">
        <v>9</v>
      </c>
      <c r="E233" s="4" t="str">
        <f t="shared" si="18"/>
        <v>high sales</v>
      </c>
      <c r="F233">
        <v>4784.13</v>
      </c>
      <c r="G233" t="s">
        <v>905</v>
      </c>
      <c r="H233" s="1" t="str">
        <f t="shared" si="19"/>
        <v>Shipped</v>
      </c>
      <c r="I233" s="4" t="str">
        <f t="shared" si="20"/>
        <v>completed</v>
      </c>
      <c r="J233" t="s">
        <v>25</v>
      </c>
      <c r="K233">
        <v>4</v>
      </c>
      <c r="L233">
        <v>11</v>
      </c>
      <c r="M233">
        <v>2004</v>
      </c>
      <c r="N233" t="s">
        <v>504</v>
      </c>
      <c r="O233">
        <v>136</v>
      </c>
      <c r="P233" t="s">
        <v>505</v>
      </c>
      <c r="Q233" t="s">
        <v>277</v>
      </c>
      <c r="R233">
        <v>6035558647</v>
      </c>
      <c r="S233" t="s">
        <v>278</v>
      </c>
      <c r="U233" s="1" t="str">
        <f t="shared" si="21"/>
        <v>Nashua</v>
      </c>
      <c r="V233" t="s">
        <v>279</v>
      </c>
      <c r="W233" t="s">
        <v>280</v>
      </c>
      <c r="X233">
        <v>62005</v>
      </c>
      <c r="Y233" s="1" t="str">
        <f t="shared" si="22"/>
        <v>USA</v>
      </c>
      <c r="Z233" s="4" t="str">
        <f t="shared" si="23"/>
        <v>Usa</v>
      </c>
      <c r="AA233" t="s">
        <v>32</v>
      </c>
      <c r="AB233" t="s">
        <v>33</v>
      </c>
      <c r="AC233" t="s">
        <v>56</v>
      </c>
      <c r="AD233" t="s">
        <v>276</v>
      </c>
      <c r="AE233" t="s">
        <v>51</v>
      </c>
    </row>
    <row r="234" spans="1:31" x14ac:dyDescent="0.3">
      <c r="A234">
        <v>10333</v>
      </c>
      <c r="B234">
        <v>33</v>
      </c>
      <c r="C234">
        <v>99.21</v>
      </c>
      <c r="D234">
        <v>6</v>
      </c>
      <c r="E234" s="4" t="str">
        <f t="shared" si="18"/>
        <v>low sales</v>
      </c>
      <c r="F234">
        <v>3273.93</v>
      </c>
      <c r="G234" t="s">
        <v>906</v>
      </c>
      <c r="H234" s="1" t="str">
        <f t="shared" si="19"/>
        <v>Shipped</v>
      </c>
      <c r="I234" s="4" t="str">
        <f t="shared" si="20"/>
        <v>completed</v>
      </c>
      <c r="J234" t="s">
        <v>25</v>
      </c>
      <c r="K234">
        <v>4</v>
      </c>
      <c r="L234">
        <v>11</v>
      </c>
      <c r="M234">
        <v>2004</v>
      </c>
      <c r="N234" t="s">
        <v>504</v>
      </c>
      <c r="O234">
        <v>136</v>
      </c>
      <c r="P234" t="s">
        <v>505</v>
      </c>
      <c r="Q234" t="s">
        <v>81</v>
      </c>
      <c r="R234">
        <v>6505555787</v>
      </c>
      <c r="S234" t="s">
        <v>82</v>
      </c>
      <c r="U234" s="1" t="str">
        <f t="shared" si="21"/>
        <v>San Francisco</v>
      </c>
      <c r="V234" t="s">
        <v>60</v>
      </c>
      <c r="W234" t="s">
        <v>55</v>
      </c>
      <c r="Y234" s="1" t="str">
        <f t="shared" si="22"/>
        <v>USA</v>
      </c>
      <c r="Z234" s="4" t="str">
        <f t="shared" si="23"/>
        <v>Usa</v>
      </c>
      <c r="AA234" t="s">
        <v>32</v>
      </c>
      <c r="AB234" t="s">
        <v>33</v>
      </c>
      <c r="AC234" t="s">
        <v>83</v>
      </c>
      <c r="AD234" t="s">
        <v>57</v>
      </c>
      <c r="AE234" t="s">
        <v>51</v>
      </c>
    </row>
    <row r="235" spans="1:31" x14ac:dyDescent="0.3">
      <c r="A235">
        <v>10347</v>
      </c>
      <c r="B235">
        <v>29</v>
      </c>
      <c r="C235">
        <v>100</v>
      </c>
      <c r="D235">
        <v>3</v>
      </c>
      <c r="E235" s="4" t="str">
        <f t="shared" si="18"/>
        <v>low sales</v>
      </c>
      <c r="F235">
        <v>3586.43</v>
      </c>
      <c r="G235" t="s">
        <v>907</v>
      </c>
      <c r="H235" s="1" t="str">
        <f t="shared" si="19"/>
        <v>Shipped</v>
      </c>
      <c r="I235" s="4" t="str">
        <f t="shared" si="20"/>
        <v>completed</v>
      </c>
      <c r="J235" t="s">
        <v>25</v>
      </c>
      <c r="K235">
        <v>4</v>
      </c>
      <c r="L235">
        <v>11</v>
      </c>
      <c r="M235">
        <v>2004</v>
      </c>
      <c r="N235" t="s">
        <v>504</v>
      </c>
      <c r="O235">
        <v>136</v>
      </c>
      <c r="P235" t="s">
        <v>505</v>
      </c>
      <c r="Q235" t="s">
        <v>89</v>
      </c>
      <c r="R235" t="s">
        <v>90</v>
      </c>
      <c r="S235" t="s">
        <v>91</v>
      </c>
      <c r="T235" t="s">
        <v>92</v>
      </c>
      <c r="U235" s="1" t="str">
        <f t="shared" si="21"/>
        <v>Melbourne</v>
      </c>
      <c r="V235" t="s">
        <v>93</v>
      </c>
      <c r="W235" t="s">
        <v>94</v>
      </c>
      <c r="X235">
        <v>3004</v>
      </c>
      <c r="Y235" s="1" t="str">
        <f t="shared" si="22"/>
        <v>AUSTRALIA</v>
      </c>
      <c r="Z235" s="4" t="str">
        <f t="shared" si="23"/>
        <v>Australia</v>
      </c>
      <c r="AA235" t="s">
        <v>95</v>
      </c>
      <c r="AB235" t="s">
        <v>96</v>
      </c>
      <c r="AC235" t="s">
        <v>97</v>
      </c>
      <c r="AD235" t="s">
        <v>98</v>
      </c>
      <c r="AE235" t="s">
        <v>51</v>
      </c>
    </row>
    <row r="236" spans="1:31" x14ac:dyDescent="0.3">
      <c r="A236">
        <v>10357</v>
      </c>
      <c r="B236">
        <v>49</v>
      </c>
      <c r="C236">
        <v>100</v>
      </c>
      <c r="D236">
        <v>8</v>
      </c>
      <c r="E236" s="4" t="str">
        <f t="shared" si="18"/>
        <v>high sales</v>
      </c>
      <c r="F236">
        <v>5960.36</v>
      </c>
      <c r="G236" t="s">
        <v>908</v>
      </c>
      <c r="H236" s="1" t="str">
        <f t="shared" si="19"/>
        <v>Shipped</v>
      </c>
      <c r="I236" s="4" t="str">
        <f t="shared" si="20"/>
        <v>completed</v>
      </c>
      <c r="J236" t="s">
        <v>25</v>
      </c>
      <c r="K236">
        <v>4</v>
      </c>
      <c r="L236">
        <v>12</v>
      </c>
      <c r="M236">
        <v>2004</v>
      </c>
      <c r="N236" t="s">
        <v>504</v>
      </c>
      <c r="O236">
        <v>136</v>
      </c>
      <c r="P236" t="s">
        <v>505</v>
      </c>
      <c r="Q236" t="s">
        <v>272</v>
      </c>
      <c r="R236">
        <v>4155551450</v>
      </c>
      <c r="S236" t="s">
        <v>273</v>
      </c>
      <c r="U236" s="1" t="str">
        <f t="shared" si="21"/>
        <v>San Rafael</v>
      </c>
      <c r="V236" t="s">
        <v>274</v>
      </c>
      <c r="W236" t="s">
        <v>55</v>
      </c>
      <c r="X236">
        <v>97562</v>
      </c>
      <c r="Y236" s="1" t="str">
        <f t="shared" si="22"/>
        <v>USA</v>
      </c>
      <c r="Z236" s="4" t="str">
        <f t="shared" si="23"/>
        <v>Usa</v>
      </c>
      <c r="AA236" t="s">
        <v>32</v>
      </c>
      <c r="AB236" t="s">
        <v>33</v>
      </c>
      <c r="AC236" t="s">
        <v>275</v>
      </c>
      <c r="AD236" t="s">
        <v>276</v>
      </c>
      <c r="AE236" t="s">
        <v>51</v>
      </c>
    </row>
    <row r="237" spans="1:31" x14ac:dyDescent="0.3">
      <c r="A237">
        <v>10370</v>
      </c>
      <c r="B237">
        <v>49</v>
      </c>
      <c r="C237">
        <v>100</v>
      </c>
      <c r="D237">
        <v>8</v>
      </c>
      <c r="E237" s="4" t="str">
        <f t="shared" si="18"/>
        <v>high sales</v>
      </c>
      <c r="F237">
        <v>8470.14</v>
      </c>
      <c r="G237" t="s">
        <v>909</v>
      </c>
      <c r="H237" s="1" t="str">
        <f t="shared" si="19"/>
        <v>Shipped</v>
      </c>
      <c r="I237" s="4" t="str">
        <f t="shared" si="20"/>
        <v>completed</v>
      </c>
      <c r="J237" t="s">
        <v>25</v>
      </c>
      <c r="K237">
        <v>1</v>
      </c>
      <c r="L237">
        <v>1</v>
      </c>
      <c r="M237">
        <v>2005</v>
      </c>
      <c r="N237" t="s">
        <v>504</v>
      </c>
      <c r="O237">
        <v>136</v>
      </c>
      <c r="P237" t="s">
        <v>505</v>
      </c>
      <c r="Q237" t="s">
        <v>285</v>
      </c>
      <c r="R237" t="s">
        <v>286</v>
      </c>
      <c r="S237" t="s">
        <v>287</v>
      </c>
      <c r="T237" t="s">
        <v>288</v>
      </c>
      <c r="U237" s="1" t="str">
        <f t="shared" si="21"/>
        <v>North Sydney</v>
      </c>
      <c r="V237" t="s">
        <v>289</v>
      </c>
      <c r="W237" t="s">
        <v>157</v>
      </c>
      <c r="X237">
        <v>2060</v>
      </c>
      <c r="Y237" s="1" t="str">
        <f t="shared" si="22"/>
        <v>AUSTRALIA</v>
      </c>
      <c r="Z237" s="4" t="str">
        <f t="shared" si="23"/>
        <v>Australia</v>
      </c>
      <c r="AA237" t="s">
        <v>95</v>
      </c>
      <c r="AB237" t="s">
        <v>96</v>
      </c>
      <c r="AC237" t="s">
        <v>290</v>
      </c>
      <c r="AD237" t="s">
        <v>291</v>
      </c>
      <c r="AE237" t="s">
        <v>151</v>
      </c>
    </row>
    <row r="238" spans="1:31" x14ac:dyDescent="0.3">
      <c r="A238">
        <v>10381</v>
      </c>
      <c r="B238">
        <v>20</v>
      </c>
      <c r="C238">
        <v>100</v>
      </c>
      <c r="D238">
        <v>1</v>
      </c>
      <c r="E238" s="4" t="str">
        <f t="shared" si="18"/>
        <v>low sales</v>
      </c>
      <c r="F238">
        <v>2952</v>
      </c>
      <c r="G238" t="s">
        <v>910</v>
      </c>
      <c r="H238" s="1" t="str">
        <f t="shared" si="19"/>
        <v>Shipped</v>
      </c>
      <c r="I238" s="4" t="str">
        <f t="shared" si="20"/>
        <v>completed</v>
      </c>
      <c r="J238" t="s">
        <v>25</v>
      </c>
      <c r="K238">
        <v>1</v>
      </c>
      <c r="L238">
        <v>2</v>
      </c>
      <c r="M238">
        <v>2005</v>
      </c>
      <c r="N238" t="s">
        <v>504</v>
      </c>
      <c r="O238">
        <v>136</v>
      </c>
      <c r="P238" t="s">
        <v>505</v>
      </c>
      <c r="Q238" t="s">
        <v>58</v>
      </c>
      <c r="R238">
        <v>6505551386</v>
      </c>
      <c r="S238" t="s">
        <v>59</v>
      </c>
      <c r="U238" s="1" t="str">
        <f t="shared" si="21"/>
        <v>San Francisco</v>
      </c>
      <c r="V238" t="s">
        <v>60</v>
      </c>
      <c r="W238" t="s">
        <v>55</v>
      </c>
      <c r="Y238" s="1" t="str">
        <f t="shared" si="22"/>
        <v>USA</v>
      </c>
      <c r="Z238" s="4" t="str">
        <f t="shared" si="23"/>
        <v>Usa</v>
      </c>
      <c r="AA238" t="s">
        <v>32</v>
      </c>
      <c r="AB238" t="s">
        <v>33</v>
      </c>
      <c r="AC238" t="s">
        <v>61</v>
      </c>
      <c r="AD238" t="s">
        <v>57</v>
      </c>
      <c r="AE238" t="s">
        <v>36</v>
      </c>
    </row>
    <row r="239" spans="1:31" x14ac:dyDescent="0.3">
      <c r="A239">
        <v>10391</v>
      </c>
      <c r="B239">
        <v>39</v>
      </c>
      <c r="C239">
        <v>63.2</v>
      </c>
      <c r="D239">
        <v>9</v>
      </c>
      <c r="E239" s="4" t="str">
        <f t="shared" si="18"/>
        <v>low sales</v>
      </c>
      <c r="F239">
        <v>2464.8000000000002</v>
      </c>
      <c r="G239" t="s">
        <v>911</v>
      </c>
      <c r="H239" s="1" t="str">
        <f t="shared" si="19"/>
        <v>Shipped</v>
      </c>
      <c r="I239" s="4" t="str">
        <f t="shared" si="20"/>
        <v>completed</v>
      </c>
      <c r="J239" t="s">
        <v>25</v>
      </c>
      <c r="K239">
        <v>1</v>
      </c>
      <c r="L239">
        <v>3</v>
      </c>
      <c r="M239">
        <v>2005</v>
      </c>
      <c r="N239" t="s">
        <v>504</v>
      </c>
      <c r="O239">
        <v>136</v>
      </c>
      <c r="P239" t="s">
        <v>505</v>
      </c>
      <c r="Q239" t="s">
        <v>285</v>
      </c>
      <c r="R239" t="s">
        <v>286</v>
      </c>
      <c r="S239" t="s">
        <v>287</v>
      </c>
      <c r="T239" t="s">
        <v>288</v>
      </c>
      <c r="U239" s="1" t="str">
        <f t="shared" si="21"/>
        <v>North Sydney</v>
      </c>
      <c r="V239" t="s">
        <v>289</v>
      </c>
      <c r="W239" t="s">
        <v>157</v>
      </c>
      <c r="X239">
        <v>2060</v>
      </c>
      <c r="Y239" s="1" t="str">
        <f t="shared" si="22"/>
        <v>AUSTRALIA</v>
      </c>
      <c r="Z239" s="4" t="str">
        <f t="shared" si="23"/>
        <v>Australia</v>
      </c>
      <c r="AA239" t="s">
        <v>95</v>
      </c>
      <c r="AB239" t="s">
        <v>96</v>
      </c>
      <c r="AC239" t="s">
        <v>290</v>
      </c>
      <c r="AD239" t="s">
        <v>291</v>
      </c>
      <c r="AE239" t="s">
        <v>36</v>
      </c>
    </row>
    <row r="240" spans="1:31" x14ac:dyDescent="0.3">
      <c r="A240">
        <v>10411</v>
      </c>
      <c r="B240">
        <v>40</v>
      </c>
      <c r="C240">
        <v>100</v>
      </c>
      <c r="D240">
        <v>6</v>
      </c>
      <c r="E240" s="4" t="str">
        <f t="shared" si="18"/>
        <v>high sales</v>
      </c>
      <c r="F240">
        <v>6232</v>
      </c>
      <c r="G240" t="s">
        <v>912</v>
      </c>
      <c r="H240" s="1" t="str">
        <f t="shared" si="19"/>
        <v>Shipped</v>
      </c>
      <c r="I240" s="4" t="str">
        <f t="shared" si="20"/>
        <v>completed</v>
      </c>
      <c r="J240" t="s">
        <v>25</v>
      </c>
      <c r="K240">
        <v>2</v>
      </c>
      <c r="L240">
        <v>5</v>
      </c>
      <c r="M240">
        <v>2005</v>
      </c>
      <c r="N240" t="s">
        <v>504</v>
      </c>
      <c r="O240">
        <v>136</v>
      </c>
      <c r="P240" t="s">
        <v>505</v>
      </c>
      <c r="Q240" t="s">
        <v>292</v>
      </c>
      <c r="R240" t="s">
        <v>293</v>
      </c>
      <c r="S240" t="s">
        <v>294</v>
      </c>
      <c r="U240" s="1" t="str">
        <f t="shared" si="21"/>
        <v>Montreal</v>
      </c>
      <c r="V240" t="s">
        <v>295</v>
      </c>
      <c r="W240" t="s">
        <v>296</v>
      </c>
      <c r="X240" t="s">
        <v>297</v>
      </c>
      <c r="Y240" s="1" t="str">
        <f t="shared" si="22"/>
        <v>CANADA</v>
      </c>
      <c r="Z240" s="4" t="str">
        <f t="shared" si="23"/>
        <v>Canada</v>
      </c>
      <c r="AA240" t="s">
        <v>231</v>
      </c>
      <c r="AB240" t="s">
        <v>33</v>
      </c>
      <c r="AC240" t="s">
        <v>298</v>
      </c>
      <c r="AD240" t="s">
        <v>299</v>
      </c>
      <c r="AE240" t="s">
        <v>51</v>
      </c>
    </row>
    <row r="241" spans="1:31" x14ac:dyDescent="0.3">
      <c r="A241">
        <v>10424</v>
      </c>
      <c r="B241">
        <v>49</v>
      </c>
      <c r="C241">
        <v>100</v>
      </c>
      <c r="D241">
        <v>3</v>
      </c>
      <c r="E241" s="4" t="str">
        <f t="shared" si="18"/>
        <v>high sales</v>
      </c>
      <c r="F241">
        <v>7969.36</v>
      </c>
      <c r="G241" t="s">
        <v>913</v>
      </c>
      <c r="H241" s="1" t="str">
        <f t="shared" si="19"/>
        <v>In Process</v>
      </c>
      <c r="I241" s="4" t="str">
        <f t="shared" si="20"/>
        <v>not completed</v>
      </c>
      <c r="J241" t="s">
        <v>300</v>
      </c>
      <c r="K241">
        <v>2</v>
      </c>
      <c r="L241">
        <v>5</v>
      </c>
      <c r="M241">
        <v>2005</v>
      </c>
      <c r="N241" t="s">
        <v>504</v>
      </c>
      <c r="O241">
        <v>136</v>
      </c>
      <c r="P241" t="s">
        <v>505</v>
      </c>
      <c r="Q241" t="s">
        <v>174</v>
      </c>
      <c r="R241" t="s">
        <v>175</v>
      </c>
      <c r="S241" t="s">
        <v>176</v>
      </c>
      <c r="U241" s="1" t="str">
        <f t="shared" si="21"/>
        <v>Madrid</v>
      </c>
      <c r="V241" t="s">
        <v>177</v>
      </c>
      <c r="X241">
        <v>28034</v>
      </c>
      <c r="Y241" s="1" t="str">
        <f t="shared" si="22"/>
        <v>SPAIN</v>
      </c>
      <c r="Z241" s="4" t="str">
        <f t="shared" si="23"/>
        <v>Spain</v>
      </c>
      <c r="AA241" t="s">
        <v>178</v>
      </c>
      <c r="AB241" t="s">
        <v>42</v>
      </c>
      <c r="AC241" t="s">
        <v>179</v>
      </c>
      <c r="AD241" t="s">
        <v>180</v>
      </c>
      <c r="AE241" t="s">
        <v>151</v>
      </c>
    </row>
    <row r="242" spans="1:31" x14ac:dyDescent="0.3">
      <c r="A242">
        <v>10107</v>
      </c>
      <c r="B242">
        <v>21</v>
      </c>
      <c r="C242">
        <v>100</v>
      </c>
      <c r="D242">
        <v>1</v>
      </c>
      <c r="E242" s="4" t="str">
        <f t="shared" si="18"/>
        <v>low sales</v>
      </c>
      <c r="F242">
        <v>3036.6</v>
      </c>
      <c r="G242" t="s">
        <v>914</v>
      </c>
      <c r="H242" s="1" t="str">
        <f t="shared" si="19"/>
        <v>Shipped</v>
      </c>
      <c r="I242" s="4" t="str">
        <f t="shared" si="20"/>
        <v>completed</v>
      </c>
      <c r="J242" t="s">
        <v>25</v>
      </c>
      <c r="K242">
        <v>1</v>
      </c>
      <c r="L242">
        <v>2</v>
      </c>
      <c r="M242">
        <v>2003</v>
      </c>
      <c r="N242" t="s">
        <v>26</v>
      </c>
      <c r="O242">
        <v>150</v>
      </c>
      <c r="P242" t="s">
        <v>506</v>
      </c>
      <c r="Q242" t="s">
        <v>28</v>
      </c>
      <c r="R242">
        <v>2125557818</v>
      </c>
      <c r="S242" t="s">
        <v>29</v>
      </c>
      <c r="U242" s="1" t="str">
        <f t="shared" si="21"/>
        <v>Nyc</v>
      </c>
      <c r="V242" t="s">
        <v>30</v>
      </c>
      <c r="W242" t="s">
        <v>31</v>
      </c>
      <c r="X242">
        <v>10022</v>
      </c>
      <c r="Y242" s="1" t="str">
        <f t="shared" si="22"/>
        <v>USA</v>
      </c>
      <c r="Z242" s="4" t="str">
        <f t="shared" si="23"/>
        <v>Usa</v>
      </c>
      <c r="AA242" t="s">
        <v>32</v>
      </c>
      <c r="AB242" t="s">
        <v>33</v>
      </c>
      <c r="AC242" t="s">
        <v>34</v>
      </c>
      <c r="AD242" t="s">
        <v>35</v>
      </c>
      <c r="AE242" t="s">
        <v>51</v>
      </c>
    </row>
    <row r="243" spans="1:31" x14ac:dyDescent="0.3">
      <c r="A243">
        <v>10121</v>
      </c>
      <c r="B243">
        <v>50</v>
      </c>
      <c r="C243">
        <v>100</v>
      </c>
      <c r="D243">
        <v>4</v>
      </c>
      <c r="E243" s="4" t="str">
        <f t="shared" si="18"/>
        <v>high sales</v>
      </c>
      <c r="F243">
        <v>8284</v>
      </c>
      <c r="G243" t="s">
        <v>915</v>
      </c>
      <c r="H243" s="1" t="str">
        <f t="shared" si="19"/>
        <v>Shipped</v>
      </c>
      <c r="I243" s="4" t="str">
        <f t="shared" si="20"/>
        <v>completed</v>
      </c>
      <c r="J243" t="s">
        <v>25</v>
      </c>
      <c r="K243">
        <v>2</v>
      </c>
      <c r="L243">
        <v>5</v>
      </c>
      <c r="M243">
        <v>2003</v>
      </c>
      <c r="N243" t="s">
        <v>26</v>
      </c>
      <c r="O243">
        <v>150</v>
      </c>
      <c r="P243" t="s">
        <v>506</v>
      </c>
      <c r="Q243" t="s">
        <v>37</v>
      </c>
      <c r="R243" t="s">
        <v>38</v>
      </c>
      <c r="S243" t="s">
        <v>39</v>
      </c>
      <c r="U243" s="1" t="str">
        <f t="shared" si="21"/>
        <v>Reims</v>
      </c>
      <c r="V243" t="s">
        <v>40</v>
      </c>
      <c r="X243">
        <v>51100</v>
      </c>
      <c r="Y243" s="1" t="str">
        <f t="shared" si="22"/>
        <v>FRANCE</v>
      </c>
      <c r="Z243" s="4" t="str">
        <f t="shared" si="23"/>
        <v>France</v>
      </c>
      <c r="AA243" t="s">
        <v>41</v>
      </c>
      <c r="AB243" t="s">
        <v>42</v>
      </c>
      <c r="AC243" t="s">
        <v>43</v>
      </c>
      <c r="AD243" t="s">
        <v>44</v>
      </c>
      <c r="AE243" t="s">
        <v>151</v>
      </c>
    </row>
    <row r="244" spans="1:31" x14ac:dyDescent="0.3">
      <c r="A244">
        <v>10134</v>
      </c>
      <c r="B244">
        <v>20</v>
      </c>
      <c r="C244">
        <v>100</v>
      </c>
      <c r="D244">
        <v>1</v>
      </c>
      <c r="E244" s="4" t="str">
        <f t="shared" si="18"/>
        <v>low sales</v>
      </c>
      <c r="F244">
        <v>2711.2</v>
      </c>
      <c r="G244" t="s">
        <v>916</v>
      </c>
      <c r="H244" s="1" t="str">
        <f t="shared" si="19"/>
        <v>Shipped</v>
      </c>
      <c r="I244" s="4" t="str">
        <f t="shared" si="20"/>
        <v>completed</v>
      </c>
      <c r="J244" t="s">
        <v>25</v>
      </c>
      <c r="K244">
        <v>3</v>
      </c>
      <c r="L244">
        <v>7</v>
      </c>
      <c r="M244">
        <v>2003</v>
      </c>
      <c r="N244" t="s">
        <v>26</v>
      </c>
      <c r="O244">
        <v>150</v>
      </c>
      <c r="P244" t="s">
        <v>506</v>
      </c>
      <c r="Q244" t="s">
        <v>45</v>
      </c>
      <c r="R244" t="s">
        <v>46</v>
      </c>
      <c r="S244" t="s">
        <v>47</v>
      </c>
      <c r="U244" s="1" t="str">
        <f t="shared" si="21"/>
        <v>Paris</v>
      </c>
      <c r="V244" t="s">
        <v>48</v>
      </c>
      <c r="X244">
        <v>75508</v>
      </c>
      <c r="Y244" s="1" t="str">
        <f t="shared" si="22"/>
        <v>FRANCE</v>
      </c>
      <c r="Z244" s="4" t="str">
        <f t="shared" si="23"/>
        <v>France</v>
      </c>
      <c r="AA244" t="s">
        <v>41</v>
      </c>
      <c r="AB244" t="s">
        <v>42</v>
      </c>
      <c r="AC244" t="s">
        <v>49</v>
      </c>
      <c r="AD244" t="s">
        <v>50</v>
      </c>
      <c r="AE244" t="s">
        <v>36</v>
      </c>
    </row>
    <row r="245" spans="1:31" x14ac:dyDescent="0.3">
      <c r="A245">
        <v>10145</v>
      </c>
      <c r="B245">
        <v>49</v>
      </c>
      <c r="C245">
        <v>100</v>
      </c>
      <c r="D245">
        <v>5</v>
      </c>
      <c r="E245" s="4" t="str">
        <f t="shared" si="18"/>
        <v>high sales</v>
      </c>
      <c r="F245">
        <v>8339.7999999999993</v>
      </c>
      <c r="G245" t="s">
        <v>917</v>
      </c>
      <c r="H245" s="1" t="str">
        <f t="shared" si="19"/>
        <v>Shipped</v>
      </c>
      <c r="I245" s="4" t="str">
        <f t="shared" si="20"/>
        <v>completed</v>
      </c>
      <c r="J245" t="s">
        <v>25</v>
      </c>
      <c r="K245">
        <v>3</v>
      </c>
      <c r="L245">
        <v>8</v>
      </c>
      <c r="M245">
        <v>2003</v>
      </c>
      <c r="N245" t="s">
        <v>26</v>
      </c>
      <c r="O245">
        <v>150</v>
      </c>
      <c r="P245" t="s">
        <v>506</v>
      </c>
      <c r="Q245" t="s">
        <v>52</v>
      </c>
      <c r="R245">
        <v>6265557265</v>
      </c>
      <c r="S245" t="s">
        <v>53</v>
      </c>
      <c r="U245" s="1" t="str">
        <f t="shared" si="21"/>
        <v>Pasadena</v>
      </c>
      <c r="V245" t="s">
        <v>54</v>
      </c>
      <c r="W245" t="s">
        <v>55</v>
      </c>
      <c r="X245">
        <v>90003</v>
      </c>
      <c r="Y245" s="1" t="str">
        <f t="shared" si="22"/>
        <v>USA</v>
      </c>
      <c r="Z245" s="4" t="str">
        <f t="shared" si="23"/>
        <v>Usa</v>
      </c>
      <c r="AA245" t="s">
        <v>32</v>
      </c>
      <c r="AB245" t="s">
        <v>33</v>
      </c>
      <c r="AC245" t="s">
        <v>56</v>
      </c>
      <c r="AD245" t="s">
        <v>57</v>
      </c>
      <c r="AE245" t="s">
        <v>151</v>
      </c>
    </row>
    <row r="246" spans="1:31" x14ac:dyDescent="0.3">
      <c r="A246">
        <v>10159</v>
      </c>
      <c r="B246">
        <v>38</v>
      </c>
      <c r="C246">
        <v>100</v>
      </c>
      <c r="D246">
        <v>13</v>
      </c>
      <c r="E246" s="4" t="str">
        <f t="shared" si="18"/>
        <v>high sales</v>
      </c>
      <c r="F246">
        <v>6238.84</v>
      </c>
      <c r="G246" t="s">
        <v>918</v>
      </c>
      <c r="H246" s="1" t="str">
        <f t="shared" si="19"/>
        <v>Shipped</v>
      </c>
      <c r="I246" s="4" t="str">
        <f t="shared" si="20"/>
        <v>completed</v>
      </c>
      <c r="J246" t="s">
        <v>25</v>
      </c>
      <c r="K246">
        <v>4</v>
      </c>
      <c r="L246">
        <v>10</v>
      </c>
      <c r="M246">
        <v>2003</v>
      </c>
      <c r="N246" t="s">
        <v>26</v>
      </c>
      <c r="O246">
        <v>150</v>
      </c>
      <c r="P246" t="s">
        <v>506</v>
      </c>
      <c r="Q246" t="s">
        <v>58</v>
      </c>
      <c r="R246">
        <v>6505551386</v>
      </c>
      <c r="S246" t="s">
        <v>59</v>
      </c>
      <c r="U246" s="1" t="str">
        <f t="shared" si="21"/>
        <v>San Francisco</v>
      </c>
      <c r="V246" t="s">
        <v>60</v>
      </c>
      <c r="W246" t="s">
        <v>55</v>
      </c>
      <c r="Y246" s="1" t="str">
        <f t="shared" si="22"/>
        <v>USA</v>
      </c>
      <c r="Z246" s="4" t="str">
        <f t="shared" si="23"/>
        <v>Usa</v>
      </c>
      <c r="AA246" t="s">
        <v>32</v>
      </c>
      <c r="AB246" t="s">
        <v>33</v>
      </c>
      <c r="AC246" t="s">
        <v>61</v>
      </c>
      <c r="AD246" t="s">
        <v>57</v>
      </c>
      <c r="AE246" t="s">
        <v>51</v>
      </c>
    </row>
    <row r="247" spans="1:31" x14ac:dyDescent="0.3">
      <c r="A247">
        <v>10169</v>
      </c>
      <c r="B247">
        <v>35</v>
      </c>
      <c r="C247">
        <v>100</v>
      </c>
      <c r="D247">
        <v>13</v>
      </c>
      <c r="E247" s="4" t="str">
        <f t="shared" si="18"/>
        <v>high sales</v>
      </c>
      <c r="F247">
        <v>4639.25</v>
      </c>
      <c r="G247" t="s">
        <v>919</v>
      </c>
      <c r="H247" s="1" t="str">
        <f t="shared" si="19"/>
        <v>Shipped</v>
      </c>
      <c r="I247" s="4" t="str">
        <f t="shared" si="20"/>
        <v>completed</v>
      </c>
      <c r="J247" t="s">
        <v>25</v>
      </c>
      <c r="K247">
        <v>4</v>
      </c>
      <c r="L247">
        <v>11</v>
      </c>
      <c r="M247">
        <v>2003</v>
      </c>
      <c r="N247" t="s">
        <v>26</v>
      </c>
      <c r="O247">
        <v>150</v>
      </c>
      <c r="P247" t="s">
        <v>506</v>
      </c>
      <c r="Q247" t="s">
        <v>285</v>
      </c>
      <c r="R247" t="s">
        <v>286</v>
      </c>
      <c r="S247" t="s">
        <v>287</v>
      </c>
      <c r="T247" t="s">
        <v>288</v>
      </c>
      <c r="U247" s="1" t="str">
        <f t="shared" si="21"/>
        <v>North Sydney</v>
      </c>
      <c r="V247" t="s">
        <v>289</v>
      </c>
      <c r="W247" t="s">
        <v>157</v>
      </c>
      <c r="X247">
        <v>2060</v>
      </c>
      <c r="Y247" s="1" t="str">
        <f t="shared" si="22"/>
        <v>AUSTRALIA</v>
      </c>
      <c r="Z247" s="4" t="str">
        <f t="shared" si="23"/>
        <v>Australia</v>
      </c>
      <c r="AA247" t="s">
        <v>95</v>
      </c>
      <c r="AB247" t="s">
        <v>96</v>
      </c>
      <c r="AC247" t="s">
        <v>290</v>
      </c>
      <c r="AD247" t="s">
        <v>291</v>
      </c>
      <c r="AE247" t="s">
        <v>51</v>
      </c>
    </row>
    <row r="248" spans="1:31" x14ac:dyDescent="0.3">
      <c r="A248">
        <v>10180</v>
      </c>
      <c r="B248">
        <v>40</v>
      </c>
      <c r="C248">
        <v>100</v>
      </c>
      <c r="D248">
        <v>8</v>
      </c>
      <c r="E248" s="4" t="str">
        <f t="shared" si="18"/>
        <v>high sales</v>
      </c>
      <c r="F248">
        <v>6747.6</v>
      </c>
      <c r="G248" t="s">
        <v>920</v>
      </c>
      <c r="H248" s="1" t="str">
        <f t="shared" si="19"/>
        <v>Shipped</v>
      </c>
      <c r="I248" s="4" t="str">
        <f t="shared" si="20"/>
        <v>completed</v>
      </c>
      <c r="J248" t="s">
        <v>25</v>
      </c>
      <c r="K248">
        <v>4</v>
      </c>
      <c r="L248">
        <v>11</v>
      </c>
      <c r="M248">
        <v>2003</v>
      </c>
      <c r="N248" t="s">
        <v>26</v>
      </c>
      <c r="O248">
        <v>150</v>
      </c>
      <c r="P248" t="s">
        <v>506</v>
      </c>
      <c r="Q248" t="s">
        <v>67</v>
      </c>
      <c r="R248" t="s">
        <v>68</v>
      </c>
      <c r="S248" t="s">
        <v>69</v>
      </c>
      <c r="U248" s="1" t="str">
        <f t="shared" si="21"/>
        <v>Lille</v>
      </c>
      <c r="V248" t="s">
        <v>70</v>
      </c>
      <c r="X248">
        <v>59000</v>
      </c>
      <c r="Y248" s="1" t="str">
        <f t="shared" si="22"/>
        <v>FRANCE</v>
      </c>
      <c r="Z248" s="4" t="str">
        <f t="shared" si="23"/>
        <v>France</v>
      </c>
      <c r="AA248" t="s">
        <v>41</v>
      </c>
      <c r="AB248" t="s">
        <v>42</v>
      </c>
      <c r="AC248" t="s">
        <v>71</v>
      </c>
      <c r="AD248" t="s">
        <v>72</v>
      </c>
      <c r="AE248" t="s">
        <v>51</v>
      </c>
    </row>
    <row r="249" spans="1:31" x14ac:dyDescent="0.3">
      <c r="A249">
        <v>10189</v>
      </c>
      <c r="B249">
        <v>28</v>
      </c>
      <c r="C249">
        <v>100</v>
      </c>
      <c r="D249">
        <v>1</v>
      </c>
      <c r="E249" s="4" t="str">
        <f t="shared" si="18"/>
        <v>high sales</v>
      </c>
      <c r="F249">
        <v>4512.4799999999996</v>
      </c>
      <c r="G249" t="s">
        <v>921</v>
      </c>
      <c r="H249" s="1" t="str">
        <f t="shared" si="19"/>
        <v>Shipped</v>
      </c>
      <c r="I249" s="4" t="str">
        <f t="shared" si="20"/>
        <v>completed</v>
      </c>
      <c r="J249" t="s">
        <v>25</v>
      </c>
      <c r="K249">
        <v>4</v>
      </c>
      <c r="L249">
        <v>11</v>
      </c>
      <c r="M249">
        <v>2003</v>
      </c>
      <c r="N249" t="s">
        <v>26</v>
      </c>
      <c r="O249">
        <v>150</v>
      </c>
      <c r="P249" t="s">
        <v>506</v>
      </c>
      <c r="Q249" t="s">
        <v>52</v>
      </c>
      <c r="R249">
        <v>6265557265</v>
      </c>
      <c r="S249" t="s">
        <v>53</v>
      </c>
      <c r="U249" s="1" t="str">
        <f t="shared" si="21"/>
        <v>Pasadena</v>
      </c>
      <c r="V249" t="s">
        <v>54</v>
      </c>
      <c r="W249" t="s">
        <v>55</v>
      </c>
      <c r="X249">
        <v>90003</v>
      </c>
      <c r="Y249" s="1" t="str">
        <f t="shared" si="22"/>
        <v>USA</v>
      </c>
      <c r="Z249" s="4" t="str">
        <f t="shared" si="23"/>
        <v>Usa</v>
      </c>
      <c r="AA249" t="s">
        <v>32</v>
      </c>
      <c r="AB249" t="s">
        <v>33</v>
      </c>
      <c r="AC249" t="s">
        <v>56</v>
      </c>
      <c r="AD249" t="s">
        <v>57</v>
      </c>
      <c r="AE249" t="s">
        <v>51</v>
      </c>
    </row>
    <row r="250" spans="1:31" x14ac:dyDescent="0.3">
      <c r="A250">
        <v>10201</v>
      </c>
      <c r="B250">
        <v>25</v>
      </c>
      <c r="C250">
        <v>100</v>
      </c>
      <c r="D250">
        <v>1</v>
      </c>
      <c r="E250" s="4" t="str">
        <f t="shared" si="18"/>
        <v>high sales</v>
      </c>
      <c r="F250">
        <v>4029</v>
      </c>
      <c r="G250" t="s">
        <v>922</v>
      </c>
      <c r="H250" s="1" t="str">
        <f t="shared" si="19"/>
        <v>Shipped</v>
      </c>
      <c r="I250" s="4" t="str">
        <f t="shared" si="20"/>
        <v>completed</v>
      </c>
      <c r="J250" t="s">
        <v>25</v>
      </c>
      <c r="K250">
        <v>4</v>
      </c>
      <c r="L250">
        <v>12</v>
      </c>
      <c r="M250">
        <v>2003</v>
      </c>
      <c r="N250" t="s">
        <v>26</v>
      </c>
      <c r="O250">
        <v>150</v>
      </c>
      <c r="P250" t="s">
        <v>506</v>
      </c>
      <c r="Q250" t="s">
        <v>81</v>
      </c>
      <c r="R250">
        <v>6505555787</v>
      </c>
      <c r="S250" t="s">
        <v>82</v>
      </c>
      <c r="U250" s="1" t="str">
        <f t="shared" si="21"/>
        <v>San Francisco</v>
      </c>
      <c r="V250" t="s">
        <v>60</v>
      </c>
      <c r="W250" t="s">
        <v>55</v>
      </c>
      <c r="Y250" s="1" t="str">
        <f t="shared" si="22"/>
        <v>USA</v>
      </c>
      <c r="Z250" s="4" t="str">
        <f t="shared" si="23"/>
        <v>Usa</v>
      </c>
      <c r="AA250" t="s">
        <v>32</v>
      </c>
      <c r="AB250" t="s">
        <v>33</v>
      </c>
      <c r="AC250" t="s">
        <v>83</v>
      </c>
      <c r="AD250" t="s">
        <v>57</v>
      </c>
      <c r="AE250" t="s">
        <v>51</v>
      </c>
    </row>
    <row r="251" spans="1:31" x14ac:dyDescent="0.3">
      <c r="A251">
        <v>10211</v>
      </c>
      <c r="B251">
        <v>36</v>
      </c>
      <c r="C251">
        <v>100</v>
      </c>
      <c r="D251">
        <v>13</v>
      </c>
      <c r="E251" s="4" t="str">
        <f t="shared" si="18"/>
        <v>high sales</v>
      </c>
      <c r="F251">
        <v>4771.8</v>
      </c>
      <c r="G251" t="s">
        <v>923</v>
      </c>
      <c r="H251" s="1" t="str">
        <f t="shared" si="19"/>
        <v>Shipped</v>
      </c>
      <c r="I251" s="4" t="str">
        <f t="shared" si="20"/>
        <v>completed</v>
      </c>
      <c r="J251" t="s">
        <v>25</v>
      </c>
      <c r="K251">
        <v>1</v>
      </c>
      <c r="L251">
        <v>1</v>
      </c>
      <c r="M251">
        <v>2004</v>
      </c>
      <c r="N251" t="s">
        <v>26</v>
      </c>
      <c r="O251">
        <v>150</v>
      </c>
      <c r="P251" t="s">
        <v>506</v>
      </c>
      <c r="Q251" t="s">
        <v>84</v>
      </c>
      <c r="R251" t="s">
        <v>85</v>
      </c>
      <c r="S251" t="s">
        <v>86</v>
      </c>
      <c r="U251" s="1" t="str">
        <f t="shared" si="21"/>
        <v>Paris</v>
      </c>
      <c r="V251" t="s">
        <v>48</v>
      </c>
      <c r="X251">
        <v>75016</v>
      </c>
      <c r="Y251" s="1" t="str">
        <f t="shared" si="22"/>
        <v>FRANCE</v>
      </c>
      <c r="Z251" s="4" t="str">
        <f t="shared" si="23"/>
        <v>France</v>
      </c>
      <c r="AA251" t="s">
        <v>41</v>
      </c>
      <c r="AB251" t="s">
        <v>42</v>
      </c>
      <c r="AC251" t="s">
        <v>87</v>
      </c>
      <c r="AD251" t="s">
        <v>88</v>
      </c>
      <c r="AE251" t="s">
        <v>51</v>
      </c>
    </row>
    <row r="252" spans="1:31" x14ac:dyDescent="0.3">
      <c r="A252">
        <v>10224</v>
      </c>
      <c r="B252">
        <v>43</v>
      </c>
      <c r="C252">
        <v>100</v>
      </c>
      <c r="D252">
        <v>6</v>
      </c>
      <c r="E252" s="4" t="str">
        <f t="shared" si="18"/>
        <v>high sales</v>
      </c>
      <c r="F252">
        <v>6087.94</v>
      </c>
      <c r="G252" t="s">
        <v>924</v>
      </c>
      <c r="H252" s="1" t="str">
        <f t="shared" si="19"/>
        <v>Shipped</v>
      </c>
      <c r="I252" s="4" t="str">
        <f t="shared" si="20"/>
        <v>completed</v>
      </c>
      <c r="J252" t="s">
        <v>25</v>
      </c>
      <c r="K252">
        <v>1</v>
      </c>
      <c r="L252">
        <v>2</v>
      </c>
      <c r="M252">
        <v>2004</v>
      </c>
      <c r="N252" t="s">
        <v>26</v>
      </c>
      <c r="O252">
        <v>150</v>
      </c>
      <c r="P252" t="s">
        <v>506</v>
      </c>
      <c r="Q252" t="s">
        <v>67</v>
      </c>
      <c r="R252" t="s">
        <v>68</v>
      </c>
      <c r="S252" t="s">
        <v>69</v>
      </c>
      <c r="U252" s="1" t="str">
        <f t="shared" si="21"/>
        <v>Lille</v>
      </c>
      <c r="V252" t="s">
        <v>70</v>
      </c>
      <c r="X252">
        <v>59000</v>
      </c>
      <c r="Y252" s="1" t="str">
        <f t="shared" si="22"/>
        <v>FRANCE</v>
      </c>
      <c r="Z252" s="4" t="str">
        <f t="shared" si="23"/>
        <v>France</v>
      </c>
      <c r="AA252" t="s">
        <v>41</v>
      </c>
      <c r="AB252" t="s">
        <v>42</v>
      </c>
      <c r="AC252" t="s">
        <v>71</v>
      </c>
      <c r="AD252" t="s">
        <v>72</v>
      </c>
      <c r="AE252" t="s">
        <v>51</v>
      </c>
    </row>
    <row r="253" spans="1:31" x14ac:dyDescent="0.3">
      <c r="A253">
        <v>10237</v>
      </c>
      <c r="B253">
        <v>32</v>
      </c>
      <c r="C253">
        <v>100</v>
      </c>
      <c r="D253">
        <v>6</v>
      </c>
      <c r="E253" s="4" t="str">
        <f t="shared" si="18"/>
        <v>high sales</v>
      </c>
      <c r="F253">
        <v>4193.28</v>
      </c>
      <c r="G253" t="s">
        <v>925</v>
      </c>
      <c r="H253" s="1" t="str">
        <f t="shared" si="19"/>
        <v>Shipped</v>
      </c>
      <c r="I253" s="4" t="str">
        <f t="shared" si="20"/>
        <v>completed</v>
      </c>
      <c r="J253" t="s">
        <v>25</v>
      </c>
      <c r="K253">
        <v>2</v>
      </c>
      <c r="L253">
        <v>4</v>
      </c>
      <c r="M253">
        <v>2004</v>
      </c>
      <c r="N253" t="s">
        <v>26</v>
      </c>
      <c r="O253">
        <v>150</v>
      </c>
      <c r="P253" t="s">
        <v>506</v>
      </c>
      <c r="Q253" t="s">
        <v>99</v>
      </c>
      <c r="R253">
        <v>2125551500</v>
      </c>
      <c r="S253" t="s">
        <v>100</v>
      </c>
      <c r="T253" t="s">
        <v>101</v>
      </c>
      <c r="U253" s="1" t="str">
        <f t="shared" si="21"/>
        <v>Nyc</v>
      </c>
      <c r="V253" t="s">
        <v>30</v>
      </c>
      <c r="W253" t="s">
        <v>31</v>
      </c>
      <c r="X253">
        <v>10022</v>
      </c>
      <c r="Y253" s="1" t="str">
        <f t="shared" si="22"/>
        <v>USA</v>
      </c>
      <c r="Z253" s="4" t="str">
        <f t="shared" si="23"/>
        <v>Usa</v>
      </c>
      <c r="AA253" t="s">
        <v>32</v>
      </c>
      <c r="AB253" t="s">
        <v>33</v>
      </c>
      <c r="AC253" t="s">
        <v>102</v>
      </c>
      <c r="AD253" t="s">
        <v>103</v>
      </c>
      <c r="AE253" t="s">
        <v>51</v>
      </c>
    </row>
    <row r="254" spans="1:31" x14ac:dyDescent="0.3">
      <c r="A254">
        <v>10251</v>
      </c>
      <c r="B254">
        <v>46</v>
      </c>
      <c r="C254">
        <v>100</v>
      </c>
      <c r="D254">
        <v>1</v>
      </c>
      <c r="E254" s="4" t="str">
        <f t="shared" si="18"/>
        <v>high sales</v>
      </c>
      <c r="F254">
        <v>7552.28</v>
      </c>
      <c r="G254" t="s">
        <v>926</v>
      </c>
      <c r="H254" s="1" t="str">
        <f t="shared" si="19"/>
        <v>Shipped</v>
      </c>
      <c r="I254" s="4" t="str">
        <f t="shared" si="20"/>
        <v>completed</v>
      </c>
      <c r="J254" t="s">
        <v>25</v>
      </c>
      <c r="K254">
        <v>2</v>
      </c>
      <c r="L254">
        <v>5</v>
      </c>
      <c r="M254">
        <v>2004</v>
      </c>
      <c r="N254" t="s">
        <v>26</v>
      </c>
      <c r="O254">
        <v>150</v>
      </c>
      <c r="P254" t="s">
        <v>506</v>
      </c>
      <c r="Q254" t="s">
        <v>104</v>
      </c>
      <c r="R254">
        <v>2015559350</v>
      </c>
      <c r="S254" t="s">
        <v>105</v>
      </c>
      <c r="U254" s="1" t="str">
        <f t="shared" si="21"/>
        <v>Newark</v>
      </c>
      <c r="V254" t="s">
        <v>106</v>
      </c>
      <c r="W254" t="s">
        <v>107</v>
      </c>
      <c r="X254">
        <v>94019</v>
      </c>
      <c r="Y254" s="1" t="str">
        <f t="shared" si="22"/>
        <v>USA</v>
      </c>
      <c r="Z254" s="4" t="str">
        <f t="shared" si="23"/>
        <v>Usa</v>
      </c>
      <c r="AA254" t="s">
        <v>32</v>
      </c>
      <c r="AB254" t="s">
        <v>33</v>
      </c>
      <c r="AC254" t="s">
        <v>61</v>
      </c>
      <c r="AD254" t="s">
        <v>108</v>
      </c>
      <c r="AE254" t="s">
        <v>151</v>
      </c>
    </row>
    <row r="255" spans="1:31" x14ac:dyDescent="0.3">
      <c r="A255">
        <v>10263</v>
      </c>
      <c r="B255">
        <v>48</v>
      </c>
      <c r="C255">
        <v>100</v>
      </c>
      <c r="D255">
        <v>1</v>
      </c>
      <c r="E255" s="4" t="str">
        <f t="shared" si="18"/>
        <v>high sales</v>
      </c>
      <c r="F255">
        <v>6434.4</v>
      </c>
      <c r="G255" t="s">
        <v>927</v>
      </c>
      <c r="H255" s="1" t="str">
        <f t="shared" si="19"/>
        <v>Shipped</v>
      </c>
      <c r="I255" s="4" t="str">
        <f t="shared" si="20"/>
        <v>completed</v>
      </c>
      <c r="J255" t="s">
        <v>25</v>
      </c>
      <c r="K255">
        <v>2</v>
      </c>
      <c r="L255">
        <v>6</v>
      </c>
      <c r="M255">
        <v>2004</v>
      </c>
      <c r="N255" t="s">
        <v>26</v>
      </c>
      <c r="O255">
        <v>150</v>
      </c>
      <c r="P255" t="s">
        <v>506</v>
      </c>
      <c r="Q255" t="s">
        <v>109</v>
      </c>
      <c r="R255">
        <v>2035552570</v>
      </c>
      <c r="S255" t="s">
        <v>110</v>
      </c>
      <c r="U255" s="1" t="str">
        <f t="shared" si="21"/>
        <v>Bridgewater</v>
      </c>
      <c r="V255" t="s">
        <v>111</v>
      </c>
      <c r="W255" t="s">
        <v>112</v>
      </c>
      <c r="X255">
        <v>97562</v>
      </c>
      <c r="Y255" s="1" t="str">
        <f t="shared" si="22"/>
        <v>USA</v>
      </c>
      <c r="Z255" s="4" t="str">
        <f t="shared" si="23"/>
        <v>Usa</v>
      </c>
      <c r="AA255" t="s">
        <v>32</v>
      </c>
      <c r="AB255" t="s">
        <v>33</v>
      </c>
      <c r="AC255" t="s">
        <v>113</v>
      </c>
      <c r="AD255" t="s">
        <v>57</v>
      </c>
      <c r="AE255" t="s">
        <v>51</v>
      </c>
    </row>
    <row r="256" spans="1:31" x14ac:dyDescent="0.3">
      <c r="A256">
        <v>10276</v>
      </c>
      <c r="B256">
        <v>43</v>
      </c>
      <c r="C256">
        <v>100</v>
      </c>
      <c r="D256">
        <v>14</v>
      </c>
      <c r="E256" s="4" t="str">
        <f t="shared" si="18"/>
        <v>high sales</v>
      </c>
      <c r="F256">
        <v>5181.5</v>
      </c>
      <c r="G256" t="s">
        <v>928</v>
      </c>
      <c r="H256" s="1" t="str">
        <f t="shared" si="19"/>
        <v>Shipped</v>
      </c>
      <c r="I256" s="4" t="str">
        <f t="shared" si="20"/>
        <v>completed</v>
      </c>
      <c r="J256" t="s">
        <v>25</v>
      </c>
      <c r="K256">
        <v>3</v>
      </c>
      <c r="L256">
        <v>8</v>
      </c>
      <c r="M256">
        <v>2004</v>
      </c>
      <c r="N256" t="s">
        <v>26</v>
      </c>
      <c r="O256">
        <v>150</v>
      </c>
      <c r="P256" t="s">
        <v>506</v>
      </c>
      <c r="Q256" t="s">
        <v>458</v>
      </c>
      <c r="R256">
        <v>6175557555</v>
      </c>
      <c r="S256" t="s">
        <v>459</v>
      </c>
      <c r="U256" s="1" t="str">
        <f t="shared" si="21"/>
        <v>Brickhaven</v>
      </c>
      <c r="V256" t="s">
        <v>283</v>
      </c>
      <c r="W256" t="s">
        <v>123</v>
      </c>
      <c r="X256">
        <v>58339</v>
      </c>
      <c r="Y256" s="1" t="str">
        <f t="shared" si="22"/>
        <v>USA</v>
      </c>
      <c r="Z256" s="4" t="str">
        <f t="shared" si="23"/>
        <v>Usa</v>
      </c>
      <c r="AA256" t="s">
        <v>32</v>
      </c>
      <c r="AB256" t="s">
        <v>33</v>
      </c>
      <c r="AC256" t="s">
        <v>460</v>
      </c>
      <c r="AD256" t="s">
        <v>461</v>
      </c>
      <c r="AE256" t="s">
        <v>51</v>
      </c>
    </row>
    <row r="257" spans="1:31" x14ac:dyDescent="0.3">
      <c r="A257">
        <v>10285</v>
      </c>
      <c r="B257">
        <v>49</v>
      </c>
      <c r="C257">
        <v>100</v>
      </c>
      <c r="D257">
        <v>5</v>
      </c>
      <c r="E257" s="4" t="str">
        <f t="shared" si="18"/>
        <v>high sales</v>
      </c>
      <c r="F257">
        <v>6863.92</v>
      </c>
      <c r="G257" t="s">
        <v>929</v>
      </c>
      <c r="H257" s="1" t="str">
        <f t="shared" si="19"/>
        <v>Shipped</v>
      </c>
      <c r="I257" s="4" t="str">
        <f t="shared" si="20"/>
        <v>completed</v>
      </c>
      <c r="J257" t="s">
        <v>25</v>
      </c>
      <c r="K257">
        <v>3</v>
      </c>
      <c r="L257">
        <v>8</v>
      </c>
      <c r="M257">
        <v>2004</v>
      </c>
      <c r="N257" t="s">
        <v>26</v>
      </c>
      <c r="O257">
        <v>150</v>
      </c>
      <c r="P257" t="s">
        <v>506</v>
      </c>
      <c r="Q257" t="s">
        <v>120</v>
      </c>
      <c r="R257">
        <v>6175558555</v>
      </c>
      <c r="S257" t="s">
        <v>121</v>
      </c>
      <c r="U257" s="1" t="str">
        <f t="shared" si="21"/>
        <v>Cambridge</v>
      </c>
      <c r="V257" t="s">
        <v>122</v>
      </c>
      <c r="W257" t="s">
        <v>123</v>
      </c>
      <c r="X257">
        <v>51247</v>
      </c>
      <c r="Y257" s="1" t="str">
        <f t="shared" si="22"/>
        <v>USA</v>
      </c>
      <c r="Z257" s="4" t="str">
        <f t="shared" si="23"/>
        <v>Usa</v>
      </c>
      <c r="AA257" t="s">
        <v>32</v>
      </c>
      <c r="AB257" t="s">
        <v>33</v>
      </c>
      <c r="AC257" t="s">
        <v>124</v>
      </c>
      <c r="AD257" t="s">
        <v>125</v>
      </c>
      <c r="AE257" t="s">
        <v>51</v>
      </c>
    </row>
    <row r="258" spans="1:31" x14ac:dyDescent="0.3">
      <c r="A258">
        <v>10299</v>
      </c>
      <c r="B258">
        <v>24</v>
      </c>
      <c r="C258">
        <v>100</v>
      </c>
      <c r="D258">
        <v>8</v>
      </c>
      <c r="E258" s="4" t="str">
        <f t="shared" si="18"/>
        <v>high sales</v>
      </c>
      <c r="F258">
        <v>4157.04</v>
      </c>
      <c r="G258" t="s">
        <v>930</v>
      </c>
      <c r="H258" s="1" t="str">
        <f t="shared" si="19"/>
        <v>Shipped</v>
      </c>
      <c r="I258" s="4" t="str">
        <f t="shared" si="20"/>
        <v>completed</v>
      </c>
      <c r="J258" t="s">
        <v>25</v>
      </c>
      <c r="K258">
        <v>3</v>
      </c>
      <c r="L258">
        <v>9</v>
      </c>
      <c r="M258">
        <v>2004</v>
      </c>
      <c r="N258" t="s">
        <v>26</v>
      </c>
      <c r="O258">
        <v>150</v>
      </c>
      <c r="P258" t="s">
        <v>506</v>
      </c>
      <c r="Q258" t="s">
        <v>126</v>
      </c>
      <c r="R258" t="s">
        <v>127</v>
      </c>
      <c r="S258" t="s">
        <v>128</v>
      </c>
      <c r="U258" s="1" t="str">
        <f t="shared" si="21"/>
        <v>Helsinki</v>
      </c>
      <c r="V258" t="s">
        <v>129</v>
      </c>
      <c r="X258">
        <v>21240</v>
      </c>
      <c r="Y258" s="1" t="str">
        <f t="shared" si="22"/>
        <v>FINLAND</v>
      </c>
      <c r="Z258" s="4" t="str">
        <f t="shared" si="23"/>
        <v>Finland</v>
      </c>
      <c r="AA258" t="s">
        <v>130</v>
      </c>
      <c r="AB258" t="s">
        <v>42</v>
      </c>
      <c r="AC258" t="s">
        <v>131</v>
      </c>
      <c r="AD258" t="s">
        <v>132</v>
      </c>
      <c r="AE258" t="s">
        <v>51</v>
      </c>
    </row>
    <row r="259" spans="1:31" x14ac:dyDescent="0.3">
      <c r="A259">
        <v>10309</v>
      </c>
      <c r="B259">
        <v>26</v>
      </c>
      <c r="C259">
        <v>100</v>
      </c>
      <c r="D259">
        <v>4</v>
      </c>
      <c r="E259" s="4" t="str">
        <f t="shared" ref="E259:E322" si="24">IF(F259&gt;4000,"high sales","low sales")</f>
        <v>high sales</v>
      </c>
      <c r="F259">
        <v>4660.24</v>
      </c>
      <c r="G259" t="s">
        <v>931</v>
      </c>
      <c r="H259" s="1" t="str">
        <f t="shared" ref="H259:H322" si="25">PROPER(TRIM(J259))</f>
        <v>Shipped</v>
      </c>
      <c r="I259" s="4" t="str">
        <f t="shared" ref="I259:I322" si="26">IF(J259="shipped","completed","not completed")</f>
        <v>completed</v>
      </c>
      <c r="J259" t="s">
        <v>25</v>
      </c>
      <c r="K259">
        <v>4</v>
      </c>
      <c r="L259">
        <v>10</v>
      </c>
      <c r="M259">
        <v>2004</v>
      </c>
      <c r="N259" t="s">
        <v>26</v>
      </c>
      <c r="O259">
        <v>150</v>
      </c>
      <c r="P259" t="s">
        <v>506</v>
      </c>
      <c r="Q259" t="s">
        <v>133</v>
      </c>
      <c r="R259" t="s">
        <v>134</v>
      </c>
      <c r="S259" t="s">
        <v>135</v>
      </c>
      <c r="U259" s="1" t="str">
        <f t="shared" ref="U259:U322" si="27">PROPER(TRIM(V259))</f>
        <v>Stavern</v>
      </c>
      <c r="V259" t="s">
        <v>136</v>
      </c>
      <c r="X259">
        <v>4110</v>
      </c>
      <c r="Y259" s="1" t="str">
        <f t="shared" ref="Y259:Y322" si="28">UPPER(TRIM(AA259))</f>
        <v>NORWAY</v>
      </c>
      <c r="Z259" s="4" t="str">
        <f t="shared" ref="Z259:Z322" si="29">PROPER(TRIM(AA259))</f>
        <v>Norway</v>
      </c>
      <c r="AA259" t="s">
        <v>78</v>
      </c>
      <c r="AB259" t="s">
        <v>42</v>
      </c>
      <c r="AC259" t="s">
        <v>137</v>
      </c>
      <c r="AD259" t="s">
        <v>138</v>
      </c>
      <c r="AE259" t="s">
        <v>51</v>
      </c>
    </row>
    <row r="260" spans="1:31" x14ac:dyDescent="0.3">
      <c r="A260">
        <v>10319</v>
      </c>
      <c r="B260">
        <v>30</v>
      </c>
      <c r="C260">
        <v>100</v>
      </c>
      <c r="D260">
        <v>9</v>
      </c>
      <c r="E260" s="4" t="str">
        <f t="shared" si="24"/>
        <v>high sales</v>
      </c>
      <c r="F260">
        <v>4111.8</v>
      </c>
      <c r="G260" t="s">
        <v>932</v>
      </c>
      <c r="H260" s="1" t="str">
        <f t="shared" si="25"/>
        <v>Shipped</v>
      </c>
      <c r="I260" s="4" t="str">
        <f t="shared" si="26"/>
        <v>completed</v>
      </c>
      <c r="J260" t="s">
        <v>25</v>
      </c>
      <c r="K260">
        <v>4</v>
      </c>
      <c r="L260">
        <v>11</v>
      </c>
      <c r="M260">
        <v>2004</v>
      </c>
      <c r="N260" t="s">
        <v>26</v>
      </c>
      <c r="O260">
        <v>150</v>
      </c>
      <c r="P260" t="s">
        <v>506</v>
      </c>
      <c r="Q260" t="s">
        <v>507</v>
      </c>
      <c r="R260">
        <v>2125551957</v>
      </c>
      <c r="S260" t="s">
        <v>508</v>
      </c>
      <c r="T260" t="s">
        <v>509</v>
      </c>
      <c r="U260" s="1" t="str">
        <f t="shared" si="27"/>
        <v>Nyc</v>
      </c>
      <c r="V260" t="s">
        <v>30</v>
      </c>
      <c r="W260" t="s">
        <v>31</v>
      </c>
      <c r="X260">
        <v>10022</v>
      </c>
      <c r="Y260" s="1" t="str">
        <f t="shared" si="28"/>
        <v>USA</v>
      </c>
      <c r="Z260" s="4" t="str">
        <f t="shared" si="29"/>
        <v>Usa</v>
      </c>
      <c r="AA260" t="s">
        <v>32</v>
      </c>
      <c r="AB260" t="s">
        <v>33</v>
      </c>
      <c r="AC260" t="s">
        <v>510</v>
      </c>
      <c r="AD260" t="s">
        <v>511</v>
      </c>
      <c r="AE260" t="s">
        <v>51</v>
      </c>
    </row>
    <row r="261" spans="1:31" x14ac:dyDescent="0.3">
      <c r="A261">
        <v>10329</v>
      </c>
      <c r="B261">
        <v>24</v>
      </c>
      <c r="C261">
        <v>100</v>
      </c>
      <c r="D261">
        <v>6</v>
      </c>
      <c r="E261" s="4" t="str">
        <f t="shared" si="24"/>
        <v>low sales</v>
      </c>
      <c r="F261">
        <v>3542.64</v>
      </c>
      <c r="G261" t="s">
        <v>933</v>
      </c>
      <c r="H261" s="1" t="str">
        <f t="shared" si="25"/>
        <v>Shipped</v>
      </c>
      <c r="I261" s="4" t="str">
        <f t="shared" si="26"/>
        <v>completed</v>
      </c>
      <c r="J261" t="s">
        <v>25</v>
      </c>
      <c r="K261">
        <v>4</v>
      </c>
      <c r="L261">
        <v>11</v>
      </c>
      <c r="M261">
        <v>2004</v>
      </c>
      <c r="N261" t="s">
        <v>26</v>
      </c>
      <c r="O261">
        <v>150</v>
      </c>
      <c r="P261" t="s">
        <v>506</v>
      </c>
      <c r="Q261" t="s">
        <v>28</v>
      </c>
      <c r="R261">
        <v>2125557818</v>
      </c>
      <c r="S261" t="s">
        <v>29</v>
      </c>
      <c r="U261" s="1" t="str">
        <f t="shared" si="27"/>
        <v>Nyc</v>
      </c>
      <c r="V261" t="s">
        <v>30</v>
      </c>
      <c r="W261" t="s">
        <v>31</v>
      </c>
      <c r="X261">
        <v>10022</v>
      </c>
      <c r="Y261" s="1" t="str">
        <f t="shared" si="28"/>
        <v>USA</v>
      </c>
      <c r="Z261" s="4" t="str">
        <f t="shared" si="29"/>
        <v>Usa</v>
      </c>
      <c r="AA261" t="s">
        <v>32</v>
      </c>
      <c r="AB261" t="s">
        <v>33</v>
      </c>
      <c r="AC261" t="s">
        <v>34</v>
      </c>
      <c r="AD261" t="s">
        <v>35</v>
      </c>
      <c r="AE261" t="s">
        <v>51</v>
      </c>
    </row>
    <row r="262" spans="1:31" x14ac:dyDescent="0.3">
      <c r="A262">
        <v>10341</v>
      </c>
      <c r="B262">
        <v>55</v>
      </c>
      <c r="C262">
        <v>100</v>
      </c>
      <c r="D262">
        <v>8</v>
      </c>
      <c r="E262" s="4" t="str">
        <f t="shared" si="24"/>
        <v>high sales</v>
      </c>
      <c r="F262">
        <v>8118.55</v>
      </c>
      <c r="G262" t="s">
        <v>934</v>
      </c>
      <c r="H262" s="1" t="str">
        <f t="shared" si="25"/>
        <v>Shipped</v>
      </c>
      <c r="I262" s="4" t="str">
        <f t="shared" si="26"/>
        <v>completed</v>
      </c>
      <c r="J262" t="s">
        <v>25</v>
      </c>
      <c r="K262">
        <v>4</v>
      </c>
      <c r="L262">
        <v>11</v>
      </c>
      <c r="M262">
        <v>2004</v>
      </c>
      <c r="N262" t="s">
        <v>26</v>
      </c>
      <c r="O262">
        <v>150</v>
      </c>
      <c r="P262" t="s">
        <v>506</v>
      </c>
      <c r="Q262" t="s">
        <v>144</v>
      </c>
      <c r="R262" t="s">
        <v>145</v>
      </c>
      <c r="S262" t="s">
        <v>146</v>
      </c>
      <c r="U262" s="1" t="str">
        <f t="shared" si="27"/>
        <v>Salzburg</v>
      </c>
      <c r="V262" t="s">
        <v>147</v>
      </c>
      <c r="X262">
        <v>5020</v>
      </c>
      <c r="Y262" s="1" t="str">
        <f t="shared" si="28"/>
        <v>AUSTRIA</v>
      </c>
      <c r="Z262" s="4" t="str">
        <f t="shared" si="29"/>
        <v>Austria</v>
      </c>
      <c r="AA262" t="s">
        <v>148</v>
      </c>
      <c r="AB262" t="s">
        <v>42</v>
      </c>
      <c r="AC262" t="s">
        <v>149</v>
      </c>
      <c r="AD262" t="s">
        <v>150</v>
      </c>
      <c r="AE262" t="s">
        <v>151</v>
      </c>
    </row>
    <row r="263" spans="1:31" x14ac:dyDescent="0.3">
      <c r="A263">
        <v>10362</v>
      </c>
      <c r="B263">
        <v>22</v>
      </c>
      <c r="C263">
        <v>100</v>
      </c>
      <c r="D263">
        <v>1</v>
      </c>
      <c r="E263" s="4" t="str">
        <f t="shared" si="24"/>
        <v>low sales</v>
      </c>
      <c r="F263">
        <v>3877.06</v>
      </c>
      <c r="G263" t="s">
        <v>935</v>
      </c>
      <c r="H263" s="1" t="str">
        <f t="shared" si="25"/>
        <v>Shipped</v>
      </c>
      <c r="I263" s="4" t="str">
        <f t="shared" si="26"/>
        <v>completed</v>
      </c>
      <c r="J263" t="s">
        <v>25</v>
      </c>
      <c r="K263">
        <v>1</v>
      </c>
      <c r="L263">
        <v>1</v>
      </c>
      <c r="M263">
        <v>2005</v>
      </c>
      <c r="N263" t="s">
        <v>26</v>
      </c>
      <c r="O263">
        <v>150</v>
      </c>
      <c r="P263" t="s">
        <v>506</v>
      </c>
      <c r="Q263" t="s">
        <v>62</v>
      </c>
      <c r="R263">
        <v>6505556809</v>
      </c>
      <c r="S263" t="s">
        <v>63</v>
      </c>
      <c r="U263" s="1" t="str">
        <f t="shared" si="27"/>
        <v>Burlingame</v>
      </c>
      <c r="V263" t="s">
        <v>64</v>
      </c>
      <c r="W263" t="s">
        <v>55</v>
      </c>
      <c r="X263">
        <v>94217</v>
      </c>
      <c r="Y263" s="1" t="str">
        <f t="shared" si="28"/>
        <v>USA</v>
      </c>
      <c r="Z263" s="4" t="str">
        <f t="shared" si="29"/>
        <v>Usa</v>
      </c>
      <c r="AA263" t="s">
        <v>32</v>
      </c>
      <c r="AB263" t="s">
        <v>33</v>
      </c>
      <c r="AC263" t="s">
        <v>65</v>
      </c>
      <c r="AD263" t="s">
        <v>66</v>
      </c>
      <c r="AE263" t="s">
        <v>51</v>
      </c>
    </row>
    <row r="264" spans="1:31" x14ac:dyDescent="0.3">
      <c r="A264">
        <v>10375</v>
      </c>
      <c r="B264">
        <v>49</v>
      </c>
      <c r="C264">
        <v>78.92</v>
      </c>
      <c r="D264">
        <v>13</v>
      </c>
      <c r="E264" s="4" t="str">
        <f t="shared" si="24"/>
        <v>low sales</v>
      </c>
      <c r="F264">
        <v>3867.08</v>
      </c>
      <c r="G264" t="s">
        <v>936</v>
      </c>
      <c r="H264" s="1" t="str">
        <f t="shared" si="25"/>
        <v>Shipped</v>
      </c>
      <c r="I264" s="4" t="str">
        <f t="shared" si="26"/>
        <v>completed</v>
      </c>
      <c r="J264" t="s">
        <v>25</v>
      </c>
      <c r="K264">
        <v>1</v>
      </c>
      <c r="L264">
        <v>2</v>
      </c>
      <c r="M264">
        <v>2005</v>
      </c>
      <c r="N264" t="s">
        <v>26</v>
      </c>
      <c r="O264">
        <v>150</v>
      </c>
      <c r="P264" t="s">
        <v>506</v>
      </c>
      <c r="Q264" t="s">
        <v>114</v>
      </c>
      <c r="R264" t="s">
        <v>115</v>
      </c>
      <c r="S264" t="s">
        <v>116</v>
      </c>
      <c r="U264" s="1" t="str">
        <f t="shared" si="27"/>
        <v>Nantes</v>
      </c>
      <c r="V264" t="s">
        <v>117</v>
      </c>
      <c r="X264">
        <v>44000</v>
      </c>
      <c r="Y264" s="1" t="str">
        <f t="shared" si="28"/>
        <v>FRANCE</v>
      </c>
      <c r="Z264" s="4" t="str">
        <f t="shared" si="29"/>
        <v>France</v>
      </c>
      <c r="AA264" t="s">
        <v>41</v>
      </c>
      <c r="AB264" t="s">
        <v>42</v>
      </c>
      <c r="AC264" t="s">
        <v>118</v>
      </c>
      <c r="AD264" t="s">
        <v>119</v>
      </c>
      <c r="AE264" t="s">
        <v>51</v>
      </c>
    </row>
    <row r="265" spans="1:31" x14ac:dyDescent="0.3">
      <c r="A265">
        <v>10388</v>
      </c>
      <c r="B265">
        <v>44</v>
      </c>
      <c r="C265">
        <v>100</v>
      </c>
      <c r="D265">
        <v>6</v>
      </c>
      <c r="E265" s="4" t="str">
        <f t="shared" si="24"/>
        <v>high sales</v>
      </c>
      <c r="F265">
        <v>5951.44</v>
      </c>
      <c r="G265" t="s">
        <v>937</v>
      </c>
      <c r="H265" s="1" t="str">
        <f t="shared" si="25"/>
        <v>Shipped</v>
      </c>
      <c r="I265" s="4" t="str">
        <f t="shared" si="26"/>
        <v>completed</v>
      </c>
      <c r="J265" t="s">
        <v>25</v>
      </c>
      <c r="K265">
        <v>1</v>
      </c>
      <c r="L265">
        <v>3</v>
      </c>
      <c r="M265">
        <v>2005</v>
      </c>
      <c r="N265" t="s">
        <v>26</v>
      </c>
      <c r="O265">
        <v>150</v>
      </c>
      <c r="P265" t="s">
        <v>506</v>
      </c>
      <c r="Q265" t="s">
        <v>160</v>
      </c>
      <c r="R265">
        <v>5085552555</v>
      </c>
      <c r="S265" t="s">
        <v>161</v>
      </c>
      <c r="U265" s="1" t="str">
        <f t="shared" si="27"/>
        <v>New Bedford</v>
      </c>
      <c r="V265" t="s">
        <v>162</v>
      </c>
      <c r="W265" t="s">
        <v>123</v>
      </c>
      <c r="X265">
        <v>50553</v>
      </c>
      <c r="Y265" s="1" t="str">
        <f t="shared" si="28"/>
        <v>USA</v>
      </c>
      <c r="Z265" s="4" t="str">
        <f t="shared" si="29"/>
        <v>Usa</v>
      </c>
      <c r="AA265" t="s">
        <v>32</v>
      </c>
      <c r="AB265" t="s">
        <v>33</v>
      </c>
      <c r="AC265" t="s">
        <v>163</v>
      </c>
      <c r="AD265" t="s">
        <v>164</v>
      </c>
      <c r="AE265" t="s">
        <v>51</v>
      </c>
    </row>
    <row r="266" spans="1:31" x14ac:dyDescent="0.3">
      <c r="A266">
        <v>10403</v>
      </c>
      <c r="B266">
        <v>66</v>
      </c>
      <c r="C266">
        <v>100</v>
      </c>
      <c r="D266">
        <v>6</v>
      </c>
      <c r="E266" s="4" t="str">
        <f t="shared" si="24"/>
        <v>high sales</v>
      </c>
      <c r="F266">
        <v>8648.64</v>
      </c>
      <c r="G266" t="s">
        <v>938</v>
      </c>
      <c r="H266" s="1" t="str">
        <f t="shared" si="25"/>
        <v>Shipped</v>
      </c>
      <c r="I266" s="4" t="str">
        <f t="shared" si="26"/>
        <v>completed</v>
      </c>
      <c r="J266" t="s">
        <v>25</v>
      </c>
      <c r="K266">
        <v>2</v>
      </c>
      <c r="L266">
        <v>4</v>
      </c>
      <c r="M266">
        <v>2005</v>
      </c>
      <c r="N266" t="s">
        <v>26</v>
      </c>
      <c r="O266">
        <v>150</v>
      </c>
      <c r="P266" t="s">
        <v>506</v>
      </c>
      <c r="Q266" t="s">
        <v>165</v>
      </c>
      <c r="R266" t="s">
        <v>166</v>
      </c>
      <c r="S266" t="s">
        <v>167</v>
      </c>
      <c r="U266" s="1" t="str">
        <f t="shared" si="27"/>
        <v>Liverpool</v>
      </c>
      <c r="V266" t="s">
        <v>168</v>
      </c>
      <c r="X266" t="s">
        <v>169</v>
      </c>
      <c r="Y266" s="1" t="str">
        <f t="shared" si="28"/>
        <v>UK</v>
      </c>
      <c r="Z266" s="4" t="str">
        <f t="shared" si="29"/>
        <v>Uk</v>
      </c>
      <c r="AA266" t="s">
        <v>170</v>
      </c>
      <c r="AB266" t="s">
        <v>42</v>
      </c>
      <c r="AC266" t="s">
        <v>171</v>
      </c>
      <c r="AD266" t="s">
        <v>172</v>
      </c>
      <c r="AE266" t="s">
        <v>151</v>
      </c>
    </row>
    <row r="267" spans="1:31" x14ac:dyDescent="0.3">
      <c r="A267">
        <v>10417</v>
      </c>
      <c r="B267">
        <v>21</v>
      </c>
      <c r="C267">
        <v>100</v>
      </c>
      <c r="D267">
        <v>1</v>
      </c>
      <c r="E267" s="4" t="str">
        <f t="shared" si="24"/>
        <v>low sales</v>
      </c>
      <c r="F267">
        <v>3447.78</v>
      </c>
      <c r="G267" t="s">
        <v>939</v>
      </c>
      <c r="H267" s="1" t="str">
        <f t="shared" si="25"/>
        <v>Disputed</v>
      </c>
      <c r="I267" s="4" t="str">
        <f t="shared" si="26"/>
        <v>not completed</v>
      </c>
      <c r="J267" t="s">
        <v>173</v>
      </c>
      <c r="K267">
        <v>2</v>
      </c>
      <c r="L267">
        <v>5</v>
      </c>
      <c r="M267">
        <v>2005</v>
      </c>
      <c r="N267" t="s">
        <v>26</v>
      </c>
      <c r="O267">
        <v>150</v>
      </c>
      <c r="P267" t="s">
        <v>506</v>
      </c>
      <c r="Q267" t="s">
        <v>174</v>
      </c>
      <c r="R267" t="s">
        <v>175</v>
      </c>
      <c r="S267" t="s">
        <v>176</v>
      </c>
      <c r="U267" s="1" t="str">
        <f t="shared" si="27"/>
        <v>Madrid</v>
      </c>
      <c r="V267" t="s">
        <v>177</v>
      </c>
      <c r="X267">
        <v>28034</v>
      </c>
      <c r="Y267" s="1" t="str">
        <f t="shared" si="28"/>
        <v>SPAIN</v>
      </c>
      <c r="Z267" s="4" t="str">
        <f t="shared" si="29"/>
        <v>Spain</v>
      </c>
      <c r="AA267" t="s">
        <v>178</v>
      </c>
      <c r="AB267" t="s">
        <v>42</v>
      </c>
      <c r="AC267" t="s">
        <v>179</v>
      </c>
      <c r="AD267" t="s">
        <v>180</v>
      </c>
      <c r="AE267" t="s">
        <v>51</v>
      </c>
    </row>
    <row r="268" spans="1:31" x14ac:dyDescent="0.3">
      <c r="A268">
        <v>10104</v>
      </c>
      <c r="B268">
        <v>34</v>
      </c>
      <c r="C268">
        <v>100</v>
      </c>
      <c r="D268">
        <v>1</v>
      </c>
      <c r="E268" s="4" t="str">
        <f t="shared" si="24"/>
        <v>high sales</v>
      </c>
      <c r="F268">
        <v>5958.5</v>
      </c>
      <c r="G268" t="s">
        <v>940</v>
      </c>
      <c r="H268" s="1" t="str">
        <f t="shared" si="25"/>
        <v>Shipped</v>
      </c>
      <c r="I268" s="4" t="str">
        <f t="shared" si="26"/>
        <v>completed</v>
      </c>
      <c r="J268" t="s">
        <v>25</v>
      </c>
      <c r="K268">
        <v>1</v>
      </c>
      <c r="L268">
        <v>1</v>
      </c>
      <c r="M268">
        <v>2003</v>
      </c>
      <c r="N268" t="s">
        <v>181</v>
      </c>
      <c r="O268">
        <v>151</v>
      </c>
      <c r="P268" t="s">
        <v>512</v>
      </c>
      <c r="Q268" t="s">
        <v>174</v>
      </c>
      <c r="R268" t="s">
        <v>175</v>
      </c>
      <c r="S268" t="s">
        <v>176</v>
      </c>
      <c r="U268" s="1" t="str">
        <f t="shared" si="27"/>
        <v>Madrid</v>
      </c>
      <c r="V268" t="s">
        <v>177</v>
      </c>
      <c r="X268">
        <v>28034</v>
      </c>
      <c r="Y268" s="1" t="str">
        <f t="shared" si="28"/>
        <v>SPAIN</v>
      </c>
      <c r="Z268" s="4" t="str">
        <f t="shared" si="29"/>
        <v>Spain</v>
      </c>
      <c r="AA268" t="s">
        <v>178</v>
      </c>
      <c r="AB268" t="s">
        <v>42</v>
      </c>
      <c r="AC268" t="s">
        <v>179</v>
      </c>
      <c r="AD268" t="s">
        <v>180</v>
      </c>
      <c r="AE268" t="s">
        <v>51</v>
      </c>
    </row>
    <row r="269" spans="1:31" x14ac:dyDescent="0.3">
      <c r="A269">
        <v>10117</v>
      </c>
      <c r="B269">
        <v>43</v>
      </c>
      <c r="C269">
        <v>100</v>
      </c>
      <c r="D269">
        <v>10</v>
      </c>
      <c r="E269" s="4" t="str">
        <f t="shared" si="24"/>
        <v>high sales</v>
      </c>
      <c r="F269">
        <v>5911.64</v>
      </c>
      <c r="G269" t="s">
        <v>941</v>
      </c>
      <c r="H269" s="1" t="str">
        <f t="shared" si="25"/>
        <v>Shipped</v>
      </c>
      <c r="I269" s="4" t="str">
        <f t="shared" si="26"/>
        <v>completed</v>
      </c>
      <c r="J269" t="s">
        <v>25</v>
      </c>
      <c r="K269">
        <v>2</v>
      </c>
      <c r="L269">
        <v>4</v>
      </c>
      <c r="M269">
        <v>2003</v>
      </c>
      <c r="N269" t="s">
        <v>181</v>
      </c>
      <c r="O269">
        <v>151</v>
      </c>
      <c r="P269" t="s">
        <v>512</v>
      </c>
      <c r="Q269" t="s">
        <v>196</v>
      </c>
      <c r="R269" t="s">
        <v>197</v>
      </c>
      <c r="S269" t="s">
        <v>198</v>
      </c>
      <c r="U269" s="1" t="str">
        <f t="shared" si="27"/>
        <v>Singapore</v>
      </c>
      <c r="V269" t="s">
        <v>199</v>
      </c>
      <c r="X269">
        <v>79903</v>
      </c>
      <c r="Y269" s="1" t="str">
        <f t="shared" si="28"/>
        <v>SINGAPORE</v>
      </c>
      <c r="Z269" s="4" t="str">
        <f t="shared" si="29"/>
        <v>Singapore</v>
      </c>
      <c r="AA269" t="s">
        <v>199</v>
      </c>
      <c r="AB269" t="s">
        <v>200</v>
      </c>
      <c r="AC269" t="s">
        <v>201</v>
      </c>
      <c r="AD269" t="s">
        <v>202</v>
      </c>
      <c r="AE269" t="s">
        <v>51</v>
      </c>
    </row>
    <row r="270" spans="1:31" x14ac:dyDescent="0.3">
      <c r="A270">
        <v>10127</v>
      </c>
      <c r="B270">
        <v>46</v>
      </c>
      <c r="C270">
        <v>100</v>
      </c>
      <c r="D270">
        <v>3</v>
      </c>
      <c r="E270" s="4" t="str">
        <f t="shared" si="24"/>
        <v>high sales</v>
      </c>
      <c r="F270">
        <v>7366.44</v>
      </c>
      <c r="G270" t="s">
        <v>942</v>
      </c>
      <c r="H270" s="1" t="str">
        <f t="shared" si="25"/>
        <v>Shipped</v>
      </c>
      <c r="I270" s="4" t="str">
        <f t="shared" si="26"/>
        <v>completed</v>
      </c>
      <c r="J270" t="s">
        <v>25</v>
      </c>
      <c r="K270">
        <v>2</v>
      </c>
      <c r="L270">
        <v>6</v>
      </c>
      <c r="M270">
        <v>2003</v>
      </c>
      <c r="N270" t="s">
        <v>181</v>
      </c>
      <c r="O270">
        <v>151</v>
      </c>
      <c r="P270" t="s">
        <v>512</v>
      </c>
      <c r="Q270" t="s">
        <v>475</v>
      </c>
      <c r="R270">
        <v>2125557413</v>
      </c>
      <c r="S270" t="s">
        <v>476</v>
      </c>
      <c r="T270" t="s">
        <v>477</v>
      </c>
      <c r="U270" s="1" t="str">
        <f t="shared" si="27"/>
        <v>Nyc</v>
      </c>
      <c r="V270" t="s">
        <v>30</v>
      </c>
      <c r="W270" t="s">
        <v>31</v>
      </c>
      <c r="X270">
        <v>10022</v>
      </c>
      <c r="Y270" s="1" t="str">
        <f t="shared" si="28"/>
        <v>USA</v>
      </c>
      <c r="Z270" s="4" t="str">
        <f t="shared" si="29"/>
        <v>Usa</v>
      </c>
      <c r="AA270" t="s">
        <v>32</v>
      </c>
      <c r="AB270" t="s">
        <v>33</v>
      </c>
      <c r="AC270" t="s">
        <v>56</v>
      </c>
      <c r="AD270" t="s">
        <v>478</v>
      </c>
      <c r="AE270" t="s">
        <v>151</v>
      </c>
    </row>
    <row r="271" spans="1:31" x14ac:dyDescent="0.3">
      <c r="A271">
        <v>10142</v>
      </c>
      <c r="B271">
        <v>33</v>
      </c>
      <c r="C271">
        <v>100</v>
      </c>
      <c r="D271">
        <v>13</v>
      </c>
      <c r="E271" s="4" t="str">
        <f t="shared" si="24"/>
        <v>high sales</v>
      </c>
      <c r="F271">
        <v>4985.6400000000003</v>
      </c>
      <c r="G271" t="s">
        <v>943</v>
      </c>
      <c r="H271" s="1" t="str">
        <f t="shared" si="25"/>
        <v>Shipped</v>
      </c>
      <c r="I271" s="4" t="str">
        <f t="shared" si="26"/>
        <v>completed</v>
      </c>
      <c r="J271" t="s">
        <v>25</v>
      </c>
      <c r="K271">
        <v>3</v>
      </c>
      <c r="L271">
        <v>8</v>
      </c>
      <c r="M271">
        <v>2003</v>
      </c>
      <c r="N271" t="s">
        <v>181</v>
      </c>
      <c r="O271">
        <v>151</v>
      </c>
      <c r="P271" t="s">
        <v>512</v>
      </c>
      <c r="Q271" t="s">
        <v>272</v>
      </c>
      <c r="R271">
        <v>4155551450</v>
      </c>
      <c r="S271" t="s">
        <v>273</v>
      </c>
      <c r="U271" s="1" t="str">
        <f t="shared" si="27"/>
        <v>San Rafael</v>
      </c>
      <c r="V271" t="s">
        <v>274</v>
      </c>
      <c r="W271" t="s">
        <v>55</v>
      </c>
      <c r="X271">
        <v>97562</v>
      </c>
      <c r="Y271" s="1" t="str">
        <f t="shared" si="28"/>
        <v>USA</v>
      </c>
      <c r="Z271" s="4" t="str">
        <f t="shared" si="29"/>
        <v>Usa</v>
      </c>
      <c r="AA271" t="s">
        <v>32</v>
      </c>
      <c r="AB271" t="s">
        <v>33</v>
      </c>
      <c r="AC271" t="s">
        <v>275</v>
      </c>
      <c r="AD271" t="s">
        <v>276</v>
      </c>
      <c r="AE271" t="s">
        <v>51</v>
      </c>
    </row>
    <row r="272" spans="1:31" x14ac:dyDescent="0.3">
      <c r="A272">
        <v>10153</v>
      </c>
      <c r="B272">
        <v>42</v>
      </c>
      <c r="C272">
        <v>100</v>
      </c>
      <c r="D272">
        <v>12</v>
      </c>
      <c r="E272" s="4" t="str">
        <f t="shared" si="24"/>
        <v>high sales</v>
      </c>
      <c r="F272">
        <v>5393.64</v>
      </c>
      <c r="G272" t="s">
        <v>944</v>
      </c>
      <c r="H272" s="1" t="str">
        <f t="shared" si="25"/>
        <v>Shipped</v>
      </c>
      <c r="I272" s="4" t="str">
        <f t="shared" si="26"/>
        <v>completed</v>
      </c>
      <c r="J272" t="s">
        <v>25</v>
      </c>
      <c r="K272">
        <v>3</v>
      </c>
      <c r="L272">
        <v>9</v>
      </c>
      <c r="M272">
        <v>2003</v>
      </c>
      <c r="N272" t="s">
        <v>181</v>
      </c>
      <c r="O272">
        <v>151</v>
      </c>
      <c r="P272" t="s">
        <v>512</v>
      </c>
      <c r="Q272" t="s">
        <v>174</v>
      </c>
      <c r="R272" t="s">
        <v>175</v>
      </c>
      <c r="S272" t="s">
        <v>176</v>
      </c>
      <c r="U272" s="1" t="str">
        <f t="shared" si="27"/>
        <v>Madrid</v>
      </c>
      <c r="V272" t="s">
        <v>177</v>
      </c>
      <c r="X272">
        <v>28034</v>
      </c>
      <c r="Y272" s="1" t="str">
        <f t="shared" si="28"/>
        <v>SPAIN</v>
      </c>
      <c r="Z272" s="4" t="str">
        <f t="shared" si="29"/>
        <v>Spain</v>
      </c>
      <c r="AA272" t="s">
        <v>178</v>
      </c>
      <c r="AB272" t="s">
        <v>42</v>
      </c>
      <c r="AC272" t="s">
        <v>179</v>
      </c>
      <c r="AD272" t="s">
        <v>180</v>
      </c>
      <c r="AE272" t="s">
        <v>51</v>
      </c>
    </row>
    <row r="273" spans="1:31" x14ac:dyDescent="0.3">
      <c r="A273">
        <v>10165</v>
      </c>
      <c r="B273">
        <v>34</v>
      </c>
      <c r="C273">
        <v>100</v>
      </c>
      <c r="D273">
        <v>4</v>
      </c>
      <c r="E273" s="4" t="str">
        <f t="shared" si="24"/>
        <v>high sales</v>
      </c>
      <c r="F273">
        <v>4880.0200000000004</v>
      </c>
      <c r="G273" t="s">
        <v>945</v>
      </c>
      <c r="H273" s="1" t="str">
        <f t="shared" si="25"/>
        <v>Shipped</v>
      </c>
      <c r="I273" s="4" t="str">
        <f t="shared" si="26"/>
        <v>completed</v>
      </c>
      <c r="J273" t="s">
        <v>25</v>
      </c>
      <c r="K273">
        <v>4</v>
      </c>
      <c r="L273">
        <v>10</v>
      </c>
      <c r="M273">
        <v>2003</v>
      </c>
      <c r="N273" t="s">
        <v>181</v>
      </c>
      <c r="O273">
        <v>151</v>
      </c>
      <c r="P273" t="s">
        <v>512</v>
      </c>
      <c r="Q273" t="s">
        <v>196</v>
      </c>
      <c r="R273" t="s">
        <v>197</v>
      </c>
      <c r="S273" t="s">
        <v>198</v>
      </c>
      <c r="U273" s="1" t="str">
        <f t="shared" si="27"/>
        <v>Singapore</v>
      </c>
      <c r="V273" t="s">
        <v>199</v>
      </c>
      <c r="X273">
        <v>79903</v>
      </c>
      <c r="Y273" s="1" t="str">
        <f t="shared" si="28"/>
        <v>SINGAPORE</v>
      </c>
      <c r="Z273" s="4" t="str">
        <f t="shared" si="29"/>
        <v>Singapore</v>
      </c>
      <c r="AA273" t="s">
        <v>199</v>
      </c>
      <c r="AB273" t="s">
        <v>200</v>
      </c>
      <c r="AC273" t="s">
        <v>201</v>
      </c>
      <c r="AD273" t="s">
        <v>202</v>
      </c>
      <c r="AE273" t="s">
        <v>51</v>
      </c>
    </row>
    <row r="274" spans="1:31" x14ac:dyDescent="0.3">
      <c r="A274">
        <v>10176</v>
      </c>
      <c r="B274">
        <v>47</v>
      </c>
      <c r="C274">
        <v>100</v>
      </c>
      <c r="D274">
        <v>3</v>
      </c>
      <c r="E274" s="4" t="str">
        <f t="shared" si="24"/>
        <v>high sales</v>
      </c>
      <c r="F274">
        <v>8378.69</v>
      </c>
      <c r="G274" t="s">
        <v>946</v>
      </c>
      <c r="H274" s="1" t="str">
        <f t="shared" si="25"/>
        <v>Shipped</v>
      </c>
      <c r="I274" s="4" t="str">
        <f t="shared" si="26"/>
        <v>completed</v>
      </c>
      <c r="J274" t="s">
        <v>25</v>
      </c>
      <c r="K274">
        <v>4</v>
      </c>
      <c r="L274">
        <v>11</v>
      </c>
      <c r="M274">
        <v>2003</v>
      </c>
      <c r="N274" t="s">
        <v>181</v>
      </c>
      <c r="O274">
        <v>151</v>
      </c>
      <c r="P274" t="s">
        <v>512</v>
      </c>
      <c r="Q274" t="s">
        <v>452</v>
      </c>
      <c r="R274" t="s">
        <v>453</v>
      </c>
      <c r="S274" t="s">
        <v>454</v>
      </c>
      <c r="U274" s="1" t="str">
        <f t="shared" si="27"/>
        <v>Reggio Emilia</v>
      </c>
      <c r="V274" t="s">
        <v>455</v>
      </c>
      <c r="X274">
        <v>42100</v>
      </c>
      <c r="Y274" s="1" t="str">
        <f t="shared" si="28"/>
        <v>ITALY</v>
      </c>
      <c r="Z274" s="4" t="str">
        <f t="shared" si="29"/>
        <v>Italy</v>
      </c>
      <c r="AA274" t="s">
        <v>258</v>
      </c>
      <c r="AB274" t="s">
        <v>42</v>
      </c>
      <c r="AC274" t="s">
        <v>456</v>
      </c>
      <c r="AD274" t="s">
        <v>457</v>
      </c>
      <c r="AE274" t="s">
        <v>151</v>
      </c>
    </row>
    <row r="275" spans="1:31" x14ac:dyDescent="0.3">
      <c r="A275">
        <v>10185</v>
      </c>
      <c r="B275">
        <v>33</v>
      </c>
      <c r="C275">
        <v>100</v>
      </c>
      <c r="D275">
        <v>14</v>
      </c>
      <c r="E275" s="4" t="str">
        <f t="shared" si="24"/>
        <v>high sales</v>
      </c>
      <c r="F275">
        <v>4038.21</v>
      </c>
      <c r="G275" t="s">
        <v>947</v>
      </c>
      <c r="H275" s="1" t="str">
        <f t="shared" si="25"/>
        <v>Shipped</v>
      </c>
      <c r="I275" s="4" t="str">
        <f t="shared" si="26"/>
        <v>completed</v>
      </c>
      <c r="J275" t="s">
        <v>25</v>
      </c>
      <c r="K275">
        <v>4</v>
      </c>
      <c r="L275">
        <v>11</v>
      </c>
      <c r="M275">
        <v>2003</v>
      </c>
      <c r="N275" t="s">
        <v>181</v>
      </c>
      <c r="O275">
        <v>151</v>
      </c>
      <c r="P275" t="s">
        <v>512</v>
      </c>
      <c r="Q275" t="s">
        <v>335</v>
      </c>
      <c r="R275">
        <v>5085559555</v>
      </c>
      <c r="S275" t="s">
        <v>336</v>
      </c>
      <c r="U275" s="1" t="str">
        <f t="shared" si="27"/>
        <v>New Bedford</v>
      </c>
      <c r="V275" t="s">
        <v>162</v>
      </c>
      <c r="W275" t="s">
        <v>123</v>
      </c>
      <c r="X275">
        <v>50553</v>
      </c>
      <c r="Y275" s="1" t="str">
        <f t="shared" si="28"/>
        <v>USA</v>
      </c>
      <c r="Z275" s="4" t="str">
        <f t="shared" si="29"/>
        <v>Usa</v>
      </c>
      <c r="AA275" t="s">
        <v>32</v>
      </c>
      <c r="AB275" t="s">
        <v>33</v>
      </c>
      <c r="AC275" t="s">
        <v>337</v>
      </c>
      <c r="AD275" t="s">
        <v>338</v>
      </c>
      <c r="AE275" t="s">
        <v>51</v>
      </c>
    </row>
    <row r="276" spans="1:31" x14ac:dyDescent="0.3">
      <c r="A276">
        <v>10196</v>
      </c>
      <c r="B276">
        <v>24</v>
      </c>
      <c r="C276">
        <v>100</v>
      </c>
      <c r="D276">
        <v>6</v>
      </c>
      <c r="E276" s="4" t="str">
        <f t="shared" si="24"/>
        <v>low sales</v>
      </c>
      <c r="F276">
        <v>3807.12</v>
      </c>
      <c r="G276" t="s">
        <v>948</v>
      </c>
      <c r="H276" s="1" t="str">
        <f t="shared" si="25"/>
        <v>Shipped</v>
      </c>
      <c r="I276" s="4" t="str">
        <f t="shared" si="26"/>
        <v>completed</v>
      </c>
      <c r="J276" t="s">
        <v>25</v>
      </c>
      <c r="K276">
        <v>4</v>
      </c>
      <c r="L276">
        <v>11</v>
      </c>
      <c r="M276">
        <v>2003</v>
      </c>
      <c r="N276" t="s">
        <v>181</v>
      </c>
      <c r="O276">
        <v>151</v>
      </c>
      <c r="P276" t="s">
        <v>512</v>
      </c>
      <c r="Q276" t="s">
        <v>242</v>
      </c>
      <c r="R276">
        <v>2035559545</v>
      </c>
      <c r="S276" t="s">
        <v>243</v>
      </c>
      <c r="U276" s="1" t="str">
        <f t="shared" si="27"/>
        <v>New Haven</v>
      </c>
      <c r="V276" t="s">
        <v>244</v>
      </c>
      <c r="W276" t="s">
        <v>112</v>
      </c>
      <c r="X276">
        <v>97823</v>
      </c>
      <c r="Y276" s="1" t="str">
        <f t="shared" si="28"/>
        <v>USA</v>
      </c>
      <c r="Z276" s="4" t="str">
        <f t="shared" si="29"/>
        <v>Usa</v>
      </c>
      <c r="AA276" t="s">
        <v>32</v>
      </c>
      <c r="AB276" t="s">
        <v>33</v>
      </c>
      <c r="AC276" t="s">
        <v>83</v>
      </c>
      <c r="AD276" t="s">
        <v>245</v>
      </c>
      <c r="AE276" t="s">
        <v>51</v>
      </c>
    </row>
    <row r="277" spans="1:31" x14ac:dyDescent="0.3">
      <c r="A277">
        <v>10208</v>
      </c>
      <c r="B277">
        <v>26</v>
      </c>
      <c r="C277">
        <v>100</v>
      </c>
      <c r="D277">
        <v>14</v>
      </c>
      <c r="E277" s="4" t="str">
        <f t="shared" si="24"/>
        <v>low sales</v>
      </c>
      <c r="F277">
        <v>3142.36</v>
      </c>
      <c r="G277" t="s">
        <v>949</v>
      </c>
      <c r="H277" s="1" t="str">
        <f t="shared" si="25"/>
        <v>Shipped</v>
      </c>
      <c r="I277" s="4" t="str">
        <f t="shared" si="26"/>
        <v>completed</v>
      </c>
      <c r="J277" t="s">
        <v>25</v>
      </c>
      <c r="K277">
        <v>1</v>
      </c>
      <c r="L277">
        <v>1</v>
      </c>
      <c r="M277">
        <v>2004</v>
      </c>
      <c r="N277" t="s">
        <v>181</v>
      </c>
      <c r="O277">
        <v>151</v>
      </c>
      <c r="P277" t="s">
        <v>512</v>
      </c>
      <c r="Q277" t="s">
        <v>219</v>
      </c>
      <c r="R277" t="s">
        <v>220</v>
      </c>
      <c r="S277" t="s">
        <v>221</v>
      </c>
      <c r="U277" s="1" t="str">
        <f t="shared" si="27"/>
        <v>Lyon</v>
      </c>
      <c r="V277" t="s">
        <v>222</v>
      </c>
      <c r="X277">
        <v>69004</v>
      </c>
      <c r="Y277" s="1" t="str">
        <f t="shared" si="28"/>
        <v>FRANCE</v>
      </c>
      <c r="Z277" s="4" t="str">
        <f t="shared" si="29"/>
        <v>France</v>
      </c>
      <c r="AA277" t="s">
        <v>41</v>
      </c>
      <c r="AB277" t="s">
        <v>42</v>
      </c>
      <c r="AC277" t="s">
        <v>223</v>
      </c>
      <c r="AD277" t="s">
        <v>224</v>
      </c>
      <c r="AE277" t="s">
        <v>51</v>
      </c>
    </row>
    <row r="278" spans="1:31" x14ac:dyDescent="0.3">
      <c r="A278">
        <v>10220</v>
      </c>
      <c r="B278">
        <v>30</v>
      </c>
      <c r="C278">
        <v>100</v>
      </c>
      <c r="D278">
        <v>3</v>
      </c>
      <c r="E278" s="4" t="str">
        <f t="shared" si="24"/>
        <v>high sales</v>
      </c>
      <c r="F278">
        <v>4713.6000000000004</v>
      </c>
      <c r="G278" t="s">
        <v>950</v>
      </c>
      <c r="H278" s="1" t="str">
        <f t="shared" si="25"/>
        <v>Shipped</v>
      </c>
      <c r="I278" s="4" t="str">
        <f t="shared" si="26"/>
        <v>completed</v>
      </c>
      <c r="J278" t="s">
        <v>25</v>
      </c>
      <c r="K278">
        <v>1</v>
      </c>
      <c r="L278">
        <v>2</v>
      </c>
      <c r="M278">
        <v>2004</v>
      </c>
      <c r="N278" t="s">
        <v>181</v>
      </c>
      <c r="O278">
        <v>151</v>
      </c>
      <c r="P278" t="s">
        <v>512</v>
      </c>
      <c r="Q278" t="s">
        <v>479</v>
      </c>
      <c r="R278" t="s">
        <v>480</v>
      </c>
      <c r="S278" t="s">
        <v>481</v>
      </c>
      <c r="T278" t="s">
        <v>482</v>
      </c>
      <c r="U278" s="1" t="str">
        <f t="shared" si="27"/>
        <v>Dublin</v>
      </c>
      <c r="V278" t="s">
        <v>483</v>
      </c>
      <c r="X278">
        <v>2</v>
      </c>
      <c r="Y278" s="1" t="str">
        <f t="shared" si="28"/>
        <v>IRELAND</v>
      </c>
      <c r="Z278" s="4" t="str">
        <f t="shared" si="29"/>
        <v>Ireland</v>
      </c>
      <c r="AA278" t="s">
        <v>484</v>
      </c>
      <c r="AB278" t="s">
        <v>42</v>
      </c>
      <c r="AC278" t="s">
        <v>485</v>
      </c>
      <c r="AD278" t="s">
        <v>486</v>
      </c>
      <c r="AE278" t="s">
        <v>51</v>
      </c>
    </row>
    <row r="279" spans="1:31" x14ac:dyDescent="0.3">
      <c r="A279">
        <v>10230</v>
      </c>
      <c r="B279">
        <v>43</v>
      </c>
      <c r="C279">
        <v>100</v>
      </c>
      <c r="D279">
        <v>1</v>
      </c>
      <c r="E279" s="4" t="str">
        <f t="shared" si="24"/>
        <v>high sales</v>
      </c>
      <c r="F279">
        <v>7016.31</v>
      </c>
      <c r="G279" t="s">
        <v>951</v>
      </c>
      <c r="H279" s="1" t="str">
        <f t="shared" si="25"/>
        <v>Shipped</v>
      </c>
      <c r="I279" s="4" t="str">
        <f t="shared" si="26"/>
        <v>completed</v>
      </c>
      <c r="J279" t="s">
        <v>25</v>
      </c>
      <c r="K279">
        <v>1</v>
      </c>
      <c r="L279">
        <v>3</v>
      </c>
      <c r="M279">
        <v>2004</v>
      </c>
      <c r="N279" t="s">
        <v>181</v>
      </c>
      <c r="O279">
        <v>151</v>
      </c>
      <c r="P279" t="s">
        <v>512</v>
      </c>
      <c r="Q279" t="s">
        <v>462</v>
      </c>
      <c r="R279" t="s">
        <v>463</v>
      </c>
      <c r="S279" t="s">
        <v>464</v>
      </c>
      <c r="U279" s="1" t="str">
        <f t="shared" si="27"/>
        <v>Frankfurt</v>
      </c>
      <c r="V279" t="s">
        <v>465</v>
      </c>
      <c r="X279">
        <v>60528</v>
      </c>
      <c r="Y279" s="1" t="str">
        <f t="shared" si="28"/>
        <v>GERMANY</v>
      </c>
      <c r="Z279" s="4" t="str">
        <f t="shared" si="29"/>
        <v>Germany</v>
      </c>
      <c r="AA279" t="s">
        <v>443</v>
      </c>
      <c r="AB279" t="s">
        <v>42</v>
      </c>
      <c r="AC279" t="s">
        <v>466</v>
      </c>
      <c r="AD279" t="s">
        <v>414</v>
      </c>
      <c r="AE279" t="s">
        <v>151</v>
      </c>
    </row>
    <row r="280" spans="1:31" x14ac:dyDescent="0.3">
      <c r="A280">
        <v>10247</v>
      </c>
      <c r="B280">
        <v>25</v>
      </c>
      <c r="C280">
        <v>100</v>
      </c>
      <c r="D280">
        <v>3</v>
      </c>
      <c r="E280" s="4" t="str">
        <f t="shared" si="24"/>
        <v>high sales</v>
      </c>
      <c r="F280">
        <v>4381.25</v>
      </c>
      <c r="G280" t="s">
        <v>952</v>
      </c>
      <c r="H280" s="1" t="str">
        <f t="shared" si="25"/>
        <v>Shipped</v>
      </c>
      <c r="I280" s="4" t="str">
        <f t="shared" si="26"/>
        <v>completed</v>
      </c>
      <c r="J280" t="s">
        <v>25</v>
      </c>
      <c r="K280">
        <v>2</v>
      </c>
      <c r="L280">
        <v>5</v>
      </c>
      <c r="M280">
        <v>2004</v>
      </c>
      <c r="N280" t="s">
        <v>181</v>
      </c>
      <c r="O280">
        <v>151</v>
      </c>
      <c r="P280" t="s">
        <v>512</v>
      </c>
      <c r="Q280" t="s">
        <v>467</v>
      </c>
      <c r="R280" t="s">
        <v>468</v>
      </c>
      <c r="S280" t="s">
        <v>469</v>
      </c>
      <c r="U280" s="1" t="str">
        <f t="shared" si="27"/>
        <v>Espoo</v>
      </c>
      <c r="V280" t="s">
        <v>470</v>
      </c>
      <c r="X280" t="s">
        <v>471</v>
      </c>
      <c r="Y280" s="1" t="str">
        <f t="shared" si="28"/>
        <v>FINLAND</v>
      </c>
      <c r="Z280" s="4" t="str">
        <f t="shared" si="29"/>
        <v>Finland</v>
      </c>
      <c r="AA280" t="s">
        <v>130</v>
      </c>
      <c r="AB280" t="s">
        <v>42</v>
      </c>
      <c r="AC280" t="s">
        <v>472</v>
      </c>
      <c r="AD280" t="s">
        <v>473</v>
      </c>
      <c r="AE280" t="s">
        <v>51</v>
      </c>
    </row>
    <row r="281" spans="1:31" x14ac:dyDescent="0.3">
      <c r="A281">
        <v>10272</v>
      </c>
      <c r="B281">
        <v>27</v>
      </c>
      <c r="C281">
        <v>100</v>
      </c>
      <c r="D281">
        <v>3</v>
      </c>
      <c r="E281" s="4" t="str">
        <f t="shared" si="24"/>
        <v>high sales</v>
      </c>
      <c r="F281">
        <v>4283.01</v>
      </c>
      <c r="G281" t="s">
        <v>953</v>
      </c>
      <c r="H281" s="1" t="str">
        <f t="shared" si="25"/>
        <v>Shipped</v>
      </c>
      <c r="I281" s="4" t="str">
        <f t="shared" si="26"/>
        <v>completed</v>
      </c>
      <c r="J281" t="s">
        <v>25</v>
      </c>
      <c r="K281">
        <v>3</v>
      </c>
      <c r="L281">
        <v>7</v>
      </c>
      <c r="M281">
        <v>2004</v>
      </c>
      <c r="N281" t="s">
        <v>181</v>
      </c>
      <c r="O281">
        <v>151</v>
      </c>
      <c r="P281" t="s">
        <v>512</v>
      </c>
      <c r="Q281" t="s">
        <v>139</v>
      </c>
      <c r="R281">
        <v>2155551555</v>
      </c>
      <c r="S281" t="s">
        <v>140</v>
      </c>
      <c r="U281" s="1" t="str">
        <f t="shared" si="27"/>
        <v>Allentown</v>
      </c>
      <c r="V281" t="s">
        <v>141</v>
      </c>
      <c r="W281" t="s">
        <v>142</v>
      </c>
      <c r="X281">
        <v>70267</v>
      </c>
      <c r="Y281" s="1" t="str">
        <f t="shared" si="28"/>
        <v>USA</v>
      </c>
      <c r="Z281" s="4" t="str">
        <f t="shared" si="29"/>
        <v>Usa</v>
      </c>
      <c r="AA281" t="s">
        <v>32</v>
      </c>
      <c r="AB281" t="s">
        <v>33</v>
      </c>
      <c r="AC281" t="s">
        <v>34</v>
      </c>
      <c r="AD281" t="s">
        <v>143</v>
      </c>
      <c r="AE281" t="s">
        <v>51</v>
      </c>
    </row>
    <row r="282" spans="1:31" x14ac:dyDescent="0.3">
      <c r="A282">
        <v>10282</v>
      </c>
      <c r="B282">
        <v>27</v>
      </c>
      <c r="C282">
        <v>100</v>
      </c>
      <c r="D282">
        <v>6</v>
      </c>
      <c r="E282" s="4" t="str">
        <f t="shared" si="24"/>
        <v>high sales</v>
      </c>
      <c r="F282">
        <v>4364.82</v>
      </c>
      <c r="G282" t="s">
        <v>954</v>
      </c>
      <c r="H282" s="1" t="str">
        <f t="shared" si="25"/>
        <v>Shipped</v>
      </c>
      <c r="I282" s="4" t="str">
        <f t="shared" si="26"/>
        <v>completed</v>
      </c>
      <c r="J282" t="s">
        <v>25</v>
      </c>
      <c r="K282">
        <v>3</v>
      </c>
      <c r="L282">
        <v>8</v>
      </c>
      <c r="M282">
        <v>2004</v>
      </c>
      <c r="N282" t="s">
        <v>181</v>
      </c>
      <c r="O282">
        <v>151</v>
      </c>
      <c r="P282" t="s">
        <v>512</v>
      </c>
      <c r="Q282" t="s">
        <v>272</v>
      </c>
      <c r="R282">
        <v>4155551450</v>
      </c>
      <c r="S282" t="s">
        <v>273</v>
      </c>
      <c r="U282" s="1" t="str">
        <f t="shared" si="27"/>
        <v>San Rafael</v>
      </c>
      <c r="V282" t="s">
        <v>274</v>
      </c>
      <c r="W282" t="s">
        <v>55</v>
      </c>
      <c r="X282">
        <v>97562</v>
      </c>
      <c r="Y282" s="1" t="str">
        <f t="shared" si="28"/>
        <v>USA</v>
      </c>
      <c r="Z282" s="4" t="str">
        <f t="shared" si="29"/>
        <v>Usa</v>
      </c>
      <c r="AA282" t="s">
        <v>32</v>
      </c>
      <c r="AB282" t="s">
        <v>33</v>
      </c>
      <c r="AC282" t="s">
        <v>275</v>
      </c>
      <c r="AD282" t="s">
        <v>276</v>
      </c>
      <c r="AE282" t="s">
        <v>51</v>
      </c>
    </row>
    <row r="283" spans="1:31" x14ac:dyDescent="0.3">
      <c r="A283">
        <v>10293</v>
      </c>
      <c r="B283">
        <v>24</v>
      </c>
      <c r="C283">
        <v>100</v>
      </c>
      <c r="D283">
        <v>9</v>
      </c>
      <c r="E283" s="4" t="str">
        <f t="shared" si="24"/>
        <v>high sales</v>
      </c>
      <c r="F283">
        <v>4242.24</v>
      </c>
      <c r="G283" t="s">
        <v>955</v>
      </c>
      <c r="H283" s="1" t="str">
        <f t="shared" si="25"/>
        <v>Shipped</v>
      </c>
      <c r="I283" s="4" t="str">
        <f t="shared" si="26"/>
        <v>completed</v>
      </c>
      <c r="J283" t="s">
        <v>25</v>
      </c>
      <c r="K283">
        <v>3</v>
      </c>
      <c r="L283">
        <v>9</v>
      </c>
      <c r="M283">
        <v>2004</v>
      </c>
      <c r="N283" t="s">
        <v>181</v>
      </c>
      <c r="O283">
        <v>151</v>
      </c>
      <c r="P283" t="s">
        <v>512</v>
      </c>
      <c r="Q283" t="s">
        <v>254</v>
      </c>
      <c r="R283" t="s">
        <v>255</v>
      </c>
      <c r="S283" t="s">
        <v>256</v>
      </c>
      <c r="U283" s="1" t="str">
        <f t="shared" si="27"/>
        <v>Torino</v>
      </c>
      <c r="V283" t="s">
        <v>257</v>
      </c>
      <c r="X283">
        <v>10100</v>
      </c>
      <c r="Y283" s="1" t="str">
        <f t="shared" si="28"/>
        <v>ITALY</v>
      </c>
      <c r="Z283" s="4" t="str">
        <f t="shared" si="29"/>
        <v>Italy</v>
      </c>
      <c r="AA283" t="s">
        <v>258</v>
      </c>
      <c r="AB283" t="s">
        <v>42</v>
      </c>
      <c r="AC283" t="s">
        <v>259</v>
      </c>
      <c r="AD283" t="s">
        <v>260</v>
      </c>
      <c r="AE283" t="s">
        <v>51</v>
      </c>
    </row>
    <row r="284" spans="1:31" x14ac:dyDescent="0.3">
      <c r="A284">
        <v>10306</v>
      </c>
      <c r="B284">
        <v>34</v>
      </c>
      <c r="C284">
        <v>100</v>
      </c>
      <c r="D284">
        <v>14</v>
      </c>
      <c r="E284" s="4" t="str">
        <f t="shared" si="24"/>
        <v>high sales</v>
      </c>
      <c r="F284">
        <v>4982.7</v>
      </c>
      <c r="G284" t="s">
        <v>956</v>
      </c>
      <c r="H284" s="1" t="str">
        <f t="shared" si="25"/>
        <v>Shipped</v>
      </c>
      <c r="I284" s="4" t="str">
        <f t="shared" si="26"/>
        <v>completed</v>
      </c>
      <c r="J284" t="s">
        <v>25</v>
      </c>
      <c r="K284">
        <v>4</v>
      </c>
      <c r="L284">
        <v>10</v>
      </c>
      <c r="M284">
        <v>2004</v>
      </c>
      <c r="N284" t="s">
        <v>181</v>
      </c>
      <c r="O284">
        <v>151</v>
      </c>
      <c r="P284" t="s">
        <v>512</v>
      </c>
      <c r="Q284" t="s">
        <v>492</v>
      </c>
      <c r="R284" t="s">
        <v>493</v>
      </c>
      <c r="S284" t="s">
        <v>494</v>
      </c>
      <c r="U284" s="1" t="str">
        <f t="shared" si="27"/>
        <v>Manchester</v>
      </c>
      <c r="V284" t="s">
        <v>495</v>
      </c>
      <c r="X284" t="s">
        <v>496</v>
      </c>
      <c r="Y284" s="1" t="str">
        <f t="shared" si="28"/>
        <v>UK</v>
      </c>
      <c r="Z284" s="4" t="str">
        <f t="shared" si="29"/>
        <v>Uk</v>
      </c>
      <c r="AA284" t="s">
        <v>170</v>
      </c>
      <c r="AB284" t="s">
        <v>42</v>
      </c>
      <c r="AC284" t="s">
        <v>497</v>
      </c>
      <c r="AD284" t="s">
        <v>94</v>
      </c>
      <c r="AE284" t="s">
        <v>51</v>
      </c>
    </row>
    <row r="285" spans="1:31" x14ac:dyDescent="0.3">
      <c r="A285">
        <v>10314</v>
      </c>
      <c r="B285">
        <v>46</v>
      </c>
      <c r="C285">
        <v>100</v>
      </c>
      <c r="D285">
        <v>6</v>
      </c>
      <c r="E285" s="4" t="str">
        <f t="shared" si="24"/>
        <v>high sales</v>
      </c>
      <c r="F285">
        <v>6393.54</v>
      </c>
      <c r="G285" t="s">
        <v>957</v>
      </c>
      <c r="H285" s="1" t="str">
        <f t="shared" si="25"/>
        <v>Shipped</v>
      </c>
      <c r="I285" s="4" t="str">
        <f t="shared" si="26"/>
        <v>completed</v>
      </c>
      <c r="J285" t="s">
        <v>25</v>
      </c>
      <c r="K285">
        <v>4</v>
      </c>
      <c r="L285">
        <v>10</v>
      </c>
      <c r="M285">
        <v>2004</v>
      </c>
      <c r="N285" t="s">
        <v>181</v>
      </c>
      <c r="O285">
        <v>151</v>
      </c>
      <c r="P285" t="s">
        <v>512</v>
      </c>
      <c r="Q285" t="s">
        <v>498</v>
      </c>
      <c r="R285" t="s">
        <v>499</v>
      </c>
      <c r="S285" t="s">
        <v>500</v>
      </c>
      <c r="U285" s="1" t="str">
        <f t="shared" si="27"/>
        <v>Aaarhus</v>
      </c>
      <c r="V285" t="s">
        <v>501</v>
      </c>
      <c r="X285">
        <v>8200</v>
      </c>
      <c r="Y285" s="1" t="str">
        <f t="shared" si="28"/>
        <v>DENMARK</v>
      </c>
      <c r="Z285" s="4" t="str">
        <f t="shared" si="29"/>
        <v>Denmark</v>
      </c>
      <c r="AA285" t="s">
        <v>326</v>
      </c>
      <c r="AB285" t="s">
        <v>42</v>
      </c>
      <c r="AC285" t="s">
        <v>502</v>
      </c>
      <c r="AD285" t="s">
        <v>503</v>
      </c>
      <c r="AE285" t="s">
        <v>51</v>
      </c>
    </row>
    <row r="286" spans="1:31" x14ac:dyDescent="0.3">
      <c r="A286">
        <v>10324</v>
      </c>
      <c r="B286">
        <v>27</v>
      </c>
      <c r="C286">
        <v>54.33</v>
      </c>
      <c r="D286">
        <v>1</v>
      </c>
      <c r="E286" s="4" t="str">
        <f t="shared" si="24"/>
        <v>low sales</v>
      </c>
      <c r="F286">
        <v>1466.91</v>
      </c>
      <c r="G286" t="s">
        <v>958</v>
      </c>
      <c r="H286" s="1" t="str">
        <f t="shared" si="25"/>
        <v>Shipped</v>
      </c>
      <c r="I286" s="4" t="str">
        <f t="shared" si="26"/>
        <v>completed</v>
      </c>
      <c r="J286" t="s">
        <v>25</v>
      </c>
      <c r="K286">
        <v>4</v>
      </c>
      <c r="L286">
        <v>11</v>
      </c>
      <c r="M286">
        <v>2004</v>
      </c>
      <c r="N286" t="s">
        <v>181</v>
      </c>
      <c r="O286">
        <v>151</v>
      </c>
      <c r="P286" t="s">
        <v>512</v>
      </c>
      <c r="Q286" t="s">
        <v>99</v>
      </c>
      <c r="R286">
        <v>2125551500</v>
      </c>
      <c r="S286" t="s">
        <v>100</v>
      </c>
      <c r="T286" t="s">
        <v>101</v>
      </c>
      <c r="U286" s="1" t="str">
        <f t="shared" si="27"/>
        <v>Nyc</v>
      </c>
      <c r="V286" t="s">
        <v>30</v>
      </c>
      <c r="W286" t="s">
        <v>31</v>
      </c>
      <c r="X286">
        <v>10022</v>
      </c>
      <c r="Y286" s="1" t="str">
        <f t="shared" si="28"/>
        <v>USA</v>
      </c>
      <c r="Z286" s="4" t="str">
        <f t="shared" si="29"/>
        <v>Usa</v>
      </c>
      <c r="AA286" t="s">
        <v>32</v>
      </c>
      <c r="AB286" t="s">
        <v>33</v>
      </c>
      <c r="AC286" t="s">
        <v>102</v>
      </c>
      <c r="AD286" t="s">
        <v>103</v>
      </c>
      <c r="AE286" t="s">
        <v>36</v>
      </c>
    </row>
    <row r="287" spans="1:31" x14ac:dyDescent="0.3">
      <c r="A287">
        <v>10336</v>
      </c>
      <c r="B287">
        <v>33</v>
      </c>
      <c r="C287">
        <v>100</v>
      </c>
      <c r="D287">
        <v>11</v>
      </c>
      <c r="E287" s="4" t="str">
        <f t="shared" si="24"/>
        <v>high sales</v>
      </c>
      <c r="F287">
        <v>4059.33</v>
      </c>
      <c r="G287" t="s">
        <v>959</v>
      </c>
      <c r="H287" s="1" t="str">
        <f t="shared" si="25"/>
        <v>Shipped</v>
      </c>
      <c r="I287" s="4" t="str">
        <f t="shared" si="26"/>
        <v>completed</v>
      </c>
      <c r="J287" t="s">
        <v>25</v>
      </c>
      <c r="K287">
        <v>4</v>
      </c>
      <c r="L287">
        <v>11</v>
      </c>
      <c r="M287">
        <v>2004</v>
      </c>
      <c r="N287" t="s">
        <v>181</v>
      </c>
      <c r="O287">
        <v>151</v>
      </c>
      <c r="P287" t="s">
        <v>512</v>
      </c>
      <c r="Q287" t="s">
        <v>403</v>
      </c>
      <c r="R287" t="s">
        <v>404</v>
      </c>
      <c r="S287" t="s">
        <v>405</v>
      </c>
      <c r="U287" s="1" t="str">
        <f t="shared" si="27"/>
        <v>Paris</v>
      </c>
      <c r="V287" t="s">
        <v>48</v>
      </c>
      <c r="X287">
        <v>75012</v>
      </c>
      <c r="Y287" s="1" t="str">
        <f t="shared" si="28"/>
        <v>FRANCE</v>
      </c>
      <c r="Z287" s="4" t="str">
        <f t="shared" si="29"/>
        <v>France</v>
      </c>
      <c r="AA287" t="s">
        <v>41</v>
      </c>
      <c r="AB287" t="s">
        <v>42</v>
      </c>
      <c r="AC287" t="s">
        <v>406</v>
      </c>
      <c r="AD287" t="s">
        <v>407</v>
      </c>
      <c r="AE287" t="s">
        <v>51</v>
      </c>
    </row>
    <row r="288" spans="1:31" x14ac:dyDescent="0.3">
      <c r="A288">
        <v>10348</v>
      </c>
      <c r="B288">
        <v>47</v>
      </c>
      <c r="C288">
        <v>100</v>
      </c>
      <c r="D288">
        <v>4</v>
      </c>
      <c r="E288" s="4" t="str">
        <f t="shared" si="24"/>
        <v>high sales</v>
      </c>
      <c r="F288">
        <v>4801.5200000000004</v>
      </c>
      <c r="G288" t="s">
        <v>960</v>
      </c>
      <c r="H288" s="1" t="str">
        <f t="shared" si="25"/>
        <v>Shipped</v>
      </c>
      <c r="I288" s="4" t="str">
        <f t="shared" si="26"/>
        <v>completed</v>
      </c>
      <c r="J288" t="s">
        <v>25</v>
      </c>
      <c r="K288">
        <v>4</v>
      </c>
      <c r="L288">
        <v>11</v>
      </c>
      <c r="M288">
        <v>2004</v>
      </c>
      <c r="N288" t="s">
        <v>181</v>
      </c>
      <c r="O288">
        <v>151</v>
      </c>
      <c r="P288" t="s">
        <v>512</v>
      </c>
      <c r="Q288" t="s">
        <v>191</v>
      </c>
      <c r="R288" t="s">
        <v>192</v>
      </c>
      <c r="S288" t="s">
        <v>193</v>
      </c>
      <c r="U288" s="1" t="str">
        <f t="shared" si="27"/>
        <v>Madrid</v>
      </c>
      <c r="V288" t="s">
        <v>177</v>
      </c>
      <c r="X288">
        <v>28023</v>
      </c>
      <c r="Y288" s="1" t="str">
        <f t="shared" si="28"/>
        <v>SPAIN</v>
      </c>
      <c r="Z288" s="4" t="str">
        <f t="shared" si="29"/>
        <v>Spain</v>
      </c>
      <c r="AA288" t="s">
        <v>178</v>
      </c>
      <c r="AB288" t="s">
        <v>42</v>
      </c>
      <c r="AC288" t="s">
        <v>194</v>
      </c>
      <c r="AD288" t="s">
        <v>195</v>
      </c>
      <c r="AE288" t="s">
        <v>51</v>
      </c>
    </row>
    <row r="289" spans="1:31" x14ac:dyDescent="0.3">
      <c r="A289">
        <v>10358</v>
      </c>
      <c r="B289">
        <v>49</v>
      </c>
      <c r="C289">
        <v>55.34</v>
      </c>
      <c r="D289">
        <v>5</v>
      </c>
      <c r="E289" s="4" t="str">
        <f t="shared" si="24"/>
        <v>low sales</v>
      </c>
      <c r="F289">
        <v>2711.66</v>
      </c>
      <c r="G289" t="s">
        <v>961</v>
      </c>
      <c r="H289" s="1" t="str">
        <f t="shared" si="25"/>
        <v>Shipped</v>
      </c>
      <c r="I289" s="4" t="str">
        <f t="shared" si="26"/>
        <v>completed</v>
      </c>
      <c r="J289" t="s">
        <v>25</v>
      </c>
      <c r="K289">
        <v>4</v>
      </c>
      <c r="L289">
        <v>12</v>
      </c>
      <c r="M289">
        <v>2004</v>
      </c>
      <c r="N289" t="s">
        <v>181</v>
      </c>
      <c r="O289">
        <v>151</v>
      </c>
      <c r="P289" t="s">
        <v>512</v>
      </c>
      <c r="Q289" t="s">
        <v>174</v>
      </c>
      <c r="R289" t="s">
        <v>175</v>
      </c>
      <c r="S289" t="s">
        <v>176</v>
      </c>
      <c r="U289" s="1" t="str">
        <f t="shared" si="27"/>
        <v>Madrid</v>
      </c>
      <c r="V289" t="s">
        <v>177</v>
      </c>
      <c r="X289">
        <v>28034</v>
      </c>
      <c r="Y289" s="1" t="str">
        <f t="shared" si="28"/>
        <v>SPAIN</v>
      </c>
      <c r="Z289" s="4" t="str">
        <f t="shared" si="29"/>
        <v>Spain</v>
      </c>
      <c r="AA289" t="s">
        <v>178</v>
      </c>
      <c r="AB289" t="s">
        <v>42</v>
      </c>
      <c r="AC289" t="s">
        <v>179</v>
      </c>
      <c r="AD289" t="s">
        <v>180</v>
      </c>
      <c r="AE289" t="s">
        <v>36</v>
      </c>
    </row>
    <row r="290" spans="1:31" x14ac:dyDescent="0.3">
      <c r="A290">
        <v>10372</v>
      </c>
      <c r="B290">
        <v>40</v>
      </c>
      <c r="C290">
        <v>100</v>
      </c>
      <c r="D290">
        <v>4</v>
      </c>
      <c r="E290" s="4" t="str">
        <f t="shared" si="24"/>
        <v>high sales</v>
      </c>
      <c r="F290">
        <v>5862</v>
      </c>
      <c r="G290" t="s">
        <v>962</v>
      </c>
      <c r="H290" s="1" t="str">
        <f t="shared" si="25"/>
        <v>Shipped</v>
      </c>
      <c r="I290" s="4" t="str">
        <f t="shared" si="26"/>
        <v>completed</v>
      </c>
      <c r="J290" t="s">
        <v>25</v>
      </c>
      <c r="K290">
        <v>1</v>
      </c>
      <c r="L290">
        <v>1</v>
      </c>
      <c r="M290">
        <v>2005</v>
      </c>
      <c r="N290" t="s">
        <v>181</v>
      </c>
      <c r="O290">
        <v>151</v>
      </c>
      <c r="P290" t="s">
        <v>512</v>
      </c>
      <c r="Q290" t="s">
        <v>246</v>
      </c>
      <c r="R290" t="s">
        <v>247</v>
      </c>
      <c r="S290" t="s">
        <v>248</v>
      </c>
      <c r="U290" s="1" t="str">
        <f t="shared" si="27"/>
        <v>Minato-Ku</v>
      </c>
      <c r="V290" t="s">
        <v>249</v>
      </c>
      <c r="W290" t="s">
        <v>250</v>
      </c>
      <c r="X290" t="s">
        <v>251</v>
      </c>
      <c r="Y290" s="1" t="str">
        <f t="shared" si="28"/>
        <v>JAPAN</v>
      </c>
      <c r="Z290" s="4" t="str">
        <f t="shared" si="29"/>
        <v>Japan</v>
      </c>
      <c r="AA290" t="s">
        <v>200</v>
      </c>
      <c r="AB290" t="s">
        <v>200</v>
      </c>
      <c r="AC290" t="s">
        <v>252</v>
      </c>
      <c r="AD290" t="s">
        <v>253</v>
      </c>
      <c r="AE290" t="s">
        <v>51</v>
      </c>
    </row>
    <row r="291" spans="1:31" x14ac:dyDescent="0.3">
      <c r="A291">
        <v>10382</v>
      </c>
      <c r="B291">
        <v>37</v>
      </c>
      <c r="C291">
        <v>100</v>
      </c>
      <c r="D291">
        <v>11</v>
      </c>
      <c r="E291" s="4" t="str">
        <f t="shared" si="24"/>
        <v>high sales</v>
      </c>
      <c r="F291">
        <v>4071.85</v>
      </c>
      <c r="G291" t="s">
        <v>963</v>
      </c>
      <c r="H291" s="1" t="str">
        <f t="shared" si="25"/>
        <v>Shipped</v>
      </c>
      <c r="I291" s="4" t="str">
        <f t="shared" si="26"/>
        <v>completed</v>
      </c>
      <c r="J291" t="s">
        <v>25</v>
      </c>
      <c r="K291">
        <v>1</v>
      </c>
      <c r="L291">
        <v>2</v>
      </c>
      <c r="M291">
        <v>2005</v>
      </c>
      <c r="N291" t="s">
        <v>181</v>
      </c>
      <c r="O291">
        <v>151</v>
      </c>
      <c r="P291" t="s">
        <v>512</v>
      </c>
      <c r="Q291" t="s">
        <v>272</v>
      </c>
      <c r="R291">
        <v>4155551450</v>
      </c>
      <c r="S291" t="s">
        <v>273</v>
      </c>
      <c r="U291" s="1" t="str">
        <f t="shared" si="27"/>
        <v>San Rafael</v>
      </c>
      <c r="V291" t="s">
        <v>274</v>
      </c>
      <c r="W291" t="s">
        <v>55</v>
      </c>
      <c r="X291">
        <v>97562</v>
      </c>
      <c r="Y291" s="1" t="str">
        <f t="shared" si="28"/>
        <v>USA</v>
      </c>
      <c r="Z291" s="4" t="str">
        <f t="shared" si="29"/>
        <v>Usa</v>
      </c>
      <c r="AA291" t="s">
        <v>32</v>
      </c>
      <c r="AB291" t="s">
        <v>33</v>
      </c>
      <c r="AC291" t="s">
        <v>275</v>
      </c>
      <c r="AD291" t="s">
        <v>276</v>
      </c>
      <c r="AE291" t="s">
        <v>51</v>
      </c>
    </row>
    <row r="292" spans="1:31" x14ac:dyDescent="0.3">
      <c r="A292">
        <v>10413</v>
      </c>
      <c r="B292">
        <v>47</v>
      </c>
      <c r="C292">
        <v>100</v>
      </c>
      <c r="D292">
        <v>3</v>
      </c>
      <c r="E292" s="4" t="str">
        <f t="shared" si="24"/>
        <v>high sales</v>
      </c>
      <c r="F292">
        <v>8236.75</v>
      </c>
      <c r="G292" t="s">
        <v>964</v>
      </c>
      <c r="H292" s="1" t="str">
        <f t="shared" si="25"/>
        <v>Shipped</v>
      </c>
      <c r="I292" s="4" t="str">
        <f t="shared" si="26"/>
        <v>completed</v>
      </c>
      <c r="J292" t="s">
        <v>25</v>
      </c>
      <c r="K292">
        <v>2</v>
      </c>
      <c r="L292">
        <v>5</v>
      </c>
      <c r="M292">
        <v>2005</v>
      </c>
      <c r="N292" t="s">
        <v>181</v>
      </c>
      <c r="O292">
        <v>151</v>
      </c>
      <c r="P292" t="s">
        <v>512</v>
      </c>
      <c r="Q292" t="s">
        <v>109</v>
      </c>
      <c r="R292">
        <v>2035552570</v>
      </c>
      <c r="S292" t="s">
        <v>110</v>
      </c>
      <c r="U292" s="1" t="str">
        <f t="shared" si="27"/>
        <v>Bridgewater</v>
      </c>
      <c r="V292" t="s">
        <v>111</v>
      </c>
      <c r="W292" t="s">
        <v>112</v>
      </c>
      <c r="X292">
        <v>97562</v>
      </c>
      <c r="Y292" s="1" t="str">
        <f t="shared" si="28"/>
        <v>USA</v>
      </c>
      <c r="Z292" s="4" t="str">
        <f t="shared" si="29"/>
        <v>Usa</v>
      </c>
      <c r="AA292" t="s">
        <v>32</v>
      </c>
      <c r="AB292" t="s">
        <v>33</v>
      </c>
      <c r="AC292" t="s">
        <v>113</v>
      </c>
      <c r="AD292" t="s">
        <v>57</v>
      </c>
      <c r="AE292" t="s">
        <v>151</v>
      </c>
    </row>
    <row r="293" spans="1:31" x14ac:dyDescent="0.3">
      <c r="A293">
        <v>10108</v>
      </c>
      <c r="B293">
        <v>45</v>
      </c>
      <c r="C293">
        <v>100</v>
      </c>
      <c r="D293">
        <v>4</v>
      </c>
      <c r="E293" s="4" t="str">
        <f t="shared" si="24"/>
        <v>high sales</v>
      </c>
      <c r="F293">
        <v>6130.35</v>
      </c>
      <c r="G293" t="s">
        <v>965</v>
      </c>
      <c r="H293" s="1" t="str">
        <f t="shared" si="25"/>
        <v>Shipped</v>
      </c>
      <c r="I293" s="4" t="str">
        <f t="shared" si="26"/>
        <v>completed</v>
      </c>
      <c r="J293" t="s">
        <v>25</v>
      </c>
      <c r="K293">
        <v>1</v>
      </c>
      <c r="L293">
        <v>3</v>
      </c>
      <c r="M293">
        <v>2003</v>
      </c>
      <c r="N293" t="s">
        <v>181</v>
      </c>
      <c r="O293">
        <v>117</v>
      </c>
      <c r="P293" t="s">
        <v>513</v>
      </c>
      <c r="Q293" t="s">
        <v>425</v>
      </c>
      <c r="R293" t="s">
        <v>426</v>
      </c>
      <c r="S293" t="s">
        <v>427</v>
      </c>
      <c r="U293" s="1" t="str">
        <f t="shared" si="27"/>
        <v>Makati City</v>
      </c>
      <c r="V293" t="s">
        <v>428</v>
      </c>
      <c r="X293" t="s">
        <v>429</v>
      </c>
      <c r="Y293" s="1" t="str">
        <f t="shared" si="28"/>
        <v>PHILIPPINES</v>
      </c>
      <c r="Z293" s="4" t="str">
        <f t="shared" si="29"/>
        <v>Philippines</v>
      </c>
      <c r="AA293" t="s">
        <v>430</v>
      </c>
      <c r="AB293" t="s">
        <v>200</v>
      </c>
      <c r="AC293" t="s">
        <v>431</v>
      </c>
      <c r="AD293" t="s">
        <v>432</v>
      </c>
      <c r="AE293" t="s">
        <v>51</v>
      </c>
    </row>
    <row r="294" spans="1:31" x14ac:dyDescent="0.3">
      <c r="A294">
        <v>10122</v>
      </c>
      <c r="B294">
        <v>37</v>
      </c>
      <c r="C294">
        <v>99.82</v>
      </c>
      <c r="D294">
        <v>8</v>
      </c>
      <c r="E294" s="4" t="str">
        <f t="shared" si="24"/>
        <v>low sales</v>
      </c>
      <c r="F294">
        <v>3693.34</v>
      </c>
      <c r="G294" t="s">
        <v>966</v>
      </c>
      <c r="H294" s="1" t="str">
        <f t="shared" si="25"/>
        <v>Shipped</v>
      </c>
      <c r="I294" s="4" t="str">
        <f t="shared" si="26"/>
        <v>completed</v>
      </c>
      <c r="J294" t="s">
        <v>25</v>
      </c>
      <c r="K294">
        <v>2</v>
      </c>
      <c r="L294">
        <v>5</v>
      </c>
      <c r="M294">
        <v>2003</v>
      </c>
      <c r="N294" t="s">
        <v>181</v>
      </c>
      <c r="O294">
        <v>117</v>
      </c>
      <c r="P294" t="s">
        <v>513</v>
      </c>
      <c r="Q294" t="s">
        <v>433</v>
      </c>
      <c r="R294" t="s">
        <v>434</v>
      </c>
      <c r="S294" t="s">
        <v>435</v>
      </c>
      <c r="U294" s="1" t="str">
        <f t="shared" si="27"/>
        <v>Marseille</v>
      </c>
      <c r="V294" t="s">
        <v>436</v>
      </c>
      <c r="X294">
        <v>13008</v>
      </c>
      <c r="Y294" s="1" t="str">
        <f t="shared" si="28"/>
        <v>FRANCE</v>
      </c>
      <c r="Z294" s="4" t="str">
        <f t="shared" si="29"/>
        <v>France</v>
      </c>
      <c r="AA294" t="s">
        <v>41</v>
      </c>
      <c r="AB294" t="s">
        <v>42</v>
      </c>
      <c r="AC294" t="s">
        <v>437</v>
      </c>
      <c r="AD294" t="s">
        <v>438</v>
      </c>
      <c r="AE294" t="s">
        <v>51</v>
      </c>
    </row>
    <row r="295" spans="1:31" x14ac:dyDescent="0.3">
      <c r="A295">
        <v>10135</v>
      </c>
      <c r="B295">
        <v>48</v>
      </c>
      <c r="C295">
        <v>100</v>
      </c>
      <c r="D295">
        <v>5</v>
      </c>
      <c r="E295" s="4" t="str">
        <f t="shared" si="24"/>
        <v>high sales</v>
      </c>
      <c r="F295">
        <v>6031.68</v>
      </c>
      <c r="G295" t="s">
        <v>967</v>
      </c>
      <c r="H295" s="1" t="str">
        <f t="shared" si="25"/>
        <v>Shipped</v>
      </c>
      <c r="I295" s="4" t="str">
        <f t="shared" si="26"/>
        <v>completed</v>
      </c>
      <c r="J295" t="s">
        <v>25</v>
      </c>
      <c r="K295">
        <v>3</v>
      </c>
      <c r="L295">
        <v>7</v>
      </c>
      <c r="M295">
        <v>2003</v>
      </c>
      <c r="N295" t="s">
        <v>181</v>
      </c>
      <c r="O295">
        <v>117</v>
      </c>
      <c r="P295" t="s">
        <v>513</v>
      </c>
      <c r="Q295" t="s">
        <v>272</v>
      </c>
      <c r="R295">
        <v>4155551450</v>
      </c>
      <c r="S295" t="s">
        <v>273</v>
      </c>
      <c r="U295" s="1" t="str">
        <f t="shared" si="27"/>
        <v>San Rafael</v>
      </c>
      <c r="V295" t="s">
        <v>274</v>
      </c>
      <c r="W295" t="s">
        <v>55</v>
      </c>
      <c r="X295">
        <v>97562</v>
      </c>
      <c r="Y295" s="1" t="str">
        <f t="shared" si="28"/>
        <v>USA</v>
      </c>
      <c r="Z295" s="4" t="str">
        <f t="shared" si="29"/>
        <v>Usa</v>
      </c>
      <c r="AA295" t="s">
        <v>32</v>
      </c>
      <c r="AB295" t="s">
        <v>33</v>
      </c>
      <c r="AC295" t="s">
        <v>275</v>
      </c>
      <c r="AD295" t="s">
        <v>276</v>
      </c>
      <c r="AE295" t="s">
        <v>51</v>
      </c>
    </row>
    <row r="296" spans="1:31" x14ac:dyDescent="0.3">
      <c r="A296">
        <v>10147</v>
      </c>
      <c r="B296">
        <v>31</v>
      </c>
      <c r="C296">
        <v>100</v>
      </c>
      <c r="D296">
        <v>5</v>
      </c>
      <c r="E296" s="4" t="str">
        <f t="shared" si="24"/>
        <v>low sales</v>
      </c>
      <c r="F296">
        <v>3494.94</v>
      </c>
      <c r="G296" t="s">
        <v>968</v>
      </c>
      <c r="H296" s="1" t="str">
        <f t="shared" si="25"/>
        <v>Shipped</v>
      </c>
      <c r="I296" s="4" t="str">
        <f t="shared" si="26"/>
        <v>completed</v>
      </c>
      <c r="J296" t="s">
        <v>25</v>
      </c>
      <c r="K296">
        <v>3</v>
      </c>
      <c r="L296">
        <v>9</v>
      </c>
      <c r="M296">
        <v>2003</v>
      </c>
      <c r="N296" t="s">
        <v>181</v>
      </c>
      <c r="O296">
        <v>117</v>
      </c>
      <c r="P296" t="s">
        <v>513</v>
      </c>
      <c r="Q296" t="s">
        <v>281</v>
      </c>
      <c r="R296">
        <v>6175558555</v>
      </c>
      <c r="S296" t="s">
        <v>282</v>
      </c>
      <c r="U296" s="1" t="str">
        <f t="shared" si="27"/>
        <v>Brickhaven</v>
      </c>
      <c r="V296" t="s">
        <v>283</v>
      </c>
      <c r="W296" t="s">
        <v>123</v>
      </c>
      <c r="X296">
        <v>58339</v>
      </c>
      <c r="Y296" s="1" t="str">
        <f t="shared" si="28"/>
        <v>USA</v>
      </c>
      <c r="Z296" s="4" t="str">
        <f t="shared" si="29"/>
        <v>Usa</v>
      </c>
      <c r="AA296" t="s">
        <v>32</v>
      </c>
      <c r="AB296" t="s">
        <v>33</v>
      </c>
      <c r="AC296" t="s">
        <v>275</v>
      </c>
      <c r="AD296" t="s">
        <v>284</v>
      </c>
      <c r="AE296" t="s">
        <v>51</v>
      </c>
    </row>
    <row r="297" spans="1:31" x14ac:dyDescent="0.3">
      <c r="A297">
        <v>10160</v>
      </c>
      <c r="B297">
        <v>46</v>
      </c>
      <c r="C297">
        <v>100</v>
      </c>
      <c r="D297">
        <v>6</v>
      </c>
      <c r="E297" s="4" t="str">
        <f t="shared" si="24"/>
        <v>high sales</v>
      </c>
      <c r="F297">
        <v>5294.14</v>
      </c>
      <c r="G297" t="s">
        <v>969</v>
      </c>
      <c r="H297" s="1" t="str">
        <f t="shared" si="25"/>
        <v>Shipped</v>
      </c>
      <c r="I297" s="4" t="str">
        <f t="shared" si="26"/>
        <v>completed</v>
      </c>
      <c r="J297" t="s">
        <v>25</v>
      </c>
      <c r="K297">
        <v>4</v>
      </c>
      <c r="L297">
        <v>10</v>
      </c>
      <c r="M297">
        <v>2003</v>
      </c>
      <c r="N297" t="s">
        <v>181</v>
      </c>
      <c r="O297">
        <v>117</v>
      </c>
      <c r="P297" t="s">
        <v>513</v>
      </c>
      <c r="Q297" t="s">
        <v>358</v>
      </c>
      <c r="R297">
        <v>2155554369</v>
      </c>
      <c r="S297" t="s">
        <v>359</v>
      </c>
      <c r="U297" s="1" t="str">
        <f t="shared" si="27"/>
        <v>Los Angeles</v>
      </c>
      <c r="V297" t="s">
        <v>360</v>
      </c>
      <c r="W297" t="s">
        <v>55</v>
      </c>
      <c r="Y297" s="1" t="str">
        <f t="shared" si="28"/>
        <v>USA</v>
      </c>
      <c r="Z297" s="4" t="str">
        <f t="shared" si="29"/>
        <v>Usa</v>
      </c>
      <c r="AA297" t="s">
        <v>32</v>
      </c>
      <c r="AB297" t="s">
        <v>33</v>
      </c>
      <c r="AC297" t="s">
        <v>361</v>
      </c>
      <c r="AD297" t="s">
        <v>103</v>
      </c>
      <c r="AE297" t="s">
        <v>51</v>
      </c>
    </row>
    <row r="298" spans="1:31" x14ac:dyDescent="0.3">
      <c r="A298">
        <v>10170</v>
      </c>
      <c r="B298">
        <v>47</v>
      </c>
      <c r="C298">
        <v>100</v>
      </c>
      <c r="D298">
        <v>4</v>
      </c>
      <c r="E298" s="4" t="str">
        <f t="shared" si="24"/>
        <v>high sales</v>
      </c>
      <c r="F298">
        <v>5464.69</v>
      </c>
      <c r="G298" t="s">
        <v>970</v>
      </c>
      <c r="H298" s="1" t="str">
        <f t="shared" si="25"/>
        <v>Shipped</v>
      </c>
      <c r="I298" s="4" t="str">
        <f t="shared" si="26"/>
        <v>completed</v>
      </c>
      <c r="J298" t="s">
        <v>25</v>
      </c>
      <c r="K298">
        <v>4</v>
      </c>
      <c r="L298">
        <v>11</v>
      </c>
      <c r="M298">
        <v>2003</v>
      </c>
      <c r="N298" t="s">
        <v>181</v>
      </c>
      <c r="O298">
        <v>117</v>
      </c>
      <c r="P298" t="s">
        <v>513</v>
      </c>
      <c r="Q298" t="s">
        <v>409</v>
      </c>
      <c r="R298" t="s">
        <v>410</v>
      </c>
      <c r="S298" t="s">
        <v>411</v>
      </c>
      <c r="U298" s="1" t="str">
        <f t="shared" si="27"/>
        <v>Graz</v>
      </c>
      <c r="V298" t="s">
        <v>412</v>
      </c>
      <c r="X298">
        <v>8010</v>
      </c>
      <c r="Y298" s="1" t="str">
        <f t="shared" si="28"/>
        <v>AUSTRIA</v>
      </c>
      <c r="Z298" s="4" t="str">
        <f t="shared" si="29"/>
        <v>Austria</v>
      </c>
      <c r="AA298" t="s">
        <v>148</v>
      </c>
      <c r="AB298" t="s">
        <v>42</v>
      </c>
      <c r="AC298" t="s">
        <v>413</v>
      </c>
      <c r="AD298" t="s">
        <v>414</v>
      </c>
      <c r="AE298" t="s">
        <v>51</v>
      </c>
    </row>
    <row r="299" spans="1:31" x14ac:dyDescent="0.3">
      <c r="A299">
        <v>10181</v>
      </c>
      <c r="B299">
        <v>28</v>
      </c>
      <c r="C299">
        <v>100</v>
      </c>
      <c r="D299">
        <v>12</v>
      </c>
      <c r="E299" s="4" t="str">
        <f t="shared" si="24"/>
        <v>low sales</v>
      </c>
      <c r="F299">
        <v>2860.76</v>
      </c>
      <c r="G299" t="s">
        <v>971</v>
      </c>
      <c r="H299" s="1" t="str">
        <f t="shared" si="25"/>
        <v>Shipped</v>
      </c>
      <c r="I299" s="4" t="str">
        <f t="shared" si="26"/>
        <v>completed</v>
      </c>
      <c r="J299" t="s">
        <v>25</v>
      </c>
      <c r="K299">
        <v>4</v>
      </c>
      <c r="L299">
        <v>11</v>
      </c>
      <c r="M299">
        <v>2003</v>
      </c>
      <c r="N299" t="s">
        <v>181</v>
      </c>
      <c r="O299">
        <v>117</v>
      </c>
      <c r="P299" t="s">
        <v>513</v>
      </c>
      <c r="Q299" t="s">
        <v>73</v>
      </c>
      <c r="R299" t="s">
        <v>74</v>
      </c>
      <c r="S299" t="s">
        <v>75</v>
      </c>
      <c r="U299" s="1" t="str">
        <f t="shared" si="27"/>
        <v>Bergen</v>
      </c>
      <c r="V299" t="s">
        <v>76</v>
      </c>
      <c r="X299" t="s">
        <v>77</v>
      </c>
      <c r="Y299" s="1" t="str">
        <f t="shared" si="28"/>
        <v>NORWAY</v>
      </c>
      <c r="Z299" s="4" t="str">
        <f t="shared" si="29"/>
        <v>Norway</v>
      </c>
      <c r="AA299" t="s">
        <v>78</v>
      </c>
      <c r="AB299" t="s">
        <v>42</v>
      </c>
      <c r="AC299" t="s">
        <v>79</v>
      </c>
      <c r="AD299" t="s">
        <v>80</v>
      </c>
      <c r="AE299" t="s">
        <v>36</v>
      </c>
    </row>
    <row r="300" spans="1:31" x14ac:dyDescent="0.3">
      <c r="A300">
        <v>10191</v>
      </c>
      <c r="B300">
        <v>40</v>
      </c>
      <c r="C300">
        <v>100</v>
      </c>
      <c r="D300">
        <v>1</v>
      </c>
      <c r="E300" s="4" t="str">
        <f t="shared" si="24"/>
        <v>high sales</v>
      </c>
      <c r="F300">
        <v>5590</v>
      </c>
      <c r="G300" t="s">
        <v>972</v>
      </c>
      <c r="H300" s="1" t="str">
        <f t="shared" si="25"/>
        <v>Shipped</v>
      </c>
      <c r="I300" s="4" t="str">
        <f t="shared" si="26"/>
        <v>completed</v>
      </c>
      <c r="J300" t="s">
        <v>25</v>
      </c>
      <c r="K300">
        <v>4</v>
      </c>
      <c r="L300">
        <v>11</v>
      </c>
      <c r="M300">
        <v>2003</v>
      </c>
      <c r="N300" t="s">
        <v>181</v>
      </c>
      <c r="O300">
        <v>117</v>
      </c>
      <c r="P300" t="s">
        <v>513</v>
      </c>
      <c r="Q300" t="s">
        <v>439</v>
      </c>
      <c r="R300" t="s">
        <v>440</v>
      </c>
      <c r="S300" t="s">
        <v>441</v>
      </c>
      <c r="U300" s="1" t="str">
        <f t="shared" si="27"/>
        <v>Koln</v>
      </c>
      <c r="V300" t="s">
        <v>442</v>
      </c>
      <c r="X300">
        <v>50739</v>
      </c>
      <c r="Y300" s="1" t="str">
        <f t="shared" si="28"/>
        <v>GERMANY</v>
      </c>
      <c r="Z300" s="4" t="str">
        <f t="shared" si="29"/>
        <v>Germany</v>
      </c>
      <c r="AA300" t="s">
        <v>443</v>
      </c>
      <c r="AB300" t="s">
        <v>42</v>
      </c>
      <c r="AC300" t="s">
        <v>444</v>
      </c>
      <c r="AD300" t="s">
        <v>445</v>
      </c>
      <c r="AE300" t="s">
        <v>51</v>
      </c>
    </row>
    <row r="301" spans="1:31" x14ac:dyDescent="0.3">
      <c r="A301">
        <v>10203</v>
      </c>
      <c r="B301">
        <v>20</v>
      </c>
      <c r="C301">
        <v>100</v>
      </c>
      <c r="D301">
        <v>6</v>
      </c>
      <c r="E301" s="4" t="str">
        <f t="shared" si="24"/>
        <v>low sales</v>
      </c>
      <c r="F301">
        <v>2254.8000000000002</v>
      </c>
      <c r="G301" t="s">
        <v>973</v>
      </c>
      <c r="H301" s="1" t="str">
        <f t="shared" si="25"/>
        <v>Shipped</v>
      </c>
      <c r="I301" s="4" t="str">
        <f t="shared" si="26"/>
        <v>completed</v>
      </c>
      <c r="J301" t="s">
        <v>25</v>
      </c>
      <c r="K301">
        <v>4</v>
      </c>
      <c r="L301">
        <v>12</v>
      </c>
      <c r="M301">
        <v>2003</v>
      </c>
      <c r="N301" t="s">
        <v>181</v>
      </c>
      <c r="O301">
        <v>117</v>
      </c>
      <c r="P301" t="s">
        <v>513</v>
      </c>
      <c r="Q301" t="s">
        <v>174</v>
      </c>
      <c r="R301" t="s">
        <v>175</v>
      </c>
      <c r="S301" t="s">
        <v>176</v>
      </c>
      <c r="U301" s="1" t="str">
        <f t="shared" si="27"/>
        <v>Madrid</v>
      </c>
      <c r="V301" t="s">
        <v>177</v>
      </c>
      <c r="X301">
        <v>28034</v>
      </c>
      <c r="Y301" s="1" t="str">
        <f t="shared" si="28"/>
        <v>SPAIN</v>
      </c>
      <c r="Z301" s="4" t="str">
        <f t="shared" si="29"/>
        <v>Spain</v>
      </c>
      <c r="AA301" t="s">
        <v>178</v>
      </c>
      <c r="AB301" t="s">
        <v>42</v>
      </c>
      <c r="AC301" t="s">
        <v>179</v>
      </c>
      <c r="AD301" t="s">
        <v>180</v>
      </c>
      <c r="AE301" t="s">
        <v>36</v>
      </c>
    </row>
    <row r="302" spans="1:31" x14ac:dyDescent="0.3">
      <c r="A302">
        <v>10212</v>
      </c>
      <c r="B302">
        <v>39</v>
      </c>
      <c r="C302">
        <v>100</v>
      </c>
      <c r="D302">
        <v>16</v>
      </c>
      <c r="E302" s="4" t="str">
        <f t="shared" si="24"/>
        <v>high sales</v>
      </c>
      <c r="F302">
        <v>4946.76</v>
      </c>
      <c r="G302" t="s">
        <v>974</v>
      </c>
      <c r="H302" s="1" t="str">
        <f t="shared" si="25"/>
        <v>Shipped</v>
      </c>
      <c r="I302" s="4" t="str">
        <f t="shared" si="26"/>
        <v>completed</v>
      </c>
      <c r="J302" t="s">
        <v>25</v>
      </c>
      <c r="K302">
        <v>1</v>
      </c>
      <c r="L302">
        <v>1</v>
      </c>
      <c r="M302">
        <v>2004</v>
      </c>
      <c r="N302" t="s">
        <v>181</v>
      </c>
      <c r="O302">
        <v>117</v>
      </c>
      <c r="P302" t="s">
        <v>513</v>
      </c>
      <c r="Q302" t="s">
        <v>174</v>
      </c>
      <c r="R302" t="s">
        <v>175</v>
      </c>
      <c r="S302" t="s">
        <v>176</v>
      </c>
      <c r="U302" s="1" t="str">
        <f t="shared" si="27"/>
        <v>Madrid</v>
      </c>
      <c r="V302" t="s">
        <v>177</v>
      </c>
      <c r="X302">
        <v>28034</v>
      </c>
      <c r="Y302" s="1" t="str">
        <f t="shared" si="28"/>
        <v>SPAIN</v>
      </c>
      <c r="Z302" s="4" t="str">
        <f t="shared" si="29"/>
        <v>Spain</v>
      </c>
      <c r="AA302" t="s">
        <v>178</v>
      </c>
      <c r="AB302" t="s">
        <v>42</v>
      </c>
      <c r="AC302" t="s">
        <v>179</v>
      </c>
      <c r="AD302" t="s">
        <v>180</v>
      </c>
      <c r="AE302" t="s">
        <v>51</v>
      </c>
    </row>
    <row r="303" spans="1:31" x14ac:dyDescent="0.3">
      <c r="A303">
        <v>10225</v>
      </c>
      <c r="B303">
        <v>25</v>
      </c>
      <c r="C303">
        <v>99.82</v>
      </c>
      <c r="D303">
        <v>7</v>
      </c>
      <c r="E303" s="4" t="str">
        <f t="shared" si="24"/>
        <v>low sales</v>
      </c>
      <c r="F303">
        <v>2495.5</v>
      </c>
      <c r="G303" t="s">
        <v>975</v>
      </c>
      <c r="H303" s="1" t="str">
        <f t="shared" si="25"/>
        <v>Shipped</v>
      </c>
      <c r="I303" s="4" t="str">
        <f t="shared" si="26"/>
        <v>completed</v>
      </c>
      <c r="J303" t="s">
        <v>25</v>
      </c>
      <c r="K303">
        <v>1</v>
      </c>
      <c r="L303">
        <v>2</v>
      </c>
      <c r="M303">
        <v>2004</v>
      </c>
      <c r="N303" t="s">
        <v>181</v>
      </c>
      <c r="O303">
        <v>117</v>
      </c>
      <c r="P303" t="s">
        <v>513</v>
      </c>
      <c r="Q303" t="s">
        <v>446</v>
      </c>
      <c r="R303" t="s">
        <v>447</v>
      </c>
      <c r="S303" t="s">
        <v>448</v>
      </c>
      <c r="U303" s="1" t="str">
        <f t="shared" si="27"/>
        <v>Gensve</v>
      </c>
      <c r="V303" t="s">
        <v>449</v>
      </c>
      <c r="X303">
        <v>1203</v>
      </c>
      <c r="Y303" s="1" t="str">
        <f t="shared" si="28"/>
        <v>SWITZERLAND</v>
      </c>
      <c r="Z303" s="4" t="str">
        <f t="shared" si="29"/>
        <v>Switzerland</v>
      </c>
      <c r="AA303" t="s">
        <v>450</v>
      </c>
      <c r="AB303" t="s">
        <v>42</v>
      </c>
      <c r="AC303" t="s">
        <v>451</v>
      </c>
      <c r="AD303" t="s">
        <v>103</v>
      </c>
      <c r="AE303" t="s">
        <v>36</v>
      </c>
    </row>
    <row r="304" spans="1:31" x14ac:dyDescent="0.3">
      <c r="A304">
        <v>10238</v>
      </c>
      <c r="B304">
        <v>29</v>
      </c>
      <c r="C304">
        <v>100</v>
      </c>
      <c r="D304">
        <v>1</v>
      </c>
      <c r="E304" s="4" t="str">
        <f t="shared" si="24"/>
        <v>low sales</v>
      </c>
      <c r="F304">
        <v>3167.38</v>
      </c>
      <c r="G304" t="s">
        <v>976</v>
      </c>
      <c r="H304" s="1" t="str">
        <f t="shared" si="25"/>
        <v>Shipped</v>
      </c>
      <c r="I304" s="4" t="str">
        <f t="shared" si="26"/>
        <v>completed</v>
      </c>
      <c r="J304" t="s">
        <v>25</v>
      </c>
      <c r="K304">
        <v>2</v>
      </c>
      <c r="L304">
        <v>4</v>
      </c>
      <c r="M304">
        <v>2004</v>
      </c>
      <c r="N304" t="s">
        <v>181</v>
      </c>
      <c r="O304">
        <v>117</v>
      </c>
      <c r="P304" t="s">
        <v>513</v>
      </c>
      <c r="Q304" t="s">
        <v>322</v>
      </c>
      <c r="R304" t="s">
        <v>323</v>
      </c>
      <c r="S304" t="s">
        <v>324</v>
      </c>
      <c r="U304" s="1" t="str">
        <f t="shared" si="27"/>
        <v>Kobenhavn</v>
      </c>
      <c r="V304" t="s">
        <v>325</v>
      </c>
      <c r="X304">
        <v>1734</v>
      </c>
      <c r="Y304" s="1" t="str">
        <f t="shared" si="28"/>
        <v>DENMARK</v>
      </c>
      <c r="Z304" s="4" t="str">
        <f t="shared" si="29"/>
        <v>Denmark</v>
      </c>
      <c r="AA304" t="s">
        <v>326</v>
      </c>
      <c r="AB304" t="s">
        <v>42</v>
      </c>
      <c r="AC304" t="s">
        <v>327</v>
      </c>
      <c r="AD304" t="s">
        <v>328</v>
      </c>
      <c r="AE304" t="s">
        <v>51</v>
      </c>
    </row>
    <row r="305" spans="1:31" x14ac:dyDescent="0.3">
      <c r="A305">
        <v>10253</v>
      </c>
      <c r="B305">
        <v>22</v>
      </c>
      <c r="C305">
        <v>100</v>
      </c>
      <c r="D305">
        <v>11</v>
      </c>
      <c r="E305" s="4" t="str">
        <f t="shared" si="24"/>
        <v>low sales</v>
      </c>
      <c r="F305">
        <v>2402.84</v>
      </c>
      <c r="G305" t="s">
        <v>977</v>
      </c>
      <c r="H305" s="1" t="str">
        <f t="shared" si="25"/>
        <v>Cancelled</v>
      </c>
      <c r="I305" s="4" t="str">
        <f t="shared" si="26"/>
        <v>not completed</v>
      </c>
      <c r="J305" t="s">
        <v>339</v>
      </c>
      <c r="K305">
        <v>2</v>
      </c>
      <c r="L305">
        <v>6</v>
      </c>
      <c r="M305">
        <v>2004</v>
      </c>
      <c r="N305" t="s">
        <v>181</v>
      </c>
      <c r="O305">
        <v>117</v>
      </c>
      <c r="P305" t="s">
        <v>513</v>
      </c>
      <c r="Q305" t="s">
        <v>165</v>
      </c>
      <c r="R305" t="s">
        <v>166</v>
      </c>
      <c r="S305" t="s">
        <v>167</v>
      </c>
      <c r="U305" s="1" t="str">
        <f t="shared" si="27"/>
        <v>Liverpool</v>
      </c>
      <c r="V305" t="s">
        <v>168</v>
      </c>
      <c r="X305" t="s">
        <v>169</v>
      </c>
      <c r="Y305" s="1" t="str">
        <f t="shared" si="28"/>
        <v>UK</v>
      </c>
      <c r="Z305" s="4" t="str">
        <f t="shared" si="29"/>
        <v>Uk</v>
      </c>
      <c r="AA305" t="s">
        <v>170</v>
      </c>
      <c r="AB305" t="s">
        <v>42</v>
      </c>
      <c r="AC305" t="s">
        <v>171</v>
      </c>
      <c r="AD305" t="s">
        <v>172</v>
      </c>
      <c r="AE305" t="s">
        <v>36</v>
      </c>
    </row>
    <row r="306" spans="1:31" x14ac:dyDescent="0.3">
      <c r="A306">
        <v>10266</v>
      </c>
      <c r="B306">
        <v>22</v>
      </c>
      <c r="C306">
        <v>100</v>
      </c>
      <c r="D306">
        <v>12</v>
      </c>
      <c r="E306" s="4" t="str">
        <f t="shared" si="24"/>
        <v>low sales</v>
      </c>
      <c r="F306">
        <v>2454.54</v>
      </c>
      <c r="G306" t="s">
        <v>978</v>
      </c>
      <c r="H306" s="1" t="str">
        <f t="shared" si="25"/>
        <v>Shipped</v>
      </c>
      <c r="I306" s="4" t="str">
        <f t="shared" si="26"/>
        <v>completed</v>
      </c>
      <c r="J306" t="s">
        <v>25</v>
      </c>
      <c r="K306">
        <v>3</v>
      </c>
      <c r="L306">
        <v>7</v>
      </c>
      <c r="M306">
        <v>2004</v>
      </c>
      <c r="N306" t="s">
        <v>181</v>
      </c>
      <c r="O306">
        <v>117</v>
      </c>
      <c r="P306" t="s">
        <v>513</v>
      </c>
      <c r="Q306" t="s">
        <v>452</v>
      </c>
      <c r="R306" t="s">
        <v>453</v>
      </c>
      <c r="S306" t="s">
        <v>454</v>
      </c>
      <c r="U306" s="1" t="str">
        <f t="shared" si="27"/>
        <v>Reggio Emilia</v>
      </c>
      <c r="V306" t="s">
        <v>455</v>
      </c>
      <c r="X306">
        <v>42100</v>
      </c>
      <c r="Y306" s="1" t="str">
        <f t="shared" si="28"/>
        <v>ITALY</v>
      </c>
      <c r="Z306" s="4" t="str">
        <f t="shared" si="29"/>
        <v>Italy</v>
      </c>
      <c r="AA306" t="s">
        <v>258</v>
      </c>
      <c r="AB306" t="s">
        <v>42</v>
      </c>
      <c r="AC306" t="s">
        <v>456</v>
      </c>
      <c r="AD306" t="s">
        <v>457</v>
      </c>
      <c r="AE306" t="s">
        <v>36</v>
      </c>
    </row>
    <row r="307" spans="1:31" x14ac:dyDescent="0.3">
      <c r="A307">
        <v>10276</v>
      </c>
      <c r="B307">
        <v>47</v>
      </c>
      <c r="C307">
        <v>100</v>
      </c>
      <c r="D307">
        <v>1</v>
      </c>
      <c r="E307" s="4" t="str">
        <f t="shared" si="24"/>
        <v>high sales</v>
      </c>
      <c r="F307">
        <v>5464.69</v>
      </c>
      <c r="G307" t="s">
        <v>979</v>
      </c>
      <c r="H307" s="1" t="str">
        <f t="shared" si="25"/>
        <v>Shipped</v>
      </c>
      <c r="I307" s="4" t="str">
        <f t="shared" si="26"/>
        <v>completed</v>
      </c>
      <c r="J307" t="s">
        <v>25</v>
      </c>
      <c r="K307">
        <v>3</v>
      </c>
      <c r="L307">
        <v>8</v>
      </c>
      <c r="M307">
        <v>2004</v>
      </c>
      <c r="N307" t="s">
        <v>181</v>
      </c>
      <c r="O307">
        <v>117</v>
      </c>
      <c r="P307" t="s">
        <v>513</v>
      </c>
      <c r="Q307" t="s">
        <v>458</v>
      </c>
      <c r="R307">
        <v>6175557555</v>
      </c>
      <c r="S307" t="s">
        <v>459</v>
      </c>
      <c r="U307" s="1" t="str">
        <f t="shared" si="27"/>
        <v>Brickhaven</v>
      </c>
      <c r="V307" t="s">
        <v>283</v>
      </c>
      <c r="W307" t="s">
        <v>123</v>
      </c>
      <c r="X307">
        <v>58339</v>
      </c>
      <c r="Y307" s="1" t="str">
        <f t="shared" si="28"/>
        <v>USA</v>
      </c>
      <c r="Z307" s="4" t="str">
        <f t="shared" si="29"/>
        <v>Usa</v>
      </c>
      <c r="AA307" t="s">
        <v>32</v>
      </c>
      <c r="AB307" t="s">
        <v>33</v>
      </c>
      <c r="AC307" t="s">
        <v>460</v>
      </c>
      <c r="AD307" t="s">
        <v>461</v>
      </c>
      <c r="AE307" t="s">
        <v>51</v>
      </c>
    </row>
    <row r="308" spans="1:31" x14ac:dyDescent="0.3">
      <c r="A308">
        <v>10287</v>
      </c>
      <c r="B308">
        <v>45</v>
      </c>
      <c r="C308">
        <v>100</v>
      </c>
      <c r="D308">
        <v>10</v>
      </c>
      <c r="E308" s="4" t="str">
        <f t="shared" si="24"/>
        <v>high sales</v>
      </c>
      <c r="F308">
        <v>4756.5</v>
      </c>
      <c r="G308" t="s">
        <v>980</v>
      </c>
      <c r="H308" s="1" t="str">
        <f t="shared" si="25"/>
        <v>Shipped</v>
      </c>
      <c r="I308" s="4" t="str">
        <f t="shared" si="26"/>
        <v>completed</v>
      </c>
      <c r="J308" t="s">
        <v>25</v>
      </c>
      <c r="K308">
        <v>3</v>
      </c>
      <c r="L308">
        <v>8</v>
      </c>
      <c r="M308">
        <v>2004</v>
      </c>
      <c r="N308" t="s">
        <v>181</v>
      </c>
      <c r="O308">
        <v>117</v>
      </c>
      <c r="P308" t="s">
        <v>513</v>
      </c>
      <c r="Q308" t="s">
        <v>446</v>
      </c>
      <c r="R308" t="s">
        <v>447</v>
      </c>
      <c r="S308" t="s">
        <v>448</v>
      </c>
      <c r="U308" s="1" t="str">
        <f t="shared" si="27"/>
        <v>Gensve</v>
      </c>
      <c r="V308" t="s">
        <v>449</v>
      </c>
      <c r="X308">
        <v>1203</v>
      </c>
      <c r="Y308" s="1" t="str">
        <f t="shared" si="28"/>
        <v>SWITZERLAND</v>
      </c>
      <c r="Z308" s="4" t="str">
        <f t="shared" si="29"/>
        <v>Switzerland</v>
      </c>
      <c r="AA308" t="s">
        <v>450</v>
      </c>
      <c r="AB308" t="s">
        <v>42</v>
      </c>
      <c r="AC308" t="s">
        <v>451</v>
      </c>
      <c r="AD308" t="s">
        <v>103</v>
      </c>
      <c r="AE308" t="s">
        <v>51</v>
      </c>
    </row>
    <row r="309" spans="1:31" x14ac:dyDescent="0.3">
      <c r="A309">
        <v>10300</v>
      </c>
      <c r="B309">
        <v>29</v>
      </c>
      <c r="C309">
        <v>100</v>
      </c>
      <c r="D309">
        <v>3</v>
      </c>
      <c r="E309" s="4" t="str">
        <f t="shared" si="24"/>
        <v>low sales</v>
      </c>
      <c r="F309">
        <v>3984.6</v>
      </c>
      <c r="G309" t="s">
        <v>981</v>
      </c>
      <c r="H309" s="1" t="str">
        <f t="shared" si="25"/>
        <v>Shipped</v>
      </c>
      <c r="I309" s="4" t="str">
        <f t="shared" si="26"/>
        <v>completed</v>
      </c>
      <c r="J309" t="s">
        <v>25</v>
      </c>
      <c r="K309">
        <v>4</v>
      </c>
      <c r="L309">
        <v>10</v>
      </c>
      <c r="M309">
        <v>2003</v>
      </c>
      <c r="N309" t="s">
        <v>181</v>
      </c>
      <c r="O309">
        <v>117</v>
      </c>
      <c r="P309" t="s">
        <v>513</v>
      </c>
      <c r="Q309" t="s">
        <v>462</v>
      </c>
      <c r="R309" t="s">
        <v>463</v>
      </c>
      <c r="S309" t="s">
        <v>464</v>
      </c>
      <c r="U309" s="1" t="str">
        <f t="shared" si="27"/>
        <v>Frankfurt</v>
      </c>
      <c r="V309" t="s">
        <v>465</v>
      </c>
      <c r="X309">
        <v>60528</v>
      </c>
      <c r="Y309" s="1" t="str">
        <f t="shared" si="28"/>
        <v>GERMANY</v>
      </c>
      <c r="Z309" s="4" t="str">
        <f t="shared" si="29"/>
        <v>Germany</v>
      </c>
      <c r="AA309" t="s">
        <v>443</v>
      </c>
      <c r="AB309" t="s">
        <v>42</v>
      </c>
      <c r="AC309" t="s">
        <v>466</v>
      </c>
      <c r="AD309" t="s">
        <v>414</v>
      </c>
      <c r="AE309" t="s">
        <v>51</v>
      </c>
    </row>
    <row r="310" spans="1:31" x14ac:dyDescent="0.3">
      <c r="A310">
        <v>10310</v>
      </c>
      <c r="B310">
        <v>24</v>
      </c>
      <c r="C310">
        <v>100</v>
      </c>
      <c r="D310">
        <v>8</v>
      </c>
      <c r="E310" s="4" t="str">
        <f t="shared" si="24"/>
        <v>low sales</v>
      </c>
      <c r="F310">
        <v>3100.32</v>
      </c>
      <c r="G310" t="s">
        <v>982</v>
      </c>
      <c r="H310" s="1" t="str">
        <f t="shared" si="25"/>
        <v>Shipped</v>
      </c>
      <c r="I310" s="4" t="str">
        <f t="shared" si="26"/>
        <v>completed</v>
      </c>
      <c r="J310" t="s">
        <v>25</v>
      </c>
      <c r="K310">
        <v>4</v>
      </c>
      <c r="L310">
        <v>10</v>
      </c>
      <c r="M310">
        <v>2004</v>
      </c>
      <c r="N310" t="s">
        <v>181</v>
      </c>
      <c r="O310">
        <v>117</v>
      </c>
      <c r="P310" t="s">
        <v>513</v>
      </c>
      <c r="Q310" t="s">
        <v>439</v>
      </c>
      <c r="R310" t="s">
        <v>440</v>
      </c>
      <c r="S310" t="s">
        <v>441</v>
      </c>
      <c r="U310" s="1" t="str">
        <f t="shared" si="27"/>
        <v>Koln</v>
      </c>
      <c r="V310" t="s">
        <v>442</v>
      </c>
      <c r="X310">
        <v>50739</v>
      </c>
      <c r="Y310" s="1" t="str">
        <f t="shared" si="28"/>
        <v>GERMANY</v>
      </c>
      <c r="Z310" s="4" t="str">
        <f t="shared" si="29"/>
        <v>Germany</v>
      </c>
      <c r="AA310" t="s">
        <v>443</v>
      </c>
      <c r="AB310" t="s">
        <v>42</v>
      </c>
      <c r="AC310" t="s">
        <v>444</v>
      </c>
      <c r="AD310" t="s">
        <v>445</v>
      </c>
      <c r="AE310" t="s">
        <v>51</v>
      </c>
    </row>
    <row r="311" spans="1:31" x14ac:dyDescent="0.3">
      <c r="A311">
        <v>10320</v>
      </c>
      <c r="B311">
        <v>35</v>
      </c>
      <c r="C311">
        <v>100</v>
      </c>
      <c r="D311">
        <v>1</v>
      </c>
      <c r="E311" s="4" t="str">
        <f t="shared" si="24"/>
        <v>high sales</v>
      </c>
      <c r="F311">
        <v>4850.3</v>
      </c>
      <c r="G311" t="s">
        <v>983</v>
      </c>
      <c r="H311" s="1" t="str">
        <f t="shared" si="25"/>
        <v>Shipped</v>
      </c>
      <c r="I311" s="4" t="str">
        <f t="shared" si="26"/>
        <v>completed</v>
      </c>
      <c r="J311" t="s">
        <v>25</v>
      </c>
      <c r="K311">
        <v>4</v>
      </c>
      <c r="L311">
        <v>11</v>
      </c>
      <c r="M311">
        <v>2004</v>
      </c>
      <c r="N311" t="s">
        <v>181</v>
      </c>
      <c r="O311">
        <v>117</v>
      </c>
      <c r="P311" t="s">
        <v>513</v>
      </c>
      <c r="Q311" t="s">
        <v>183</v>
      </c>
      <c r="R311" t="s">
        <v>184</v>
      </c>
      <c r="S311" t="s">
        <v>185</v>
      </c>
      <c r="U311" s="1" t="str">
        <f t="shared" si="27"/>
        <v>Lule</v>
      </c>
      <c r="V311" t="s">
        <v>186</v>
      </c>
      <c r="X311" t="s">
        <v>187</v>
      </c>
      <c r="Y311" s="1" t="str">
        <f t="shared" si="28"/>
        <v>SWEDEN</v>
      </c>
      <c r="Z311" s="4" t="str">
        <f t="shared" si="29"/>
        <v>Sweden</v>
      </c>
      <c r="AA311" t="s">
        <v>188</v>
      </c>
      <c r="AB311" t="s">
        <v>42</v>
      </c>
      <c r="AC311" t="s">
        <v>189</v>
      </c>
      <c r="AD311" t="s">
        <v>190</v>
      </c>
      <c r="AE311" t="s">
        <v>51</v>
      </c>
    </row>
    <row r="312" spans="1:31" x14ac:dyDescent="0.3">
      <c r="A312">
        <v>10329</v>
      </c>
      <c r="B312">
        <v>46</v>
      </c>
      <c r="C312">
        <v>83.63</v>
      </c>
      <c r="D312">
        <v>13</v>
      </c>
      <c r="E312" s="4" t="str">
        <f t="shared" si="24"/>
        <v>low sales</v>
      </c>
      <c r="F312">
        <v>3846.98</v>
      </c>
      <c r="G312" t="s">
        <v>984</v>
      </c>
      <c r="H312" s="1" t="str">
        <f t="shared" si="25"/>
        <v>Shipped</v>
      </c>
      <c r="I312" s="4" t="str">
        <f t="shared" si="26"/>
        <v>completed</v>
      </c>
      <c r="J312" t="s">
        <v>25</v>
      </c>
      <c r="K312">
        <v>4</v>
      </c>
      <c r="L312">
        <v>11</v>
      </c>
      <c r="M312">
        <v>2004</v>
      </c>
      <c r="N312" t="s">
        <v>181</v>
      </c>
      <c r="O312">
        <v>117</v>
      </c>
      <c r="P312" t="s">
        <v>513</v>
      </c>
      <c r="Q312" t="s">
        <v>28</v>
      </c>
      <c r="R312">
        <v>2125557818</v>
      </c>
      <c r="S312" t="s">
        <v>29</v>
      </c>
      <c r="U312" s="1" t="str">
        <f t="shared" si="27"/>
        <v>Nyc</v>
      </c>
      <c r="V312" t="s">
        <v>30</v>
      </c>
      <c r="W312" t="s">
        <v>31</v>
      </c>
      <c r="X312">
        <v>10022</v>
      </c>
      <c r="Y312" s="1" t="str">
        <f t="shared" si="28"/>
        <v>USA</v>
      </c>
      <c r="Z312" s="4" t="str">
        <f t="shared" si="29"/>
        <v>Usa</v>
      </c>
      <c r="AA312" t="s">
        <v>32</v>
      </c>
      <c r="AB312" t="s">
        <v>33</v>
      </c>
      <c r="AC312" t="s">
        <v>34</v>
      </c>
      <c r="AD312" t="s">
        <v>35</v>
      </c>
      <c r="AE312" t="s">
        <v>51</v>
      </c>
    </row>
    <row r="313" spans="1:31" x14ac:dyDescent="0.3">
      <c r="A313">
        <v>10341</v>
      </c>
      <c r="B313">
        <v>44</v>
      </c>
      <c r="C313">
        <v>95.93</v>
      </c>
      <c r="D313">
        <v>1</v>
      </c>
      <c r="E313" s="4" t="str">
        <f t="shared" si="24"/>
        <v>high sales</v>
      </c>
      <c r="F313">
        <v>4220.92</v>
      </c>
      <c r="G313" t="s">
        <v>985</v>
      </c>
      <c r="H313" s="1" t="str">
        <f t="shared" si="25"/>
        <v>Shipped</v>
      </c>
      <c r="I313" s="4" t="str">
        <f t="shared" si="26"/>
        <v>completed</v>
      </c>
      <c r="J313" t="s">
        <v>25</v>
      </c>
      <c r="K313">
        <v>4</v>
      </c>
      <c r="L313">
        <v>11</v>
      </c>
      <c r="M313">
        <v>2004</v>
      </c>
      <c r="N313" t="s">
        <v>181</v>
      </c>
      <c r="O313">
        <v>117</v>
      </c>
      <c r="P313" t="s">
        <v>513</v>
      </c>
      <c r="Q313" t="s">
        <v>144</v>
      </c>
      <c r="R313" t="s">
        <v>145</v>
      </c>
      <c r="S313" t="s">
        <v>146</v>
      </c>
      <c r="U313" s="1" t="str">
        <f t="shared" si="27"/>
        <v>Salzburg</v>
      </c>
      <c r="V313" t="s">
        <v>147</v>
      </c>
      <c r="X313">
        <v>5020</v>
      </c>
      <c r="Y313" s="1" t="str">
        <f t="shared" si="28"/>
        <v>AUSTRIA</v>
      </c>
      <c r="Z313" s="4" t="str">
        <f t="shared" si="29"/>
        <v>Austria</v>
      </c>
      <c r="AA313" t="s">
        <v>148</v>
      </c>
      <c r="AB313" t="s">
        <v>42</v>
      </c>
      <c r="AC313" t="s">
        <v>149</v>
      </c>
      <c r="AD313" t="s">
        <v>150</v>
      </c>
      <c r="AE313" t="s">
        <v>51</v>
      </c>
    </row>
    <row r="314" spans="1:31" x14ac:dyDescent="0.3">
      <c r="A314">
        <v>10363</v>
      </c>
      <c r="B314">
        <v>34</v>
      </c>
      <c r="C314">
        <v>96.73</v>
      </c>
      <c r="D314">
        <v>4</v>
      </c>
      <c r="E314" s="4" t="str">
        <f t="shared" si="24"/>
        <v>low sales</v>
      </c>
      <c r="F314">
        <v>3288.82</v>
      </c>
      <c r="G314" t="s">
        <v>986</v>
      </c>
      <c r="H314" s="1" t="str">
        <f t="shared" si="25"/>
        <v>Shipped</v>
      </c>
      <c r="I314" s="4" t="str">
        <f t="shared" si="26"/>
        <v>completed</v>
      </c>
      <c r="J314" t="s">
        <v>25</v>
      </c>
      <c r="K314">
        <v>1</v>
      </c>
      <c r="L314">
        <v>1</v>
      </c>
      <c r="M314">
        <v>2005</v>
      </c>
      <c r="N314" t="s">
        <v>181</v>
      </c>
      <c r="O314">
        <v>117</v>
      </c>
      <c r="P314" t="s">
        <v>513</v>
      </c>
      <c r="Q314" t="s">
        <v>467</v>
      </c>
      <c r="R314" t="s">
        <v>468</v>
      </c>
      <c r="S314" t="s">
        <v>469</v>
      </c>
      <c r="U314" s="1" t="str">
        <f t="shared" si="27"/>
        <v>Espoo</v>
      </c>
      <c r="V314" t="s">
        <v>470</v>
      </c>
      <c r="X314" t="s">
        <v>471</v>
      </c>
      <c r="Y314" s="1" t="str">
        <f t="shared" si="28"/>
        <v>FINLAND</v>
      </c>
      <c r="Z314" s="4" t="str">
        <f t="shared" si="29"/>
        <v>Finland</v>
      </c>
      <c r="AA314" t="s">
        <v>130</v>
      </c>
      <c r="AB314" t="s">
        <v>42</v>
      </c>
      <c r="AC314" t="s">
        <v>472</v>
      </c>
      <c r="AD314" t="s">
        <v>473</v>
      </c>
      <c r="AE314" t="s">
        <v>51</v>
      </c>
    </row>
    <row r="315" spans="1:31" x14ac:dyDescent="0.3">
      <c r="A315">
        <v>10376</v>
      </c>
      <c r="B315">
        <v>35</v>
      </c>
      <c r="C315">
        <v>100</v>
      </c>
      <c r="D315">
        <v>1</v>
      </c>
      <c r="E315" s="4" t="str">
        <f t="shared" si="24"/>
        <v>low sales</v>
      </c>
      <c r="F315">
        <v>3987.2</v>
      </c>
      <c r="G315" t="s">
        <v>987</v>
      </c>
      <c r="H315" s="1" t="str">
        <f t="shared" si="25"/>
        <v>Shipped</v>
      </c>
      <c r="I315" s="4" t="str">
        <f t="shared" si="26"/>
        <v>completed</v>
      </c>
      <c r="J315" t="s">
        <v>25</v>
      </c>
      <c r="K315">
        <v>1</v>
      </c>
      <c r="L315">
        <v>2</v>
      </c>
      <c r="M315">
        <v>2005</v>
      </c>
      <c r="N315" t="s">
        <v>181</v>
      </c>
      <c r="O315">
        <v>117</v>
      </c>
      <c r="P315" t="s">
        <v>513</v>
      </c>
      <c r="Q315" t="s">
        <v>514</v>
      </c>
      <c r="R315">
        <v>3105552373</v>
      </c>
      <c r="S315" t="s">
        <v>515</v>
      </c>
      <c r="U315" s="1" t="str">
        <f t="shared" si="27"/>
        <v>Glendale</v>
      </c>
      <c r="V315" t="s">
        <v>516</v>
      </c>
      <c r="W315" t="s">
        <v>55</v>
      </c>
      <c r="X315">
        <v>92561</v>
      </c>
      <c r="Y315" s="1" t="str">
        <f t="shared" si="28"/>
        <v>USA</v>
      </c>
      <c r="Z315" s="4" t="str">
        <f t="shared" si="29"/>
        <v>Usa</v>
      </c>
      <c r="AA315" t="s">
        <v>32</v>
      </c>
      <c r="AB315" t="s">
        <v>33</v>
      </c>
      <c r="AC315" t="s">
        <v>56</v>
      </c>
      <c r="AD315" t="s">
        <v>245</v>
      </c>
      <c r="AE315" t="s">
        <v>51</v>
      </c>
    </row>
    <row r="316" spans="1:31" x14ac:dyDescent="0.3">
      <c r="A316">
        <v>10389</v>
      </c>
      <c r="B316">
        <v>25</v>
      </c>
      <c r="C316">
        <v>72.38</v>
      </c>
      <c r="D316">
        <v>6</v>
      </c>
      <c r="E316" s="4" t="str">
        <f t="shared" si="24"/>
        <v>low sales</v>
      </c>
      <c r="F316">
        <v>1809.5</v>
      </c>
      <c r="G316" t="s">
        <v>988</v>
      </c>
      <c r="H316" s="1" t="str">
        <f t="shared" si="25"/>
        <v>Shipped</v>
      </c>
      <c r="I316" s="4" t="str">
        <f t="shared" si="26"/>
        <v>completed</v>
      </c>
      <c r="J316" t="s">
        <v>25</v>
      </c>
      <c r="K316">
        <v>1</v>
      </c>
      <c r="L316">
        <v>3</v>
      </c>
      <c r="M316">
        <v>2005</v>
      </c>
      <c r="N316" t="s">
        <v>181</v>
      </c>
      <c r="O316">
        <v>117</v>
      </c>
      <c r="P316" t="s">
        <v>513</v>
      </c>
      <c r="Q316" t="s">
        <v>261</v>
      </c>
      <c r="R316" t="s">
        <v>262</v>
      </c>
      <c r="S316" t="s">
        <v>263</v>
      </c>
      <c r="U316" s="1" t="str">
        <f t="shared" si="27"/>
        <v>Boras</v>
      </c>
      <c r="V316" t="s">
        <v>264</v>
      </c>
      <c r="X316" t="s">
        <v>265</v>
      </c>
      <c r="Y316" s="1" t="str">
        <f t="shared" si="28"/>
        <v>SWEDEN</v>
      </c>
      <c r="Z316" s="4" t="str">
        <f t="shared" si="29"/>
        <v>Sweden</v>
      </c>
      <c r="AA316" t="s">
        <v>188</v>
      </c>
      <c r="AB316" t="s">
        <v>42</v>
      </c>
      <c r="AC316" t="s">
        <v>266</v>
      </c>
      <c r="AD316" t="s">
        <v>206</v>
      </c>
      <c r="AE316" t="s">
        <v>36</v>
      </c>
    </row>
    <row r="317" spans="1:31" x14ac:dyDescent="0.3">
      <c r="A317">
        <v>10419</v>
      </c>
      <c r="B317">
        <v>10</v>
      </c>
      <c r="C317">
        <v>100</v>
      </c>
      <c r="D317">
        <v>11</v>
      </c>
      <c r="E317" s="4" t="str">
        <f t="shared" si="24"/>
        <v>low sales</v>
      </c>
      <c r="F317">
        <v>1092.2</v>
      </c>
      <c r="G317" t="s">
        <v>989</v>
      </c>
      <c r="H317" s="1" t="str">
        <f t="shared" si="25"/>
        <v>Shipped</v>
      </c>
      <c r="I317" s="4" t="str">
        <f t="shared" si="26"/>
        <v>completed</v>
      </c>
      <c r="J317" t="s">
        <v>25</v>
      </c>
      <c r="K317">
        <v>2</v>
      </c>
      <c r="L317">
        <v>5</v>
      </c>
      <c r="M317">
        <v>2005</v>
      </c>
      <c r="N317" t="s">
        <v>181</v>
      </c>
      <c r="O317">
        <v>117</v>
      </c>
      <c r="P317" t="s">
        <v>513</v>
      </c>
      <c r="Q317" t="s">
        <v>144</v>
      </c>
      <c r="R317" t="s">
        <v>145</v>
      </c>
      <c r="S317" t="s">
        <v>146</v>
      </c>
      <c r="U317" s="1" t="str">
        <f t="shared" si="27"/>
        <v>Salzburg</v>
      </c>
      <c r="V317" t="s">
        <v>147</v>
      </c>
      <c r="X317">
        <v>5020</v>
      </c>
      <c r="Y317" s="1" t="str">
        <f t="shared" si="28"/>
        <v>AUSTRIA</v>
      </c>
      <c r="Z317" s="4" t="str">
        <f t="shared" si="29"/>
        <v>Austria</v>
      </c>
      <c r="AA317" t="s">
        <v>148</v>
      </c>
      <c r="AB317" t="s">
        <v>42</v>
      </c>
      <c r="AC317" t="s">
        <v>149</v>
      </c>
      <c r="AD317" t="s">
        <v>150</v>
      </c>
      <c r="AE317" t="s">
        <v>36</v>
      </c>
    </row>
    <row r="318" spans="1:31" x14ac:dyDescent="0.3">
      <c r="A318">
        <v>10105</v>
      </c>
      <c r="B318">
        <v>29</v>
      </c>
      <c r="C318">
        <v>100</v>
      </c>
      <c r="D318">
        <v>14</v>
      </c>
      <c r="E318" s="4" t="str">
        <f t="shared" si="24"/>
        <v>high sales</v>
      </c>
      <c r="F318">
        <v>4566.05</v>
      </c>
      <c r="G318" t="s">
        <v>990</v>
      </c>
      <c r="H318" s="1" t="str">
        <f t="shared" si="25"/>
        <v>Shipped</v>
      </c>
      <c r="I318" s="4" t="str">
        <f t="shared" si="26"/>
        <v>completed</v>
      </c>
      <c r="J318" t="s">
        <v>25</v>
      </c>
      <c r="K318">
        <v>1</v>
      </c>
      <c r="L318">
        <v>2</v>
      </c>
      <c r="M318">
        <v>2003</v>
      </c>
      <c r="N318" t="s">
        <v>181</v>
      </c>
      <c r="O318">
        <v>173</v>
      </c>
      <c r="P318" t="s">
        <v>517</v>
      </c>
      <c r="Q318" t="s">
        <v>322</v>
      </c>
      <c r="R318" t="s">
        <v>323</v>
      </c>
      <c r="S318" t="s">
        <v>324</v>
      </c>
      <c r="U318" s="1" t="str">
        <f t="shared" si="27"/>
        <v>Kobenhavn</v>
      </c>
      <c r="V318" t="s">
        <v>325</v>
      </c>
      <c r="X318">
        <v>1734</v>
      </c>
      <c r="Y318" s="1" t="str">
        <f t="shared" si="28"/>
        <v>DENMARK</v>
      </c>
      <c r="Z318" s="4" t="str">
        <f t="shared" si="29"/>
        <v>Denmark</v>
      </c>
      <c r="AA318" t="s">
        <v>326</v>
      </c>
      <c r="AB318" t="s">
        <v>42</v>
      </c>
      <c r="AC318" t="s">
        <v>327</v>
      </c>
      <c r="AD318" t="s">
        <v>328</v>
      </c>
      <c r="AE318" t="s">
        <v>51</v>
      </c>
    </row>
    <row r="319" spans="1:31" x14ac:dyDescent="0.3">
      <c r="A319">
        <v>10117</v>
      </c>
      <c r="B319">
        <v>39</v>
      </c>
      <c r="C319">
        <v>100</v>
      </c>
      <c r="D319">
        <v>8</v>
      </c>
      <c r="E319" s="4" t="str">
        <f t="shared" si="24"/>
        <v>high sales</v>
      </c>
      <c r="F319">
        <v>5938.14</v>
      </c>
      <c r="G319" t="s">
        <v>991</v>
      </c>
      <c r="H319" s="1" t="str">
        <f t="shared" si="25"/>
        <v>Shipped</v>
      </c>
      <c r="I319" s="4" t="str">
        <f t="shared" si="26"/>
        <v>completed</v>
      </c>
      <c r="J319" t="s">
        <v>25</v>
      </c>
      <c r="K319">
        <v>2</v>
      </c>
      <c r="L319">
        <v>4</v>
      </c>
      <c r="M319">
        <v>2003</v>
      </c>
      <c r="N319" t="s">
        <v>181</v>
      </c>
      <c r="O319">
        <v>173</v>
      </c>
      <c r="P319" t="s">
        <v>517</v>
      </c>
      <c r="Q319" t="s">
        <v>196</v>
      </c>
      <c r="R319" t="s">
        <v>197</v>
      </c>
      <c r="S319" t="s">
        <v>198</v>
      </c>
      <c r="U319" s="1" t="str">
        <f t="shared" si="27"/>
        <v>Singapore</v>
      </c>
      <c r="V319" t="s">
        <v>199</v>
      </c>
      <c r="X319">
        <v>79903</v>
      </c>
      <c r="Y319" s="1" t="str">
        <f t="shared" si="28"/>
        <v>SINGAPORE</v>
      </c>
      <c r="Z319" s="4" t="str">
        <f t="shared" si="29"/>
        <v>Singapore</v>
      </c>
      <c r="AA319" t="s">
        <v>199</v>
      </c>
      <c r="AB319" t="s">
        <v>200</v>
      </c>
      <c r="AC319" t="s">
        <v>201</v>
      </c>
      <c r="AD319" t="s">
        <v>202</v>
      </c>
      <c r="AE319" t="s">
        <v>51</v>
      </c>
    </row>
    <row r="320" spans="1:31" x14ac:dyDescent="0.3">
      <c r="A320">
        <v>10127</v>
      </c>
      <c r="B320">
        <v>42</v>
      </c>
      <c r="C320">
        <v>100</v>
      </c>
      <c r="D320">
        <v>1</v>
      </c>
      <c r="E320" s="4" t="str">
        <f t="shared" si="24"/>
        <v>high sales</v>
      </c>
      <c r="F320">
        <v>8138.76</v>
      </c>
      <c r="G320" t="s">
        <v>992</v>
      </c>
      <c r="H320" s="1" t="str">
        <f t="shared" si="25"/>
        <v>Shipped</v>
      </c>
      <c r="I320" s="4" t="str">
        <f t="shared" si="26"/>
        <v>completed</v>
      </c>
      <c r="J320" t="s">
        <v>25</v>
      </c>
      <c r="K320">
        <v>2</v>
      </c>
      <c r="L320">
        <v>6</v>
      </c>
      <c r="M320">
        <v>2003</v>
      </c>
      <c r="N320" t="s">
        <v>181</v>
      </c>
      <c r="O320">
        <v>173</v>
      </c>
      <c r="P320" t="s">
        <v>517</v>
      </c>
      <c r="Q320" t="s">
        <v>475</v>
      </c>
      <c r="R320">
        <v>2125557413</v>
      </c>
      <c r="S320" t="s">
        <v>476</v>
      </c>
      <c r="T320" t="s">
        <v>477</v>
      </c>
      <c r="U320" s="1" t="str">
        <f t="shared" si="27"/>
        <v>Nyc</v>
      </c>
      <c r="V320" t="s">
        <v>30</v>
      </c>
      <c r="W320" t="s">
        <v>31</v>
      </c>
      <c r="X320">
        <v>10022</v>
      </c>
      <c r="Y320" s="1" t="str">
        <f t="shared" si="28"/>
        <v>USA</v>
      </c>
      <c r="Z320" s="4" t="str">
        <f t="shared" si="29"/>
        <v>Usa</v>
      </c>
      <c r="AA320" t="s">
        <v>32</v>
      </c>
      <c r="AB320" t="s">
        <v>33</v>
      </c>
      <c r="AC320" t="s">
        <v>56</v>
      </c>
      <c r="AD320" t="s">
        <v>478</v>
      </c>
      <c r="AE320" t="s">
        <v>151</v>
      </c>
    </row>
    <row r="321" spans="1:31" x14ac:dyDescent="0.3">
      <c r="A321">
        <v>10142</v>
      </c>
      <c r="B321">
        <v>46</v>
      </c>
      <c r="C321">
        <v>100</v>
      </c>
      <c r="D321">
        <v>11</v>
      </c>
      <c r="E321" s="4" t="str">
        <f t="shared" si="24"/>
        <v>high sales</v>
      </c>
      <c r="F321">
        <v>9470.94</v>
      </c>
      <c r="G321" t="s">
        <v>993</v>
      </c>
      <c r="H321" s="1" t="str">
        <f t="shared" si="25"/>
        <v>Shipped</v>
      </c>
      <c r="I321" s="4" t="str">
        <f t="shared" si="26"/>
        <v>completed</v>
      </c>
      <c r="J321" t="s">
        <v>25</v>
      </c>
      <c r="K321">
        <v>3</v>
      </c>
      <c r="L321">
        <v>8</v>
      </c>
      <c r="M321">
        <v>2003</v>
      </c>
      <c r="N321" t="s">
        <v>181</v>
      </c>
      <c r="O321">
        <v>173</v>
      </c>
      <c r="P321" t="s">
        <v>517</v>
      </c>
      <c r="Q321" t="s">
        <v>272</v>
      </c>
      <c r="R321">
        <v>4155551450</v>
      </c>
      <c r="S321" t="s">
        <v>273</v>
      </c>
      <c r="U321" s="1" t="str">
        <f t="shared" si="27"/>
        <v>San Rafael</v>
      </c>
      <c r="V321" t="s">
        <v>274</v>
      </c>
      <c r="W321" t="s">
        <v>55</v>
      </c>
      <c r="X321">
        <v>97562</v>
      </c>
      <c r="Y321" s="1" t="str">
        <f t="shared" si="28"/>
        <v>USA</v>
      </c>
      <c r="Z321" s="4" t="str">
        <f t="shared" si="29"/>
        <v>Usa</v>
      </c>
      <c r="AA321" t="s">
        <v>32</v>
      </c>
      <c r="AB321" t="s">
        <v>33</v>
      </c>
      <c r="AC321" t="s">
        <v>275</v>
      </c>
      <c r="AD321" t="s">
        <v>276</v>
      </c>
      <c r="AE321" t="s">
        <v>151</v>
      </c>
    </row>
    <row r="322" spans="1:31" x14ac:dyDescent="0.3">
      <c r="A322">
        <v>10153</v>
      </c>
      <c r="B322">
        <v>49</v>
      </c>
      <c r="C322">
        <v>100</v>
      </c>
      <c r="D322">
        <v>10</v>
      </c>
      <c r="E322" s="4" t="str">
        <f t="shared" si="24"/>
        <v>high sales</v>
      </c>
      <c r="F322">
        <v>7036.89</v>
      </c>
      <c r="G322" t="s">
        <v>994</v>
      </c>
      <c r="H322" s="1" t="str">
        <f t="shared" si="25"/>
        <v>Shipped</v>
      </c>
      <c r="I322" s="4" t="str">
        <f t="shared" si="26"/>
        <v>completed</v>
      </c>
      <c r="J322" t="s">
        <v>25</v>
      </c>
      <c r="K322">
        <v>3</v>
      </c>
      <c r="L322">
        <v>9</v>
      </c>
      <c r="M322">
        <v>2003</v>
      </c>
      <c r="N322" t="s">
        <v>181</v>
      </c>
      <c r="O322">
        <v>173</v>
      </c>
      <c r="P322" t="s">
        <v>517</v>
      </c>
      <c r="Q322" t="s">
        <v>174</v>
      </c>
      <c r="R322" t="s">
        <v>175</v>
      </c>
      <c r="S322" t="s">
        <v>176</v>
      </c>
      <c r="U322" s="1" t="str">
        <f t="shared" si="27"/>
        <v>Madrid</v>
      </c>
      <c r="V322" t="s">
        <v>177</v>
      </c>
      <c r="X322">
        <v>28034</v>
      </c>
      <c r="Y322" s="1" t="str">
        <f t="shared" si="28"/>
        <v>SPAIN</v>
      </c>
      <c r="Z322" s="4" t="str">
        <f t="shared" si="29"/>
        <v>Spain</v>
      </c>
      <c r="AA322" t="s">
        <v>178</v>
      </c>
      <c r="AB322" t="s">
        <v>42</v>
      </c>
      <c r="AC322" t="s">
        <v>179</v>
      </c>
      <c r="AD322" t="s">
        <v>180</v>
      </c>
      <c r="AE322" t="s">
        <v>151</v>
      </c>
    </row>
    <row r="323" spans="1:31" x14ac:dyDescent="0.3">
      <c r="A323">
        <v>10165</v>
      </c>
      <c r="B323">
        <v>27</v>
      </c>
      <c r="C323">
        <v>100</v>
      </c>
      <c r="D323">
        <v>2</v>
      </c>
      <c r="E323" s="4" t="str">
        <f t="shared" ref="E323:E386" si="30">IF(F323&gt;4000,"high sales","low sales")</f>
        <v>high sales</v>
      </c>
      <c r="F323">
        <v>5559.03</v>
      </c>
      <c r="G323" t="s">
        <v>995</v>
      </c>
      <c r="H323" s="1" t="str">
        <f t="shared" ref="H323:H386" si="31">PROPER(TRIM(J323))</f>
        <v>Shipped</v>
      </c>
      <c r="I323" s="4" t="str">
        <f t="shared" ref="I323:I386" si="32">IF(J323="shipped","completed","not completed")</f>
        <v>completed</v>
      </c>
      <c r="J323" t="s">
        <v>25</v>
      </c>
      <c r="K323">
        <v>4</v>
      </c>
      <c r="L323">
        <v>10</v>
      </c>
      <c r="M323">
        <v>2003</v>
      </c>
      <c r="N323" t="s">
        <v>181</v>
      </c>
      <c r="O323">
        <v>173</v>
      </c>
      <c r="P323" t="s">
        <v>517</v>
      </c>
      <c r="Q323" t="s">
        <v>196</v>
      </c>
      <c r="R323" t="s">
        <v>197</v>
      </c>
      <c r="S323" t="s">
        <v>198</v>
      </c>
      <c r="U323" s="1" t="str">
        <f t="shared" ref="U323:U386" si="33">PROPER(TRIM(V323))</f>
        <v>Singapore</v>
      </c>
      <c r="V323" t="s">
        <v>199</v>
      </c>
      <c r="X323">
        <v>79903</v>
      </c>
      <c r="Y323" s="1" t="str">
        <f t="shared" ref="Y323:Y386" si="34">UPPER(TRIM(AA323))</f>
        <v>SINGAPORE</v>
      </c>
      <c r="Z323" s="4" t="str">
        <f t="shared" ref="Z323:Z386" si="35">PROPER(TRIM(AA323))</f>
        <v>Singapore</v>
      </c>
      <c r="AA323" t="s">
        <v>199</v>
      </c>
      <c r="AB323" t="s">
        <v>200</v>
      </c>
      <c r="AC323" t="s">
        <v>201</v>
      </c>
      <c r="AD323" t="s">
        <v>202</v>
      </c>
      <c r="AE323" t="s">
        <v>51</v>
      </c>
    </row>
    <row r="324" spans="1:31" x14ac:dyDescent="0.3">
      <c r="A324">
        <v>10176</v>
      </c>
      <c r="B324">
        <v>50</v>
      </c>
      <c r="C324">
        <v>100</v>
      </c>
      <c r="D324">
        <v>1</v>
      </c>
      <c r="E324" s="4" t="str">
        <f t="shared" si="30"/>
        <v>high sales</v>
      </c>
      <c r="F324">
        <v>7872.5</v>
      </c>
      <c r="G324" t="s">
        <v>996</v>
      </c>
      <c r="H324" s="1" t="str">
        <f t="shared" si="31"/>
        <v>Shipped</v>
      </c>
      <c r="I324" s="4" t="str">
        <f t="shared" si="32"/>
        <v>completed</v>
      </c>
      <c r="J324" t="s">
        <v>25</v>
      </c>
      <c r="K324">
        <v>4</v>
      </c>
      <c r="L324">
        <v>11</v>
      </c>
      <c r="M324">
        <v>2003</v>
      </c>
      <c r="N324" t="s">
        <v>181</v>
      </c>
      <c r="O324">
        <v>173</v>
      </c>
      <c r="P324" t="s">
        <v>517</v>
      </c>
      <c r="Q324" t="s">
        <v>452</v>
      </c>
      <c r="R324" t="s">
        <v>453</v>
      </c>
      <c r="S324" t="s">
        <v>454</v>
      </c>
      <c r="U324" s="1" t="str">
        <f t="shared" si="33"/>
        <v>Reggio Emilia</v>
      </c>
      <c r="V324" t="s">
        <v>455</v>
      </c>
      <c r="X324">
        <v>42100</v>
      </c>
      <c r="Y324" s="1" t="str">
        <f t="shared" si="34"/>
        <v>ITALY</v>
      </c>
      <c r="Z324" s="4" t="str">
        <f t="shared" si="35"/>
        <v>Italy</v>
      </c>
      <c r="AA324" t="s">
        <v>258</v>
      </c>
      <c r="AB324" t="s">
        <v>42</v>
      </c>
      <c r="AC324" t="s">
        <v>456</v>
      </c>
      <c r="AD324" t="s">
        <v>457</v>
      </c>
      <c r="AE324" t="s">
        <v>151</v>
      </c>
    </row>
    <row r="325" spans="1:31" x14ac:dyDescent="0.3">
      <c r="A325">
        <v>10185</v>
      </c>
      <c r="B325">
        <v>43</v>
      </c>
      <c r="C325">
        <v>100</v>
      </c>
      <c r="D325">
        <v>12</v>
      </c>
      <c r="E325" s="4" t="str">
        <f t="shared" si="30"/>
        <v>high sales</v>
      </c>
      <c r="F325">
        <v>7886.2</v>
      </c>
      <c r="G325" t="s">
        <v>997</v>
      </c>
      <c r="H325" s="1" t="str">
        <f t="shared" si="31"/>
        <v>Shipped</v>
      </c>
      <c r="I325" s="4" t="str">
        <f t="shared" si="32"/>
        <v>completed</v>
      </c>
      <c r="J325" t="s">
        <v>25</v>
      </c>
      <c r="K325">
        <v>4</v>
      </c>
      <c r="L325">
        <v>11</v>
      </c>
      <c r="M325">
        <v>2003</v>
      </c>
      <c r="N325" t="s">
        <v>181</v>
      </c>
      <c r="O325">
        <v>173</v>
      </c>
      <c r="P325" t="s">
        <v>517</v>
      </c>
      <c r="Q325" t="s">
        <v>335</v>
      </c>
      <c r="R325">
        <v>5085559555</v>
      </c>
      <c r="S325" t="s">
        <v>336</v>
      </c>
      <c r="U325" s="1" t="str">
        <f t="shared" si="33"/>
        <v>New Bedford</v>
      </c>
      <c r="V325" t="s">
        <v>162</v>
      </c>
      <c r="W325" t="s">
        <v>123</v>
      </c>
      <c r="X325">
        <v>50553</v>
      </c>
      <c r="Y325" s="1" t="str">
        <f t="shared" si="34"/>
        <v>USA</v>
      </c>
      <c r="Z325" s="4" t="str">
        <f t="shared" si="35"/>
        <v>Usa</v>
      </c>
      <c r="AA325" t="s">
        <v>32</v>
      </c>
      <c r="AB325" t="s">
        <v>33</v>
      </c>
      <c r="AC325" t="s">
        <v>337</v>
      </c>
      <c r="AD325" t="s">
        <v>338</v>
      </c>
      <c r="AE325" t="s">
        <v>151</v>
      </c>
    </row>
    <row r="326" spans="1:31" x14ac:dyDescent="0.3">
      <c r="A326">
        <v>10196</v>
      </c>
      <c r="B326">
        <v>38</v>
      </c>
      <c r="C326">
        <v>100</v>
      </c>
      <c r="D326">
        <v>4</v>
      </c>
      <c r="E326" s="4" t="str">
        <f t="shared" si="30"/>
        <v>high sales</v>
      </c>
      <c r="F326">
        <v>7232.16</v>
      </c>
      <c r="G326" t="s">
        <v>998</v>
      </c>
      <c r="H326" s="1" t="str">
        <f t="shared" si="31"/>
        <v>Shipped</v>
      </c>
      <c r="I326" s="4" t="str">
        <f t="shared" si="32"/>
        <v>completed</v>
      </c>
      <c r="J326" t="s">
        <v>25</v>
      </c>
      <c r="K326">
        <v>4</v>
      </c>
      <c r="L326">
        <v>11</v>
      </c>
      <c r="M326">
        <v>2003</v>
      </c>
      <c r="N326" t="s">
        <v>181</v>
      </c>
      <c r="O326">
        <v>173</v>
      </c>
      <c r="P326" t="s">
        <v>517</v>
      </c>
      <c r="Q326" t="s">
        <v>242</v>
      </c>
      <c r="R326">
        <v>2035559545</v>
      </c>
      <c r="S326" t="s">
        <v>243</v>
      </c>
      <c r="U326" s="1" t="str">
        <f t="shared" si="33"/>
        <v>New Haven</v>
      </c>
      <c r="V326" t="s">
        <v>244</v>
      </c>
      <c r="W326" t="s">
        <v>112</v>
      </c>
      <c r="X326">
        <v>97823</v>
      </c>
      <c r="Y326" s="1" t="str">
        <f t="shared" si="34"/>
        <v>USA</v>
      </c>
      <c r="Z326" s="4" t="str">
        <f t="shared" si="35"/>
        <v>Usa</v>
      </c>
      <c r="AA326" t="s">
        <v>32</v>
      </c>
      <c r="AB326" t="s">
        <v>33</v>
      </c>
      <c r="AC326" t="s">
        <v>83</v>
      </c>
      <c r="AD326" t="s">
        <v>245</v>
      </c>
      <c r="AE326" t="s">
        <v>151</v>
      </c>
    </row>
    <row r="327" spans="1:31" x14ac:dyDescent="0.3">
      <c r="A327">
        <v>10208</v>
      </c>
      <c r="B327">
        <v>20</v>
      </c>
      <c r="C327">
        <v>100</v>
      </c>
      <c r="D327">
        <v>12</v>
      </c>
      <c r="E327" s="4" t="str">
        <f t="shared" si="30"/>
        <v>low sales</v>
      </c>
      <c r="F327">
        <v>3114.4</v>
      </c>
      <c r="G327" t="s">
        <v>999</v>
      </c>
      <c r="H327" s="1" t="str">
        <f t="shared" si="31"/>
        <v>Shipped</v>
      </c>
      <c r="I327" s="4" t="str">
        <f t="shared" si="32"/>
        <v>completed</v>
      </c>
      <c r="J327" t="s">
        <v>25</v>
      </c>
      <c r="K327">
        <v>1</v>
      </c>
      <c r="L327">
        <v>1</v>
      </c>
      <c r="M327">
        <v>2004</v>
      </c>
      <c r="N327" t="s">
        <v>181</v>
      </c>
      <c r="O327">
        <v>173</v>
      </c>
      <c r="P327" t="s">
        <v>517</v>
      </c>
      <c r="Q327" t="s">
        <v>219</v>
      </c>
      <c r="R327" t="s">
        <v>220</v>
      </c>
      <c r="S327" t="s">
        <v>221</v>
      </c>
      <c r="U327" s="1" t="str">
        <f t="shared" si="33"/>
        <v>Lyon</v>
      </c>
      <c r="V327" t="s">
        <v>222</v>
      </c>
      <c r="X327">
        <v>69004</v>
      </c>
      <c r="Y327" s="1" t="str">
        <f t="shared" si="34"/>
        <v>FRANCE</v>
      </c>
      <c r="Z327" s="4" t="str">
        <f t="shared" si="35"/>
        <v>France</v>
      </c>
      <c r="AA327" t="s">
        <v>41</v>
      </c>
      <c r="AB327" t="s">
        <v>42</v>
      </c>
      <c r="AC327" t="s">
        <v>223</v>
      </c>
      <c r="AD327" t="s">
        <v>224</v>
      </c>
      <c r="AE327" t="s">
        <v>51</v>
      </c>
    </row>
    <row r="328" spans="1:31" x14ac:dyDescent="0.3">
      <c r="A328">
        <v>10220</v>
      </c>
      <c r="B328">
        <v>27</v>
      </c>
      <c r="C328">
        <v>100</v>
      </c>
      <c r="D328">
        <v>1</v>
      </c>
      <c r="E328" s="4" t="str">
        <f t="shared" si="30"/>
        <v>high sales</v>
      </c>
      <c r="F328">
        <v>5045.22</v>
      </c>
      <c r="G328" t="s">
        <v>1000</v>
      </c>
      <c r="H328" s="1" t="str">
        <f t="shared" si="31"/>
        <v>Shipped</v>
      </c>
      <c r="I328" s="4" t="str">
        <f t="shared" si="32"/>
        <v>completed</v>
      </c>
      <c r="J328" t="s">
        <v>25</v>
      </c>
      <c r="K328">
        <v>1</v>
      </c>
      <c r="L328">
        <v>2</v>
      </c>
      <c r="M328">
        <v>2004</v>
      </c>
      <c r="N328" t="s">
        <v>181</v>
      </c>
      <c r="O328">
        <v>173</v>
      </c>
      <c r="P328" t="s">
        <v>517</v>
      </c>
      <c r="Q328" t="s">
        <v>479</v>
      </c>
      <c r="R328" t="s">
        <v>480</v>
      </c>
      <c r="S328" t="s">
        <v>481</v>
      </c>
      <c r="T328" t="s">
        <v>482</v>
      </c>
      <c r="U328" s="1" t="str">
        <f t="shared" si="33"/>
        <v>Dublin</v>
      </c>
      <c r="V328" t="s">
        <v>483</v>
      </c>
      <c r="X328">
        <v>2</v>
      </c>
      <c r="Y328" s="1" t="str">
        <f t="shared" si="34"/>
        <v>IRELAND</v>
      </c>
      <c r="Z328" s="4" t="str">
        <f t="shared" si="35"/>
        <v>Ireland</v>
      </c>
      <c r="AA328" t="s">
        <v>484</v>
      </c>
      <c r="AB328" t="s">
        <v>42</v>
      </c>
      <c r="AC328" t="s">
        <v>485</v>
      </c>
      <c r="AD328" t="s">
        <v>486</v>
      </c>
      <c r="AE328" t="s">
        <v>51</v>
      </c>
    </row>
    <row r="329" spans="1:31" x14ac:dyDescent="0.3">
      <c r="A329">
        <v>10231</v>
      </c>
      <c r="B329">
        <v>49</v>
      </c>
      <c r="C329">
        <v>100</v>
      </c>
      <c r="D329">
        <v>1</v>
      </c>
      <c r="E329" s="4" t="str">
        <f t="shared" si="30"/>
        <v>high sales</v>
      </c>
      <c r="F329">
        <v>6952.12</v>
      </c>
      <c r="G329" t="s">
        <v>1001</v>
      </c>
      <c r="H329" s="1" t="str">
        <f t="shared" si="31"/>
        <v>Shipped</v>
      </c>
      <c r="I329" s="4" t="str">
        <f t="shared" si="32"/>
        <v>completed</v>
      </c>
      <c r="J329" t="s">
        <v>25</v>
      </c>
      <c r="K329">
        <v>1</v>
      </c>
      <c r="L329">
        <v>3</v>
      </c>
      <c r="M329">
        <v>2004</v>
      </c>
      <c r="N329" t="s">
        <v>181</v>
      </c>
      <c r="O329">
        <v>173</v>
      </c>
      <c r="P329" t="s">
        <v>517</v>
      </c>
      <c r="Q329" t="s">
        <v>487</v>
      </c>
      <c r="R329" t="s">
        <v>488</v>
      </c>
      <c r="S329" t="s">
        <v>489</v>
      </c>
      <c r="U329" s="1" t="str">
        <f t="shared" si="33"/>
        <v>Madrid</v>
      </c>
      <c r="V329" t="s">
        <v>177</v>
      </c>
      <c r="X329">
        <v>28023</v>
      </c>
      <c r="Y329" s="1" t="str">
        <f t="shared" si="34"/>
        <v>SPAIN</v>
      </c>
      <c r="Z329" s="4" t="str">
        <f t="shared" si="35"/>
        <v>Spain</v>
      </c>
      <c r="AA329" t="s">
        <v>178</v>
      </c>
      <c r="AB329" t="s">
        <v>42</v>
      </c>
      <c r="AC329" t="s">
        <v>490</v>
      </c>
      <c r="AD329" t="s">
        <v>491</v>
      </c>
      <c r="AE329" t="s">
        <v>51</v>
      </c>
    </row>
    <row r="330" spans="1:31" x14ac:dyDescent="0.3">
      <c r="A330">
        <v>10247</v>
      </c>
      <c r="B330">
        <v>27</v>
      </c>
      <c r="C330">
        <v>100</v>
      </c>
      <c r="D330">
        <v>1</v>
      </c>
      <c r="E330" s="4" t="str">
        <f t="shared" si="30"/>
        <v>high sales</v>
      </c>
      <c r="F330">
        <v>4157.7299999999996</v>
      </c>
      <c r="G330" t="s">
        <v>1002</v>
      </c>
      <c r="H330" s="1" t="str">
        <f t="shared" si="31"/>
        <v>Shipped</v>
      </c>
      <c r="I330" s="4" t="str">
        <f t="shared" si="32"/>
        <v>completed</v>
      </c>
      <c r="J330" t="s">
        <v>25</v>
      </c>
      <c r="K330">
        <v>2</v>
      </c>
      <c r="L330">
        <v>5</v>
      </c>
      <c r="M330">
        <v>2004</v>
      </c>
      <c r="N330" t="s">
        <v>181</v>
      </c>
      <c r="O330">
        <v>173</v>
      </c>
      <c r="P330" t="s">
        <v>517</v>
      </c>
      <c r="Q330" t="s">
        <v>467</v>
      </c>
      <c r="R330" t="s">
        <v>468</v>
      </c>
      <c r="S330" t="s">
        <v>469</v>
      </c>
      <c r="U330" s="1" t="str">
        <f t="shared" si="33"/>
        <v>Espoo</v>
      </c>
      <c r="V330" t="s">
        <v>470</v>
      </c>
      <c r="X330" t="s">
        <v>471</v>
      </c>
      <c r="Y330" s="1" t="str">
        <f t="shared" si="34"/>
        <v>FINLAND</v>
      </c>
      <c r="Z330" s="4" t="str">
        <f t="shared" si="35"/>
        <v>Finland</v>
      </c>
      <c r="AA330" t="s">
        <v>130</v>
      </c>
      <c r="AB330" t="s">
        <v>42</v>
      </c>
      <c r="AC330" t="s">
        <v>472</v>
      </c>
      <c r="AD330" t="s">
        <v>473</v>
      </c>
      <c r="AE330" t="s">
        <v>51</v>
      </c>
    </row>
    <row r="331" spans="1:31" x14ac:dyDescent="0.3">
      <c r="A331">
        <v>10272</v>
      </c>
      <c r="B331">
        <v>39</v>
      </c>
      <c r="C331">
        <v>100</v>
      </c>
      <c r="D331">
        <v>1</v>
      </c>
      <c r="E331" s="4" t="str">
        <f t="shared" si="30"/>
        <v>high sales</v>
      </c>
      <c r="F331">
        <v>7962.24</v>
      </c>
      <c r="G331" t="s">
        <v>1003</v>
      </c>
      <c r="H331" s="1" t="str">
        <f t="shared" si="31"/>
        <v>Shipped</v>
      </c>
      <c r="I331" s="4" t="str">
        <f t="shared" si="32"/>
        <v>completed</v>
      </c>
      <c r="J331" t="s">
        <v>25</v>
      </c>
      <c r="K331">
        <v>3</v>
      </c>
      <c r="L331">
        <v>7</v>
      </c>
      <c r="M331">
        <v>2004</v>
      </c>
      <c r="N331" t="s">
        <v>181</v>
      </c>
      <c r="O331">
        <v>173</v>
      </c>
      <c r="P331" t="s">
        <v>517</v>
      </c>
      <c r="Q331" t="s">
        <v>139</v>
      </c>
      <c r="R331">
        <v>2155551555</v>
      </c>
      <c r="S331" t="s">
        <v>140</v>
      </c>
      <c r="U331" s="1" t="str">
        <f t="shared" si="33"/>
        <v>Allentown</v>
      </c>
      <c r="V331" t="s">
        <v>141</v>
      </c>
      <c r="W331" t="s">
        <v>142</v>
      </c>
      <c r="X331">
        <v>70267</v>
      </c>
      <c r="Y331" s="1" t="str">
        <f t="shared" si="34"/>
        <v>USA</v>
      </c>
      <c r="Z331" s="4" t="str">
        <f t="shared" si="35"/>
        <v>Usa</v>
      </c>
      <c r="AA331" t="s">
        <v>32</v>
      </c>
      <c r="AB331" t="s">
        <v>33</v>
      </c>
      <c r="AC331" t="s">
        <v>34</v>
      </c>
      <c r="AD331" t="s">
        <v>143</v>
      </c>
      <c r="AE331" t="s">
        <v>151</v>
      </c>
    </row>
    <row r="332" spans="1:31" x14ac:dyDescent="0.3">
      <c r="A332">
        <v>10282</v>
      </c>
      <c r="B332">
        <v>24</v>
      </c>
      <c r="C332">
        <v>100</v>
      </c>
      <c r="D332">
        <v>4</v>
      </c>
      <c r="E332" s="4" t="str">
        <f t="shared" si="30"/>
        <v>low sales</v>
      </c>
      <c r="F332">
        <v>3778.8</v>
      </c>
      <c r="G332" t="s">
        <v>1004</v>
      </c>
      <c r="H332" s="1" t="str">
        <f t="shared" si="31"/>
        <v>Shipped</v>
      </c>
      <c r="I332" s="4" t="str">
        <f t="shared" si="32"/>
        <v>completed</v>
      </c>
      <c r="J332" t="s">
        <v>25</v>
      </c>
      <c r="K332">
        <v>3</v>
      </c>
      <c r="L332">
        <v>8</v>
      </c>
      <c r="M332">
        <v>2004</v>
      </c>
      <c r="N332" t="s">
        <v>181</v>
      </c>
      <c r="O332">
        <v>173</v>
      </c>
      <c r="P332" t="s">
        <v>517</v>
      </c>
      <c r="Q332" t="s">
        <v>272</v>
      </c>
      <c r="R332">
        <v>4155551450</v>
      </c>
      <c r="S332" t="s">
        <v>273</v>
      </c>
      <c r="U332" s="1" t="str">
        <f t="shared" si="33"/>
        <v>San Rafael</v>
      </c>
      <c r="V332" t="s">
        <v>274</v>
      </c>
      <c r="W332" t="s">
        <v>55</v>
      </c>
      <c r="X332">
        <v>97562</v>
      </c>
      <c r="Y332" s="1" t="str">
        <f t="shared" si="34"/>
        <v>USA</v>
      </c>
      <c r="Z332" s="4" t="str">
        <f t="shared" si="35"/>
        <v>Usa</v>
      </c>
      <c r="AA332" t="s">
        <v>32</v>
      </c>
      <c r="AB332" t="s">
        <v>33</v>
      </c>
      <c r="AC332" t="s">
        <v>275</v>
      </c>
      <c r="AD332" t="s">
        <v>276</v>
      </c>
      <c r="AE332" t="s">
        <v>51</v>
      </c>
    </row>
    <row r="333" spans="1:31" x14ac:dyDescent="0.3">
      <c r="A333">
        <v>10293</v>
      </c>
      <c r="B333">
        <v>45</v>
      </c>
      <c r="C333">
        <v>100</v>
      </c>
      <c r="D333">
        <v>7</v>
      </c>
      <c r="E333" s="4" t="str">
        <f t="shared" si="30"/>
        <v>high sales</v>
      </c>
      <c r="F333">
        <v>8253</v>
      </c>
      <c r="G333" t="s">
        <v>1005</v>
      </c>
      <c r="H333" s="1" t="str">
        <f t="shared" si="31"/>
        <v>Shipped</v>
      </c>
      <c r="I333" s="4" t="str">
        <f t="shared" si="32"/>
        <v>completed</v>
      </c>
      <c r="J333" t="s">
        <v>25</v>
      </c>
      <c r="K333">
        <v>3</v>
      </c>
      <c r="L333">
        <v>9</v>
      </c>
      <c r="M333">
        <v>2004</v>
      </c>
      <c r="N333" t="s">
        <v>181</v>
      </c>
      <c r="O333">
        <v>173</v>
      </c>
      <c r="P333" t="s">
        <v>517</v>
      </c>
      <c r="Q333" t="s">
        <v>254</v>
      </c>
      <c r="R333" t="s">
        <v>255</v>
      </c>
      <c r="S333" t="s">
        <v>256</v>
      </c>
      <c r="U333" s="1" t="str">
        <f t="shared" si="33"/>
        <v>Torino</v>
      </c>
      <c r="V333" t="s">
        <v>257</v>
      </c>
      <c r="X333">
        <v>10100</v>
      </c>
      <c r="Y333" s="1" t="str">
        <f t="shared" si="34"/>
        <v>ITALY</v>
      </c>
      <c r="Z333" s="4" t="str">
        <f t="shared" si="35"/>
        <v>Italy</v>
      </c>
      <c r="AA333" t="s">
        <v>258</v>
      </c>
      <c r="AB333" t="s">
        <v>42</v>
      </c>
      <c r="AC333" t="s">
        <v>259</v>
      </c>
      <c r="AD333" t="s">
        <v>260</v>
      </c>
      <c r="AE333" t="s">
        <v>151</v>
      </c>
    </row>
    <row r="334" spans="1:31" x14ac:dyDescent="0.3">
      <c r="A334">
        <v>10306</v>
      </c>
      <c r="B334">
        <v>20</v>
      </c>
      <c r="C334">
        <v>100</v>
      </c>
      <c r="D334">
        <v>12</v>
      </c>
      <c r="E334" s="4" t="str">
        <f t="shared" si="30"/>
        <v>low sales</v>
      </c>
      <c r="F334">
        <v>3633.4</v>
      </c>
      <c r="G334" t="s">
        <v>1006</v>
      </c>
      <c r="H334" s="1" t="str">
        <f t="shared" si="31"/>
        <v>Shipped</v>
      </c>
      <c r="I334" s="4" t="str">
        <f t="shared" si="32"/>
        <v>completed</v>
      </c>
      <c r="J334" t="s">
        <v>25</v>
      </c>
      <c r="K334">
        <v>4</v>
      </c>
      <c r="L334">
        <v>10</v>
      </c>
      <c r="M334">
        <v>2004</v>
      </c>
      <c r="N334" t="s">
        <v>181</v>
      </c>
      <c r="O334">
        <v>173</v>
      </c>
      <c r="P334" t="s">
        <v>517</v>
      </c>
      <c r="Q334" t="s">
        <v>492</v>
      </c>
      <c r="R334" t="s">
        <v>493</v>
      </c>
      <c r="S334" t="s">
        <v>494</v>
      </c>
      <c r="U334" s="1" t="str">
        <f t="shared" si="33"/>
        <v>Manchester</v>
      </c>
      <c r="V334" t="s">
        <v>495</v>
      </c>
      <c r="X334" t="s">
        <v>496</v>
      </c>
      <c r="Y334" s="1" t="str">
        <f t="shared" si="34"/>
        <v>UK</v>
      </c>
      <c r="Z334" s="4" t="str">
        <f t="shared" si="35"/>
        <v>Uk</v>
      </c>
      <c r="AA334" t="s">
        <v>170</v>
      </c>
      <c r="AB334" t="s">
        <v>42</v>
      </c>
      <c r="AC334" t="s">
        <v>497</v>
      </c>
      <c r="AD334" t="s">
        <v>94</v>
      </c>
      <c r="AE334" t="s">
        <v>51</v>
      </c>
    </row>
    <row r="335" spans="1:31" x14ac:dyDescent="0.3">
      <c r="A335">
        <v>10314</v>
      </c>
      <c r="B335">
        <v>36</v>
      </c>
      <c r="C335">
        <v>100</v>
      </c>
      <c r="D335">
        <v>4</v>
      </c>
      <c r="E335" s="4" t="str">
        <f t="shared" si="30"/>
        <v>high sales</v>
      </c>
      <c r="F335">
        <v>6913.8</v>
      </c>
      <c r="G335" t="s">
        <v>1007</v>
      </c>
      <c r="H335" s="1" t="str">
        <f t="shared" si="31"/>
        <v>Shipped</v>
      </c>
      <c r="I335" s="4" t="str">
        <f t="shared" si="32"/>
        <v>completed</v>
      </c>
      <c r="J335" t="s">
        <v>25</v>
      </c>
      <c r="K335">
        <v>4</v>
      </c>
      <c r="L335">
        <v>10</v>
      </c>
      <c r="M335">
        <v>2004</v>
      </c>
      <c r="N335" t="s">
        <v>181</v>
      </c>
      <c r="O335">
        <v>173</v>
      </c>
      <c r="P335" t="s">
        <v>517</v>
      </c>
      <c r="Q335" t="s">
        <v>498</v>
      </c>
      <c r="R335" t="s">
        <v>499</v>
      </c>
      <c r="S335" t="s">
        <v>500</v>
      </c>
      <c r="U335" s="1" t="str">
        <f t="shared" si="33"/>
        <v>Aaarhus</v>
      </c>
      <c r="V335" t="s">
        <v>501</v>
      </c>
      <c r="X335">
        <v>8200</v>
      </c>
      <c r="Y335" s="1" t="str">
        <f t="shared" si="34"/>
        <v>DENMARK</v>
      </c>
      <c r="Z335" s="4" t="str">
        <f t="shared" si="35"/>
        <v>Denmark</v>
      </c>
      <c r="AA335" t="s">
        <v>326</v>
      </c>
      <c r="AB335" t="s">
        <v>42</v>
      </c>
      <c r="AC335" t="s">
        <v>502</v>
      </c>
      <c r="AD335" t="s">
        <v>503</v>
      </c>
      <c r="AE335" t="s">
        <v>51</v>
      </c>
    </row>
    <row r="336" spans="1:31" x14ac:dyDescent="0.3">
      <c r="A336">
        <v>10325</v>
      </c>
      <c r="B336">
        <v>24</v>
      </c>
      <c r="C336">
        <v>100</v>
      </c>
      <c r="D336">
        <v>1</v>
      </c>
      <c r="E336" s="4" t="str">
        <f t="shared" si="30"/>
        <v>low sales</v>
      </c>
      <c r="F336">
        <v>2583.6</v>
      </c>
      <c r="G336" t="s">
        <v>1008</v>
      </c>
      <c r="H336" s="1" t="str">
        <f t="shared" si="31"/>
        <v>Shipped</v>
      </c>
      <c r="I336" s="4" t="str">
        <f t="shared" si="32"/>
        <v>completed</v>
      </c>
      <c r="J336" t="s">
        <v>25</v>
      </c>
      <c r="K336">
        <v>4</v>
      </c>
      <c r="L336">
        <v>11</v>
      </c>
      <c r="M336">
        <v>2004</v>
      </c>
      <c r="N336" t="s">
        <v>181</v>
      </c>
      <c r="O336">
        <v>173</v>
      </c>
      <c r="P336" t="s">
        <v>517</v>
      </c>
      <c r="Q336" t="s">
        <v>133</v>
      </c>
      <c r="R336" t="s">
        <v>134</v>
      </c>
      <c r="S336" t="s">
        <v>135</v>
      </c>
      <c r="U336" s="1" t="str">
        <f t="shared" si="33"/>
        <v>Stavern</v>
      </c>
      <c r="V336" t="s">
        <v>136</v>
      </c>
      <c r="X336">
        <v>4110</v>
      </c>
      <c r="Y336" s="1" t="str">
        <f t="shared" si="34"/>
        <v>NORWAY</v>
      </c>
      <c r="Z336" s="4" t="str">
        <f t="shared" si="35"/>
        <v>Norway</v>
      </c>
      <c r="AA336" t="s">
        <v>78</v>
      </c>
      <c r="AB336" t="s">
        <v>42</v>
      </c>
      <c r="AC336" t="s">
        <v>137</v>
      </c>
      <c r="AD336" t="s">
        <v>138</v>
      </c>
      <c r="AE336" t="s">
        <v>36</v>
      </c>
    </row>
    <row r="337" spans="1:31" x14ac:dyDescent="0.3">
      <c r="A337">
        <v>10336</v>
      </c>
      <c r="B337">
        <v>49</v>
      </c>
      <c r="C337">
        <v>63.38</v>
      </c>
      <c r="D337">
        <v>1</v>
      </c>
      <c r="E337" s="4" t="str">
        <f t="shared" si="30"/>
        <v>low sales</v>
      </c>
      <c r="F337">
        <v>3105.62</v>
      </c>
      <c r="G337" t="s">
        <v>1009</v>
      </c>
      <c r="H337" s="1" t="str">
        <f t="shared" si="31"/>
        <v>Shipped</v>
      </c>
      <c r="I337" s="4" t="str">
        <f t="shared" si="32"/>
        <v>completed</v>
      </c>
      <c r="J337" t="s">
        <v>25</v>
      </c>
      <c r="K337">
        <v>4</v>
      </c>
      <c r="L337">
        <v>11</v>
      </c>
      <c r="M337">
        <v>2004</v>
      </c>
      <c r="N337" t="s">
        <v>181</v>
      </c>
      <c r="O337">
        <v>173</v>
      </c>
      <c r="P337" t="s">
        <v>517</v>
      </c>
      <c r="Q337" t="s">
        <v>403</v>
      </c>
      <c r="R337" t="s">
        <v>404</v>
      </c>
      <c r="S337" t="s">
        <v>405</v>
      </c>
      <c r="U337" s="1" t="str">
        <f t="shared" si="33"/>
        <v>Paris</v>
      </c>
      <c r="V337" t="s">
        <v>48</v>
      </c>
      <c r="X337">
        <v>75012</v>
      </c>
      <c r="Y337" s="1" t="str">
        <f t="shared" si="34"/>
        <v>FRANCE</v>
      </c>
      <c r="Z337" s="4" t="str">
        <f t="shared" si="35"/>
        <v>France</v>
      </c>
      <c r="AA337" t="s">
        <v>41</v>
      </c>
      <c r="AB337" t="s">
        <v>42</v>
      </c>
      <c r="AC337" t="s">
        <v>406</v>
      </c>
      <c r="AD337" t="s">
        <v>407</v>
      </c>
      <c r="AE337" t="s">
        <v>51</v>
      </c>
    </row>
    <row r="338" spans="1:31" x14ac:dyDescent="0.3">
      <c r="A338">
        <v>10349</v>
      </c>
      <c r="B338">
        <v>26</v>
      </c>
      <c r="C338">
        <v>100</v>
      </c>
      <c r="D338">
        <v>10</v>
      </c>
      <c r="E338" s="4" t="str">
        <f t="shared" si="30"/>
        <v>high sales</v>
      </c>
      <c r="F338">
        <v>4408.5600000000004</v>
      </c>
      <c r="G338" t="s">
        <v>1010</v>
      </c>
      <c r="H338" s="1" t="str">
        <f t="shared" si="31"/>
        <v>Shipped</v>
      </c>
      <c r="I338" s="4" t="str">
        <f t="shared" si="32"/>
        <v>completed</v>
      </c>
      <c r="J338" t="s">
        <v>25</v>
      </c>
      <c r="K338">
        <v>4</v>
      </c>
      <c r="L338">
        <v>12</v>
      </c>
      <c r="M338">
        <v>2004</v>
      </c>
      <c r="N338" t="s">
        <v>181</v>
      </c>
      <c r="O338">
        <v>173</v>
      </c>
      <c r="P338" t="s">
        <v>517</v>
      </c>
      <c r="Q338" t="s">
        <v>475</v>
      </c>
      <c r="R338">
        <v>2125557413</v>
      </c>
      <c r="S338" t="s">
        <v>476</v>
      </c>
      <c r="T338" t="s">
        <v>477</v>
      </c>
      <c r="U338" s="1" t="str">
        <f t="shared" si="33"/>
        <v>Nyc</v>
      </c>
      <c r="V338" t="s">
        <v>30</v>
      </c>
      <c r="W338" t="s">
        <v>31</v>
      </c>
      <c r="X338">
        <v>10022</v>
      </c>
      <c r="Y338" s="1" t="str">
        <f t="shared" si="34"/>
        <v>USA</v>
      </c>
      <c r="Z338" s="4" t="str">
        <f t="shared" si="35"/>
        <v>Usa</v>
      </c>
      <c r="AA338" t="s">
        <v>32</v>
      </c>
      <c r="AB338" t="s">
        <v>33</v>
      </c>
      <c r="AC338" t="s">
        <v>56</v>
      </c>
      <c r="AD338" t="s">
        <v>478</v>
      </c>
      <c r="AE338" t="s">
        <v>51</v>
      </c>
    </row>
    <row r="339" spans="1:31" x14ac:dyDescent="0.3">
      <c r="A339">
        <v>10359</v>
      </c>
      <c r="B339">
        <v>49</v>
      </c>
      <c r="C339">
        <v>62.09</v>
      </c>
      <c r="D339">
        <v>5</v>
      </c>
      <c r="E339" s="4" t="str">
        <f t="shared" si="30"/>
        <v>low sales</v>
      </c>
      <c r="F339">
        <v>3042.41</v>
      </c>
      <c r="G339" t="s">
        <v>1011</v>
      </c>
      <c r="H339" s="1" t="str">
        <f t="shared" si="31"/>
        <v>Shipped</v>
      </c>
      <c r="I339" s="4" t="str">
        <f t="shared" si="32"/>
        <v>completed</v>
      </c>
      <c r="J339" t="s">
        <v>25</v>
      </c>
      <c r="K339">
        <v>4</v>
      </c>
      <c r="L339">
        <v>12</v>
      </c>
      <c r="M339">
        <v>2004</v>
      </c>
      <c r="N339" t="s">
        <v>181</v>
      </c>
      <c r="O339">
        <v>173</v>
      </c>
      <c r="P339" t="s">
        <v>517</v>
      </c>
      <c r="Q339" t="s">
        <v>37</v>
      </c>
      <c r="R339" t="s">
        <v>38</v>
      </c>
      <c r="S339" t="s">
        <v>39</v>
      </c>
      <c r="U339" s="1" t="str">
        <f t="shared" si="33"/>
        <v>Reims</v>
      </c>
      <c r="V339" t="s">
        <v>40</v>
      </c>
      <c r="X339">
        <v>51100</v>
      </c>
      <c r="Y339" s="1" t="str">
        <f t="shared" si="34"/>
        <v>FRANCE</v>
      </c>
      <c r="Z339" s="4" t="str">
        <f t="shared" si="35"/>
        <v>France</v>
      </c>
      <c r="AA339" t="s">
        <v>41</v>
      </c>
      <c r="AB339" t="s">
        <v>42</v>
      </c>
      <c r="AC339" t="s">
        <v>43</v>
      </c>
      <c r="AD339" t="s">
        <v>44</v>
      </c>
      <c r="AE339" t="s">
        <v>51</v>
      </c>
    </row>
    <row r="340" spans="1:31" x14ac:dyDescent="0.3">
      <c r="A340">
        <v>10372</v>
      </c>
      <c r="B340">
        <v>34</v>
      </c>
      <c r="C340">
        <v>100</v>
      </c>
      <c r="D340">
        <v>1</v>
      </c>
      <c r="E340" s="4" t="str">
        <f t="shared" si="30"/>
        <v>high sales</v>
      </c>
      <c r="F340">
        <v>5941.5</v>
      </c>
      <c r="G340" t="s">
        <v>1012</v>
      </c>
      <c r="H340" s="1" t="str">
        <f t="shared" si="31"/>
        <v>Shipped</v>
      </c>
      <c r="I340" s="4" t="str">
        <f t="shared" si="32"/>
        <v>completed</v>
      </c>
      <c r="J340" t="s">
        <v>25</v>
      </c>
      <c r="K340">
        <v>1</v>
      </c>
      <c r="L340">
        <v>1</v>
      </c>
      <c r="M340">
        <v>2005</v>
      </c>
      <c r="N340" t="s">
        <v>181</v>
      </c>
      <c r="O340">
        <v>173</v>
      </c>
      <c r="P340" t="s">
        <v>517</v>
      </c>
      <c r="Q340" t="s">
        <v>246</v>
      </c>
      <c r="R340" t="s">
        <v>247</v>
      </c>
      <c r="S340" t="s">
        <v>248</v>
      </c>
      <c r="U340" s="1" t="str">
        <f t="shared" si="33"/>
        <v>Minato-Ku</v>
      </c>
      <c r="V340" t="s">
        <v>249</v>
      </c>
      <c r="W340" t="s">
        <v>250</v>
      </c>
      <c r="X340" t="s">
        <v>251</v>
      </c>
      <c r="Y340" s="1" t="str">
        <f t="shared" si="34"/>
        <v>JAPAN</v>
      </c>
      <c r="Z340" s="4" t="str">
        <f t="shared" si="35"/>
        <v>Japan</v>
      </c>
      <c r="AA340" t="s">
        <v>200</v>
      </c>
      <c r="AB340" t="s">
        <v>200</v>
      </c>
      <c r="AC340" t="s">
        <v>252</v>
      </c>
      <c r="AD340" t="s">
        <v>253</v>
      </c>
      <c r="AE340" t="s">
        <v>51</v>
      </c>
    </row>
    <row r="341" spans="1:31" x14ac:dyDescent="0.3">
      <c r="A341">
        <v>10382</v>
      </c>
      <c r="B341">
        <v>34</v>
      </c>
      <c r="C341">
        <v>95.35</v>
      </c>
      <c r="D341">
        <v>12</v>
      </c>
      <c r="E341" s="4" t="str">
        <f t="shared" si="30"/>
        <v>low sales</v>
      </c>
      <c r="F341">
        <v>3241.9</v>
      </c>
      <c r="G341" t="s">
        <v>1013</v>
      </c>
      <c r="H341" s="1" t="str">
        <f t="shared" si="31"/>
        <v>Shipped</v>
      </c>
      <c r="I341" s="4" t="str">
        <f t="shared" si="32"/>
        <v>completed</v>
      </c>
      <c r="J341" t="s">
        <v>25</v>
      </c>
      <c r="K341">
        <v>1</v>
      </c>
      <c r="L341">
        <v>2</v>
      </c>
      <c r="M341">
        <v>2005</v>
      </c>
      <c r="N341" t="s">
        <v>181</v>
      </c>
      <c r="O341">
        <v>173</v>
      </c>
      <c r="P341" t="s">
        <v>517</v>
      </c>
      <c r="Q341" t="s">
        <v>272</v>
      </c>
      <c r="R341">
        <v>4155551450</v>
      </c>
      <c r="S341" t="s">
        <v>273</v>
      </c>
      <c r="U341" s="1" t="str">
        <f t="shared" si="33"/>
        <v>San Rafael</v>
      </c>
      <c r="V341" t="s">
        <v>274</v>
      </c>
      <c r="W341" t="s">
        <v>55</v>
      </c>
      <c r="X341">
        <v>97562</v>
      </c>
      <c r="Y341" s="1" t="str">
        <f t="shared" si="34"/>
        <v>USA</v>
      </c>
      <c r="Z341" s="4" t="str">
        <f t="shared" si="35"/>
        <v>Usa</v>
      </c>
      <c r="AA341" t="s">
        <v>32</v>
      </c>
      <c r="AB341" t="s">
        <v>33</v>
      </c>
      <c r="AC341" t="s">
        <v>275</v>
      </c>
      <c r="AD341" t="s">
        <v>276</v>
      </c>
      <c r="AE341" t="s">
        <v>51</v>
      </c>
    </row>
    <row r="342" spans="1:31" x14ac:dyDescent="0.3">
      <c r="A342">
        <v>10396</v>
      </c>
      <c r="B342">
        <v>33</v>
      </c>
      <c r="C342">
        <v>100</v>
      </c>
      <c r="D342">
        <v>3</v>
      </c>
      <c r="E342" s="4" t="str">
        <f t="shared" si="30"/>
        <v>high sales</v>
      </c>
      <c r="F342">
        <v>6109.29</v>
      </c>
      <c r="G342" t="s">
        <v>1014</v>
      </c>
      <c r="H342" s="1" t="str">
        <f t="shared" si="31"/>
        <v>Shipped</v>
      </c>
      <c r="I342" s="4" t="str">
        <f t="shared" si="32"/>
        <v>completed</v>
      </c>
      <c r="J342" t="s">
        <v>25</v>
      </c>
      <c r="K342">
        <v>1</v>
      </c>
      <c r="L342">
        <v>3</v>
      </c>
      <c r="M342">
        <v>2005</v>
      </c>
      <c r="N342" t="s">
        <v>181</v>
      </c>
      <c r="O342">
        <v>173</v>
      </c>
      <c r="P342" t="s">
        <v>517</v>
      </c>
      <c r="Q342" t="s">
        <v>272</v>
      </c>
      <c r="R342">
        <v>4155551450</v>
      </c>
      <c r="S342" t="s">
        <v>273</v>
      </c>
      <c r="U342" s="1" t="str">
        <f t="shared" si="33"/>
        <v>San Rafael</v>
      </c>
      <c r="V342" t="s">
        <v>274</v>
      </c>
      <c r="W342" t="s">
        <v>55</v>
      </c>
      <c r="X342">
        <v>97562</v>
      </c>
      <c r="Y342" s="1" t="str">
        <f t="shared" si="34"/>
        <v>USA</v>
      </c>
      <c r="Z342" s="4" t="str">
        <f t="shared" si="35"/>
        <v>Usa</v>
      </c>
      <c r="AA342" t="s">
        <v>32</v>
      </c>
      <c r="AB342" t="s">
        <v>33</v>
      </c>
      <c r="AC342" t="s">
        <v>275</v>
      </c>
      <c r="AD342" t="s">
        <v>276</v>
      </c>
      <c r="AE342" t="s">
        <v>51</v>
      </c>
    </row>
    <row r="343" spans="1:31" x14ac:dyDescent="0.3">
      <c r="A343">
        <v>10413</v>
      </c>
      <c r="B343">
        <v>22</v>
      </c>
      <c r="C343">
        <v>100</v>
      </c>
      <c r="D343">
        <v>1</v>
      </c>
      <c r="E343" s="4" t="str">
        <f t="shared" si="30"/>
        <v>low sales</v>
      </c>
      <c r="F343">
        <v>3387.78</v>
      </c>
      <c r="G343" t="s">
        <v>1015</v>
      </c>
      <c r="H343" s="1" t="str">
        <f t="shared" si="31"/>
        <v>Shipped</v>
      </c>
      <c r="I343" s="4" t="str">
        <f t="shared" si="32"/>
        <v>completed</v>
      </c>
      <c r="J343" t="s">
        <v>25</v>
      </c>
      <c r="K343">
        <v>2</v>
      </c>
      <c r="L343">
        <v>5</v>
      </c>
      <c r="M343">
        <v>2005</v>
      </c>
      <c r="N343" t="s">
        <v>181</v>
      </c>
      <c r="O343">
        <v>173</v>
      </c>
      <c r="P343" t="s">
        <v>517</v>
      </c>
      <c r="Q343" t="s">
        <v>109</v>
      </c>
      <c r="R343">
        <v>2035552570</v>
      </c>
      <c r="S343" t="s">
        <v>110</v>
      </c>
      <c r="U343" s="1" t="str">
        <f t="shared" si="33"/>
        <v>Bridgewater</v>
      </c>
      <c r="V343" t="s">
        <v>111</v>
      </c>
      <c r="W343" t="s">
        <v>112</v>
      </c>
      <c r="X343">
        <v>97562</v>
      </c>
      <c r="Y343" s="1" t="str">
        <f t="shared" si="34"/>
        <v>USA</v>
      </c>
      <c r="Z343" s="4" t="str">
        <f t="shared" si="35"/>
        <v>Usa</v>
      </c>
      <c r="AA343" t="s">
        <v>32</v>
      </c>
      <c r="AB343" t="s">
        <v>33</v>
      </c>
      <c r="AC343" t="s">
        <v>113</v>
      </c>
      <c r="AD343" t="s">
        <v>57</v>
      </c>
      <c r="AE343" t="s">
        <v>51</v>
      </c>
    </row>
    <row r="344" spans="1:31" x14ac:dyDescent="0.3">
      <c r="A344">
        <v>10108</v>
      </c>
      <c r="B344">
        <v>39</v>
      </c>
      <c r="C344">
        <v>89.38</v>
      </c>
      <c r="D344">
        <v>7</v>
      </c>
      <c r="E344" s="4" t="str">
        <f t="shared" si="30"/>
        <v>low sales</v>
      </c>
      <c r="F344">
        <v>3485.82</v>
      </c>
      <c r="G344" t="s">
        <v>1016</v>
      </c>
      <c r="H344" s="1" t="str">
        <f t="shared" si="31"/>
        <v>Shipped</v>
      </c>
      <c r="I344" s="4" t="str">
        <f t="shared" si="32"/>
        <v>completed</v>
      </c>
      <c r="J344" t="s">
        <v>25</v>
      </c>
      <c r="K344">
        <v>1</v>
      </c>
      <c r="L344">
        <v>3</v>
      </c>
      <c r="M344">
        <v>2003</v>
      </c>
      <c r="N344" t="s">
        <v>181</v>
      </c>
      <c r="O344">
        <v>79</v>
      </c>
      <c r="P344" t="s">
        <v>518</v>
      </c>
      <c r="Q344" t="s">
        <v>425</v>
      </c>
      <c r="R344" t="s">
        <v>426</v>
      </c>
      <c r="S344" t="s">
        <v>427</v>
      </c>
      <c r="U344" s="1" t="str">
        <f t="shared" si="33"/>
        <v>Makati City</v>
      </c>
      <c r="V344" t="s">
        <v>428</v>
      </c>
      <c r="X344" t="s">
        <v>429</v>
      </c>
      <c r="Y344" s="1" t="str">
        <f t="shared" si="34"/>
        <v>PHILIPPINES</v>
      </c>
      <c r="Z344" s="4" t="str">
        <f t="shared" si="35"/>
        <v>Philippines</v>
      </c>
      <c r="AA344" t="s">
        <v>430</v>
      </c>
      <c r="AB344" t="s">
        <v>200</v>
      </c>
      <c r="AC344" t="s">
        <v>431</v>
      </c>
      <c r="AD344" t="s">
        <v>432</v>
      </c>
      <c r="AE344" t="s">
        <v>51</v>
      </c>
    </row>
    <row r="345" spans="1:31" x14ac:dyDescent="0.3">
      <c r="A345">
        <v>10122</v>
      </c>
      <c r="B345">
        <v>32</v>
      </c>
      <c r="C345">
        <v>63.84</v>
      </c>
      <c r="D345">
        <v>11</v>
      </c>
      <c r="E345" s="4" t="str">
        <f t="shared" si="30"/>
        <v>low sales</v>
      </c>
      <c r="F345">
        <v>2042.88</v>
      </c>
      <c r="G345" t="s">
        <v>1017</v>
      </c>
      <c r="H345" s="1" t="str">
        <f t="shared" si="31"/>
        <v>Shipped</v>
      </c>
      <c r="I345" s="4" t="str">
        <f t="shared" si="32"/>
        <v>completed</v>
      </c>
      <c r="J345" t="s">
        <v>25</v>
      </c>
      <c r="K345">
        <v>2</v>
      </c>
      <c r="L345">
        <v>5</v>
      </c>
      <c r="M345">
        <v>2003</v>
      </c>
      <c r="N345" t="s">
        <v>181</v>
      </c>
      <c r="O345">
        <v>79</v>
      </c>
      <c r="P345" t="s">
        <v>518</v>
      </c>
      <c r="Q345" t="s">
        <v>433</v>
      </c>
      <c r="R345" t="s">
        <v>434</v>
      </c>
      <c r="S345" t="s">
        <v>435</v>
      </c>
      <c r="U345" s="1" t="str">
        <f t="shared" si="33"/>
        <v>Marseille</v>
      </c>
      <c r="V345" t="s">
        <v>436</v>
      </c>
      <c r="X345">
        <v>13008</v>
      </c>
      <c r="Y345" s="1" t="str">
        <f t="shared" si="34"/>
        <v>FRANCE</v>
      </c>
      <c r="Z345" s="4" t="str">
        <f t="shared" si="35"/>
        <v>France</v>
      </c>
      <c r="AA345" t="s">
        <v>41</v>
      </c>
      <c r="AB345" t="s">
        <v>42</v>
      </c>
      <c r="AC345" t="s">
        <v>437</v>
      </c>
      <c r="AD345" t="s">
        <v>438</v>
      </c>
      <c r="AE345" t="s">
        <v>36</v>
      </c>
    </row>
    <row r="346" spans="1:31" x14ac:dyDescent="0.3">
      <c r="A346">
        <v>10135</v>
      </c>
      <c r="B346">
        <v>24</v>
      </c>
      <c r="C346">
        <v>75.010000000000005</v>
      </c>
      <c r="D346">
        <v>8</v>
      </c>
      <c r="E346" s="4" t="str">
        <f t="shared" si="30"/>
        <v>low sales</v>
      </c>
      <c r="F346">
        <v>1800.24</v>
      </c>
      <c r="G346" t="s">
        <v>1018</v>
      </c>
      <c r="H346" s="1" t="str">
        <f t="shared" si="31"/>
        <v>Shipped</v>
      </c>
      <c r="I346" s="4" t="str">
        <f t="shared" si="32"/>
        <v>completed</v>
      </c>
      <c r="J346" t="s">
        <v>25</v>
      </c>
      <c r="K346">
        <v>3</v>
      </c>
      <c r="L346">
        <v>7</v>
      </c>
      <c r="M346">
        <v>2003</v>
      </c>
      <c r="N346" t="s">
        <v>181</v>
      </c>
      <c r="O346">
        <v>79</v>
      </c>
      <c r="P346" t="s">
        <v>518</v>
      </c>
      <c r="Q346" t="s">
        <v>272</v>
      </c>
      <c r="R346">
        <v>4155551450</v>
      </c>
      <c r="S346" t="s">
        <v>273</v>
      </c>
      <c r="U346" s="1" t="str">
        <f t="shared" si="33"/>
        <v>San Rafael</v>
      </c>
      <c r="V346" t="s">
        <v>274</v>
      </c>
      <c r="W346" t="s">
        <v>55</v>
      </c>
      <c r="X346">
        <v>97562</v>
      </c>
      <c r="Y346" s="1" t="str">
        <f t="shared" si="34"/>
        <v>USA</v>
      </c>
      <c r="Z346" s="4" t="str">
        <f t="shared" si="35"/>
        <v>Usa</v>
      </c>
      <c r="AA346" t="s">
        <v>32</v>
      </c>
      <c r="AB346" t="s">
        <v>33</v>
      </c>
      <c r="AC346" t="s">
        <v>275</v>
      </c>
      <c r="AD346" t="s">
        <v>276</v>
      </c>
      <c r="AE346" t="s">
        <v>36</v>
      </c>
    </row>
    <row r="347" spans="1:31" x14ac:dyDescent="0.3">
      <c r="A347">
        <v>10147</v>
      </c>
      <c r="B347">
        <v>21</v>
      </c>
      <c r="C347">
        <v>63.84</v>
      </c>
      <c r="D347">
        <v>8</v>
      </c>
      <c r="E347" s="4" t="str">
        <f t="shared" si="30"/>
        <v>low sales</v>
      </c>
      <c r="F347">
        <v>1340.64</v>
      </c>
      <c r="G347" t="s">
        <v>1019</v>
      </c>
      <c r="H347" s="1" t="str">
        <f t="shared" si="31"/>
        <v>Shipped</v>
      </c>
      <c r="I347" s="4" t="str">
        <f t="shared" si="32"/>
        <v>completed</v>
      </c>
      <c r="J347" t="s">
        <v>25</v>
      </c>
      <c r="K347">
        <v>3</v>
      </c>
      <c r="L347">
        <v>9</v>
      </c>
      <c r="M347">
        <v>2003</v>
      </c>
      <c r="N347" t="s">
        <v>181</v>
      </c>
      <c r="O347">
        <v>79</v>
      </c>
      <c r="P347" t="s">
        <v>518</v>
      </c>
      <c r="Q347" t="s">
        <v>281</v>
      </c>
      <c r="R347">
        <v>6175558555</v>
      </c>
      <c r="S347" t="s">
        <v>282</v>
      </c>
      <c r="U347" s="1" t="str">
        <f t="shared" si="33"/>
        <v>Brickhaven</v>
      </c>
      <c r="V347" t="s">
        <v>283</v>
      </c>
      <c r="W347" t="s">
        <v>123</v>
      </c>
      <c r="X347">
        <v>58339</v>
      </c>
      <c r="Y347" s="1" t="str">
        <f t="shared" si="34"/>
        <v>USA</v>
      </c>
      <c r="Z347" s="4" t="str">
        <f t="shared" si="35"/>
        <v>Usa</v>
      </c>
      <c r="AA347" t="s">
        <v>32</v>
      </c>
      <c r="AB347" t="s">
        <v>33</v>
      </c>
      <c r="AC347" t="s">
        <v>275</v>
      </c>
      <c r="AD347" t="s">
        <v>284</v>
      </c>
      <c r="AE347" t="s">
        <v>36</v>
      </c>
    </row>
    <row r="348" spans="1:31" x14ac:dyDescent="0.3">
      <c r="A348">
        <v>10159</v>
      </c>
      <c r="B348">
        <v>24</v>
      </c>
      <c r="C348">
        <v>73.42</v>
      </c>
      <c r="D348">
        <v>3</v>
      </c>
      <c r="E348" s="4" t="str">
        <f t="shared" si="30"/>
        <v>low sales</v>
      </c>
      <c r="F348">
        <v>1762.08</v>
      </c>
      <c r="G348" t="s">
        <v>1020</v>
      </c>
      <c r="H348" s="1" t="str">
        <f t="shared" si="31"/>
        <v>Shipped</v>
      </c>
      <c r="I348" s="4" t="str">
        <f t="shared" si="32"/>
        <v>completed</v>
      </c>
      <c r="J348" t="s">
        <v>25</v>
      </c>
      <c r="K348">
        <v>4</v>
      </c>
      <c r="L348">
        <v>10</v>
      </c>
      <c r="M348">
        <v>2003</v>
      </c>
      <c r="N348" t="s">
        <v>181</v>
      </c>
      <c r="O348">
        <v>79</v>
      </c>
      <c r="P348" t="s">
        <v>518</v>
      </c>
      <c r="Q348" t="s">
        <v>58</v>
      </c>
      <c r="R348">
        <v>6505551386</v>
      </c>
      <c r="S348" t="s">
        <v>59</v>
      </c>
      <c r="U348" s="1" t="str">
        <f t="shared" si="33"/>
        <v>San Francisco</v>
      </c>
      <c r="V348" t="s">
        <v>60</v>
      </c>
      <c r="W348" t="s">
        <v>55</v>
      </c>
      <c r="Y348" s="1" t="str">
        <f t="shared" si="34"/>
        <v>USA</v>
      </c>
      <c r="Z348" s="4" t="str">
        <f t="shared" si="35"/>
        <v>Usa</v>
      </c>
      <c r="AA348" t="s">
        <v>32</v>
      </c>
      <c r="AB348" t="s">
        <v>33</v>
      </c>
      <c r="AC348" t="s">
        <v>61</v>
      </c>
      <c r="AD348" t="s">
        <v>57</v>
      </c>
      <c r="AE348" t="s">
        <v>36</v>
      </c>
    </row>
    <row r="349" spans="1:31" x14ac:dyDescent="0.3">
      <c r="A349">
        <v>10169</v>
      </c>
      <c r="B349">
        <v>36</v>
      </c>
      <c r="C349">
        <v>63.84</v>
      </c>
      <c r="D349">
        <v>3</v>
      </c>
      <c r="E349" s="4" t="str">
        <f t="shared" si="30"/>
        <v>low sales</v>
      </c>
      <c r="F349">
        <v>2298.2399999999998</v>
      </c>
      <c r="G349" t="s">
        <v>1021</v>
      </c>
      <c r="H349" s="1" t="str">
        <f t="shared" si="31"/>
        <v>Shipped</v>
      </c>
      <c r="I349" s="4" t="str">
        <f t="shared" si="32"/>
        <v>completed</v>
      </c>
      <c r="J349" t="s">
        <v>25</v>
      </c>
      <c r="K349">
        <v>4</v>
      </c>
      <c r="L349">
        <v>11</v>
      </c>
      <c r="M349">
        <v>2003</v>
      </c>
      <c r="N349" t="s">
        <v>181</v>
      </c>
      <c r="O349">
        <v>79</v>
      </c>
      <c r="P349" t="s">
        <v>518</v>
      </c>
      <c r="Q349" t="s">
        <v>285</v>
      </c>
      <c r="R349" t="s">
        <v>286</v>
      </c>
      <c r="S349" t="s">
        <v>287</v>
      </c>
      <c r="T349" t="s">
        <v>288</v>
      </c>
      <c r="U349" s="1" t="str">
        <f t="shared" si="33"/>
        <v>North Sydney</v>
      </c>
      <c r="V349" t="s">
        <v>289</v>
      </c>
      <c r="W349" t="s">
        <v>157</v>
      </c>
      <c r="X349">
        <v>2060</v>
      </c>
      <c r="Y349" s="1" t="str">
        <f t="shared" si="34"/>
        <v>AUSTRALIA</v>
      </c>
      <c r="Z349" s="4" t="str">
        <f t="shared" si="35"/>
        <v>Australia</v>
      </c>
      <c r="AA349" t="s">
        <v>95</v>
      </c>
      <c r="AB349" t="s">
        <v>96</v>
      </c>
      <c r="AC349" t="s">
        <v>290</v>
      </c>
      <c r="AD349" t="s">
        <v>291</v>
      </c>
      <c r="AE349" t="s">
        <v>36</v>
      </c>
    </row>
    <row r="350" spans="1:31" x14ac:dyDescent="0.3">
      <c r="A350">
        <v>10181</v>
      </c>
      <c r="B350">
        <v>20</v>
      </c>
      <c r="C350">
        <v>81.400000000000006</v>
      </c>
      <c r="D350">
        <v>15</v>
      </c>
      <c r="E350" s="4" t="str">
        <f t="shared" si="30"/>
        <v>low sales</v>
      </c>
      <c r="F350">
        <v>1628</v>
      </c>
      <c r="G350" t="s">
        <v>1022</v>
      </c>
      <c r="H350" s="1" t="str">
        <f t="shared" si="31"/>
        <v>Shipped</v>
      </c>
      <c r="I350" s="4" t="str">
        <f t="shared" si="32"/>
        <v>completed</v>
      </c>
      <c r="J350" t="s">
        <v>25</v>
      </c>
      <c r="K350">
        <v>4</v>
      </c>
      <c r="L350">
        <v>11</v>
      </c>
      <c r="M350">
        <v>2003</v>
      </c>
      <c r="N350" t="s">
        <v>181</v>
      </c>
      <c r="O350">
        <v>79</v>
      </c>
      <c r="P350" t="s">
        <v>518</v>
      </c>
      <c r="Q350" t="s">
        <v>73</v>
      </c>
      <c r="R350" t="s">
        <v>74</v>
      </c>
      <c r="S350" t="s">
        <v>75</v>
      </c>
      <c r="U350" s="1" t="str">
        <f t="shared" si="33"/>
        <v>Bergen</v>
      </c>
      <c r="V350" t="s">
        <v>76</v>
      </c>
      <c r="X350" t="s">
        <v>77</v>
      </c>
      <c r="Y350" s="1" t="str">
        <f t="shared" si="34"/>
        <v>NORWAY</v>
      </c>
      <c r="Z350" s="4" t="str">
        <f t="shared" si="35"/>
        <v>Norway</v>
      </c>
      <c r="AA350" t="s">
        <v>78</v>
      </c>
      <c r="AB350" t="s">
        <v>42</v>
      </c>
      <c r="AC350" t="s">
        <v>79</v>
      </c>
      <c r="AD350" t="s">
        <v>80</v>
      </c>
      <c r="AE350" t="s">
        <v>36</v>
      </c>
    </row>
    <row r="351" spans="1:31" x14ac:dyDescent="0.3">
      <c r="A351">
        <v>10191</v>
      </c>
      <c r="B351">
        <v>30</v>
      </c>
      <c r="C351">
        <v>64.64</v>
      </c>
      <c r="D351">
        <v>4</v>
      </c>
      <c r="E351" s="4" t="str">
        <f t="shared" si="30"/>
        <v>low sales</v>
      </c>
      <c r="F351">
        <v>1939.2</v>
      </c>
      <c r="G351" t="s">
        <v>1023</v>
      </c>
      <c r="H351" s="1" t="str">
        <f t="shared" si="31"/>
        <v>Shipped</v>
      </c>
      <c r="I351" s="4" t="str">
        <f t="shared" si="32"/>
        <v>completed</v>
      </c>
      <c r="J351" t="s">
        <v>25</v>
      </c>
      <c r="K351">
        <v>4</v>
      </c>
      <c r="L351">
        <v>11</v>
      </c>
      <c r="M351">
        <v>2003</v>
      </c>
      <c r="N351" t="s">
        <v>181</v>
      </c>
      <c r="O351">
        <v>79</v>
      </c>
      <c r="P351" t="s">
        <v>518</v>
      </c>
      <c r="Q351" t="s">
        <v>439</v>
      </c>
      <c r="R351" t="s">
        <v>440</v>
      </c>
      <c r="S351" t="s">
        <v>441</v>
      </c>
      <c r="U351" s="1" t="str">
        <f t="shared" si="33"/>
        <v>Koln</v>
      </c>
      <c r="V351" t="s">
        <v>442</v>
      </c>
      <c r="X351">
        <v>50739</v>
      </c>
      <c r="Y351" s="1" t="str">
        <f t="shared" si="34"/>
        <v>GERMANY</v>
      </c>
      <c r="Z351" s="4" t="str">
        <f t="shared" si="35"/>
        <v>Germany</v>
      </c>
      <c r="AA351" t="s">
        <v>443</v>
      </c>
      <c r="AB351" t="s">
        <v>42</v>
      </c>
      <c r="AC351" t="s">
        <v>444</v>
      </c>
      <c r="AD351" t="s">
        <v>445</v>
      </c>
      <c r="AE351" t="s">
        <v>36</v>
      </c>
    </row>
    <row r="352" spans="1:31" x14ac:dyDescent="0.3">
      <c r="A352">
        <v>10203</v>
      </c>
      <c r="B352">
        <v>44</v>
      </c>
      <c r="C352">
        <v>82.99</v>
      </c>
      <c r="D352">
        <v>9</v>
      </c>
      <c r="E352" s="4" t="str">
        <f t="shared" si="30"/>
        <v>low sales</v>
      </c>
      <c r="F352">
        <v>3651.56</v>
      </c>
      <c r="G352" t="s">
        <v>1024</v>
      </c>
      <c r="H352" s="1" t="str">
        <f t="shared" si="31"/>
        <v>Shipped</v>
      </c>
      <c r="I352" s="4" t="str">
        <f t="shared" si="32"/>
        <v>completed</v>
      </c>
      <c r="J352" t="s">
        <v>25</v>
      </c>
      <c r="K352">
        <v>4</v>
      </c>
      <c r="L352">
        <v>12</v>
      </c>
      <c r="M352">
        <v>2003</v>
      </c>
      <c r="N352" t="s">
        <v>181</v>
      </c>
      <c r="O352">
        <v>79</v>
      </c>
      <c r="P352" t="s">
        <v>518</v>
      </c>
      <c r="Q352" t="s">
        <v>174</v>
      </c>
      <c r="R352" t="s">
        <v>175</v>
      </c>
      <c r="S352" t="s">
        <v>176</v>
      </c>
      <c r="U352" s="1" t="str">
        <f t="shared" si="33"/>
        <v>Madrid</v>
      </c>
      <c r="V352" t="s">
        <v>177</v>
      </c>
      <c r="X352">
        <v>28034</v>
      </c>
      <c r="Y352" s="1" t="str">
        <f t="shared" si="34"/>
        <v>SPAIN</v>
      </c>
      <c r="Z352" s="4" t="str">
        <f t="shared" si="35"/>
        <v>Spain</v>
      </c>
      <c r="AA352" t="s">
        <v>178</v>
      </c>
      <c r="AB352" t="s">
        <v>42</v>
      </c>
      <c r="AC352" t="s">
        <v>179</v>
      </c>
      <c r="AD352" t="s">
        <v>180</v>
      </c>
      <c r="AE352" t="s">
        <v>51</v>
      </c>
    </row>
    <row r="353" spans="1:31" x14ac:dyDescent="0.3">
      <c r="A353">
        <v>10211</v>
      </c>
      <c r="B353">
        <v>28</v>
      </c>
      <c r="C353">
        <v>92.57</v>
      </c>
      <c r="D353">
        <v>3</v>
      </c>
      <c r="E353" s="4" t="str">
        <f t="shared" si="30"/>
        <v>low sales</v>
      </c>
      <c r="F353">
        <v>2591.96</v>
      </c>
      <c r="G353" t="s">
        <v>1025</v>
      </c>
      <c r="H353" s="1" t="str">
        <f t="shared" si="31"/>
        <v>Shipped</v>
      </c>
      <c r="I353" s="4" t="str">
        <f t="shared" si="32"/>
        <v>completed</v>
      </c>
      <c r="J353" t="s">
        <v>25</v>
      </c>
      <c r="K353">
        <v>1</v>
      </c>
      <c r="L353">
        <v>1</v>
      </c>
      <c r="M353">
        <v>2004</v>
      </c>
      <c r="N353" t="s">
        <v>181</v>
      </c>
      <c r="O353">
        <v>79</v>
      </c>
      <c r="P353" t="s">
        <v>518</v>
      </c>
      <c r="Q353" t="s">
        <v>84</v>
      </c>
      <c r="R353" t="s">
        <v>85</v>
      </c>
      <c r="S353" t="s">
        <v>86</v>
      </c>
      <c r="U353" s="1" t="str">
        <f t="shared" si="33"/>
        <v>Paris</v>
      </c>
      <c r="V353" t="s">
        <v>48</v>
      </c>
      <c r="X353">
        <v>75016</v>
      </c>
      <c r="Y353" s="1" t="str">
        <f t="shared" si="34"/>
        <v>FRANCE</v>
      </c>
      <c r="Z353" s="4" t="str">
        <f t="shared" si="35"/>
        <v>France</v>
      </c>
      <c r="AA353" t="s">
        <v>41</v>
      </c>
      <c r="AB353" t="s">
        <v>42</v>
      </c>
      <c r="AC353" t="s">
        <v>87</v>
      </c>
      <c r="AD353" t="s">
        <v>88</v>
      </c>
      <c r="AE353" t="s">
        <v>36</v>
      </c>
    </row>
    <row r="354" spans="1:31" x14ac:dyDescent="0.3">
      <c r="A354">
        <v>10225</v>
      </c>
      <c r="B354">
        <v>37</v>
      </c>
      <c r="C354">
        <v>77.41</v>
      </c>
      <c r="D354">
        <v>10</v>
      </c>
      <c r="E354" s="4" t="str">
        <f t="shared" si="30"/>
        <v>low sales</v>
      </c>
      <c r="F354">
        <v>2864.17</v>
      </c>
      <c r="G354" t="s">
        <v>1026</v>
      </c>
      <c r="H354" s="1" t="str">
        <f t="shared" si="31"/>
        <v>Shipped</v>
      </c>
      <c r="I354" s="4" t="str">
        <f t="shared" si="32"/>
        <v>completed</v>
      </c>
      <c r="J354" t="s">
        <v>25</v>
      </c>
      <c r="K354">
        <v>1</v>
      </c>
      <c r="L354">
        <v>2</v>
      </c>
      <c r="M354">
        <v>2004</v>
      </c>
      <c r="N354" t="s">
        <v>181</v>
      </c>
      <c r="O354">
        <v>79</v>
      </c>
      <c r="P354" t="s">
        <v>518</v>
      </c>
      <c r="Q354" t="s">
        <v>446</v>
      </c>
      <c r="R354" t="s">
        <v>447</v>
      </c>
      <c r="S354" t="s">
        <v>448</v>
      </c>
      <c r="U354" s="1" t="str">
        <f t="shared" si="33"/>
        <v>Gensve</v>
      </c>
      <c r="V354" t="s">
        <v>449</v>
      </c>
      <c r="X354">
        <v>1203</v>
      </c>
      <c r="Y354" s="1" t="str">
        <f t="shared" si="34"/>
        <v>SWITZERLAND</v>
      </c>
      <c r="Z354" s="4" t="str">
        <f t="shared" si="35"/>
        <v>Switzerland</v>
      </c>
      <c r="AA354" t="s">
        <v>450</v>
      </c>
      <c r="AB354" t="s">
        <v>42</v>
      </c>
      <c r="AC354" t="s">
        <v>451</v>
      </c>
      <c r="AD354" t="s">
        <v>103</v>
      </c>
      <c r="AE354" t="s">
        <v>36</v>
      </c>
    </row>
    <row r="355" spans="1:31" x14ac:dyDescent="0.3">
      <c r="A355">
        <v>10238</v>
      </c>
      <c r="B355">
        <v>20</v>
      </c>
      <c r="C355">
        <v>74.209999999999994</v>
      </c>
      <c r="D355">
        <v>4</v>
      </c>
      <c r="E355" s="4" t="str">
        <f t="shared" si="30"/>
        <v>low sales</v>
      </c>
      <c r="F355">
        <v>1484.2</v>
      </c>
      <c r="G355" t="s">
        <v>1027</v>
      </c>
      <c r="H355" s="1" t="str">
        <f t="shared" si="31"/>
        <v>Shipped</v>
      </c>
      <c r="I355" s="4" t="str">
        <f t="shared" si="32"/>
        <v>completed</v>
      </c>
      <c r="J355" t="s">
        <v>25</v>
      </c>
      <c r="K355">
        <v>2</v>
      </c>
      <c r="L355">
        <v>4</v>
      </c>
      <c r="M355">
        <v>2004</v>
      </c>
      <c r="N355" t="s">
        <v>181</v>
      </c>
      <c r="O355">
        <v>79</v>
      </c>
      <c r="P355" t="s">
        <v>518</v>
      </c>
      <c r="Q355" t="s">
        <v>322</v>
      </c>
      <c r="R355" t="s">
        <v>323</v>
      </c>
      <c r="S355" t="s">
        <v>324</v>
      </c>
      <c r="U355" s="1" t="str">
        <f t="shared" si="33"/>
        <v>Kobenhavn</v>
      </c>
      <c r="V355" t="s">
        <v>325</v>
      </c>
      <c r="X355">
        <v>1734</v>
      </c>
      <c r="Y355" s="1" t="str">
        <f t="shared" si="34"/>
        <v>DENMARK</v>
      </c>
      <c r="Z355" s="4" t="str">
        <f t="shared" si="35"/>
        <v>Denmark</v>
      </c>
      <c r="AA355" t="s">
        <v>326</v>
      </c>
      <c r="AB355" t="s">
        <v>42</v>
      </c>
      <c r="AC355" t="s">
        <v>327</v>
      </c>
      <c r="AD355" t="s">
        <v>328</v>
      </c>
      <c r="AE355" t="s">
        <v>36</v>
      </c>
    </row>
    <row r="356" spans="1:31" x14ac:dyDescent="0.3">
      <c r="A356">
        <v>10253</v>
      </c>
      <c r="B356">
        <v>25</v>
      </c>
      <c r="C356">
        <v>90.17</v>
      </c>
      <c r="D356">
        <v>14</v>
      </c>
      <c r="E356" s="4" t="str">
        <f t="shared" si="30"/>
        <v>low sales</v>
      </c>
      <c r="F356">
        <v>2254.25</v>
      </c>
      <c r="G356" t="s">
        <v>1028</v>
      </c>
      <c r="H356" s="1" t="str">
        <f t="shared" si="31"/>
        <v>Cancelled</v>
      </c>
      <c r="I356" s="4" t="str">
        <f t="shared" si="32"/>
        <v>not completed</v>
      </c>
      <c r="J356" t="s">
        <v>339</v>
      </c>
      <c r="K356">
        <v>2</v>
      </c>
      <c r="L356">
        <v>6</v>
      </c>
      <c r="M356">
        <v>2004</v>
      </c>
      <c r="N356" t="s">
        <v>181</v>
      </c>
      <c r="O356">
        <v>79</v>
      </c>
      <c r="P356" t="s">
        <v>518</v>
      </c>
      <c r="Q356" t="s">
        <v>165</v>
      </c>
      <c r="R356" t="s">
        <v>166</v>
      </c>
      <c r="S356" t="s">
        <v>167</v>
      </c>
      <c r="U356" s="1" t="str">
        <f t="shared" si="33"/>
        <v>Liverpool</v>
      </c>
      <c r="V356" t="s">
        <v>168</v>
      </c>
      <c r="X356" t="s">
        <v>169</v>
      </c>
      <c r="Y356" s="1" t="str">
        <f t="shared" si="34"/>
        <v>UK</v>
      </c>
      <c r="Z356" s="4" t="str">
        <f t="shared" si="35"/>
        <v>Uk</v>
      </c>
      <c r="AA356" t="s">
        <v>170</v>
      </c>
      <c r="AB356" t="s">
        <v>42</v>
      </c>
      <c r="AC356" t="s">
        <v>171</v>
      </c>
      <c r="AD356" t="s">
        <v>172</v>
      </c>
      <c r="AE356" t="s">
        <v>36</v>
      </c>
    </row>
    <row r="357" spans="1:31" x14ac:dyDescent="0.3">
      <c r="A357">
        <v>10266</v>
      </c>
      <c r="B357">
        <v>35</v>
      </c>
      <c r="C357">
        <v>76.61</v>
      </c>
      <c r="D357">
        <v>15</v>
      </c>
      <c r="E357" s="4" t="str">
        <f t="shared" si="30"/>
        <v>low sales</v>
      </c>
      <c r="F357">
        <v>2681.35</v>
      </c>
      <c r="G357" t="s">
        <v>1029</v>
      </c>
      <c r="H357" s="1" t="str">
        <f t="shared" si="31"/>
        <v>Shipped</v>
      </c>
      <c r="I357" s="4" t="str">
        <f t="shared" si="32"/>
        <v>completed</v>
      </c>
      <c r="J357" t="s">
        <v>25</v>
      </c>
      <c r="K357">
        <v>3</v>
      </c>
      <c r="L357">
        <v>7</v>
      </c>
      <c r="M357">
        <v>2004</v>
      </c>
      <c r="N357" t="s">
        <v>181</v>
      </c>
      <c r="O357">
        <v>79</v>
      </c>
      <c r="P357" t="s">
        <v>518</v>
      </c>
      <c r="Q357" t="s">
        <v>452</v>
      </c>
      <c r="R357" t="s">
        <v>453</v>
      </c>
      <c r="S357" t="s">
        <v>454</v>
      </c>
      <c r="U357" s="1" t="str">
        <f t="shared" si="33"/>
        <v>Reggio Emilia</v>
      </c>
      <c r="V357" t="s">
        <v>455</v>
      </c>
      <c r="X357">
        <v>42100</v>
      </c>
      <c r="Y357" s="1" t="str">
        <f t="shared" si="34"/>
        <v>ITALY</v>
      </c>
      <c r="Z357" s="4" t="str">
        <f t="shared" si="35"/>
        <v>Italy</v>
      </c>
      <c r="AA357" t="s">
        <v>258</v>
      </c>
      <c r="AB357" t="s">
        <v>42</v>
      </c>
      <c r="AC357" t="s">
        <v>456</v>
      </c>
      <c r="AD357" t="s">
        <v>457</v>
      </c>
      <c r="AE357" t="s">
        <v>36</v>
      </c>
    </row>
    <row r="358" spans="1:31" x14ac:dyDescent="0.3">
      <c r="A358">
        <v>10276</v>
      </c>
      <c r="B358">
        <v>38</v>
      </c>
      <c r="C358">
        <v>83.79</v>
      </c>
      <c r="D358">
        <v>4</v>
      </c>
      <c r="E358" s="4" t="str">
        <f t="shared" si="30"/>
        <v>low sales</v>
      </c>
      <c r="F358">
        <v>3184.02</v>
      </c>
      <c r="G358" t="s">
        <v>1030</v>
      </c>
      <c r="H358" s="1" t="str">
        <f t="shared" si="31"/>
        <v>Shipped</v>
      </c>
      <c r="I358" s="4" t="str">
        <f t="shared" si="32"/>
        <v>completed</v>
      </c>
      <c r="J358" t="s">
        <v>25</v>
      </c>
      <c r="K358">
        <v>3</v>
      </c>
      <c r="L358">
        <v>8</v>
      </c>
      <c r="M358">
        <v>2004</v>
      </c>
      <c r="N358" t="s">
        <v>181</v>
      </c>
      <c r="O358">
        <v>79</v>
      </c>
      <c r="P358" t="s">
        <v>518</v>
      </c>
      <c r="Q358" t="s">
        <v>458</v>
      </c>
      <c r="R358">
        <v>6175557555</v>
      </c>
      <c r="S358" t="s">
        <v>459</v>
      </c>
      <c r="U358" s="1" t="str">
        <f t="shared" si="33"/>
        <v>Brickhaven</v>
      </c>
      <c r="V358" t="s">
        <v>283</v>
      </c>
      <c r="W358" t="s">
        <v>123</v>
      </c>
      <c r="X358">
        <v>58339</v>
      </c>
      <c r="Y358" s="1" t="str">
        <f t="shared" si="34"/>
        <v>USA</v>
      </c>
      <c r="Z358" s="4" t="str">
        <f t="shared" si="35"/>
        <v>Usa</v>
      </c>
      <c r="AA358" t="s">
        <v>32</v>
      </c>
      <c r="AB358" t="s">
        <v>33</v>
      </c>
      <c r="AC358" t="s">
        <v>460</v>
      </c>
      <c r="AD358" t="s">
        <v>461</v>
      </c>
      <c r="AE358" t="s">
        <v>51</v>
      </c>
    </row>
    <row r="359" spans="1:31" x14ac:dyDescent="0.3">
      <c r="A359">
        <v>10287</v>
      </c>
      <c r="B359">
        <v>41</v>
      </c>
      <c r="C359">
        <v>69.430000000000007</v>
      </c>
      <c r="D359">
        <v>13</v>
      </c>
      <c r="E359" s="4" t="str">
        <f t="shared" si="30"/>
        <v>low sales</v>
      </c>
      <c r="F359">
        <v>2846.63</v>
      </c>
      <c r="G359" t="s">
        <v>1031</v>
      </c>
      <c r="H359" s="1" t="str">
        <f t="shared" si="31"/>
        <v>Shipped</v>
      </c>
      <c r="I359" s="4" t="str">
        <f t="shared" si="32"/>
        <v>completed</v>
      </c>
      <c r="J359" t="s">
        <v>25</v>
      </c>
      <c r="K359">
        <v>3</v>
      </c>
      <c r="L359">
        <v>8</v>
      </c>
      <c r="M359">
        <v>2004</v>
      </c>
      <c r="N359" t="s">
        <v>181</v>
      </c>
      <c r="O359">
        <v>79</v>
      </c>
      <c r="P359" t="s">
        <v>518</v>
      </c>
      <c r="Q359" t="s">
        <v>446</v>
      </c>
      <c r="R359" t="s">
        <v>447</v>
      </c>
      <c r="S359" t="s">
        <v>448</v>
      </c>
      <c r="U359" s="1" t="str">
        <f t="shared" si="33"/>
        <v>Gensve</v>
      </c>
      <c r="V359" t="s">
        <v>449</v>
      </c>
      <c r="X359">
        <v>1203</v>
      </c>
      <c r="Y359" s="1" t="str">
        <f t="shared" si="34"/>
        <v>SWITZERLAND</v>
      </c>
      <c r="Z359" s="4" t="str">
        <f t="shared" si="35"/>
        <v>Switzerland</v>
      </c>
      <c r="AA359" t="s">
        <v>450</v>
      </c>
      <c r="AB359" t="s">
        <v>42</v>
      </c>
      <c r="AC359" t="s">
        <v>451</v>
      </c>
      <c r="AD359" t="s">
        <v>103</v>
      </c>
      <c r="AE359" t="s">
        <v>36</v>
      </c>
    </row>
    <row r="360" spans="1:31" x14ac:dyDescent="0.3">
      <c r="A360">
        <v>10300</v>
      </c>
      <c r="B360">
        <v>22</v>
      </c>
      <c r="C360">
        <v>76.61</v>
      </c>
      <c r="D360">
        <v>6</v>
      </c>
      <c r="E360" s="4" t="str">
        <f t="shared" si="30"/>
        <v>low sales</v>
      </c>
      <c r="F360">
        <v>1685.42</v>
      </c>
      <c r="G360" t="s">
        <v>1032</v>
      </c>
      <c r="H360" s="1" t="str">
        <f t="shared" si="31"/>
        <v>Shipped</v>
      </c>
      <c r="I360" s="4" t="str">
        <f t="shared" si="32"/>
        <v>completed</v>
      </c>
      <c r="J360" t="s">
        <v>25</v>
      </c>
      <c r="K360">
        <v>4</v>
      </c>
      <c r="L360">
        <v>10</v>
      </c>
      <c r="M360">
        <v>2003</v>
      </c>
      <c r="N360" t="s">
        <v>181</v>
      </c>
      <c r="O360">
        <v>79</v>
      </c>
      <c r="P360" t="s">
        <v>518</v>
      </c>
      <c r="Q360" t="s">
        <v>462</v>
      </c>
      <c r="R360" t="s">
        <v>463</v>
      </c>
      <c r="S360" t="s">
        <v>464</v>
      </c>
      <c r="U360" s="1" t="str">
        <f t="shared" si="33"/>
        <v>Frankfurt</v>
      </c>
      <c r="V360" t="s">
        <v>465</v>
      </c>
      <c r="X360">
        <v>60528</v>
      </c>
      <c r="Y360" s="1" t="str">
        <f t="shared" si="34"/>
        <v>GERMANY</v>
      </c>
      <c r="Z360" s="4" t="str">
        <f t="shared" si="35"/>
        <v>Germany</v>
      </c>
      <c r="AA360" t="s">
        <v>443</v>
      </c>
      <c r="AB360" t="s">
        <v>42</v>
      </c>
      <c r="AC360" t="s">
        <v>466</v>
      </c>
      <c r="AD360" t="s">
        <v>414</v>
      </c>
      <c r="AE360" t="s">
        <v>36</v>
      </c>
    </row>
    <row r="361" spans="1:31" x14ac:dyDescent="0.3">
      <c r="A361">
        <v>10310</v>
      </c>
      <c r="B361">
        <v>49</v>
      </c>
      <c r="C361">
        <v>81.400000000000006</v>
      </c>
      <c r="D361">
        <v>11</v>
      </c>
      <c r="E361" s="4" t="str">
        <f t="shared" si="30"/>
        <v>low sales</v>
      </c>
      <c r="F361">
        <v>3988.6</v>
      </c>
      <c r="G361" t="s">
        <v>1033</v>
      </c>
      <c r="H361" s="1" t="str">
        <f t="shared" si="31"/>
        <v>Shipped</v>
      </c>
      <c r="I361" s="4" t="str">
        <f t="shared" si="32"/>
        <v>completed</v>
      </c>
      <c r="J361" t="s">
        <v>25</v>
      </c>
      <c r="K361">
        <v>4</v>
      </c>
      <c r="L361">
        <v>10</v>
      </c>
      <c r="M361">
        <v>2004</v>
      </c>
      <c r="N361" t="s">
        <v>181</v>
      </c>
      <c r="O361">
        <v>79</v>
      </c>
      <c r="P361" t="s">
        <v>518</v>
      </c>
      <c r="Q361" t="s">
        <v>439</v>
      </c>
      <c r="R361" t="s">
        <v>440</v>
      </c>
      <c r="S361" t="s">
        <v>441</v>
      </c>
      <c r="U361" s="1" t="str">
        <f t="shared" si="33"/>
        <v>Koln</v>
      </c>
      <c r="V361" t="s">
        <v>442</v>
      </c>
      <c r="X361">
        <v>50739</v>
      </c>
      <c r="Y361" s="1" t="str">
        <f t="shared" si="34"/>
        <v>GERMANY</v>
      </c>
      <c r="Z361" s="4" t="str">
        <f t="shared" si="35"/>
        <v>Germany</v>
      </c>
      <c r="AA361" t="s">
        <v>443</v>
      </c>
      <c r="AB361" t="s">
        <v>42</v>
      </c>
      <c r="AC361" t="s">
        <v>444</v>
      </c>
      <c r="AD361" t="s">
        <v>445</v>
      </c>
      <c r="AE361" t="s">
        <v>51</v>
      </c>
    </row>
    <row r="362" spans="1:31" x14ac:dyDescent="0.3">
      <c r="A362">
        <v>10320</v>
      </c>
      <c r="B362">
        <v>38</v>
      </c>
      <c r="C362">
        <v>73.42</v>
      </c>
      <c r="D362">
        <v>4</v>
      </c>
      <c r="E362" s="4" t="str">
        <f t="shared" si="30"/>
        <v>low sales</v>
      </c>
      <c r="F362">
        <v>2789.96</v>
      </c>
      <c r="G362" t="s">
        <v>1034</v>
      </c>
      <c r="H362" s="1" t="str">
        <f t="shared" si="31"/>
        <v>Shipped</v>
      </c>
      <c r="I362" s="4" t="str">
        <f t="shared" si="32"/>
        <v>completed</v>
      </c>
      <c r="J362" t="s">
        <v>25</v>
      </c>
      <c r="K362">
        <v>4</v>
      </c>
      <c r="L362">
        <v>11</v>
      </c>
      <c r="M362">
        <v>2004</v>
      </c>
      <c r="N362" t="s">
        <v>181</v>
      </c>
      <c r="O362">
        <v>79</v>
      </c>
      <c r="P362" t="s">
        <v>518</v>
      </c>
      <c r="Q362" t="s">
        <v>183</v>
      </c>
      <c r="R362" t="s">
        <v>184</v>
      </c>
      <c r="S362" t="s">
        <v>185</v>
      </c>
      <c r="U362" s="1" t="str">
        <f t="shared" si="33"/>
        <v>Lule</v>
      </c>
      <c r="V362" t="s">
        <v>186</v>
      </c>
      <c r="X362" t="s">
        <v>187</v>
      </c>
      <c r="Y362" s="1" t="str">
        <f t="shared" si="34"/>
        <v>SWEDEN</v>
      </c>
      <c r="Z362" s="4" t="str">
        <f t="shared" si="35"/>
        <v>Sweden</v>
      </c>
      <c r="AA362" t="s">
        <v>188</v>
      </c>
      <c r="AB362" t="s">
        <v>42</v>
      </c>
      <c r="AC362" t="s">
        <v>189</v>
      </c>
      <c r="AD362" t="s">
        <v>190</v>
      </c>
      <c r="AE362" t="s">
        <v>36</v>
      </c>
    </row>
    <row r="363" spans="1:31" x14ac:dyDescent="0.3">
      <c r="A363">
        <v>10329</v>
      </c>
      <c r="B363">
        <v>33</v>
      </c>
      <c r="C363">
        <v>100</v>
      </c>
      <c r="D363">
        <v>14</v>
      </c>
      <c r="E363" s="4" t="str">
        <f t="shared" si="30"/>
        <v>low sales</v>
      </c>
      <c r="F363">
        <v>3607.56</v>
      </c>
      <c r="G363" t="s">
        <v>1035</v>
      </c>
      <c r="H363" s="1" t="str">
        <f t="shared" si="31"/>
        <v>Shipped</v>
      </c>
      <c r="I363" s="4" t="str">
        <f t="shared" si="32"/>
        <v>completed</v>
      </c>
      <c r="J363" t="s">
        <v>25</v>
      </c>
      <c r="K363">
        <v>4</v>
      </c>
      <c r="L363">
        <v>11</v>
      </c>
      <c r="M363">
        <v>2004</v>
      </c>
      <c r="N363" t="s">
        <v>181</v>
      </c>
      <c r="O363">
        <v>79</v>
      </c>
      <c r="P363" t="s">
        <v>518</v>
      </c>
      <c r="Q363" t="s">
        <v>28</v>
      </c>
      <c r="R363">
        <v>2125557818</v>
      </c>
      <c r="S363" t="s">
        <v>29</v>
      </c>
      <c r="U363" s="1" t="str">
        <f t="shared" si="33"/>
        <v>Nyc</v>
      </c>
      <c r="V363" t="s">
        <v>30</v>
      </c>
      <c r="W363" t="s">
        <v>31</v>
      </c>
      <c r="X363">
        <v>10022</v>
      </c>
      <c r="Y363" s="1" t="str">
        <f t="shared" si="34"/>
        <v>USA</v>
      </c>
      <c r="Z363" s="4" t="str">
        <f t="shared" si="35"/>
        <v>Usa</v>
      </c>
      <c r="AA363" t="s">
        <v>32</v>
      </c>
      <c r="AB363" t="s">
        <v>33</v>
      </c>
      <c r="AC363" t="s">
        <v>34</v>
      </c>
      <c r="AD363" t="s">
        <v>35</v>
      </c>
      <c r="AE363" t="s">
        <v>51</v>
      </c>
    </row>
    <row r="364" spans="1:31" x14ac:dyDescent="0.3">
      <c r="A364">
        <v>10341</v>
      </c>
      <c r="B364">
        <v>36</v>
      </c>
      <c r="C364">
        <v>93.56</v>
      </c>
      <c r="D364">
        <v>10</v>
      </c>
      <c r="E364" s="4" t="str">
        <f t="shared" si="30"/>
        <v>low sales</v>
      </c>
      <c r="F364">
        <v>3368.16</v>
      </c>
      <c r="G364" t="s">
        <v>1036</v>
      </c>
      <c r="H364" s="1" t="str">
        <f t="shared" si="31"/>
        <v>Shipped</v>
      </c>
      <c r="I364" s="4" t="str">
        <f t="shared" si="32"/>
        <v>completed</v>
      </c>
      <c r="J364" t="s">
        <v>25</v>
      </c>
      <c r="K364">
        <v>4</v>
      </c>
      <c r="L364">
        <v>11</v>
      </c>
      <c r="M364">
        <v>2004</v>
      </c>
      <c r="N364" t="s">
        <v>181</v>
      </c>
      <c r="O364">
        <v>79</v>
      </c>
      <c r="P364" t="s">
        <v>518</v>
      </c>
      <c r="Q364" t="s">
        <v>144</v>
      </c>
      <c r="R364" t="s">
        <v>145</v>
      </c>
      <c r="S364" t="s">
        <v>146</v>
      </c>
      <c r="U364" s="1" t="str">
        <f t="shared" si="33"/>
        <v>Salzburg</v>
      </c>
      <c r="V364" t="s">
        <v>147</v>
      </c>
      <c r="X364">
        <v>5020</v>
      </c>
      <c r="Y364" s="1" t="str">
        <f t="shared" si="34"/>
        <v>AUSTRIA</v>
      </c>
      <c r="Z364" s="4" t="str">
        <f t="shared" si="35"/>
        <v>Austria</v>
      </c>
      <c r="AA364" t="s">
        <v>148</v>
      </c>
      <c r="AB364" t="s">
        <v>42</v>
      </c>
      <c r="AC364" t="s">
        <v>149</v>
      </c>
      <c r="AD364" t="s">
        <v>150</v>
      </c>
      <c r="AE364" t="s">
        <v>51</v>
      </c>
    </row>
    <row r="365" spans="1:31" x14ac:dyDescent="0.3">
      <c r="A365">
        <v>10363</v>
      </c>
      <c r="B365">
        <v>34</v>
      </c>
      <c r="C365">
        <v>81.62</v>
      </c>
      <c r="D365">
        <v>5</v>
      </c>
      <c r="E365" s="4" t="str">
        <f t="shared" si="30"/>
        <v>low sales</v>
      </c>
      <c r="F365">
        <v>2775.08</v>
      </c>
      <c r="G365" t="s">
        <v>1037</v>
      </c>
      <c r="H365" s="1" t="str">
        <f t="shared" si="31"/>
        <v>Shipped</v>
      </c>
      <c r="I365" s="4" t="str">
        <f t="shared" si="32"/>
        <v>completed</v>
      </c>
      <c r="J365" t="s">
        <v>25</v>
      </c>
      <c r="K365">
        <v>1</v>
      </c>
      <c r="L365">
        <v>1</v>
      </c>
      <c r="M365">
        <v>2005</v>
      </c>
      <c r="N365" t="s">
        <v>181</v>
      </c>
      <c r="O365">
        <v>79</v>
      </c>
      <c r="P365" t="s">
        <v>518</v>
      </c>
      <c r="Q365" t="s">
        <v>467</v>
      </c>
      <c r="R365" t="s">
        <v>468</v>
      </c>
      <c r="S365" t="s">
        <v>469</v>
      </c>
      <c r="U365" s="1" t="str">
        <f t="shared" si="33"/>
        <v>Espoo</v>
      </c>
      <c r="V365" t="s">
        <v>470</v>
      </c>
      <c r="X365" t="s">
        <v>471</v>
      </c>
      <c r="Y365" s="1" t="str">
        <f t="shared" si="34"/>
        <v>FINLAND</v>
      </c>
      <c r="Z365" s="4" t="str">
        <f t="shared" si="35"/>
        <v>Finland</v>
      </c>
      <c r="AA365" t="s">
        <v>130</v>
      </c>
      <c r="AB365" t="s">
        <v>42</v>
      </c>
      <c r="AC365" t="s">
        <v>472</v>
      </c>
      <c r="AD365" t="s">
        <v>473</v>
      </c>
      <c r="AE365" t="s">
        <v>36</v>
      </c>
    </row>
    <row r="366" spans="1:31" x14ac:dyDescent="0.3">
      <c r="A366">
        <v>10377</v>
      </c>
      <c r="B366">
        <v>24</v>
      </c>
      <c r="C366">
        <v>67.83</v>
      </c>
      <c r="D366">
        <v>5</v>
      </c>
      <c r="E366" s="4" t="str">
        <f t="shared" si="30"/>
        <v>low sales</v>
      </c>
      <c r="F366">
        <v>1627.92</v>
      </c>
      <c r="G366" t="s">
        <v>1038</v>
      </c>
      <c r="H366" s="1" t="str">
        <f t="shared" si="31"/>
        <v>Shipped</v>
      </c>
      <c r="I366" s="4" t="str">
        <f t="shared" si="32"/>
        <v>completed</v>
      </c>
      <c r="J366" t="s">
        <v>25</v>
      </c>
      <c r="K366">
        <v>1</v>
      </c>
      <c r="L366">
        <v>2</v>
      </c>
      <c r="M366">
        <v>2005</v>
      </c>
      <c r="N366" t="s">
        <v>181</v>
      </c>
      <c r="O366">
        <v>79</v>
      </c>
      <c r="P366" t="s">
        <v>518</v>
      </c>
      <c r="Q366" t="s">
        <v>126</v>
      </c>
      <c r="R366" t="s">
        <v>127</v>
      </c>
      <c r="S366" t="s">
        <v>128</v>
      </c>
      <c r="U366" s="1" t="str">
        <f t="shared" si="33"/>
        <v>Helsinki</v>
      </c>
      <c r="V366" t="s">
        <v>129</v>
      </c>
      <c r="X366">
        <v>21240</v>
      </c>
      <c r="Y366" s="1" t="str">
        <f t="shared" si="34"/>
        <v>FINLAND</v>
      </c>
      <c r="Z366" s="4" t="str">
        <f t="shared" si="35"/>
        <v>Finland</v>
      </c>
      <c r="AA366" t="s">
        <v>130</v>
      </c>
      <c r="AB366" t="s">
        <v>42</v>
      </c>
      <c r="AC366" t="s">
        <v>131</v>
      </c>
      <c r="AD366" t="s">
        <v>132</v>
      </c>
      <c r="AE366" t="s">
        <v>36</v>
      </c>
    </row>
    <row r="367" spans="1:31" x14ac:dyDescent="0.3">
      <c r="A367">
        <v>10389</v>
      </c>
      <c r="B367">
        <v>36</v>
      </c>
      <c r="C367">
        <v>70.260000000000005</v>
      </c>
      <c r="D367">
        <v>7</v>
      </c>
      <c r="E367" s="4" t="str">
        <f t="shared" si="30"/>
        <v>low sales</v>
      </c>
      <c r="F367">
        <v>2529.36</v>
      </c>
      <c r="G367" t="s">
        <v>1039</v>
      </c>
      <c r="H367" s="1" t="str">
        <f t="shared" si="31"/>
        <v>Shipped</v>
      </c>
      <c r="I367" s="4" t="str">
        <f t="shared" si="32"/>
        <v>completed</v>
      </c>
      <c r="J367" t="s">
        <v>25</v>
      </c>
      <c r="K367">
        <v>1</v>
      </c>
      <c r="L367">
        <v>3</v>
      </c>
      <c r="M367">
        <v>2005</v>
      </c>
      <c r="N367" t="s">
        <v>181</v>
      </c>
      <c r="O367">
        <v>79</v>
      </c>
      <c r="P367" t="s">
        <v>518</v>
      </c>
      <c r="Q367" t="s">
        <v>261</v>
      </c>
      <c r="R367" t="s">
        <v>262</v>
      </c>
      <c r="S367" t="s">
        <v>263</v>
      </c>
      <c r="U367" s="1" t="str">
        <f t="shared" si="33"/>
        <v>Boras</v>
      </c>
      <c r="V367" t="s">
        <v>264</v>
      </c>
      <c r="X367" t="s">
        <v>265</v>
      </c>
      <c r="Y367" s="1" t="str">
        <f t="shared" si="34"/>
        <v>SWEDEN</v>
      </c>
      <c r="Z367" s="4" t="str">
        <f t="shared" si="35"/>
        <v>Sweden</v>
      </c>
      <c r="AA367" t="s">
        <v>188</v>
      </c>
      <c r="AB367" t="s">
        <v>42</v>
      </c>
      <c r="AC367" t="s">
        <v>266</v>
      </c>
      <c r="AD367" t="s">
        <v>206</v>
      </c>
      <c r="AE367" t="s">
        <v>36</v>
      </c>
    </row>
    <row r="368" spans="1:31" x14ac:dyDescent="0.3">
      <c r="A368">
        <v>10419</v>
      </c>
      <c r="B368">
        <v>34</v>
      </c>
      <c r="C368">
        <v>90.17</v>
      </c>
      <c r="D368">
        <v>14</v>
      </c>
      <c r="E368" s="4" t="str">
        <f t="shared" si="30"/>
        <v>low sales</v>
      </c>
      <c r="F368">
        <v>3065.78</v>
      </c>
      <c r="G368" t="s">
        <v>1040</v>
      </c>
      <c r="H368" s="1" t="str">
        <f t="shared" si="31"/>
        <v>Shipped</v>
      </c>
      <c r="I368" s="4" t="str">
        <f t="shared" si="32"/>
        <v>completed</v>
      </c>
      <c r="J368" t="s">
        <v>25</v>
      </c>
      <c r="K368">
        <v>2</v>
      </c>
      <c r="L368">
        <v>5</v>
      </c>
      <c r="M368">
        <v>2005</v>
      </c>
      <c r="N368" t="s">
        <v>181</v>
      </c>
      <c r="O368">
        <v>79</v>
      </c>
      <c r="P368" t="s">
        <v>518</v>
      </c>
      <c r="Q368" t="s">
        <v>144</v>
      </c>
      <c r="R368" t="s">
        <v>145</v>
      </c>
      <c r="S368" t="s">
        <v>146</v>
      </c>
      <c r="U368" s="1" t="str">
        <f t="shared" si="33"/>
        <v>Salzburg</v>
      </c>
      <c r="V368" t="s">
        <v>147</v>
      </c>
      <c r="X368">
        <v>5020</v>
      </c>
      <c r="Y368" s="1" t="str">
        <f t="shared" si="34"/>
        <v>AUSTRIA</v>
      </c>
      <c r="Z368" s="4" t="str">
        <f t="shared" si="35"/>
        <v>Austria</v>
      </c>
      <c r="AA368" t="s">
        <v>148</v>
      </c>
      <c r="AB368" t="s">
        <v>42</v>
      </c>
      <c r="AC368" t="s">
        <v>149</v>
      </c>
      <c r="AD368" t="s">
        <v>150</v>
      </c>
      <c r="AE368" t="s">
        <v>51</v>
      </c>
    </row>
    <row r="369" spans="1:31" x14ac:dyDescent="0.3">
      <c r="A369">
        <v>10104</v>
      </c>
      <c r="B369">
        <v>41</v>
      </c>
      <c r="C369">
        <v>100</v>
      </c>
      <c r="D369">
        <v>9</v>
      </c>
      <c r="E369" s="4" t="str">
        <f t="shared" si="30"/>
        <v>high sales</v>
      </c>
      <c r="F369">
        <v>4615.78</v>
      </c>
      <c r="G369" t="s">
        <v>1041</v>
      </c>
      <c r="H369" s="1" t="str">
        <f t="shared" si="31"/>
        <v>Shipped</v>
      </c>
      <c r="I369" s="4" t="str">
        <f t="shared" si="32"/>
        <v>completed</v>
      </c>
      <c r="J369" t="s">
        <v>25</v>
      </c>
      <c r="K369">
        <v>1</v>
      </c>
      <c r="L369">
        <v>1</v>
      </c>
      <c r="M369">
        <v>2003</v>
      </c>
      <c r="N369" t="s">
        <v>504</v>
      </c>
      <c r="O369">
        <v>118</v>
      </c>
      <c r="P369" t="s">
        <v>519</v>
      </c>
      <c r="Q369" t="s">
        <v>174</v>
      </c>
      <c r="R369" t="s">
        <v>175</v>
      </c>
      <c r="S369" t="s">
        <v>176</v>
      </c>
      <c r="U369" s="1" t="str">
        <f t="shared" si="33"/>
        <v>Madrid</v>
      </c>
      <c r="V369" t="s">
        <v>177</v>
      </c>
      <c r="X369">
        <v>28034</v>
      </c>
      <c r="Y369" s="1" t="str">
        <f t="shared" si="34"/>
        <v>SPAIN</v>
      </c>
      <c r="Z369" s="4" t="str">
        <f t="shared" si="35"/>
        <v>Spain</v>
      </c>
      <c r="AA369" t="s">
        <v>178</v>
      </c>
      <c r="AB369" t="s">
        <v>42</v>
      </c>
      <c r="AC369" t="s">
        <v>179</v>
      </c>
      <c r="AD369" t="s">
        <v>180</v>
      </c>
      <c r="AE369" t="s">
        <v>51</v>
      </c>
    </row>
    <row r="370" spans="1:31" x14ac:dyDescent="0.3">
      <c r="A370">
        <v>10115</v>
      </c>
      <c r="B370">
        <v>46</v>
      </c>
      <c r="C370">
        <v>100</v>
      </c>
      <c r="D370">
        <v>5</v>
      </c>
      <c r="E370" s="4" t="str">
        <f t="shared" si="30"/>
        <v>high sales</v>
      </c>
      <c r="F370">
        <v>5723.78</v>
      </c>
      <c r="G370" t="s">
        <v>1042</v>
      </c>
      <c r="H370" s="1" t="str">
        <f t="shared" si="31"/>
        <v>Shipped</v>
      </c>
      <c r="I370" s="4" t="str">
        <f t="shared" si="32"/>
        <v>completed</v>
      </c>
      <c r="J370" t="s">
        <v>25</v>
      </c>
      <c r="K370">
        <v>2</v>
      </c>
      <c r="L370">
        <v>4</v>
      </c>
      <c r="M370">
        <v>2003</v>
      </c>
      <c r="N370" t="s">
        <v>504</v>
      </c>
      <c r="O370">
        <v>118</v>
      </c>
      <c r="P370" t="s">
        <v>519</v>
      </c>
      <c r="Q370" t="s">
        <v>203</v>
      </c>
      <c r="R370">
        <v>2125558493</v>
      </c>
      <c r="S370" t="s">
        <v>204</v>
      </c>
      <c r="T370" t="s">
        <v>205</v>
      </c>
      <c r="U370" s="1" t="str">
        <f t="shared" si="33"/>
        <v>Nyc</v>
      </c>
      <c r="V370" t="s">
        <v>30</v>
      </c>
      <c r="W370" t="s">
        <v>31</v>
      </c>
      <c r="X370">
        <v>10022</v>
      </c>
      <c r="Y370" s="1" t="str">
        <f t="shared" si="34"/>
        <v>USA</v>
      </c>
      <c r="Z370" s="4" t="str">
        <f t="shared" si="35"/>
        <v>Usa</v>
      </c>
      <c r="AA370" t="s">
        <v>32</v>
      </c>
      <c r="AB370" t="s">
        <v>33</v>
      </c>
      <c r="AC370" t="s">
        <v>124</v>
      </c>
      <c r="AD370" t="s">
        <v>206</v>
      </c>
      <c r="AE370" t="s">
        <v>51</v>
      </c>
    </row>
    <row r="371" spans="1:31" x14ac:dyDescent="0.3">
      <c r="A371">
        <v>10127</v>
      </c>
      <c r="B371">
        <v>24</v>
      </c>
      <c r="C371">
        <v>100</v>
      </c>
      <c r="D371">
        <v>11</v>
      </c>
      <c r="E371" s="4" t="str">
        <f t="shared" si="30"/>
        <v>low sales</v>
      </c>
      <c r="F371">
        <v>2559.6</v>
      </c>
      <c r="G371" t="s">
        <v>1043</v>
      </c>
      <c r="H371" s="1" t="str">
        <f t="shared" si="31"/>
        <v>Shipped</v>
      </c>
      <c r="I371" s="4" t="str">
        <f t="shared" si="32"/>
        <v>completed</v>
      </c>
      <c r="J371" t="s">
        <v>25</v>
      </c>
      <c r="K371">
        <v>2</v>
      </c>
      <c r="L371">
        <v>6</v>
      </c>
      <c r="M371">
        <v>2003</v>
      </c>
      <c r="N371" t="s">
        <v>504</v>
      </c>
      <c r="O371">
        <v>118</v>
      </c>
      <c r="P371" t="s">
        <v>519</v>
      </c>
      <c r="Q371" t="s">
        <v>475</v>
      </c>
      <c r="R371">
        <v>2125557413</v>
      </c>
      <c r="S371" t="s">
        <v>476</v>
      </c>
      <c r="T371" t="s">
        <v>477</v>
      </c>
      <c r="U371" s="1" t="str">
        <f t="shared" si="33"/>
        <v>Nyc</v>
      </c>
      <c r="V371" t="s">
        <v>30</v>
      </c>
      <c r="W371" t="s">
        <v>31</v>
      </c>
      <c r="X371">
        <v>10022</v>
      </c>
      <c r="Y371" s="1" t="str">
        <f t="shared" si="34"/>
        <v>USA</v>
      </c>
      <c r="Z371" s="4" t="str">
        <f t="shared" si="35"/>
        <v>Usa</v>
      </c>
      <c r="AA371" t="s">
        <v>32</v>
      </c>
      <c r="AB371" t="s">
        <v>33</v>
      </c>
      <c r="AC371" t="s">
        <v>56</v>
      </c>
      <c r="AD371" t="s">
        <v>478</v>
      </c>
      <c r="AE371" t="s">
        <v>36</v>
      </c>
    </row>
    <row r="372" spans="1:31" x14ac:dyDescent="0.3">
      <c r="A372">
        <v>10141</v>
      </c>
      <c r="B372">
        <v>21</v>
      </c>
      <c r="C372">
        <v>100</v>
      </c>
      <c r="D372">
        <v>5</v>
      </c>
      <c r="E372" s="4" t="str">
        <f t="shared" si="30"/>
        <v>low sales</v>
      </c>
      <c r="F372">
        <v>2140.11</v>
      </c>
      <c r="G372" t="s">
        <v>1044</v>
      </c>
      <c r="H372" s="1" t="str">
        <f t="shared" si="31"/>
        <v>Shipped</v>
      </c>
      <c r="I372" s="4" t="str">
        <f t="shared" si="32"/>
        <v>completed</v>
      </c>
      <c r="J372" t="s">
        <v>25</v>
      </c>
      <c r="K372">
        <v>3</v>
      </c>
      <c r="L372">
        <v>8</v>
      </c>
      <c r="M372">
        <v>2003</v>
      </c>
      <c r="N372" t="s">
        <v>504</v>
      </c>
      <c r="O372">
        <v>118</v>
      </c>
      <c r="P372" t="s">
        <v>519</v>
      </c>
      <c r="Q372" t="s">
        <v>467</v>
      </c>
      <c r="R372" t="s">
        <v>468</v>
      </c>
      <c r="S372" t="s">
        <v>469</v>
      </c>
      <c r="U372" s="1" t="str">
        <f t="shared" si="33"/>
        <v>Espoo</v>
      </c>
      <c r="V372" t="s">
        <v>470</v>
      </c>
      <c r="X372" t="s">
        <v>471</v>
      </c>
      <c r="Y372" s="1" t="str">
        <f t="shared" si="34"/>
        <v>FINLAND</v>
      </c>
      <c r="Z372" s="4" t="str">
        <f t="shared" si="35"/>
        <v>Finland</v>
      </c>
      <c r="AA372" t="s">
        <v>130</v>
      </c>
      <c r="AB372" t="s">
        <v>42</v>
      </c>
      <c r="AC372" t="s">
        <v>472</v>
      </c>
      <c r="AD372" t="s">
        <v>473</v>
      </c>
      <c r="AE372" t="s">
        <v>36</v>
      </c>
    </row>
    <row r="373" spans="1:31" x14ac:dyDescent="0.3">
      <c r="A373">
        <v>10151</v>
      </c>
      <c r="B373">
        <v>24</v>
      </c>
      <c r="C373">
        <v>100</v>
      </c>
      <c r="D373">
        <v>3</v>
      </c>
      <c r="E373" s="4" t="str">
        <f t="shared" si="30"/>
        <v>low sales</v>
      </c>
      <c r="F373">
        <v>3327.6</v>
      </c>
      <c r="G373" t="s">
        <v>1045</v>
      </c>
      <c r="H373" s="1" t="str">
        <f t="shared" si="31"/>
        <v>Shipped</v>
      </c>
      <c r="I373" s="4" t="str">
        <f t="shared" si="32"/>
        <v>completed</v>
      </c>
      <c r="J373" t="s">
        <v>25</v>
      </c>
      <c r="K373">
        <v>3</v>
      </c>
      <c r="L373">
        <v>9</v>
      </c>
      <c r="M373">
        <v>2003</v>
      </c>
      <c r="N373" t="s">
        <v>504</v>
      </c>
      <c r="O373">
        <v>118</v>
      </c>
      <c r="P373" t="s">
        <v>519</v>
      </c>
      <c r="Q373" t="s">
        <v>391</v>
      </c>
      <c r="R373" t="s">
        <v>392</v>
      </c>
      <c r="S373" t="s">
        <v>393</v>
      </c>
      <c r="U373" s="1" t="str">
        <f t="shared" si="33"/>
        <v>Oulu</v>
      </c>
      <c r="V373" t="s">
        <v>394</v>
      </c>
      <c r="X373">
        <v>90110</v>
      </c>
      <c r="Y373" s="1" t="str">
        <f t="shared" si="34"/>
        <v>FINLAND</v>
      </c>
      <c r="Z373" s="4" t="str">
        <f t="shared" si="35"/>
        <v>Finland</v>
      </c>
      <c r="AA373" t="s">
        <v>130</v>
      </c>
      <c r="AB373" t="s">
        <v>42</v>
      </c>
      <c r="AC373" t="s">
        <v>395</v>
      </c>
      <c r="AD373" t="s">
        <v>396</v>
      </c>
      <c r="AE373" t="s">
        <v>51</v>
      </c>
    </row>
    <row r="374" spans="1:31" x14ac:dyDescent="0.3">
      <c r="A374">
        <v>10165</v>
      </c>
      <c r="B374">
        <v>48</v>
      </c>
      <c r="C374">
        <v>100</v>
      </c>
      <c r="D374">
        <v>12</v>
      </c>
      <c r="E374" s="4" t="str">
        <f t="shared" si="30"/>
        <v>high sales</v>
      </c>
      <c r="F374">
        <v>6825.6</v>
      </c>
      <c r="G374" t="s">
        <v>1046</v>
      </c>
      <c r="H374" s="1" t="str">
        <f t="shared" si="31"/>
        <v>Shipped</v>
      </c>
      <c r="I374" s="4" t="str">
        <f t="shared" si="32"/>
        <v>completed</v>
      </c>
      <c r="J374" t="s">
        <v>25</v>
      </c>
      <c r="K374">
        <v>4</v>
      </c>
      <c r="L374">
        <v>10</v>
      </c>
      <c r="M374">
        <v>2003</v>
      </c>
      <c r="N374" t="s">
        <v>504</v>
      </c>
      <c r="O374">
        <v>118</v>
      </c>
      <c r="P374" t="s">
        <v>519</v>
      </c>
      <c r="Q374" t="s">
        <v>196</v>
      </c>
      <c r="R374" t="s">
        <v>197</v>
      </c>
      <c r="S374" t="s">
        <v>198</v>
      </c>
      <c r="U374" s="1" t="str">
        <f t="shared" si="33"/>
        <v>Singapore</v>
      </c>
      <c r="V374" t="s">
        <v>199</v>
      </c>
      <c r="X374">
        <v>79903</v>
      </c>
      <c r="Y374" s="1" t="str">
        <f t="shared" si="34"/>
        <v>SINGAPORE</v>
      </c>
      <c r="Z374" s="4" t="str">
        <f t="shared" si="35"/>
        <v>Singapore</v>
      </c>
      <c r="AA374" t="s">
        <v>199</v>
      </c>
      <c r="AB374" t="s">
        <v>200</v>
      </c>
      <c r="AC374" t="s">
        <v>201</v>
      </c>
      <c r="AD374" t="s">
        <v>202</v>
      </c>
      <c r="AE374" t="s">
        <v>51</v>
      </c>
    </row>
    <row r="375" spans="1:31" x14ac:dyDescent="0.3">
      <c r="A375">
        <v>10175</v>
      </c>
      <c r="B375">
        <v>26</v>
      </c>
      <c r="C375">
        <v>100</v>
      </c>
      <c r="D375">
        <v>1</v>
      </c>
      <c r="E375" s="4" t="str">
        <f t="shared" si="30"/>
        <v>low sales</v>
      </c>
      <c r="F375">
        <v>3543.28</v>
      </c>
      <c r="G375" t="s">
        <v>1047</v>
      </c>
      <c r="H375" s="1" t="str">
        <f t="shared" si="31"/>
        <v>Shipped</v>
      </c>
      <c r="I375" s="4" t="str">
        <f t="shared" si="32"/>
        <v>completed</v>
      </c>
      <c r="J375" t="s">
        <v>25</v>
      </c>
      <c r="K375">
        <v>4</v>
      </c>
      <c r="L375">
        <v>11</v>
      </c>
      <c r="M375">
        <v>2003</v>
      </c>
      <c r="N375" t="s">
        <v>504</v>
      </c>
      <c r="O375">
        <v>118</v>
      </c>
      <c r="P375" t="s">
        <v>519</v>
      </c>
      <c r="Q375" t="s">
        <v>329</v>
      </c>
      <c r="R375" t="s">
        <v>330</v>
      </c>
      <c r="S375" t="s">
        <v>331</v>
      </c>
      <c r="U375" s="1" t="str">
        <f t="shared" si="33"/>
        <v>London</v>
      </c>
      <c r="V375" t="s">
        <v>332</v>
      </c>
      <c r="X375" t="s">
        <v>333</v>
      </c>
      <c r="Y375" s="1" t="str">
        <f t="shared" si="34"/>
        <v>UK</v>
      </c>
      <c r="Z375" s="4" t="str">
        <f t="shared" si="35"/>
        <v>Uk</v>
      </c>
      <c r="AA375" t="s">
        <v>170</v>
      </c>
      <c r="AB375" t="s">
        <v>42</v>
      </c>
      <c r="AC375" t="s">
        <v>61</v>
      </c>
      <c r="AD375" t="s">
        <v>334</v>
      </c>
      <c r="AE375" t="s">
        <v>51</v>
      </c>
    </row>
    <row r="376" spans="1:31" x14ac:dyDescent="0.3">
      <c r="A376">
        <v>10184</v>
      </c>
      <c r="B376">
        <v>37</v>
      </c>
      <c r="C376">
        <v>100</v>
      </c>
      <c r="D376">
        <v>6</v>
      </c>
      <c r="E376" s="4" t="str">
        <f t="shared" si="30"/>
        <v>high sales</v>
      </c>
      <c r="F376">
        <v>4516.22</v>
      </c>
      <c r="G376" t="s">
        <v>1048</v>
      </c>
      <c r="H376" s="1" t="str">
        <f t="shared" si="31"/>
        <v>Shipped</v>
      </c>
      <c r="I376" s="4" t="str">
        <f t="shared" si="32"/>
        <v>completed</v>
      </c>
      <c r="J376" t="s">
        <v>25</v>
      </c>
      <c r="K376">
        <v>4</v>
      </c>
      <c r="L376">
        <v>11</v>
      </c>
      <c r="M376">
        <v>2003</v>
      </c>
      <c r="N376" t="s">
        <v>504</v>
      </c>
      <c r="O376">
        <v>118</v>
      </c>
      <c r="P376" t="s">
        <v>519</v>
      </c>
      <c r="Q376" t="s">
        <v>520</v>
      </c>
      <c r="R376" t="s">
        <v>521</v>
      </c>
      <c r="S376" t="s">
        <v>522</v>
      </c>
      <c r="U376" s="1" t="str">
        <f t="shared" si="33"/>
        <v>Sevilla</v>
      </c>
      <c r="V376" t="s">
        <v>523</v>
      </c>
      <c r="X376">
        <v>41101</v>
      </c>
      <c r="Y376" s="1" t="str">
        <f t="shared" si="34"/>
        <v>SPAIN</v>
      </c>
      <c r="Z376" s="4" t="str">
        <f t="shared" si="35"/>
        <v>Spain</v>
      </c>
      <c r="AA376" t="s">
        <v>178</v>
      </c>
      <c r="AB376" t="s">
        <v>42</v>
      </c>
      <c r="AC376" t="s">
        <v>524</v>
      </c>
      <c r="AD376" t="s">
        <v>525</v>
      </c>
      <c r="AE376" t="s">
        <v>51</v>
      </c>
    </row>
    <row r="377" spans="1:31" x14ac:dyDescent="0.3">
      <c r="A377">
        <v>10195</v>
      </c>
      <c r="B377">
        <v>49</v>
      </c>
      <c r="C377">
        <v>100</v>
      </c>
      <c r="D377">
        <v>6</v>
      </c>
      <c r="E377" s="4" t="str">
        <f t="shared" si="30"/>
        <v>high sales</v>
      </c>
      <c r="F377">
        <v>6445.46</v>
      </c>
      <c r="G377" t="s">
        <v>1049</v>
      </c>
      <c r="H377" s="1" t="str">
        <f t="shared" si="31"/>
        <v>Shipped</v>
      </c>
      <c r="I377" s="4" t="str">
        <f t="shared" si="32"/>
        <v>completed</v>
      </c>
      <c r="J377" t="s">
        <v>25</v>
      </c>
      <c r="K377">
        <v>4</v>
      </c>
      <c r="L377">
        <v>11</v>
      </c>
      <c r="M377">
        <v>2003</v>
      </c>
      <c r="N377" t="s">
        <v>504</v>
      </c>
      <c r="O377">
        <v>118</v>
      </c>
      <c r="P377" t="s">
        <v>519</v>
      </c>
      <c r="Q377" t="s">
        <v>317</v>
      </c>
      <c r="R377">
        <v>9145554562</v>
      </c>
      <c r="S377" t="s">
        <v>318</v>
      </c>
      <c r="U377" s="1" t="str">
        <f t="shared" si="33"/>
        <v>White Plains</v>
      </c>
      <c r="V377" t="s">
        <v>319</v>
      </c>
      <c r="W377" t="s">
        <v>31</v>
      </c>
      <c r="X377">
        <v>24067</v>
      </c>
      <c r="Y377" s="1" t="str">
        <f t="shared" si="34"/>
        <v>USA</v>
      </c>
      <c r="Z377" s="4" t="str">
        <f t="shared" si="35"/>
        <v>Usa</v>
      </c>
      <c r="AA377" t="s">
        <v>32</v>
      </c>
      <c r="AB377" t="s">
        <v>33</v>
      </c>
      <c r="AC377" t="s">
        <v>102</v>
      </c>
      <c r="AD377" t="s">
        <v>238</v>
      </c>
      <c r="AE377" t="s">
        <v>51</v>
      </c>
    </row>
    <row r="378" spans="1:31" x14ac:dyDescent="0.3">
      <c r="A378">
        <v>10207</v>
      </c>
      <c r="B378">
        <v>34</v>
      </c>
      <c r="C378">
        <v>99.54</v>
      </c>
      <c r="D378">
        <v>7</v>
      </c>
      <c r="E378" s="4" t="str">
        <f t="shared" si="30"/>
        <v>low sales</v>
      </c>
      <c r="F378">
        <v>3384.36</v>
      </c>
      <c r="G378" t="s">
        <v>1050</v>
      </c>
      <c r="H378" s="1" t="str">
        <f t="shared" si="31"/>
        <v>Shipped</v>
      </c>
      <c r="I378" s="4" t="str">
        <f t="shared" si="32"/>
        <v>completed</v>
      </c>
      <c r="J378" t="s">
        <v>25</v>
      </c>
      <c r="K378">
        <v>4</v>
      </c>
      <c r="L378">
        <v>12</v>
      </c>
      <c r="M378">
        <v>2003</v>
      </c>
      <c r="N378" t="s">
        <v>504</v>
      </c>
      <c r="O378">
        <v>118</v>
      </c>
      <c r="P378" t="s">
        <v>519</v>
      </c>
      <c r="Q378" t="s">
        <v>415</v>
      </c>
      <c r="R378">
        <v>6175552555</v>
      </c>
      <c r="S378" t="s">
        <v>416</v>
      </c>
      <c r="U378" s="1" t="str">
        <f t="shared" si="33"/>
        <v>Boston</v>
      </c>
      <c r="V378" t="s">
        <v>381</v>
      </c>
      <c r="W378" t="s">
        <v>123</v>
      </c>
      <c r="X378">
        <v>51003</v>
      </c>
      <c r="Y378" s="1" t="str">
        <f t="shared" si="34"/>
        <v>USA</v>
      </c>
      <c r="Z378" s="4" t="str">
        <f t="shared" si="35"/>
        <v>Usa</v>
      </c>
      <c r="AA378" t="s">
        <v>32</v>
      </c>
      <c r="AB378" t="s">
        <v>33</v>
      </c>
      <c r="AC378" t="s">
        <v>417</v>
      </c>
      <c r="AD378" t="s">
        <v>276</v>
      </c>
      <c r="AE378" t="s">
        <v>51</v>
      </c>
    </row>
    <row r="379" spans="1:31" x14ac:dyDescent="0.3">
      <c r="A379">
        <v>10219</v>
      </c>
      <c r="B379">
        <v>48</v>
      </c>
      <c r="C379">
        <v>100</v>
      </c>
      <c r="D379">
        <v>2</v>
      </c>
      <c r="E379" s="4" t="str">
        <f t="shared" si="30"/>
        <v>high sales</v>
      </c>
      <c r="F379">
        <v>4891.68</v>
      </c>
      <c r="G379" t="s">
        <v>1051</v>
      </c>
      <c r="H379" s="1" t="str">
        <f t="shared" si="31"/>
        <v>Shipped</v>
      </c>
      <c r="I379" s="4" t="str">
        <f t="shared" si="32"/>
        <v>completed</v>
      </c>
      <c r="J379" t="s">
        <v>25</v>
      </c>
      <c r="K379">
        <v>1</v>
      </c>
      <c r="L379">
        <v>2</v>
      </c>
      <c r="M379">
        <v>2004</v>
      </c>
      <c r="N379" t="s">
        <v>504</v>
      </c>
      <c r="O379">
        <v>118</v>
      </c>
      <c r="P379" t="s">
        <v>519</v>
      </c>
      <c r="Q379" t="s">
        <v>526</v>
      </c>
      <c r="R379">
        <v>4155554312</v>
      </c>
      <c r="S379" t="s">
        <v>527</v>
      </c>
      <c r="U379" s="1" t="str">
        <f t="shared" si="33"/>
        <v>Brisbane</v>
      </c>
      <c r="V379" t="s">
        <v>528</v>
      </c>
      <c r="W379" t="s">
        <v>55</v>
      </c>
      <c r="X379">
        <v>94217</v>
      </c>
      <c r="Y379" s="1" t="str">
        <f t="shared" si="34"/>
        <v>USA</v>
      </c>
      <c r="Z379" s="4" t="str">
        <f t="shared" si="35"/>
        <v>Usa</v>
      </c>
      <c r="AA379" t="s">
        <v>32</v>
      </c>
      <c r="AB379" t="s">
        <v>33</v>
      </c>
      <c r="AC379" t="s">
        <v>529</v>
      </c>
      <c r="AD379" t="s">
        <v>400</v>
      </c>
      <c r="AE379" t="s">
        <v>51</v>
      </c>
    </row>
    <row r="380" spans="1:31" x14ac:dyDescent="0.3">
      <c r="A380">
        <v>10229</v>
      </c>
      <c r="B380">
        <v>36</v>
      </c>
      <c r="C380">
        <v>100</v>
      </c>
      <c r="D380">
        <v>1</v>
      </c>
      <c r="E380" s="4" t="str">
        <f t="shared" si="30"/>
        <v>high sales</v>
      </c>
      <c r="F380">
        <v>4521.96</v>
      </c>
      <c r="G380" t="s">
        <v>1052</v>
      </c>
      <c r="H380" s="1" t="str">
        <f t="shared" si="31"/>
        <v>Shipped</v>
      </c>
      <c r="I380" s="4" t="str">
        <f t="shared" si="32"/>
        <v>completed</v>
      </c>
      <c r="J380" t="s">
        <v>25</v>
      </c>
      <c r="K380">
        <v>1</v>
      </c>
      <c r="L380">
        <v>3</v>
      </c>
      <c r="M380">
        <v>2004</v>
      </c>
      <c r="N380" t="s">
        <v>504</v>
      </c>
      <c r="O380">
        <v>118</v>
      </c>
      <c r="P380" t="s">
        <v>519</v>
      </c>
      <c r="Q380" t="s">
        <v>272</v>
      </c>
      <c r="R380">
        <v>4155551450</v>
      </c>
      <c r="S380" t="s">
        <v>273</v>
      </c>
      <c r="U380" s="1" t="str">
        <f t="shared" si="33"/>
        <v>San Rafael</v>
      </c>
      <c r="V380" t="s">
        <v>274</v>
      </c>
      <c r="W380" t="s">
        <v>55</v>
      </c>
      <c r="X380">
        <v>97562</v>
      </c>
      <c r="Y380" s="1" t="str">
        <f t="shared" si="34"/>
        <v>USA</v>
      </c>
      <c r="Z380" s="4" t="str">
        <f t="shared" si="35"/>
        <v>Usa</v>
      </c>
      <c r="AA380" t="s">
        <v>32</v>
      </c>
      <c r="AB380" t="s">
        <v>33</v>
      </c>
      <c r="AC380" t="s">
        <v>275</v>
      </c>
      <c r="AD380" t="s">
        <v>276</v>
      </c>
      <c r="AE380" t="s">
        <v>51</v>
      </c>
    </row>
    <row r="381" spans="1:31" x14ac:dyDescent="0.3">
      <c r="A381">
        <v>10246</v>
      </c>
      <c r="B381">
        <v>46</v>
      </c>
      <c r="C381">
        <v>100</v>
      </c>
      <c r="D381">
        <v>5</v>
      </c>
      <c r="E381" s="4" t="str">
        <f t="shared" si="30"/>
        <v>high sales</v>
      </c>
      <c r="F381">
        <v>5069.66</v>
      </c>
      <c r="G381" t="s">
        <v>1053</v>
      </c>
      <c r="H381" s="1" t="str">
        <f t="shared" si="31"/>
        <v>Shipped</v>
      </c>
      <c r="I381" s="4" t="str">
        <f t="shared" si="32"/>
        <v>completed</v>
      </c>
      <c r="J381" t="s">
        <v>25</v>
      </c>
      <c r="K381">
        <v>2</v>
      </c>
      <c r="L381">
        <v>5</v>
      </c>
      <c r="M381">
        <v>2004</v>
      </c>
      <c r="N381" t="s">
        <v>504</v>
      </c>
      <c r="O381">
        <v>118</v>
      </c>
      <c r="P381" t="s">
        <v>519</v>
      </c>
      <c r="Q381" t="s">
        <v>174</v>
      </c>
      <c r="R381" t="s">
        <v>175</v>
      </c>
      <c r="S381" t="s">
        <v>176</v>
      </c>
      <c r="U381" s="1" t="str">
        <f t="shared" si="33"/>
        <v>Madrid</v>
      </c>
      <c r="V381" t="s">
        <v>177</v>
      </c>
      <c r="X381">
        <v>28034</v>
      </c>
      <c r="Y381" s="1" t="str">
        <f t="shared" si="34"/>
        <v>SPAIN</v>
      </c>
      <c r="Z381" s="4" t="str">
        <f t="shared" si="35"/>
        <v>Spain</v>
      </c>
      <c r="AA381" t="s">
        <v>178</v>
      </c>
      <c r="AB381" t="s">
        <v>42</v>
      </c>
      <c r="AC381" t="s">
        <v>179</v>
      </c>
      <c r="AD381" t="s">
        <v>180</v>
      </c>
      <c r="AE381" t="s">
        <v>51</v>
      </c>
    </row>
    <row r="382" spans="1:31" x14ac:dyDescent="0.3">
      <c r="A382">
        <v>10259</v>
      </c>
      <c r="B382">
        <v>46</v>
      </c>
      <c r="C382">
        <v>100</v>
      </c>
      <c r="D382">
        <v>4</v>
      </c>
      <c r="E382" s="4" t="str">
        <f t="shared" si="30"/>
        <v>high sales</v>
      </c>
      <c r="F382">
        <v>6541.2</v>
      </c>
      <c r="G382" t="s">
        <v>1054</v>
      </c>
      <c r="H382" s="1" t="str">
        <f t="shared" si="31"/>
        <v>Shipped</v>
      </c>
      <c r="I382" s="4" t="str">
        <f t="shared" si="32"/>
        <v>completed</v>
      </c>
      <c r="J382" t="s">
        <v>25</v>
      </c>
      <c r="K382">
        <v>2</v>
      </c>
      <c r="L382">
        <v>6</v>
      </c>
      <c r="M382">
        <v>2004</v>
      </c>
      <c r="N382" t="s">
        <v>504</v>
      </c>
      <c r="O382">
        <v>118</v>
      </c>
      <c r="P382" t="s">
        <v>519</v>
      </c>
      <c r="Q382" t="s">
        <v>418</v>
      </c>
      <c r="R382" t="s">
        <v>419</v>
      </c>
      <c r="S382" t="s">
        <v>420</v>
      </c>
      <c r="T382" t="s">
        <v>421</v>
      </c>
      <c r="U382" s="1" t="str">
        <f t="shared" si="33"/>
        <v>Singapore</v>
      </c>
      <c r="V382" t="s">
        <v>199</v>
      </c>
      <c r="X382">
        <v>69045</v>
      </c>
      <c r="Y382" s="1" t="str">
        <f t="shared" si="34"/>
        <v>SINGAPORE</v>
      </c>
      <c r="Z382" s="4" t="str">
        <f t="shared" si="35"/>
        <v>Singapore</v>
      </c>
      <c r="AA382" t="s">
        <v>199</v>
      </c>
      <c r="AB382" t="s">
        <v>96</v>
      </c>
      <c r="AC382" t="s">
        <v>422</v>
      </c>
      <c r="AD382" t="s">
        <v>423</v>
      </c>
      <c r="AE382" t="s">
        <v>51</v>
      </c>
    </row>
    <row r="383" spans="1:31" x14ac:dyDescent="0.3">
      <c r="A383">
        <v>10271</v>
      </c>
      <c r="B383">
        <v>31</v>
      </c>
      <c r="C383">
        <v>97.17</v>
      </c>
      <c r="D383">
        <v>5</v>
      </c>
      <c r="E383" s="4" t="str">
        <f t="shared" si="30"/>
        <v>low sales</v>
      </c>
      <c r="F383">
        <v>3012.27</v>
      </c>
      <c r="G383" t="s">
        <v>1055</v>
      </c>
      <c r="H383" s="1" t="str">
        <f t="shared" si="31"/>
        <v>Shipped</v>
      </c>
      <c r="I383" s="4" t="str">
        <f t="shared" si="32"/>
        <v>completed</v>
      </c>
      <c r="J383" t="s">
        <v>25</v>
      </c>
      <c r="K383">
        <v>3</v>
      </c>
      <c r="L383">
        <v>7</v>
      </c>
      <c r="M383">
        <v>2004</v>
      </c>
      <c r="N383" t="s">
        <v>504</v>
      </c>
      <c r="O383">
        <v>118</v>
      </c>
      <c r="P383" t="s">
        <v>519</v>
      </c>
      <c r="Q383" t="s">
        <v>272</v>
      </c>
      <c r="R383">
        <v>4155551450</v>
      </c>
      <c r="S383" t="s">
        <v>273</v>
      </c>
      <c r="U383" s="1" t="str">
        <f t="shared" si="33"/>
        <v>San Rafael</v>
      </c>
      <c r="V383" t="s">
        <v>274</v>
      </c>
      <c r="W383" t="s">
        <v>55</v>
      </c>
      <c r="X383">
        <v>97562</v>
      </c>
      <c r="Y383" s="1" t="str">
        <f t="shared" si="34"/>
        <v>USA</v>
      </c>
      <c r="Z383" s="4" t="str">
        <f t="shared" si="35"/>
        <v>Usa</v>
      </c>
      <c r="AA383" t="s">
        <v>32</v>
      </c>
      <c r="AB383" t="s">
        <v>33</v>
      </c>
      <c r="AC383" t="s">
        <v>275</v>
      </c>
      <c r="AD383" t="s">
        <v>276</v>
      </c>
      <c r="AE383" t="s">
        <v>51</v>
      </c>
    </row>
    <row r="384" spans="1:31" x14ac:dyDescent="0.3">
      <c r="A384">
        <v>10281</v>
      </c>
      <c r="B384">
        <v>41</v>
      </c>
      <c r="C384">
        <v>100</v>
      </c>
      <c r="D384">
        <v>1</v>
      </c>
      <c r="E384" s="4" t="str">
        <f t="shared" si="30"/>
        <v>high sales</v>
      </c>
      <c r="F384">
        <v>5247.18</v>
      </c>
      <c r="G384" t="s">
        <v>1056</v>
      </c>
      <c r="H384" s="1" t="str">
        <f t="shared" si="31"/>
        <v>Shipped</v>
      </c>
      <c r="I384" s="4" t="str">
        <f t="shared" si="32"/>
        <v>completed</v>
      </c>
      <c r="J384" t="s">
        <v>25</v>
      </c>
      <c r="K384">
        <v>3</v>
      </c>
      <c r="L384">
        <v>8</v>
      </c>
      <c r="M384">
        <v>2004</v>
      </c>
      <c r="N384" t="s">
        <v>504</v>
      </c>
      <c r="O384">
        <v>118</v>
      </c>
      <c r="P384" t="s">
        <v>519</v>
      </c>
      <c r="Q384" t="s">
        <v>139</v>
      </c>
      <c r="R384">
        <v>2155551555</v>
      </c>
      <c r="S384" t="s">
        <v>140</v>
      </c>
      <c r="U384" s="1" t="str">
        <f t="shared" si="33"/>
        <v>Allentown</v>
      </c>
      <c r="V384" t="s">
        <v>141</v>
      </c>
      <c r="W384" t="s">
        <v>142</v>
      </c>
      <c r="X384">
        <v>70267</v>
      </c>
      <c r="Y384" s="1" t="str">
        <f t="shared" si="34"/>
        <v>USA</v>
      </c>
      <c r="Z384" s="4" t="str">
        <f t="shared" si="35"/>
        <v>Usa</v>
      </c>
      <c r="AA384" t="s">
        <v>32</v>
      </c>
      <c r="AB384" t="s">
        <v>33</v>
      </c>
      <c r="AC384" t="s">
        <v>34</v>
      </c>
      <c r="AD384" t="s">
        <v>143</v>
      </c>
      <c r="AE384" t="s">
        <v>51</v>
      </c>
    </row>
    <row r="385" spans="1:31" x14ac:dyDescent="0.3">
      <c r="A385">
        <v>10292</v>
      </c>
      <c r="B385">
        <v>21</v>
      </c>
      <c r="C385">
        <v>100</v>
      </c>
      <c r="D385">
        <v>8</v>
      </c>
      <c r="E385" s="4" t="str">
        <f t="shared" si="30"/>
        <v>low sales</v>
      </c>
      <c r="F385">
        <v>2214.87</v>
      </c>
      <c r="G385" t="s">
        <v>1057</v>
      </c>
      <c r="H385" s="1" t="str">
        <f t="shared" si="31"/>
        <v>Shipped</v>
      </c>
      <c r="I385" s="4" t="str">
        <f t="shared" si="32"/>
        <v>completed</v>
      </c>
      <c r="J385" t="s">
        <v>25</v>
      </c>
      <c r="K385">
        <v>3</v>
      </c>
      <c r="L385">
        <v>9</v>
      </c>
      <c r="M385">
        <v>2004</v>
      </c>
      <c r="N385" t="s">
        <v>504</v>
      </c>
      <c r="O385">
        <v>118</v>
      </c>
      <c r="P385" t="s">
        <v>519</v>
      </c>
      <c r="Q385" t="s">
        <v>28</v>
      </c>
      <c r="R385">
        <v>2125557818</v>
      </c>
      <c r="S385" t="s">
        <v>29</v>
      </c>
      <c r="U385" s="1" t="str">
        <f t="shared" si="33"/>
        <v>Nyc</v>
      </c>
      <c r="V385" t="s">
        <v>30</v>
      </c>
      <c r="W385" t="s">
        <v>31</v>
      </c>
      <c r="X385">
        <v>10022</v>
      </c>
      <c r="Y385" s="1" t="str">
        <f t="shared" si="34"/>
        <v>USA</v>
      </c>
      <c r="Z385" s="4" t="str">
        <f t="shared" si="35"/>
        <v>Usa</v>
      </c>
      <c r="AA385" t="s">
        <v>32</v>
      </c>
      <c r="AB385" t="s">
        <v>33</v>
      </c>
      <c r="AC385" t="s">
        <v>34</v>
      </c>
      <c r="AD385" t="s">
        <v>35</v>
      </c>
      <c r="AE385" t="s">
        <v>36</v>
      </c>
    </row>
    <row r="386" spans="1:31" x14ac:dyDescent="0.3">
      <c r="A386">
        <v>10305</v>
      </c>
      <c r="B386">
        <v>38</v>
      </c>
      <c r="C386">
        <v>100</v>
      </c>
      <c r="D386">
        <v>5</v>
      </c>
      <c r="E386" s="4" t="str">
        <f t="shared" si="30"/>
        <v>high sales</v>
      </c>
      <c r="F386">
        <v>4773.18</v>
      </c>
      <c r="G386" t="s">
        <v>1058</v>
      </c>
      <c r="H386" s="1" t="str">
        <f t="shared" si="31"/>
        <v>Shipped</v>
      </c>
      <c r="I386" s="4" t="str">
        <f t="shared" si="32"/>
        <v>completed</v>
      </c>
      <c r="J386" t="s">
        <v>25</v>
      </c>
      <c r="K386">
        <v>4</v>
      </c>
      <c r="L386">
        <v>10</v>
      </c>
      <c r="M386">
        <v>2004</v>
      </c>
      <c r="N386" t="s">
        <v>504</v>
      </c>
      <c r="O386">
        <v>118</v>
      </c>
      <c r="P386" t="s">
        <v>519</v>
      </c>
      <c r="Q386" t="s">
        <v>120</v>
      </c>
      <c r="R386">
        <v>6175558555</v>
      </c>
      <c r="S386" t="s">
        <v>121</v>
      </c>
      <c r="U386" s="1" t="str">
        <f t="shared" si="33"/>
        <v>Cambridge</v>
      </c>
      <c r="V386" t="s">
        <v>122</v>
      </c>
      <c r="W386" t="s">
        <v>123</v>
      </c>
      <c r="X386">
        <v>51247</v>
      </c>
      <c r="Y386" s="1" t="str">
        <f t="shared" si="34"/>
        <v>USA</v>
      </c>
      <c r="Z386" s="4" t="str">
        <f t="shared" si="35"/>
        <v>Usa</v>
      </c>
      <c r="AA386" t="s">
        <v>32</v>
      </c>
      <c r="AB386" t="s">
        <v>33</v>
      </c>
      <c r="AC386" t="s">
        <v>124</v>
      </c>
      <c r="AD386" t="s">
        <v>125</v>
      </c>
      <c r="AE386" t="s">
        <v>51</v>
      </c>
    </row>
    <row r="387" spans="1:31" x14ac:dyDescent="0.3">
      <c r="A387">
        <v>10314</v>
      </c>
      <c r="B387">
        <v>45</v>
      </c>
      <c r="C387">
        <v>100</v>
      </c>
      <c r="D387">
        <v>14</v>
      </c>
      <c r="E387" s="4" t="str">
        <f t="shared" ref="E387:E450" si="36">IF(F387&gt;4000,"high sales","low sales")</f>
        <v>high sales</v>
      </c>
      <c r="F387">
        <v>6185.7</v>
      </c>
      <c r="G387" t="s">
        <v>1059</v>
      </c>
      <c r="H387" s="1" t="str">
        <f t="shared" ref="H387:H450" si="37">PROPER(TRIM(J387))</f>
        <v>Shipped</v>
      </c>
      <c r="I387" s="4" t="str">
        <f t="shared" ref="I387:I450" si="38">IF(J387="shipped","completed","not completed")</f>
        <v>completed</v>
      </c>
      <c r="J387" t="s">
        <v>25</v>
      </c>
      <c r="K387">
        <v>4</v>
      </c>
      <c r="L387">
        <v>10</v>
      </c>
      <c r="M387">
        <v>2004</v>
      </c>
      <c r="N387" t="s">
        <v>504</v>
      </c>
      <c r="O387">
        <v>118</v>
      </c>
      <c r="P387" t="s">
        <v>519</v>
      </c>
      <c r="Q387" t="s">
        <v>498</v>
      </c>
      <c r="R387" t="s">
        <v>499</v>
      </c>
      <c r="S387" t="s">
        <v>500</v>
      </c>
      <c r="U387" s="1" t="str">
        <f t="shared" ref="U387:U450" si="39">PROPER(TRIM(V387))</f>
        <v>Aaarhus</v>
      </c>
      <c r="V387" t="s">
        <v>501</v>
      </c>
      <c r="X387">
        <v>8200</v>
      </c>
      <c r="Y387" s="1" t="str">
        <f t="shared" ref="Y387:Y450" si="40">UPPER(TRIM(AA387))</f>
        <v>DENMARK</v>
      </c>
      <c r="Z387" s="4" t="str">
        <f t="shared" ref="Z387:Z450" si="41">PROPER(TRIM(AA387))</f>
        <v>Denmark</v>
      </c>
      <c r="AA387" t="s">
        <v>326</v>
      </c>
      <c r="AB387" t="s">
        <v>42</v>
      </c>
      <c r="AC387" t="s">
        <v>502</v>
      </c>
      <c r="AD387" t="s">
        <v>503</v>
      </c>
      <c r="AE387" t="s">
        <v>51</v>
      </c>
    </row>
    <row r="388" spans="1:31" x14ac:dyDescent="0.3">
      <c r="A388">
        <v>10324</v>
      </c>
      <c r="B388">
        <v>26</v>
      </c>
      <c r="C388">
        <v>58.38</v>
      </c>
      <c r="D388">
        <v>7</v>
      </c>
      <c r="E388" s="4" t="str">
        <f t="shared" si="36"/>
        <v>low sales</v>
      </c>
      <c r="F388">
        <v>1517.88</v>
      </c>
      <c r="G388" t="s">
        <v>1060</v>
      </c>
      <c r="H388" s="1" t="str">
        <f t="shared" si="37"/>
        <v>Shipped</v>
      </c>
      <c r="I388" s="4" t="str">
        <f t="shared" si="38"/>
        <v>completed</v>
      </c>
      <c r="J388" t="s">
        <v>25</v>
      </c>
      <c r="K388">
        <v>4</v>
      </c>
      <c r="L388">
        <v>11</v>
      </c>
      <c r="M388">
        <v>2004</v>
      </c>
      <c r="N388" t="s">
        <v>504</v>
      </c>
      <c r="O388">
        <v>118</v>
      </c>
      <c r="P388" t="s">
        <v>519</v>
      </c>
      <c r="Q388" t="s">
        <v>99</v>
      </c>
      <c r="R388">
        <v>2125551500</v>
      </c>
      <c r="S388" t="s">
        <v>100</v>
      </c>
      <c r="T388" t="s">
        <v>101</v>
      </c>
      <c r="U388" s="1" t="str">
        <f t="shared" si="39"/>
        <v>Nyc</v>
      </c>
      <c r="V388" t="s">
        <v>30</v>
      </c>
      <c r="W388" t="s">
        <v>31</v>
      </c>
      <c r="X388">
        <v>10022</v>
      </c>
      <c r="Y388" s="1" t="str">
        <f t="shared" si="40"/>
        <v>USA</v>
      </c>
      <c r="Z388" s="4" t="str">
        <f t="shared" si="41"/>
        <v>Usa</v>
      </c>
      <c r="AA388" t="s">
        <v>32</v>
      </c>
      <c r="AB388" t="s">
        <v>33</v>
      </c>
      <c r="AC388" t="s">
        <v>102</v>
      </c>
      <c r="AD388" t="s">
        <v>103</v>
      </c>
      <c r="AE388" t="s">
        <v>36</v>
      </c>
    </row>
    <row r="389" spans="1:31" x14ac:dyDescent="0.3">
      <c r="A389">
        <v>10336</v>
      </c>
      <c r="B389">
        <v>38</v>
      </c>
      <c r="C389">
        <v>100</v>
      </c>
      <c r="D389">
        <v>3</v>
      </c>
      <c r="E389" s="4" t="str">
        <f t="shared" si="36"/>
        <v>high sales</v>
      </c>
      <c r="F389">
        <v>6372.6</v>
      </c>
      <c r="G389" t="s">
        <v>1061</v>
      </c>
      <c r="H389" s="1" t="str">
        <f t="shared" si="37"/>
        <v>Shipped</v>
      </c>
      <c r="I389" s="4" t="str">
        <f t="shared" si="38"/>
        <v>completed</v>
      </c>
      <c r="J389" t="s">
        <v>25</v>
      </c>
      <c r="K389">
        <v>4</v>
      </c>
      <c r="L389">
        <v>11</v>
      </c>
      <c r="M389">
        <v>2004</v>
      </c>
      <c r="N389" t="s">
        <v>504</v>
      </c>
      <c r="O389">
        <v>118</v>
      </c>
      <c r="P389" t="s">
        <v>519</v>
      </c>
      <c r="Q389" t="s">
        <v>403</v>
      </c>
      <c r="R389" t="s">
        <v>404</v>
      </c>
      <c r="S389" t="s">
        <v>405</v>
      </c>
      <c r="U389" s="1" t="str">
        <f t="shared" si="39"/>
        <v>Paris</v>
      </c>
      <c r="V389" t="s">
        <v>48</v>
      </c>
      <c r="X389">
        <v>75012</v>
      </c>
      <c r="Y389" s="1" t="str">
        <f t="shared" si="40"/>
        <v>FRANCE</v>
      </c>
      <c r="Z389" s="4" t="str">
        <f t="shared" si="41"/>
        <v>France</v>
      </c>
      <c r="AA389" t="s">
        <v>41</v>
      </c>
      <c r="AB389" t="s">
        <v>42</v>
      </c>
      <c r="AC389" t="s">
        <v>406</v>
      </c>
      <c r="AD389" t="s">
        <v>407</v>
      </c>
      <c r="AE389" t="s">
        <v>51</v>
      </c>
    </row>
    <row r="390" spans="1:31" x14ac:dyDescent="0.3">
      <c r="A390">
        <v>10349</v>
      </c>
      <c r="B390">
        <v>48</v>
      </c>
      <c r="C390">
        <v>100</v>
      </c>
      <c r="D390">
        <v>9</v>
      </c>
      <c r="E390" s="4" t="str">
        <f t="shared" si="36"/>
        <v>high sales</v>
      </c>
      <c r="F390">
        <v>5232.96</v>
      </c>
      <c r="G390" t="s">
        <v>1062</v>
      </c>
      <c r="H390" s="1" t="str">
        <f t="shared" si="37"/>
        <v>Shipped</v>
      </c>
      <c r="I390" s="4" t="str">
        <f t="shared" si="38"/>
        <v>completed</v>
      </c>
      <c r="J390" t="s">
        <v>25</v>
      </c>
      <c r="K390">
        <v>4</v>
      </c>
      <c r="L390">
        <v>12</v>
      </c>
      <c r="M390">
        <v>2004</v>
      </c>
      <c r="N390" t="s">
        <v>504</v>
      </c>
      <c r="O390">
        <v>118</v>
      </c>
      <c r="P390" t="s">
        <v>519</v>
      </c>
      <c r="Q390" t="s">
        <v>475</v>
      </c>
      <c r="R390">
        <v>2125557413</v>
      </c>
      <c r="S390" t="s">
        <v>476</v>
      </c>
      <c r="T390" t="s">
        <v>477</v>
      </c>
      <c r="U390" s="1" t="str">
        <f t="shared" si="39"/>
        <v>Nyc</v>
      </c>
      <c r="V390" t="s">
        <v>30</v>
      </c>
      <c r="W390" t="s">
        <v>31</v>
      </c>
      <c r="X390">
        <v>10022</v>
      </c>
      <c r="Y390" s="1" t="str">
        <f t="shared" si="40"/>
        <v>USA</v>
      </c>
      <c r="Z390" s="4" t="str">
        <f t="shared" si="41"/>
        <v>Usa</v>
      </c>
      <c r="AA390" t="s">
        <v>32</v>
      </c>
      <c r="AB390" t="s">
        <v>33</v>
      </c>
      <c r="AC390" t="s">
        <v>56</v>
      </c>
      <c r="AD390" t="s">
        <v>478</v>
      </c>
      <c r="AE390" t="s">
        <v>51</v>
      </c>
    </row>
    <row r="391" spans="1:31" x14ac:dyDescent="0.3">
      <c r="A391">
        <v>10358</v>
      </c>
      <c r="B391">
        <v>42</v>
      </c>
      <c r="C391">
        <v>64.16</v>
      </c>
      <c r="D391">
        <v>9</v>
      </c>
      <c r="E391" s="4" t="str">
        <f t="shared" si="36"/>
        <v>low sales</v>
      </c>
      <c r="F391">
        <v>2694.72</v>
      </c>
      <c r="G391" t="s">
        <v>1063</v>
      </c>
      <c r="H391" s="1" t="str">
        <f t="shared" si="37"/>
        <v>Shipped</v>
      </c>
      <c r="I391" s="4" t="str">
        <f t="shared" si="38"/>
        <v>completed</v>
      </c>
      <c r="J391" t="s">
        <v>25</v>
      </c>
      <c r="K391">
        <v>4</v>
      </c>
      <c r="L391">
        <v>12</v>
      </c>
      <c r="M391">
        <v>2004</v>
      </c>
      <c r="N391" t="s">
        <v>504</v>
      </c>
      <c r="O391">
        <v>118</v>
      </c>
      <c r="P391" t="s">
        <v>519</v>
      </c>
      <c r="Q391" t="s">
        <v>174</v>
      </c>
      <c r="R391" t="s">
        <v>175</v>
      </c>
      <c r="S391" t="s">
        <v>176</v>
      </c>
      <c r="U391" s="1" t="str">
        <f t="shared" si="39"/>
        <v>Madrid</v>
      </c>
      <c r="V391" t="s">
        <v>177</v>
      </c>
      <c r="X391">
        <v>28034</v>
      </c>
      <c r="Y391" s="1" t="str">
        <f t="shared" si="40"/>
        <v>SPAIN</v>
      </c>
      <c r="Z391" s="4" t="str">
        <f t="shared" si="41"/>
        <v>Spain</v>
      </c>
      <c r="AA391" t="s">
        <v>178</v>
      </c>
      <c r="AB391" t="s">
        <v>42</v>
      </c>
      <c r="AC391" t="s">
        <v>179</v>
      </c>
      <c r="AD391" t="s">
        <v>180</v>
      </c>
      <c r="AE391" t="s">
        <v>36</v>
      </c>
    </row>
    <row r="392" spans="1:31" x14ac:dyDescent="0.3">
      <c r="A392">
        <v>10371</v>
      </c>
      <c r="B392">
        <v>49</v>
      </c>
      <c r="C392">
        <v>35.71</v>
      </c>
      <c r="D392">
        <v>4</v>
      </c>
      <c r="E392" s="4" t="str">
        <f t="shared" si="36"/>
        <v>low sales</v>
      </c>
      <c r="F392">
        <v>1749.79</v>
      </c>
      <c r="G392" t="s">
        <v>1064</v>
      </c>
      <c r="H392" s="1" t="str">
        <f t="shared" si="37"/>
        <v>Shipped</v>
      </c>
      <c r="I392" s="4" t="str">
        <f t="shared" si="38"/>
        <v>completed</v>
      </c>
      <c r="J392" t="s">
        <v>25</v>
      </c>
      <c r="K392">
        <v>1</v>
      </c>
      <c r="L392">
        <v>1</v>
      </c>
      <c r="M392">
        <v>2005</v>
      </c>
      <c r="N392" t="s">
        <v>504</v>
      </c>
      <c r="O392">
        <v>118</v>
      </c>
      <c r="P392" t="s">
        <v>519</v>
      </c>
      <c r="Q392" t="s">
        <v>272</v>
      </c>
      <c r="R392">
        <v>4155551450</v>
      </c>
      <c r="S392" t="s">
        <v>273</v>
      </c>
      <c r="U392" s="1" t="str">
        <f t="shared" si="39"/>
        <v>San Rafael</v>
      </c>
      <c r="V392" t="s">
        <v>274</v>
      </c>
      <c r="W392" t="s">
        <v>55</v>
      </c>
      <c r="X392">
        <v>97562</v>
      </c>
      <c r="Y392" s="1" t="str">
        <f t="shared" si="40"/>
        <v>USA</v>
      </c>
      <c r="Z392" s="4" t="str">
        <f t="shared" si="41"/>
        <v>Usa</v>
      </c>
      <c r="AA392" t="s">
        <v>32</v>
      </c>
      <c r="AB392" t="s">
        <v>33</v>
      </c>
      <c r="AC392" t="s">
        <v>275</v>
      </c>
      <c r="AD392" t="s">
        <v>276</v>
      </c>
      <c r="AE392" t="s">
        <v>36</v>
      </c>
    </row>
    <row r="393" spans="1:31" x14ac:dyDescent="0.3">
      <c r="A393">
        <v>10382</v>
      </c>
      <c r="B393">
        <v>32</v>
      </c>
      <c r="C393">
        <v>66.58</v>
      </c>
      <c r="D393">
        <v>13</v>
      </c>
      <c r="E393" s="4" t="str">
        <f t="shared" si="36"/>
        <v>low sales</v>
      </c>
      <c r="F393">
        <v>2130.56</v>
      </c>
      <c r="G393" t="s">
        <v>1065</v>
      </c>
      <c r="H393" s="1" t="str">
        <f t="shared" si="37"/>
        <v>Shipped</v>
      </c>
      <c r="I393" s="4" t="str">
        <f t="shared" si="38"/>
        <v>completed</v>
      </c>
      <c r="J393" t="s">
        <v>25</v>
      </c>
      <c r="K393">
        <v>1</v>
      </c>
      <c r="L393">
        <v>2</v>
      </c>
      <c r="M393">
        <v>2005</v>
      </c>
      <c r="N393" t="s">
        <v>504</v>
      </c>
      <c r="O393">
        <v>118</v>
      </c>
      <c r="P393" t="s">
        <v>519</v>
      </c>
      <c r="Q393" t="s">
        <v>272</v>
      </c>
      <c r="R393">
        <v>4155551450</v>
      </c>
      <c r="S393" t="s">
        <v>273</v>
      </c>
      <c r="U393" s="1" t="str">
        <f t="shared" si="39"/>
        <v>San Rafael</v>
      </c>
      <c r="V393" t="s">
        <v>274</v>
      </c>
      <c r="W393" t="s">
        <v>55</v>
      </c>
      <c r="X393">
        <v>97562</v>
      </c>
      <c r="Y393" s="1" t="str">
        <f t="shared" si="40"/>
        <v>USA</v>
      </c>
      <c r="Z393" s="4" t="str">
        <f t="shared" si="41"/>
        <v>Usa</v>
      </c>
      <c r="AA393" t="s">
        <v>32</v>
      </c>
      <c r="AB393" t="s">
        <v>33</v>
      </c>
      <c r="AC393" t="s">
        <v>275</v>
      </c>
      <c r="AD393" t="s">
        <v>276</v>
      </c>
      <c r="AE393" t="s">
        <v>36</v>
      </c>
    </row>
    <row r="394" spans="1:31" x14ac:dyDescent="0.3">
      <c r="A394">
        <v>10412</v>
      </c>
      <c r="B394">
        <v>54</v>
      </c>
      <c r="C394">
        <v>100</v>
      </c>
      <c r="D394">
        <v>5</v>
      </c>
      <c r="E394" s="4" t="str">
        <f t="shared" si="36"/>
        <v>high sales</v>
      </c>
      <c r="F394">
        <v>5951.34</v>
      </c>
      <c r="G394" t="s">
        <v>1066</v>
      </c>
      <c r="H394" s="1" t="str">
        <f t="shared" si="37"/>
        <v>Shipped</v>
      </c>
      <c r="I394" s="4" t="str">
        <f t="shared" si="38"/>
        <v>completed</v>
      </c>
      <c r="J394" t="s">
        <v>25</v>
      </c>
      <c r="K394">
        <v>2</v>
      </c>
      <c r="L394">
        <v>5</v>
      </c>
      <c r="M394">
        <v>2005</v>
      </c>
      <c r="N394" t="s">
        <v>504</v>
      </c>
      <c r="O394">
        <v>118</v>
      </c>
      <c r="P394" t="s">
        <v>519</v>
      </c>
      <c r="Q394" t="s">
        <v>174</v>
      </c>
      <c r="R394" t="s">
        <v>175</v>
      </c>
      <c r="S394" t="s">
        <v>176</v>
      </c>
      <c r="U394" s="1" t="str">
        <f t="shared" si="39"/>
        <v>Madrid</v>
      </c>
      <c r="V394" t="s">
        <v>177</v>
      </c>
      <c r="X394">
        <v>28034</v>
      </c>
      <c r="Y394" s="1" t="str">
        <f t="shared" si="40"/>
        <v>SPAIN</v>
      </c>
      <c r="Z394" s="4" t="str">
        <f t="shared" si="41"/>
        <v>Spain</v>
      </c>
      <c r="AA394" t="s">
        <v>178</v>
      </c>
      <c r="AB394" t="s">
        <v>42</v>
      </c>
      <c r="AC394" t="s">
        <v>179</v>
      </c>
      <c r="AD394" t="s">
        <v>180</v>
      </c>
      <c r="AE394" t="s">
        <v>51</v>
      </c>
    </row>
    <row r="395" spans="1:31" x14ac:dyDescent="0.3">
      <c r="A395">
        <v>10425</v>
      </c>
      <c r="B395">
        <v>33</v>
      </c>
      <c r="C395">
        <v>100</v>
      </c>
      <c r="D395">
        <v>4</v>
      </c>
      <c r="E395" s="4" t="str">
        <f t="shared" si="36"/>
        <v>high sales</v>
      </c>
      <c r="F395">
        <v>4692.6000000000004</v>
      </c>
      <c r="G395" t="s">
        <v>1067</v>
      </c>
      <c r="H395" s="1" t="str">
        <f t="shared" si="37"/>
        <v>In Process</v>
      </c>
      <c r="I395" s="4" t="str">
        <f t="shared" si="38"/>
        <v>not completed</v>
      </c>
      <c r="J395" t="s">
        <v>300</v>
      </c>
      <c r="K395">
        <v>2</v>
      </c>
      <c r="L395">
        <v>5</v>
      </c>
      <c r="M395">
        <v>2005</v>
      </c>
      <c r="N395" t="s">
        <v>504</v>
      </c>
      <c r="O395">
        <v>118</v>
      </c>
      <c r="P395" t="s">
        <v>519</v>
      </c>
      <c r="Q395" t="s">
        <v>114</v>
      </c>
      <c r="R395" t="s">
        <v>115</v>
      </c>
      <c r="S395" t="s">
        <v>116</v>
      </c>
      <c r="U395" s="1" t="str">
        <f t="shared" si="39"/>
        <v>Nantes</v>
      </c>
      <c r="V395" t="s">
        <v>117</v>
      </c>
      <c r="X395">
        <v>44000</v>
      </c>
      <c r="Y395" s="1" t="str">
        <f t="shared" si="40"/>
        <v>FRANCE</v>
      </c>
      <c r="Z395" s="4" t="str">
        <f t="shared" si="41"/>
        <v>France</v>
      </c>
      <c r="AA395" t="s">
        <v>41</v>
      </c>
      <c r="AB395" t="s">
        <v>42</v>
      </c>
      <c r="AC395" t="s">
        <v>118</v>
      </c>
      <c r="AD395" t="s">
        <v>119</v>
      </c>
      <c r="AE395" t="s">
        <v>51</v>
      </c>
    </row>
    <row r="396" spans="1:31" x14ac:dyDescent="0.3">
      <c r="A396">
        <v>10108</v>
      </c>
      <c r="B396">
        <v>36</v>
      </c>
      <c r="C396">
        <v>100</v>
      </c>
      <c r="D396">
        <v>3</v>
      </c>
      <c r="E396" s="4" t="str">
        <f t="shared" si="36"/>
        <v>low sales</v>
      </c>
      <c r="F396">
        <v>3731.04</v>
      </c>
      <c r="G396" t="s">
        <v>1068</v>
      </c>
      <c r="H396" s="1" t="str">
        <f t="shared" si="37"/>
        <v>Shipped</v>
      </c>
      <c r="I396" s="4" t="str">
        <f t="shared" si="38"/>
        <v>completed</v>
      </c>
      <c r="J396" t="s">
        <v>25</v>
      </c>
      <c r="K396">
        <v>1</v>
      </c>
      <c r="L396">
        <v>3</v>
      </c>
      <c r="M396">
        <v>2003</v>
      </c>
      <c r="N396" t="s">
        <v>181</v>
      </c>
      <c r="O396">
        <v>115</v>
      </c>
      <c r="P396" t="s">
        <v>530</v>
      </c>
      <c r="Q396" t="s">
        <v>425</v>
      </c>
      <c r="R396" t="s">
        <v>426</v>
      </c>
      <c r="S396" t="s">
        <v>427</v>
      </c>
      <c r="U396" s="1" t="str">
        <f t="shared" si="39"/>
        <v>Makati City</v>
      </c>
      <c r="V396" t="s">
        <v>428</v>
      </c>
      <c r="X396" t="s">
        <v>429</v>
      </c>
      <c r="Y396" s="1" t="str">
        <f t="shared" si="40"/>
        <v>PHILIPPINES</v>
      </c>
      <c r="Z396" s="4" t="str">
        <f t="shared" si="41"/>
        <v>Philippines</v>
      </c>
      <c r="AA396" t="s">
        <v>430</v>
      </c>
      <c r="AB396" t="s">
        <v>200</v>
      </c>
      <c r="AC396" t="s">
        <v>431</v>
      </c>
      <c r="AD396" t="s">
        <v>432</v>
      </c>
      <c r="AE396" t="s">
        <v>51</v>
      </c>
    </row>
    <row r="397" spans="1:31" x14ac:dyDescent="0.3">
      <c r="A397">
        <v>10122</v>
      </c>
      <c r="B397">
        <v>20</v>
      </c>
      <c r="C397">
        <v>100</v>
      </c>
      <c r="D397">
        <v>7</v>
      </c>
      <c r="E397" s="4" t="str">
        <f t="shared" si="36"/>
        <v>low sales</v>
      </c>
      <c r="F397">
        <v>2142</v>
      </c>
      <c r="G397" t="s">
        <v>1069</v>
      </c>
      <c r="H397" s="1" t="str">
        <f t="shared" si="37"/>
        <v>Shipped</v>
      </c>
      <c r="I397" s="4" t="str">
        <f t="shared" si="38"/>
        <v>completed</v>
      </c>
      <c r="J397" t="s">
        <v>25</v>
      </c>
      <c r="K397">
        <v>2</v>
      </c>
      <c r="L397">
        <v>5</v>
      </c>
      <c r="M397">
        <v>2003</v>
      </c>
      <c r="N397" t="s">
        <v>181</v>
      </c>
      <c r="O397">
        <v>115</v>
      </c>
      <c r="P397" t="s">
        <v>530</v>
      </c>
      <c r="Q397" t="s">
        <v>433</v>
      </c>
      <c r="R397" t="s">
        <v>434</v>
      </c>
      <c r="S397" t="s">
        <v>435</v>
      </c>
      <c r="U397" s="1" t="str">
        <f t="shared" si="39"/>
        <v>Marseille</v>
      </c>
      <c r="V397" t="s">
        <v>436</v>
      </c>
      <c r="X397">
        <v>13008</v>
      </c>
      <c r="Y397" s="1" t="str">
        <f t="shared" si="40"/>
        <v>FRANCE</v>
      </c>
      <c r="Z397" s="4" t="str">
        <f t="shared" si="41"/>
        <v>France</v>
      </c>
      <c r="AA397" t="s">
        <v>41</v>
      </c>
      <c r="AB397" t="s">
        <v>42</v>
      </c>
      <c r="AC397" t="s">
        <v>437</v>
      </c>
      <c r="AD397" t="s">
        <v>438</v>
      </c>
      <c r="AE397" t="s">
        <v>36</v>
      </c>
    </row>
    <row r="398" spans="1:31" x14ac:dyDescent="0.3">
      <c r="A398">
        <v>10135</v>
      </c>
      <c r="B398">
        <v>29</v>
      </c>
      <c r="C398">
        <v>97.89</v>
      </c>
      <c r="D398">
        <v>4</v>
      </c>
      <c r="E398" s="4" t="str">
        <f t="shared" si="36"/>
        <v>low sales</v>
      </c>
      <c r="F398">
        <v>2838.81</v>
      </c>
      <c r="G398" t="s">
        <v>1070</v>
      </c>
      <c r="H398" s="1" t="str">
        <f t="shared" si="37"/>
        <v>Shipped</v>
      </c>
      <c r="I398" s="4" t="str">
        <f t="shared" si="38"/>
        <v>completed</v>
      </c>
      <c r="J398" t="s">
        <v>25</v>
      </c>
      <c r="K398">
        <v>3</v>
      </c>
      <c r="L398">
        <v>7</v>
      </c>
      <c r="M398">
        <v>2003</v>
      </c>
      <c r="N398" t="s">
        <v>181</v>
      </c>
      <c r="O398">
        <v>115</v>
      </c>
      <c r="P398" t="s">
        <v>530</v>
      </c>
      <c r="Q398" t="s">
        <v>272</v>
      </c>
      <c r="R398">
        <v>4155551450</v>
      </c>
      <c r="S398" t="s">
        <v>273</v>
      </c>
      <c r="U398" s="1" t="str">
        <f t="shared" si="39"/>
        <v>San Rafael</v>
      </c>
      <c r="V398" t="s">
        <v>274</v>
      </c>
      <c r="W398" t="s">
        <v>55</v>
      </c>
      <c r="X398">
        <v>97562</v>
      </c>
      <c r="Y398" s="1" t="str">
        <f t="shared" si="40"/>
        <v>USA</v>
      </c>
      <c r="Z398" s="4" t="str">
        <f t="shared" si="41"/>
        <v>Usa</v>
      </c>
      <c r="AA398" t="s">
        <v>32</v>
      </c>
      <c r="AB398" t="s">
        <v>33</v>
      </c>
      <c r="AC398" t="s">
        <v>275</v>
      </c>
      <c r="AD398" t="s">
        <v>276</v>
      </c>
      <c r="AE398" t="s">
        <v>36</v>
      </c>
    </row>
    <row r="399" spans="1:31" x14ac:dyDescent="0.3">
      <c r="A399">
        <v>10147</v>
      </c>
      <c r="B399">
        <v>33</v>
      </c>
      <c r="C399">
        <v>97.89</v>
      </c>
      <c r="D399">
        <v>4</v>
      </c>
      <c r="E399" s="4" t="str">
        <f t="shared" si="36"/>
        <v>low sales</v>
      </c>
      <c r="F399">
        <v>3230.37</v>
      </c>
      <c r="G399" t="s">
        <v>1071</v>
      </c>
      <c r="H399" s="1" t="str">
        <f t="shared" si="37"/>
        <v>Shipped</v>
      </c>
      <c r="I399" s="4" t="str">
        <f t="shared" si="38"/>
        <v>completed</v>
      </c>
      <c r="J399" t="s">
        <v>25</v>
      </c>
      <c r="K399">
        <v>3</v>
      </c>
      <c r="L399">
        <v>9</v>
      </c>
      <c r="M399">
        <v>2003</v>
      </c>
      <c r="N399" t="s">
        <v>181</v>
      </c>
      <c r="O399">
        <v>115</v>
      </c>
      <c r="P399" t="s">
        <v>530</v>
      </c>
      <c r="Q399" t="s">
        <v>281</v>
      </c>
      <c r="R399">
        <v>6175558555</v>
      </c>
      <c r="S399" t="s">
        <v>282</v>
      </c>
      <c r="U399" s="1" t="str">
        <f t="shared" si="39"/>
        <v>Brickhaven</v>
      </c>
      <c r="V399" t="s">
        <v>283</v>
      </c>
      <c r="W399" t="s">
        <v>123</v>
      </c>
      <c r="X399">
        <v>58339</v>
      </c>
      <c r="Y399" s="1" t="str">
        <f t="shared" si="40"/>
        <v>USA</v>
      </c>
      <c r="Z399" s="4" t="str">
        <f t="shared" si="41"/>
        <v>Usa</v>
      </c>
      <c r="AA399" t="s">
        <v>32</v>
      </c>
      <c r="AB399" t="s">
        <v>33</v>
      </c>
      <c r="AC399" t="s">
        <v>275</v>
      </c>
      <c r="AD399" t="s">
        <v>284</v>
      </c>
      <c r="AE399" t="s">
        <v>51</v>
      </c>
    </row>
    <row r="400" spans="1:31" x14ac:dyDescent="0.3">
      <c r="A400">
        <v>10160</v>
      </c>
      <c r="B400">
        <v>50</v>
      </c>
      <c r="C400">
        <v>100</v>
      </c>
      <c r="D400">
        <v>5</v>
      </c>
      <c r="E400" s="4" t="str">
        <f t="shared" si="36"/>
        <v>high sales</v>
      </c>
      <c r="F400">
        <v>5182</v>
      </c>
      <c r="G400" t="s">
        <v>1072</v>
      </c>
      <c r="H400" s="1" t="str">
        <f t="shared" si="37"/>
        <v>Shipped</v>
      </c>
      <c r="I400" s="4" t="str">
        <f t="shared" si="38"/>
        <v>completed</v>
      </c>
      <c r="J400" t="s">
        <v>25</v>
      </c>
      <c r="K400">
        <v>4</v>
      </c>
      <c r="L400">
        <v>10</v>
      </c>
      <c r="M400">
        <v>2003</v>
      </c>
      <c r="N400" t="s">
        <v>181</v>
      </c>
      <c r="O400">
        <v>115</v>
      </c>
      <c r="P400" t="s">
        <v>530</v>
      </c>
      <c r="Q400" t="s">
        <v>358</v>
      </c>
      <c r="R400">
        <v>2155554369</v>
      </c>
      <c r="S400" t="s">
        <v>359</v>
      </c>
      <c r="U400" s="1" t="str">
        <f t="shared" si="39"/>
        <v>Los Angeles</v>
      </c>
      <c r="V400" t="s">
        <v>360</v>
      </c>
      <c r="W400" t="s">
        <v>55</v>
      </c>
      <c r="Y400" s="1" t="str">
        <f t="shared" si="40"/>
        <v>USA</v>
      </c>
      <c r="Z400" s="4" t="str">
        <f t="shared" si="41"/>
        <v>Usa</v>
      </c>
      <c r="AA400" t="s">
        <v>32</v>
      </c>
      <c r="AB400" t="s">
        <v>33</v>
      </c>
      <c r="AC400" t="s">
        <v>361</v>
      </c>
      <c r="AD400" t="s">
        <v>103</v>
      </c>
      <c r="AE400" t="s">
        <v>51</v>
      </c>
    </row>
    <row r="401" spans="1:31" x14ac:dyDescent="0.3">
      <c r="A401">
        <v>10170</v>
      </c>
      <c r="B401">
        <v>41</v>
      </c>
      <c r="C401">
        <v>100</v>
      </c>
      <c r="D401">
        <v>3</v>
      </c>
      <c r="E401" s="4" t="str">
        <f t="shared" si="36"/>
        <v>high sales</v>
      </c>
      <c r="F401">
        <v>4391.1000000000004</v>
      </c>
      <c r="G401" t="s">
        <v>1073</v>
      </c>
      <c r="H401" s="1" t="str">
        <f t="shared" si="37"/>
        <v>Shipped</v>
      </c>
      <c r="I401" s="4" t="str">
        <f t="shared" si="38"/>
        <v>completed</v>
      </c>
      <c r="J401" t="s">
        <v>25</v>
      </c>
      <c r="K401">
        <v>4</v>
      </c>
      <c r="L401">
        <v>11</v>
      </c>
      <c r="M401">
        <v>2003</v>
      </c>
      <c r="N401" t="s">
        <v>181</v>
      </c>
      <c r="O401">
        <v>115</v>
      </c>
      <c r="P401" t="s">
        <v>530</v>
      </c>
      <c r="Q401" t="s">
        <v>409</v>
      </c>
      <c r="R401" t="s">
        <v>410</v>
      </c>
      <c r="S401" t="s">
        <v>411</v>
      </c>
      <c r="U401" s="1" t="str">
        <f t="shared" si="39"/>
        <v>Graz</v>
      </c>
      <c r="V401" t="s">
        <v>412</v>
      </c>
      <c r="X401">
        <v>8010</v>
      </c>
      <c r="Y401" s="1" t="str">
        <f t="shared" si="40"/>
        <v>AUSTRIA</v>
      </c>
      <c r="Z401" s="4" t="str">
        <f t="shared" si="41"/>
        <v>Austria</v>
      </c>
      <c r="AA401" t="s">
        <v>148</v>
      </c>
      <c r="AB401" t="s">
        <v>42</v>
      </c>
      <c r="AC401" t="s">
        <v>413</v>
      </c>
      <c r="AD401" t="s">
        <v>414</v>
      </c>
      <c r="AE401" t="s">
        <v>51</v>
      </c>
    </row>
    <row r="402" spans="1:31" x14ac:dyDescent="0.3">
      <c r="A402">
        <v>10181</v>
      </c>
      <c r="B402">
        <v>36</v>
      </c>
      <c r="C402">
        <v>100</v>
      </c>
      <c r="D402">
        <v>11</v>
      </c>
      <c r="E402" s="4" t="str">
        <f t="shared" si="36"/>
        <v>high sales</v>
      </c>
      <c r="F402">
        <v>4477.32</v>
      </c>
      <c r="G402" t="s">
        <v>1074</v>
      </c>
      <c r="H402" s="1" t="str">
        <f t="shared" si="37"/>
        <v>Shipped</v>
      </c>
      <c r="I402" s="4" t="str">
        <f t="shared" si="38"/>
        <v>completed</v>
      </c>
      <c r="J402" t="s">
        <v>25</v>
      </c>
      <c r="K402">
        <v>4</v>
      </c>
      <c r="L402">
        <v>11</v>
      </c>
      <c r="M402">
        <v>2003</v>
      </c>
      <c r="N402" t="s">
        <v>181</v>
      </c>
      <c r="O402">
        <v>115</v>
      </c>
      <c r="P402" t="s">
        <v>530</v>
      </c>
      <c r="Q402" t="s">
        <v>73</v>
      </c>
      <c r="R402" t="s">
        <v>74</v>
      </c>
      <c r="S402" t="s">
        <v>75</v>
      </c>
      <c r="U402" s="1" t="str">
        <f t="shared" si="39"/>
        <v>Bergen</v>
      </c>
      <c r="V402" t="s">
        <v>76</v>
      </c>
      <c r="X402" t="s">
        <v>77</v>
      </c>
      <c r="Y402" s="1" t="str">
        <f t="shared" si="40"/>
        <v>NORWAY</v>
      </c>
      <c r="Z402" s="4" t="str">
        <f t="shared" si="41"/>
        <v>Norway</v>
      </c>
      <c r="AA402" t="s">
        <v>78</v>
      </c>
      <c r="AB402" t="s">
        <v>42</v>
      </c>
      <c r="AC402" t="s">
        <v>79</v>
      </c>
      <c r="AD402" t="s">
        <v>80</v>
      </c>
      <c r="AE402" t="s">
        <v>51</v>
      </c>
    </row>
    <row r="403" spans="1:31" x14ac:dyDescent="0.3">
      <c r="A403">
        <v>10192</v>
      </c>
      <c r="B403">
        <v>27</v>
      </c>
      <c r="C403">
        <v>100</v>
      </c>
      <c r="D403">
        <v>16</v>
      </c>
      <c r="E403" s="4" t="str">
        <f t="shared" si="36"/>
        <v>low sales</v>
      </c>
      <c r="F403">
        <v>3544.56</v>
      </c>
      <c r="G403" t="s">
        <v>1075</v>
      </c>
      <c r="H403" s="1" t="str">
        <f t="shared" si="37"/>
        <v>Shipped</v>
      </c>
      <c r="I403" s="4" t="str">
        <f t="shared" si="38"/>
        <v>completed</v>
      </c>
      <c r="J403" t="s">
        <v>25</v>
      </c>
      <c r="K403">
        <v>4</v>
      </c>
      <c r="L403">
        <v>11</v>
      </c>
      <c r="M403">
        <v>2003</v>
      </c>
      <c r="N403" t="s">
        <v>181</v>
      </c>
      <c r="O403">
        <v>115</v>
      </c>
      <c r="P403" t="s">
        <v>530</v>
      </c>
      <c r="Q403" t="s">
        <v>277</v>
      </c>
      <c r="R403">
        <v>6035558647</v>
      </c>
      <c r="S403" t="s">
        <v>278</v>
      </c>
      <c r="U403" s="1" t="str">
        <f t="shared" si="39"/>
        <v>Nashua</v>
      </c>
      <c r="V403" t="s">
        <v>279</v>
      </c>
      <c r="W403" t="s">
        <v>280</v>
      </c>
      <c r="X403">
        <v>62005</v>
      </c>
      <c r="Y403" s="1" t="str">
        <f t="shared" si="40"/>
        <v>USA</v>
      </c>
      <c r="Z403" s="4" t="str">
        <f t="shared" si="41"/>
        <v>Usa</v>
      </c>
      <c r="AA403" t="s">
        <v>32</v>
      </c>
      <c r="AB403" t="s">
        <v>33</v>
      </c>
      <c r="AC403" t="s">
        <v>56</v>
      </c>
      <c r="AD403" t="s">
        <v>276</v>
      </c>
      <c r="AE403" t="s">
        <v>51</v>
      </c>
    </row>
    <row r="404" spans="1:31" x14ac:dyDescent="0.3">
      <c r="A404">
        <v>10203</v>
      </c>
      <c r="B404">
        <v>47</v>
      </c>
      <c r="C404">
        <v>100</v>
      </c>
      <c r="D404">
        <v>5</v>
      </c>
      <c r="E404" s="4" t="str">
        <f t="shared" si="36"/>
        <v>high sales</v>
      </c>
      <c r="F404">
        <v>5195.8500000000004</v>
      </c>
      <c r="G404" t="s">
        <v>1076</v>
      </c>
      <c r="H404" s="1" t="str">
        <f t="shared" si="37"/>
        <v>Shipped</v>
      </c>
      <c r="I404" s="4" t="str">
        <f t="shared" si="38"/>
        <v>completed</v>
      </c>
      <c r="J404" t="s">
        <v>25</v>
      </c>
      <c r="K404">
        <v>4</v>
      </c>
      <c r="L404">
        <v>12</v>
      </c>
      <c r="M404">
        <v>2003</v>
      </c>
      <c r="N404" t="s">
        <v>181</v>
      </c>
      <c r="O404">
        <v>115</v>
      </c>
      <c r="P404" t="s">
        <v>530</v>
      </c>
      <c r="Q404" t="s">
        <v>174</v>
      </c>
      <c r="R404" t="s">
        <v>175</v>
      </c>
      <c r="S404" t="s">
        <v>176</v>
      </c>
      <c r="U404" s="1" t="str">
        <f t="shared" si="39"/>
        <v>Madrid</v>
      </c>
      <c r="V404" t="s">
        <v>177</v>
      </c>
      <c r="X404">
        <v>28034</v>
      </c>
      <c r="Y404" s="1" t="str">
        <f t="shared" si="40"/>
        <v>SPAIN</v>
      </c>
      <c r="Z404" s="4" t="str">
        <f t="shared" si="41"/>
        <v>Spain</v>
      </c>
      <c r="AA404" t="s">
        <v>178</v>
      </c>
      <c r="AB404" t="s">
        <v>42</v>
      </c>
      <c r="AC404" t="s">
        <v>179</v>
      </c>
      <c r="AD404" t="s">
        <v>180</v>
      </c>
      <c r="AE404" t="s">
        <v>51</v>
      </c>
    </row>
    <row r="405" spans="1:31" x14ac:dyDescent="0.3">
      <c r="A405">
        <v>10212</v>
      </c>
      <c r="B405">
        <v>33</v>
      </c>
      <c r="C405">
        <v>100</v>
      </c>
      <c r="D405">
        <v>15</v>
      </c>
      <c r="E405" s="4" t="str">
        <f t="shared" si="36"/>
        <v>high sales</v>
      </c>
      <c r="F405">
        <v>4180.4399999999996</v>
      </c>
      <c r="G405" t="s">
        <v>1077</v>
      </c>
      <c r="H405" s="1" t="str">
        <f t="shared" si="37"/>
        <v>Shipped</v>
      </c>
      <c r="I405" s="4" t="str">
        <f t="shared" si="38"/>
        <v>completed</v>
      </c>
      <c r="J405" t="s">
        <v>25</v>
      </c>
      <c r="K405">
        <v>1</v>
      </c>
      <c r="L405">
        <v>1</v>
      </c>
      <c r="M405">
        <v>2004</v>
      </c>
      <c r="N405" t="s">
        <v>181</v>
      </c>
      <c r="O405">
        <v>115</v>
      </c>
      <c r="P405" t="s">
        <v>530</v>
      </c>
      <c r="Q405" t="s">
        <v>174</v>
      </c>
      <c r="R405" t="s">
        <v>175</v>
      </c>
      <c r="S405" t="s">
        <v>176</v>
      </c>
      <c r="U405" s="1" t="str">
        <f t="shared" si="39"/>
        <v>Madrid</v>
      </c>
      <c r="V405" t="s">
        <v>177</v>
      </c>
      <c r="X405">
        <v>28034</v>
      </c>
      <c r="Y405" s="1" t="str">
        <f t="shared" si="40"/>
        <v>SPAIN</v>
      </c>
      <c r="Z405" s="4" t="str">
        <f t="shared" si="41"/>
        <v>Spain</v>
      </c>
      <c r="AA405" t="s">
        <v>178</v>
      </c>
      <c r="AB405" t="s">
        <v>42</v>
      </c>
      <c r="AC405" t="s">
        <v>179</v>
      </c>
      <c r="AD405" t="s">
        <v>180</v>
      </c>
      <c r="AE405" t="s">
        <v>51</v>
      </c>
    </row>
    <row r="406" spans="1:31" x14ac:dyDescent="0.3">
      <c r="A406">
        <v>10225</v>
      </c>
      <c r="B406">
        <v>21</v>
      </c>
      <c r="C406">
        <v>100</v>
      </c>
      <c r="D406">
        <v>6</v>
      </c>
      <c r="E406" s="4" t="str">
        <f t="shared" si="36"/>
        <v>low sales</v>
      </c>
      <c r="F406">
        <v>2684.43</v>
      </c>
      <c r="G406" t="s">
        <v>1078</v>
      </c>
      <c r="H406" s="1" t="str">
        <f t="shared" si="37"/>
        <v>Shipped</v>
      </c>
      <c r="I406" s="4" t="str">
        <f t="shared" si="38"/>
        <v>completed</v>
      </c>
      <c r="J406" t="s">
        <v>25</v>
      </c>
      <c r="K406">
        <v>1</v>
      </c>
      <c r="L406">
        <v>2</v>
      </c>
      <c r="M406">
        <v>2004</v>
      </c>
      <c r="N406" t="s">
        <v>181</v>
      </c>
      <c r="O406">
        <v>115</v>
      </c>
      <c r="P406" t="s">
        <v>530</v>
      </c>
      <c r="Q406" t="s">
        <v>446</v>
      </c>
      <c r="R406" t="s">
        <v>447</v>
      </c>
      <c r="S406" t="s">
        <v>448</v>
      </c>
      <c r="U406" s="1" t="str">
        <f t="shared" si="39"/>
        <v>Gensve</v>
      </c>
      <c r="V406" t="s">
        <v>449</v>
      </c>
      <c r="X406">
        <v>1203</v>
      </c>
      <c r="Y406" s="1" t="str">
        <f t="shared" si="40"/>
        <v>SWITZERLAND</v>
      </c>
      <c r="Z406" s="4" t="str">
        <f t="shared" si="41"/>
        <v>Switzerland</v>
      </c>
      <c r="AA406" t="s">
        <v>450</v>
      </c>
      <c r="AB406" t="s">
        <v>42</v>
      </c>
      <c r="AC406" t="s">
        <v>451</v>
      </c>
      <c r="AD406" t="s">
        <v>103</v>
      </c>
      <c r="AE406" t="s">
        <v>36</v>
      </c>
    </row>
    <row r="407" spans="1:31" x14ac:dyDescent="0.3">
      <c r="A407">
        <v>10239</v>
      </c>
      <c r="B407">
        <v>21</v>
      </c>
      <c r="C407">
        <v>93.28</v>
      </c>
      <c r="D407">
        <v>5</v>
      </c>
      <c r="E407" s="4" t="str">
        <f t="shared" si="36"/>
        <v>low sales</v>
      </c>
      <c r="F407">
        <v>1958.88</v>
      </c>
      <c r="G407" t="s">
        <v>1079</v>
      </c>
      <c r="H407" s="1" t="str">
        <f t="shared" si="37"/>
        <v>Shipped</v>
      </c>
      <c r="I407" s="4" t="str">
        <f t="shared" si="38"/>
        <v>completed</v>
      </c>
      <c r="J407" t="s">
        <v>25</v>
      </c>
      <c r="K407">
        <v>2</v>
      </c>
      <c r="L407">
        <v>4</v>
      </c>
      <c r="M407">
        <v>2004</v>
      </c>
      <c r="N407" t="s">
        <v>181</v>
      </c>
      <c r="O407">
        <v>115</v>
      </c>
      <c r="P407" t="s">
        <v>530</v>
      </c>
      <c r="Q407" t="s">
        <v>391</v>
      </c>
      <c r="R407" t="s">
        <v>392</v>
      </c>
      <c r="S407" t="s">
        <v>393</v>
      </c>
      <c r="U407" s="1" t="str">
        <f t="shared" si="39"/>
        <v>Oulu</v>
      </c>
      <c r="V407" t="s">
        <v>394</v>
      </c>
      <c r="X407">
        <v>90110</v>
      </c>
      <c r="Y407" s="1" t="str">
        <f t="shared" si="40"/>
        <v>FINLAND</v>
      </c>
      <c r="Z407" s="4" t="str">
        <f t="shared" si="41"/>
        <v>Finland</v>
      </c>
      <c r="AA407" t="s">
        <v>130</v>
      </c>
      <c r="AB407" t="s">
        <v>42</v>
      </c>
      <c r="AC407" t="s">
        <v>395</v>
      </c>
      <c r="AD407" t="s">
        <v>396</v>
      </c>
      <c r="AE407" t="s">
        <v>36</v>
      </c>
    </row>
    <row r="408" spans="1:31" x14ac:dyDescent="0.3">
      <c r="A408">
        <v>10253</v>
      </c>
      <c r="B408">
        <v>41</v>
      </c>
      <c r="C408">
        <v>100</v>
      </c>
      <c r="D408">
        <v>10</v>
      </c>
      <c r="E408" s="4" t="str">
        <f t="shared" si="36"/>
        <v>high sales</v>
      </c>
      <c r="F408">
        <v>4910.57</v>
      </c>
      <c r="G408" t="s">
        <v>1080</v>
      </c>
      <c r="H408" s="1" t="str">
        <f t="shared" si="37"/>
        <v>Cancelled</v>
      </c>
      <c r="I408" s="4" t="str">
        <f t="shared" si="38"/>
        <v>not completed</v>
      </c>
      <c r="J408" t="s">
        <v>339</v>
      </c>
      <c r="K408">
        <v>2</v>
      </c>
      <c r="L408">
        <v>6</v>
      </c>
      <c r="M408">
        <v>2004</v>
      </c>
      <c r="N408" t="s">
        <v>181</v>
      </c>
      <c r="O408">
        <v>115</v>
      </c>
      <c r="P408" t="s">
        <v>530</v>
      </c>
      <c r="Q408" t="s">
        <v>165</v>
      </c>
      <c r="R408" t="s">
        <v>166</v>
      </c>
      <c r="S408" t="s">
        <v>167</v>
      </c>
      <c r="U408" s="1" t="str">
        <f t="shared" si="39"/>
        <v>Liverpool</v>
      </c>
      <c r="V408" t="s">
        <v>168</v>
      </c>
      <c r="X408" t="s">
        <v>169</v>
      </c>
      <c r="Y408" s="1" t="str">
        <f t="shared" si="40"/>
        <v>UK</v>
      </c>
      <c r="Z408" s="4" t="str">
        <f t="shared" si="41"/>
        <v>Uk</v>
      </c>
      <c r="AA408" t="s">
        <v>170</v>
      </c>
      <c r="AB408" t="s">
        <v>42</v>
      </c>
      <c r="AC408" t="s">
        <v>171</v>
      </c>
      <c r="AD408" t="s">
        <v>172</v>
      </c>
      <c r="AE408" t="s">
        <v>51</v>
      </c>
    </row>
    <row r="409" spans="1:31" x14ac:dyDescent="0.3">
      <c r="A409">
        <v>10266</v>
      </c>
      <c r="B409">
        <v>40</v>
      </c>
      <c r="C409">
        <v>100</v>
      </c>
      <c r="D409">
        <v>11</v>
      </c>
      <c r="E409" s="4" t="str">
        <f t="shared" si="36"/>
        <v>high sales</v>
      </c>
      <c r="F409">
        <v>4468.3999999999996</v>
      </c>
      <c r="G409" t="s">
        <v>1081</v>
      </c>
      <c r="H409" s="1" t="str">
        <f t="shared" si="37"/>
        <v>Shipped</v>
      </c>
      <c r="I409" s="4" t="str">
        <f t="shared" si="38"/>
        <v>completed</v>
      </c>
      <c r="J409" t="s">
        <v>25</v>
      </c>
      <c r="K409">
        <v>3</v>
      </c>
      <c r="L409">
        <v>7</v>
      </c>
      <c r="M409">
        <v>2004</v>
      </c>
      <c r="N409" t="s">
        <v>181</v>
      </c>
      <c r="O409">
        <v>115</v>
      </c>
      <c r="P409" t="s">
        <v>530</v>
      </c>
      <c r="Q409" t="s">
        <v>452</v>
      </c>
      <c r="R409" t="s">
        <v>453</v>
      </c>
      <c r="S409" t="s">
        <v>454</v>
      </c>
      <c r="U409" s="1" t="str">
        <f t="shared" si="39"/>
        <v>Reggio Emilia</v>
      </c>
      <c r="V409" t="s">
        <v>455</v>
      </c>
      <c r="X409">
        <v>42100</v>
      </c>
      <c r="Y409" s="1" t="str">
        <f t="shared" si="40"/>
        <v>ITALY</v>
      </c>
      <c r="Z409" s="4" t="str">
        <f t="shared" si="41"/>
        <v>Italy</v>
      </c>
      <c r="AA409" t="s">
        <v>258</v>
      </c>
      <c r="AB409" t="s">
        <v>42</v>
      </c>
      <c r="AC409" t="s">
        <v>456</v>
      </c>
      <c r="AD409" t="s">
        <v>457</v>
      </c>
      <c r="AE409" t="s">
        <v>51</v>
      </c>
    </row>
    <row r="410" spans="1:31" x14ac:dyDescent="0.3">
      <c r="A410">
        <v>10277</v>
      </c>
      <c r="B410">
        <v>28</v>
      </c>
      <c r="C410">
        <v>100</v>
      </c>
      <c r="D410">
        <v>1</v>
      </c>
      <c r="E410" s="4" t="str">
        <f t="shared" si="36"/>
        <v>low sales</v>
      </c>
      <c r="F410">
        <v>3127.88</v>
      </c>
      <c r="G410" t="s">
        <v>1082</v>
      </c>
      <c r="H410" s="1" t="str">
        <f t="shared" si="37"/>
        <v>Shipped</v>
      </c>
      <c r="I410" s="4" t="str">
        <f t="shared" si="38"/>
        <v>completed</v>
      </c>
      <c r="J410" t="s">
        <v>25</v>
      </c>
      <c r="K410">
        <v>3</v>
      </c>
      <c r="L410">
        <v>8</v>
      </c>
      <c r="M410">
        <v>2004</v>
      </c>
      <c r="N410" t="s">
        <v>181</v>
      </c>
      <c r="O410">
        <v>115</v>
      </c>
      <c r="P410" t="s">
        <v>530</v>
      </c>
      <c r="Q410" t="s">
        <v>196</v>
      </c>
      <c r="R410" t="s">
        <v>197</v>
      </c>
      <c r="S410" t="s">
        <v>198</v>
      </c>
      <c r="U410" s="1" t="str">
        <f t="shared" si="39"/>
        <v>Singapore</v>
      </c>
      <c r="V410" t="s">
        <v>199</v>
      </c>
      <c r="X410">
        <v>79903</v>
      </c>
      <c r="Y410" s="1" t="str">
        <f t="shared" si="40"/>
        <v>SINGAPORE</v>
      </c>
      <c r="Z410" s="4" t="str">
        <f t="shared" si="41"/>
        <v>Singapore</v>
      </c>
      <c r="AA410" t="s">
        <v>199</v>
      </c>
      <c r="AB410" t="s">
        <v>200</v>
      </c>
      <c r="AC410" t="s">
        <v>201</v>
      </c>
      <c r="AD410" t="s">
        <v>202</v>
      </c>
      <c r="AE410" t="s">
        <v>51</v>
      </c>
    </row>
    <row r="411" spans="1:31" x14ac:dyDescent="0.3">
      <c r="A411">
        <v>10287</v>
      </c>
      <c r="B411">
        <v>23</v>
      </c>
      <c r="C411">
        <v>100</v>
      </c>
      <c r="D411">
        <v>9</v>
      </c>
      <c r="E411" s="4" t="str">
        <f t="shared" si="36"/>
        <v>low sales</v>
      </c>
      <c r="F411">
        <v>2675.13</v>
      </c>
      <c r="G411" t="s">
        <v>1083</v>
      </c>
      <c r="H411" s="1" t="str">
        <f t="shared" si="37"/>
        <v>Shipped</v>
      </c>
      <c r="I411" s="4" t="str">
        <f t="shared" si="38"/>
        <v>completed</v>
      </c>
      <c r="J411" t="s">
        <v>25</v>
      </c>
      <c r="K411">
        <v>3</v>
      </c>
      <c r="L411">
        <v>8</v>
      </c>
      <c r="M411">
        <v>2004</v>
      </c>
      <c r="N411" t="s">
        <v>181</v>
      </c>
      <c r="O411">
        <v>115</v>
      </c>
      <c r="P411" t="s">
        <v>530</v>
      </c>
      <c r="Q411" t="s">
        <v>446</v>
      </c>
      <c r="R411" t="s">
        <v>447</v>
      </c>
      <c r="S411" t="s">
        <v>448</v>
      </c>
      <c r="U411" s="1" t="str">
        <f t="shared" si="39"/>
        <v>Gensve</v>
      </c>
      <c r="V411" t="s">
        <v>449</v>
      </c>
      <c r="X411">
        <v>1203</v>
      </c>
      <c r="Y411" s="1" t="str">
        <f t="shared" si="40"/>
        <v>SWITZERLAND</v>
      </c>
      <c r="Z411" s="4" t="str">
        <f t="shared" si="41"/>
        <v>Switzerland</v>
      </c>
      <c r="AA411" t="s">
        <v>450</v>
      </c>
      <c r="AB411" t="s">
        <v>42</v>
      </c>
      <c r="AC411" t="s">
        <v>451</v>
      </c>
      <c r="AD411" t="s">
        <v>103</v>
      </c>
      <c r="AE411" t="s">
        <v>36</v>
      </c>
    </row>
    <row r="412" spans="1:31" x14ac:dyDescent="0.3">
      <c r="A412">
        <v>10300</v>
      </c>
      <c r="B412">
        <v>23</v>
      </c>
      <c r="C412">
        <v>100</v>
      </c>
      <c r="D412">
        <v>2</v>
      </c>
      <c r="E412" s="4" t="str">
        <f t="shared" si="36"/>
        <v>low sales</v>
      </c>
      <c r="F412">
        <v>2807.61</v>
      </c>
      <c r="G412" t="s">
        <v>1084</v>
      </c>
      <c r="H412" s="1" t="str">
        <f t="shared" si="37"/>
        <v>Shipped</v>
      </c>
      <c r="I412" s="4" t="str">
        <f t="shared" si="38"/>
        <v>completed</v>
      </c>
      <c r="J412" t="s">
        <v>25</v>
      </c>
      <c r="K412">
        <v>4</v>
      </c>
      <c r="L412">
        <v>10</v>
      </c>
      <c r="M412">
        <v>2003</v>
      </c>
      <c r="N412" t="s">
        <v>181</v>
      </c>
      <c r="O412">
        <v>115</v>
      </c>
      <c r="P412" t="s">
        <v>530</v>
      </c>
      <c r="Q412" t="s">
        <v>462</v>
      </c>
      <c r="R412" t="s">
        <v>463</v>
      </c>
      <c r="S412" t="s">
        <v>464</v>
      </c>
      <c r="U412" s="1" t="str">
        <f t="shared" si="39"/>
        <v>Frankfurt</v>
      </c>
      <c r="V412" t="s">
        <v>465</v>
      </c>
      <c r="X412">
        <v>60528</v>
      </c>
      <c r="Y412" s="1" t="str">
        <f t="shared" si="40"/>
        <v>GERMANY</v>
      </c>
      <c r="Z412" s="4" t="str">
        <f t="shared" si="41"/>
        <v>Germany</v>
      </c>
      <c r="AA412" t="s">
        <v>443</v>
      </c>
      <c r="AB412" t="s">
        <v>42</v>
      </c>
      <c r="AC412" t="s">
        <v>466</v>
      </c>
      <c r="AD412" t="s">
        <v>414</v>
      </c>
      <c r="AE412" t="s">
        <v>36</v>
      </c>
    </row>
    <row r="413" spans="1:31" x14ac:dyDescent="0.3">
      <c r="A413">
        <v>10310</v>
      </c>
      <c r="B413">
        <v>25</v>
      </c>
      <c r="C413">
        <v>100</v>
      </c>
      <c r="D413">
        <v>7</v>
      </c>
      <c r="E413" s="4" t="str">
        <f t="shared" si="36"/>
        <v>low sales</v>
      </c>
      <c r="F413">
        <v>2504.75</v>
      </c>
      <c r="G413" t="s">
        <v>1085</v>
      </c>
      <c r="H413" s="1" t="str">
        <f t="shared" si="37"/>
        <v>Shipped</v>
      </c>
      <c r="I413" s="4" t="str">
        <f t="shared" si="38"/>
        <v>completed</v>
      </c>
      <c r="J413" t="s">
        <v>25</v>
      </c>
      <c r="K413">
        <v>4</v>
      </c>
      <c r="L413">
        <v>10</v>
      </c>
      <c r="M413">
        <v>2004</v>
      </c>
      <c r="N413" t="s">
        <v>181</v>
      </c>
      <c r="O413">
        <v>115</v>
      </c>
      <c r="P413" t="s">
        <v>530</v>
      </c>
      <c r="Q413" t="s">
        <v>439</v>
      </c>
      <c r="R413" t="s">
        <v>440</v>
      </c>
      <c r="S413" t="s">
        <v>441</v>
      </c>
      <c r="U413" s="1" t="str">
        <f t="shared" si="39"/>
        <v>Koln</v>
      </c>
      <c r="V413" t="s">
        <v>442</v>
      </c>
      <c r="X413">
        <v>50739</v>
      </c>
      <c r="Y413" s="1" t="str">
        <f t="shared" si="40"/>
        <v>GERMANY</v>
      </c>
      <c r="Z413" s="4" t="str">
        <f t="shared" si="41"/>
        <v>Germany</v>
      </c>
      <c r="AA413" t="s">
        <v>443</v>
      </c>
      <c r="AB413" t="s">
        <v>42</v>
      </c>
      <c r="AC413" t="s">
        <v>444</v>
      </c>
      <c r="AD413" t="s">
        <v>445</v>
      </c>
      <c r="AE413" t="s">
        <v>36</v>
      </c>
    </row>
    <row r="414" spans="1:31" x14ac:dyDescent="0.3">
      <c r="A414">
        <v>10321</v>
      </c>
      <c r="B414">
        <v>24</v>
      </c>
      <c r="C414">
        <v>100</v>
      </c>
      <c r="D414">
        <v>15</v>
      </c>
      <c r="E414" s="4" t="str">
        <f t="shared" si="36"/>
        <v>low sales</v>
      </c>
      <c r="F414">
        <v>2984.88</v>
      </c>
      <c r="G414" t="s">
        <v>1086</v>
      </c>
      <c r="H414" s="1" t="str">
        <f t="shared" si="37"/>
        <v>Shipped</v>
      </c>
      <c r="I414" s="4" t="str">
        <f t="shared" si="38"/>
        <v>completed</v>
      </c>
      <c r="J414" t="s">
        <v>25</v>
      </c>
      <c r="K414">
        <v>4</v>
      </c>
      <c r="L414">
        <v>11</v>
      </c>
      <c r="M414">
        <v>2004</v>
      </c>
      <c r="N414" t="s">
        <v>181</v>
      </c>
      <c r="O414">
        <v>115</v>
      </c>
      <c r="P414" t="s">
        <v>530</v>
      </c>
      <c r="Q414" t="s">
        <v>160</v>
      </c>
      <c r="R414">
        <v>5085552555</v>
      </c>
      <c r="S414" t="s">
        <v>161</v>
      </c>
      <c r="U414" s="1" t="str">
        <f t="shared" si="39"/>
        <v>New Bedford</v>
      </c>
      <c r="V414" t="s">
        <v>162</v>
      </c>
      <c r="W414" t="s">
        <v>123</v>
      </c>
      <c r="X414">
        <v>50553</v>
      </c>
      <c r="Y414" s="1" t="str">
        <f t="shared" si="40"/>
        <v>USA</v>
      </c>
      <c r="Z414" s="4" t="str">
        <f t="shared" si="41"/>
        <v>Usa</v>
      </c>
      <c r="AA414" t="s">
        <v>32</v>
      </c>
      <c r="AB414" t="s">
        <v>33</v>
      </c>
      <c r="AC414" t="s">
        <v>163</v>
      </c>
      <c r="AD414" t="s">
        <v>164</v>
      </c>
      <c r="AE414" t="s">
        <v>36</v>
      </c>
    </row>
    <row r="415" spans="1:31" x14ac:dyDescent="0.3">
      <c r="A415">
        <v>10329</v>
      </c>
      <c r="B415">
        <v>39</v>
      </c>
      <c r="C415">
        <v>64.739999999999995</v>
      </c>
      <c r="D415">
        <v>15</v>
      </c>
      <c r="E415" s="4" t="str">
        <f t="shared" si="36"/>
        <v>low sales</v>
      </c>
      <c r="F415">
        <v>2524.86</v>
      </c>
      <c r="G415" t="s">
        <v>1087</v>
      </c>
      <c r="H415" s="1" t="str">
        <f t="shared" si="37"/>
        <v>Shipped</v>
      </c>
      <c r="I415" s="4" t="str">
        <f t="shared" si="38"/>
        <v>completed</v>
      </c>
      <c r="J415" t="s">
        <v>25</v>
      </c>
      <c r="K415">
        <v>4</v>
      </c>
      <c r="L415">
        <v>11</v>
      </c>
      <c r="M415">
        <v>2004</v>
      </c>
      <c r="N415" t="s">
        <v>181</v>
      </c>
      <c r="O415">
        <v>115</v>
      </c>
      <c r="P415" t="s">
        <v>530</v>
      </c>
      <c r="Q415" t="s">
        <v>28</v>
      </c>
      <c r="R415">
        <v>2125557818</v>
      </c>
      <c r="S415" t="s">
        <v>29</v>
      </c>
      <c r="U415" s="1" t="str">
        <f t="shared" si="39"/>
        <v>Nyc</v>
      </c>
      <c r="V415" t="s">
        <v>30</v>
      </c>
      <c r="W415" t="s">
        <v>31</v>
      </c>
      <c r="X415">
        <v>10022</v>
      </c>
      <c r="Y415" s="1" t="str">
        <f t="shared" si="40"/>
        <v>USA</v>
      </c>
      <c r="Z415" s="4" t="str">
        <f t="shared" si="41"/>
        <v>Usa</v>
      </c>
      <c r="AA415" t="s">
        <v>32</v>
      </c>
      <c r="AB415" t="s">
        <v>33</v>
      </c>
      <c r="AC415" t="s">
        <v>34</v>
      </c>
      <c r="AD415" t="s">
        <v>35</v>
      </c>
      <c r="AE415" t="s">
        <v>36</v>
      </c>
    </row>
    <row r="416" spans="1:31" x14ac:dyDescent="0.3">
      <c r="A416">
        <v>10341</v>
      </c>
      <c r="B416">
        <v>55</v>
      </c>
      <c r="C416">
        <v>75.2</v>
      </c>
      <c r="D416">
        <v>7</v>
      </c>
      <c r="E416" s="4" t="str">
        <f t="shared" si="36"/>
        <v>high sales</v>
      </c>
      <c r="F416">
        <v>4136</v>
      </c>
      <c r="G416" t="s">
        <v>1088</v>
      </c>
      <c r="H416" s="1" t="str">
        <f t="shared" si="37"/>
        <v>Shipped</v>
      </c>
      <c r="I416" s="4" t="str">
        <f t="shared" si="38"/>
        <v>completed</v>
      </c>
      <c r="J416" t="s">
        <v>25</v>
      </c>
      <c r="K416">
        <v>4</v>
      </c>
      <c r="L416">
        <v>11</v>
      </c>
      <c r="M416">
        <v>2004</v>
      </c>
      <c r="N416" t="s">
        <v>181</v>
      </c>
      <c r="O416">
        <v>115</v>
      </c>
      <c r="P416" t="s">
        <v>530</v>
      </c>
      <c r="Q416" t="s">
        <v>144</v>
      </c>
      <c r="R416" t="s">
        <v>145</v>
      </c>
      <c r="S416" t="s">
        <v>146</v>
      </c>
      <c r="U416" s="1" t="str">
        <f t="shared" si="39"/>
        <v>Salzburg</v>
      </c>
      <c r="V416" t="s">
        <v>147</v>
      </c>
      <c r="X416">
        <v>5020</v>
      </c>
      <c r="Y416" s="1" t="str">
        <f t="shared" si="40"/>
        <v>AUSTRIA</v>
      </c>
      <c r="Z416" s="4" t="str">
        <f t="shared" si="41"/>
        <v>Austria</v>
      </c>
      <c r="AA416" t="s">
        <v>148</v>
      </c>
      <c r="AB416" t="s">
        <v>42</v>
      </c>
      <c r="AC416" t="s">
        <v>149</v>
      </c>
      <c r="AD416" t="s">
        <v>150</v>
      </c>
      <c r="AE416" t="s">
        <v>51</v>
      </c>
    </row>
    <row r="417" spans="1:31" x14ac:dyDescent="0.3">
      <c r="A417">
        <v>10363</v>
      </c>
      <c r="B417">
        <v>46</v>
      </c>
      <c r="C417">
        <v>88.45</v>
      </c>
      <c r="D417">
        <v>6</v>
      </c>
      <c r="E417" s="4" t="str">
        <f t="shared" si="36"/>
        <v>high sales</v>
      </c>
      <c r="F417">
        <v>4068.7</v>
      </c>
      <c r="G417" t="s">
        <v>1089</v>
      </c>
      <c r="H417" s="1" t="str">
        <f t="shared" si="37"/>
        <v>Shipped</v>
      </c>
      <c r="I417" s="4" t="str">
        <f t="shared" si="38"/>
        <v>completed</v>
      </c>
      <c r="J417" t="s">
        <v>25</v>
      </c>
      <c r="K417">
        <v>1</v>
      </c>
      <c r="L417">
        <v>1</v>
      </c>
      <c r="M417">
        <v>2005</v>
      </c>
      <c r="N417" t="s">
        <v>181</v>
      </c>
      <c r="O417">
        <v>115</v>
      </c>
      <c r="P417" t="s">
        <v>530</v>
      </c>
      <c r="Q417" t="s">
        <v>467</v>
      </c>
      <c r="R417" t="s">
        <v>468</v>
      </c>
      <c r="S417" t="s">
        <v>469</v>
      </c>
      <c r="U417" s="1" t="str">
        <f t="shared" si="39"/>
        <v>Espoo</v>
      </c>
      <c r="V417" t="s">
        <v>470</v>
      </c>
      <c r="X417" t="s">
        <v>471</v>
      </c>
      <c r="Y417" s="1" t="str">
        <f t="shared" si="40"/>
        <v>FINLAND</v>
      </c>
      <c r="Z417" s="4" t="str">
        <f t="shared" si="41"/>
        <v>Finland</v>
      </c>
      <c r="AA417" t="s">
        <v>130</v>
      </c>
      <c r="AB417" t="s">
        <v>42</v>
      </c>
      <c r="AC417" t="s">
        <v>472</v>
      </c>
      <c r="AD417" t="s">
        <v>473</v>
      </c>
      <c r="AE417" t="s">
        <v>51</v>
      </c>
    </row>
    <row r="418" spans="1:31" x14ac:dyDescent="0.3">
      <c r="A418">
        <v>10377</v>
      </c>
      <c r="B418">
        <v>50</v>
      </c>
      <c r="C418">
        <v>100</v>
      </c>
      <c r="D418">
        <v>1</v>
      </c>
      <c r="E418" s="4" t="str">
        <f t="shared" si="36"/>
        <v>high sales</v>
      </c>
      <c r="F418">
        <v>5182</v>
      </c>
      <c r="G418" t="s">
        <v>1090</v>
      </c>
      <c r="H418" s="1" t="str">
        <f t="shared" si="37"/>
        <v>Shipped</v>
      </c>
      <c r="I418" s="4" t="str">
        <f t="shared" si="38"/>
        <v>completed</v>
      </c>
      <c r="J418" t="s">
        <v>25</v>
      </c>
      <c r="K418">
        <v>1</v>
      </c>
      <c r="L418">
        <v>2</v>
      </c>
      <c r="M418">
        <v>2005</v>
      </c>
      <c r="N418" t="s">
        <v>181</v>
      </c>
      <c r="O418">
        <v>115</v>
      </c>
      <c r="P418" t="s">
        <v>530</v>
      </c>
      <c r="Q418" t="s">
        <v>126</v>
      </c>
      <c r="R418" t="s">
        <v>127</v>
      </c>
      <c r="S418" t="s">
        <v>128</v>
      </c>
      <c r="U418" s="1" t="str">
        <f t="shared" si="39"/>
        <v>Helsinki</v>
      </c>
      <c r="V418" t="s">
        <v>129</v>
      </c>
      <c r="X418">
        <v>21240</v>
      </c>
      <c r="Y418" s="1" t="str">
        <f t="shared" si="40"/>
        <v>FINLAND</v>
      </c>
      <c r="Z418" s="4" t="str">
        <f t="shared" si="41"/>
        <v>Finland</v>
      </c>
      <c r="AA418" t="s">
        <v>130</v>
      </c>
      <c r="AB418" t="s">
        <v>42</v>
      </c>
      <c r="AC418" t="s">
        <v>131</v>
      </c>
      <c r="AD418" t="s">
        <v>132</v>
      </c>
      <c r="AE418" t="s">
        <v>51</v>
      </c>
    </row>
    <row r="419" spans="1:31" x14ac:dyDescent="0.3">
      <c r="A419">
        <v>10389</v>
      </c>
      <c r="B419">
        <v>47</v>
      </c>
      <c r="C419">
        <v>100</v>
      </c>
      <c r="D419">
        <v>8</v>
      </c>
      <c r="E419" s="4" t="str">
        <f t="shared" si="36"/>
        <v>high sales</v>
      </c>
      <c r="F419">
        <v>5243.79</v>
      </c>
      <c r="G419" t="s">
        <v>1091</v>
      </c>
      <c r="H419" s="1" t="str">
        <f t="shared" si="37"/>
        <v>Shipped</v>
      </c>
      <c r="I419" s="4" t="str">
        <f t="shared" si="38"/>
        <v>completed</v>
      </c>
      <c r="J419" t="s">
        <v>25</v>
      </c>
      <c r="K419">
        <v>1</v>
      </c>
      <c r="L419">
        <v>3</v>
      </c>
      <c r="M419">
        <v>2005</v>
      </c>
      <c r="N419" t="s">
        <v>181</v>
      </c>
      <c r="O419">
        <v>115</v>
      </c>
      <c r="P419" t="s">
        <v>530</v>
      </c>
      <c r="Q419" t="s">
        <v>261</v>
      </c>
      <c r="R419" t="s">
        <v>262</v>
      </c>
      <c r="S419" t="s">
        <v>263</v>
      </c>
      <c r="U419" s="1" t="str">
        <f t="shared" si="39"/>
        <v>Boras</v>
      </c>
      <c r="V419" t="s">
        <v>264</v>
      </c>
      <c r="X419" t="s">
        <v>265</v>
      </c>
      <c r="Y419" s="1" t="str">
        <f t="shared" si="40"/>
        <v>SWEDEN</v>
      </c>
      <c r="Z419" s="4" t="str">
        <f t="shared" si="41"/>
        <v>Sweden</v>
      </c>
      <c r="AA419" t="s">
        <v>188</v>
      </c>
      <c r="AB419" t="s">
        <v>42</v>
      </c>
      <c r="AC419" t="s">
        <v>266</v>
      </c>
      <c r="AD419" t="s">
        <v>206</v>
      </c>
      <c r="AE419" t="s">
        <v>51</v>
      </c>
    </row>
    <row r="420" spans="1:31" x14ac:dyDescent="0.3">
      <c r="A420">
        <v>10405</v>
      </c>
      <c r="B420">
        <v>97</v>
      </c>
      <c r="C420">
        <v>93.28</v>
      </c>
      <c r="D420">
        <v>5</v>
      </c>
      <c r="E420" s="4" t="str">
        <f t="shared" si="36"/>
        <v>high sales</v>
      </c>
      <c r="F420">
        <v>9048.16</v>
      </c>
      <c r="G420" t="s">
        <v>1092</v>
      </c>
      <c r="H420" s="1" t="str">
        <f t="shared" si="37"/>
        <v>Shipped</v>
      </c>
      <c r="I420" s="4" t="str">
        <f t="shared" si="38"/>
        <v>completed</v>
      </c>
      <c r="J420" t="s">
        <v>25</v>
      </c>
      <c r="K420">
        <v>2</v>
      </c>
      <c r="L420">
        <v>4</v>
      </c>
      <c r="M420">
        <v>2005</v>
      </c>
      <c r="N420" t="s">
        <v>181</v>
      </c>
      <c r="O420">
        <v>115</v>
      </c>
      <c r="P420" t="s">
        <v>530</v>
      </c>
      <c r="Q420" t="s">
        <v>531</v>
      </c>
      <c r="R420" t="s">
        <v>532</v>
      </c>
      <c r="S420" t="s">
        <v>533</v>
      </c>
      <c r="U420" s="1" t="str">
        <f t="shared" si="39"/>
        <v>Strasbourg</v>
      </c>
      <c r="V420" t="s">
        <v>534</v>
      </c>
      <c r="X420">
        <v>67000</v>
      </c>
      <c r="Y420" s="1" t="str">
        <f t="shared" si="40"/>
        <v>FRANCE</v>
      </c>
      <c r="Z420" s="4" t="str">
        <f t="shared" si="41"/>
        <v>France</v>
      </c>
      <c r="AA420" t="s">
        <v>41</v>
      </c>
      <c r="AB420" t="s">
        <v>42</v>
      </c>
      <c r="AC420" t="s">
        <v>535</v>
      </c>
      <c r="AD420" t="s">
        <v>536</v>
      </c>
      <c r="AE420" t="s">
        <v>151</v>
      </c>
    </row>
    <row r="421" spans="1:31" x14ac:dyDescent="0.3">
      <c r="A421">
        <v>10419</v>
      </c>
      <c r="B421">
        <v>32</v>
      </c>
      <c r="C421">
        <v>100</v>
      </c>
      <c r="D421">
        <v>10</v>
      </c>
      <c r="E421" s="4" t="str">
        <f t="shared" si="36"/>
        <v>low sales</v>
      </c>
      <c r="F421">
        <v>3832.64</v>
      </c>
      <c r="G421" t="s">
        <v>1093</v>
      </c>
      <c r="H421" s="1" t="str">
        <f t="shared" si="37"/>
        <v>Shipped</v>
      </c>
      <c r="I421" s="4" t="str">
        <f t="shared" si="38"/>
        <v>completed</v>
      </c>
      <c r="J421" t="s">
        <v>25</v>
      </c>
      <c r="K421">
        <v>2</v>
      </c>
      <c r="L421">
        <v>5</v>
      </c>
      <c r="M421">
        <v>2005</v>
      </c>
      <c r="N421" t="s">
        <v>181</v>
      </c>
      <c r="O421">
        <v>115</v>
      </c>
      <c r="P421" t="s">
        <v>530</v>
      </c>
      <c r="Q421" t="s">
        <v>144</v>
      </c>
      <c r="R421" t="s">
        <v>145</v>
      </c>
      <c r="S421" t="s">
        <v>146</v>
      </c>
      <c r="U421" s="1" t="str">
        <f t="shared" si="39"/>
        <v>Salzburg</v>
      </c>
      <c r="V421" t="s">
        <v>147</v>
      </c>
      <c r="X421">
        <v>5020</v>
      </c>
      <c r="Y421" s="1" t="str">
        <f t="shared" si="40"/>
        <v>AUSTRIA</v>
      </c>
      <c r="Z421" s="4" t="str">
        <f t="shared" si="41"/>
        <v>Austria</v>
      </c>
      <c r="AA421" t="s">
        <v>148</v>
      </c>
      <c r="AB421" t="s">
        <v>42</v>
      </c>
      <c r="AC421" t="s">
        <v>149</v>
      </c>
      <c r="AD421" t="s">
        <v>150</v>
      </c>
      <c r="AE421" t="s">
        <v>51</v>
      </c>
    </row>
    <row r="422" spans="1:31" x14ac:dyDescent="0.3">
      <c r="A422">
        <v>10103</v>
      </c>
      <c r="B422">
        <v>35</v>
      </c>
      <c r="C422">
        <v>100</v>
      </c>
      <c r="D422">
        <v>10</v>
      </c>
      <c r="E422" s="4" t="str">
        <f t="shared" si="36"/>
        <v>low sales</v>
      </c>
      <c r="F422">
        <v>3920</v>
      </c>
      <c r="G422" t="s">
        <v>1094</v>
      </c>
      <c r="H422" s="1" t="str">
        <f t="shared" si="37"/>
        <v>Shipped</v>
      </c>
      <c r="I422" s="4" t="str">
        <f t="shared" si="38"/>
        <v>completed</v>
      </c>
      <c r="J422" t="s">
        <v>25</v>
      </c>
      <c r="K422">
        <v>1</v>
      </c>
      <c r="L422">
        <v>1</v>
      </c>
      <c r="M422">
        <v>2003</v>
      </c>
      <c r="N422" t="s">
        <v>504</v>
      </c>
      <c r="O422">
        <v>116</v>
      </c>
      <c r="P422" t="s">
        <v>537</v>
      </c>
      <c r="Q422" t="s">
        <v>133</v>
      </c>
      <c r="R422" t="s">
        <v>134</v>
      </c>
      <c r="S422" t="s">
        <v>135</v>
      </c>
      <c r="U422" s="1" t="str">
        <f t="shared" si="39"/>
        <v>Stavern</v>
      </c>
      <c r="V422" t="s">
        <v>136</v>
      </c>
      <c r="X422">
        <v>4110</v>
      </c>
      <c r="Y422" s="1" t="str">
        <f t="shared" si="40"/>
        <v>NORWAY</v>
      </c>
      <c r="Z422" s="4" t="str">
        <f t="shared" si="41"/>
        <v>Norway</v>
      </c>
      <c r="AA422" t="s">
        <v>78</v>
      </c>
      <c r="AB422" t="s">
        <v>42</v>
      </c>
      <c r="AC422" t="s">
        <v>137</v>
      </c>
      <c r="AD422" t="s">
        <v>138</v>
      </c>
      <c r="AE422" t="s">
        <v>51</v>
      </c>
    </row>
    <row r="423" spans="1:31" x14ac:dyDescent="0.3">
      <c r="A423">
        <v>10113</v>
      </c>
      <c r="B423">
        <v>49</v>
      </c>
      <c r="C423">
        <v>100</v>
      </c>
      <c r="D423">
        <v>4</v>
      </c>
      <c r="E423" s="4" t="str">
        <f t="shared" si="36"/>
        <v>high sales</v>
      </c>
      <c r="F423">
        <v>4916.66</v>
      </c>
      <c r="G423" t="s">
        <v>1095</v>
      </c>
      <c r="H423" s="1" t="str">
        <f t="shared" si="37"/>
        <v>Shipped</v>
      </c>
      <c r="I423" s="4" t="str">
        <f t="shared" si="38"/>
        <v>completed</v>
      </c>
      <c r="J423" t="s">
        <v>25</v>
      </c>
      <c r="K423">
        <v>1</v>
      </c>
      <c r="L423">
        <v>3</v>
      </c>
      <c r="M423">
        <v>2003</v>
      </c>
      <c r="N423" t="s">
        <v>504</v>
      </c>
      <c r="O423">
        <v>116</v>
      </c>
      <c r="P423" t="s">
        <v>537</v>
      </c>
      <c r="Q423" t="s">
        <v>272</v>
      </c>
      <c r="R423">
        <v>4155551450</v>
      </c>
      <c r="S423" t="s">
        <v>273</v>
      </c>
      <c r="U423" s="1" t="str">
        <f t="shared" si="39"/>
        <v>San Rafael</v>
      </c>
      <c r="V423" t="s">
        <v>274</v>
      </c>
      <c r="W423" t="s">
        <v>55</v>
      </c>
      <c r="X423">
        <v>97562</v>
      </c>
      <c r="Y423" s="1" t="str">
        <f t="shared" si="40"/>
        <v>USA</v>
      </c>
      <c r="Z423" s="4" t="str">
        <f t="shared" si="41"/>
        <v>Usa</v>
      </c>
      <c r="AA423" t="s">
        <v>32</v>
      </c>
      <c r="AB423" t="s">
        <v>33</v>
      </c>
      <c r="AC423" t="s">
        <v>275</v>
      </c>
      <c r="AD423" t="s">
        <v>276</v>
      </c>
      <c r="AE423" t="s">
        <v>51</v>
      </c>
    </row>
    <row r="424" spans="1:31" x14ac:dyDescent="0.3">
      <c r="A424">
        <v>10126</v>
      </c>
      <c r="B424">
        <v>38</v>
      </c>
      <c r="C424">
        <v>100</v>
      </c>
      <c r="D424">
        <v>10</v>
      </c>
      <c r="E424" s="4" t="str">
        <f t="shared" si="36"/>
        <v>low sales</v>
      </c>
      <c r="F424">
        <v>3857</v>
      </c>
      <c r="G424" t="s">
        <v>1096</v>
      </c>
      <c r="H424" s="1" t="str">
        <f t="shared" si="37"/>
        <v>Shipped</v>
      </c>
      <c r="I424" s="4" t="str">
        <f t="shared" si="38"/>
        <v>completed</v>
      </c>
      <c r="J424" t="s">
        <v>25</v>
      </c>
      <c r="K424">
        <v>2</v>
      </c>
      <c r="L424">
        <v>5</v>
      </c>
      <c r="M424">
        <v>2003</v>
      </c>
      <c r="N424" t="s">
        <v>504</v>
      </c>
      <c r="O424">
        <v>116</v>
      </c>
      <c r="P424" t="s">
        <v>537</v>
      </c>
      <c r="Q424" t="s">
        <v>191</v>
      </c>
      <c r="R424" t="s">
        <v>192</v>
      </c>
      <c r="S424" t="s">
        <v>193</v>
      </c>
      <c r="U424" s="1" t="str">
        <f t="shared" si="39"/>
        <v>Madrid</v>
      </c>
      <c r="V424" t="s">
        <v>177</v>
      </c>
      <c r="X424">
        <v>28023</v>
      </c>
      <c r="Y424" s="1" t="str">
        <f t="shared" si="40"/>
        <v>SPAIN</v>
      </c>
      <c r="Z424" s="4" t="str">
        <f t="shared" si="41"/>
        <v>Spain</v>
      </c>
      <c r="AA424" t="s">
        <v>178</v>
      </c>
      <c r="AB424" t="s">
        <v>42</v>
      </c>
      <c r="AC424" t="s">
        <v>194</v>
      </c>
      <c r="AD424" t="s">
        <v>195</v>
      </c>
      <c r="AE424" t="s">
        <v>51</v>
      </c>
    </row>
    <row r="425" spans="1:31" x14ac:dyDescent="0.3">
      <c r="A425">
        <v>10140</v>
      </c>
      <c r="B425">
        <v>32</v>
      </c>
      <c r="C425">
        <v>100</v>
      </c>
      <c r="D425">
        <v>10</v>
      </c>
      <c r="E425" s="4" t="str">
        <f t="shared" si="36"/>
        <v>high sales</v>
      </c>
      <c r="F425">
        <v>4181.4399999999996</v>
      </c>
      <c r="G425" t="s">
        <v>1097</v>
      </c>
      <c r="H425" s="1" t="str">
        <f t="shared" si="37"/>
        <v>Shipped</v>
      </c>
      <c r="I425" s="4" t="str">
        <f t="shared" si="38"/>
        <v>completed</v>
      </c>
      <c r="J425" t="s">
        <v>25</v>
      </c>
      <c r="K425">
        <v>3</v>
      </c>
      <c r="L425">
        <v>7</v>
      </c>
      <c r="M425">
        <v>2003</v>
      </c>
      <c r="N425" t="s">
        <v>504</v>
      </c>
      <c r="O425">
        <v>116</v>
      </c>
      <c r="P425" t="s">
        <v>537</v>
      </c>
      <c r="Q425" t="s">
        <v>62</v>
      </c>
      <c r="R425">
        <v>6505556809</v>
      </c>
      <c r="S425" t="s">
        <v>63</v>
      </c>
      <c r="U425" s="1" t="str">
        <f t="shared" si="39"/>
        <v>Burlingame</v>
      </c>
      <c r="V425" t="s">
        <v>64</v>
      </c>
      <c r="W425" t="s">
        <v>55</v>
      </c>
      <c r="X425">
        <v>94217</v>
      </c>
      <c r="Y425" s="1" t="str">
        <f t="shared" si="40"/>
        <v>USA</v>
      </c>
      <c r="Z425" s="4" t="str">
        <f t="shared" si="41"/>
        <v>Usa</v>
      </c>
      <c r="AA425" t="s">
        <v>32</v>
      </c>
      <c r="AB425" t="s">
        <v>33</v>
      </c>
      <c r="AC425" t="s">
        <v>65</v>
      </c>
      <c r="AD425" t="s">
        <v>66</v>
      </c>
      <c r="AE425" t="s">
        <v>51</v>
      </c>
    </row>
    <row r="426" spans="1:31" x14ac:dyDescent="0.3">
      <c r="A426">
        <v>10150</v>
      </c>
      <c r="B426">
        <v>34</v>
      </c>
      <c r="C426">
        <v>100</v>
      </c>
      <c r="D426">
        <v>7</v>
      </c>
      <c r="E426" s="4" t="str">
        <f t="shared" si="36"/>
        <v>high sales</v>
      </c>
      <c r="F426">
        <v>4641</v>
      </c>
      <c r="G426" t="s">
        <v>1098</v>
      </c>
      <c r="H426" s="1" t="str">
        <f t="shared" si="37"/>
        <v>Shipped</v>
      </c>
      <c r="I426" s="4" t="str">
        <f t="shared" si="38"/>
        <v>completed</v>
      </c>
      <c r="J426" t="s">
        <v>25</v>
      </c>
      <c r="K426">
        <v>3</v>
      </c>
      <c r="L426">
        <v>9</v>
      </c>
      <c r="M426">
        <v>2003</v>
      </c>
      <c r="N426" t="s">
        <v>504</v>
      </c>
      <c r="O426">
        <v>116</v>
      </c>
      <c r="P426" t="s">
        <v>537</v>
      </c>
      <c r="Q426" t="s">
        <v>196</v>
      </c>
      <c r="R426" t="s">
        <v>197</v>
      </c>
      <c r="S426" t="s">
        <v>198</v>
      </c>
      <c r="U426" s="1" t="str">
        <f t="shared" si="39"/>
        <v>Singapore</v>
      </c>
      <c r="V426" t="s">
        <v>199</v>
      </c>
      <c r="X426">
        <v>79903</v>
      </c>
      <c r="Y426" s="1" t="str">
        <f t="shared" si="40"/>
        <v>SINGAPORE</v>
      </c>
      <c r="Z426" s="4" t="str">
        <f t="shared" si="41"/>
        <v>Singapore</v>
      </c>
      <c r="AA426" t="s">
        <v>199</v>
      </c>
      <c r="AB426" t="s">
        <v>200</v>
      </c>
      <c r="AC426" t="s">
        <v>201</v>
      </c>
      <c r="AD426" t="s">
        <v>202</v>
      </c>
      <c r="AE426" t="s">
        <v>51</v>
      </c>
    </row>
    <row r="427" spans="1:31" x14ac:dyDescent="0.3">
      <c r="A427">
        <v>10164</v>
      </c>
      <c r="B427">
        <v>36</v>
      </c>
      <c r="C427">
        <v>99.17</v>
      </c>
      <c r="D427">
        <v>8</v>
      </c>
      <c r="E427" s="4" t="str">
        <f t="shared" si="36"/>
        <v>low sales</v>
      </c>
      <c r="F427">
        <v>3570.12</v>
      </c>
      <c r="G427" t="s">
        <v>1099</v>
      </c>
      <c r="H427" s="1" t="str">
        <f t="shared" si="37"/>
        <v>Resolved</v>
      </c>
      <c r="I427" s="4" t="str">
        <f t="shared" si="38"/>
        <v>not completed</v>
      </c>
      <c r="J427" t="s">
        <v>408</v>
      </c>
      <c r="K427">
        <v>4</v>
      </c>
      <c r="L427">
        <v>10</v>
      </c>
      <c r="M427">
        <v>2003</v>
      </c>
      <c r="N427" t="s">
        <v>504</v>
      </c>
      <c r="O427">
        <v>116</v>
      </c>
      <c r="P427" t="s">
        <v>537</v>
      </c>
      <c r="Q427" t="s">
        <v>409</v>
      </c>
      <c r="R427" t="s">
        <v>410</v>
      </c>
      <c r="S427" t="s">
        <v>411</v>
      </c>
      <c r="U427" s="1" t="str">
        <f t="shared" si="39"/>
        <v>Graz</v>
      </c>
      <c r="V427" t="s">
        <v>412</v>
      </c>
      <c r="X427">
        <v>8010</v>
      </c>
      <c r="Y427" s="1" t="str">
        <f t="shared" si="40"/>
        <v>AUSTRIA</v>
      </c>
      <c r="Z427" s="4" t="str">
        <f t="shared" si="41"/>
        <v>Austria</v>
      </c>
      <c r="AA427" t="s">
        <v>148</v>
      </c>
      <c r="AB427" t="s">
        <v>42</v>
      </c>
      <c r="AC427" t="s">
        <v>413</v>
      </c>
      <c r="AD427" t="s">
        <v>414</v>
      </c>
      <c r="AE427" t="s">
        <v>51</v>
      </c>
    </row>
    <row r="428" spans="1:31" x14ac:dyDescent="0.3">
      <c r="A428">
        <v>10174</v>
      </c>
      <c r="B428">
        <v>48</v>
      </c>
      <c r="C428">
        <v>93.34</v>
      </c>
      <c r="D428">
        <v>3</v>
      </c>
      <c r="E428" s="4" t="str">
        <f t="shared" si="36"/>
        <v>high sales</v>
      </c>
      <c r="F428">
        <v>4480.32</v>
      </c>
      <c r="G428" t="s">
        <v>1100</v>
      </c>
      <c r="H428" s="1" t="str">
        <f t="shared" si="37"/>
        <v>Shipped</v>
      </c>
      <c r="I428" s="4" t="str">
        <f t="shared" si="38"/>
        <v>completed</v>
      </c>
      <c r="J428" t="s">
        <v>25</v>
      </c>
      <c r="K428">
        <v>4</v>
      </c>
      <c r="L428">
        <v>11</v>
      </c>
      <c r="M428">
        <v>2003</v>
      </c>
      <c r="N428" t="s">
        <v>504</v>
      </c>
      <c r="O428">
        <v>116</v>
      </c>
      <c r="P428" t="s">
        <v>537</v>
      </c>
      <c r="Q428" t="s">
        <v>207</v>
      </c>
      <c r="R428" t="s">
        <v>208</v>
      </c>
      <c r="S428" t="s">
        <v>209</v>
      </c>
      <c r="U428" s="1" t="str">
        <f t="shared" si="39"/>
        <v>South Brisbane</v>
      </c>
      <c r="V428" t="s">
        <v>210</v>
      </c>
      <c r="W428" t="s">
        <v>211</v>
      </c>
      <c r="X428">
        <v>4101</v>
      </c>
      <c r="Y428" s="1" t="str">
        <f t="shared" si="40"/>
        <v>AUSTRALIA</v>
      </c>
      <c r="Z428" s="4" t="str">
        <f t="shared" si="41"/>
        <v>Australia</v>
      </c>
      <c r="AA428" t="s">
        <v>95</v>
      </c>
      <c r="AB428" t="s">
        <v>96</v>
      </c>
      <c r="AC428" t="s">
        <v>212</v>
      </c>
      <c r="AD428" t="s">
        <v>213</v>
      </c>
      <c r="AE428" t="s">
        <v>51</v>
      </c>
    </row>
    <row r="429" spans="1:31" x14ac:dyDescent="0.3">
      <c r="A429">
        <v>10183</v>
      </c>
      <c r="B429">
        <v>21</v>
      </c>
      <c r="C429">
        <v>96.84</v>
      </c>
      <c r="D429">
        <v>7</v>
      </c>
      <c r="E429" s="4" t="str">
        <f t="shared" si="36"/>
        <v>low sales</v>
      </c>
      <c r="F429">
        <v>2033.64</v>
      </c>
      <c r="G429" t="s">
        <v>1101</v>
      </c>
      <c r="H429" s="1" t="str">
        <f t="shared" si="37"/>
        <v>Shipped</v>
      </c>
      <c r="I429" s="4" t="str">
        <f t="shared" si="38"/>
        <v>completed</v>
      </c>
      <c r="J429" t="s">
        <v>25</v>
      </c>
      <c r="K429">
        <v>4</v>
      </c>
      <c r="L429">
        <v>11</v>
      </c>
      <c r="M429">
        <v>2003</v>
      </c>
      <c r="N429" t="s">
        <v>504</v>
      </c>
      <c r="O429">
        <v>116</v>
      </c>
      <c r="P429" t="s">
        <v>537</v>
      </c>
      <c r="Q429" t="s">
        <v>214</v>
      </c>
      <c r="R429">
        <v>2155554695</v>
      </c>
      <c r="S429" t="s">
        <v>215</v>
      </c>
      <c r="U429" s="1" t="str">
        <f t="shared" si="39"/>
        <v>Philadelphia</v>
      </c>
      <c r="V429" t="s">
        <v>216</v>
      </c>
      <c r="W429" t="s">
        <v>142</v>
      </c>
      <c r="X429">
        <v>71270</v>
      </c>
      <c r="Y429" s="1" t="str">
        <f t="shared" si="40"/>
        <v>USA</v>
      </c>
      <c r="Z429" s="4" t="str">
        <f t="shared" si="41"/>
        <v>Usa</v>
      </c>
      <c r="AA429" t="s">
        <v>32</v>
      </c>
      <c r="AB429" t="s">
        <v>33</v>
      </c>
      <c r="AC429" t="s">
        <v>217</v>
      </c>
      <c r="AD429" t="s">
        <v>218</v>
      </c>
      <c r="AE429" t="s">
        <v>36</v>
      </c>
    </row>
    <row r="430" spans="1:31" x14ac:dyDescent="0.3">
      <c r="A430">
        <v>10194</v>
      </c>
      <c r="B430">
        <v>21</v>
      </c>
      <c r="C430">
        <v>93.34</v>
      </c>
      <c r="D430">
        <v>10</v>
      </c>
      <c r="E430" s="4" t="str">
        <f t="shared" si="36"/>
        <v>low sales</v>
      </c>
      <c r="F430">
        <v>1960.14</v>
      </c>
      <c r="G430" t="s">
        <v>1102</v>
      </c>
      <c r="H430" s="1" t="str">
        <f t="shared" si="37"/>
        <v>Shipped</v>
      </c>
      <c r="I430" s="4" t="str">
        <f t="shared" si="38"/>
        <v>completed</v>
      </c>
      <c r="J430" t="s">
        <v>25</v>
      </c>
      <c r="K430">
        <v>4</v>
      </c>
      <c r="L430">
        <v>11</v>
      </c>
      <c r="M430">
        <v>2003</v>
      </c>
      <c r="N430" t="s">
        <v>504</v>
      </c>
      <c r="O430">
        <v>116</v>
      </c>
      <c r="P430" t="s">
        <v>537</v>
      </c>
      <c r="Q430" t="s">
        <v>219</v>
      </c>
      <c r="R430" t="s">
        <v>220</v>
      </c>
      <c r="S430" t="s">
        <v>221</v>
      </c>
      <c r="U430" s="1" t="str">
        <f t="shared" si="39"/>
        <v>Lyon</v>
      </c>
      <c r="V430" t="s">
        <v>222</v>
      </c>
      <c r="X430">
        <v>69004</v>
      </c>
      <c r="Y430" s="1" t="str">
        <f t="shared" si="40"/>
        <v>FRANCE</v>
      </c>
      <c r="Z430" s="4" t="str">
        <f t="shared" si="41"/>
        <v>France</v>
      </c>
      <c r="AA430" t="s">
        <v>41</v>
      </c>
      <c r="AB430" t="s">
        <v>42</v>
      </c>
      <c r="AC430" t="s">
        <v>223</v>
      </c>
      <c r="AD430" t="s">
        <v>224</v>
      </c>
      <c r="AE430" t="s">
        <v>36</v>
      </c>
    </row>
    <row r="431" spans="1:31" x14ac:dyDescent="0.3">
      <c r="A431">
        <v>10206</v>
      </c>
      <c r="B431">
        <v>34</v>
      </c>
      <c r="C431">
        <v>100</v>
      </c>
      <c r="D431">
        <v>5</v>
      </c>
      <c r="E431" s="4" t="str">
        <f t="shared" si="36"/>
        <v>low sales</v>
      </c>
      <c r="F431">
        <v>3966.78</v>
      </c>
      <c r="G431" t="s">
        <v>1103</v>
      </c>
      <c r="H431" s="1" t="str">
        <f t="shared" si="37"/>
        <v>Shipped</v>
      </c>
      <c r="I431" s="4" t="str">
        <f t="shared" si="38"/>
        <v>completed</v>
      </c>
      <c r="J431" t="s">
        <v>25</v>
      </c>
      <c r="K431">
        <v>4</v>
      </c>
      <c r="L431">
        <v>12</v>
      </c>
      <c r="M431">
        <v>2003</v>
      </c>
      <c r="N431" t="s">
        <v>504</v>
      </c>
      <c r="O431">
        <v>116</v>
      </c>
      <c r="P431" t="s">
        <v>537</v>
      </c>
      <c r="Q431" t="s">
        <v>225</v>
      </c>
      <c r="R431" t="s">
        <v>226</v>
      </c>
      <c r="S431" t="s">
        <v>227</v>
      </c>
      <c r="U431" s="1" t="str">
        <f t="shared" si="39"/>
        <v>Vancouver</v>
      </c>
      <c r="V431" t="s">
        <v>228</v>
      </c>
      <c r="W431" t="s">
        <v>229</v>
      </c>
      <c r="X431" t="s">
        <v>230</v>
      </c>
      <c r="Y431" s="1" t="str">
        <f t="shared" si="40"/>
        <v>CANADA</v>
      </c>
      <c r="Z431" s="4" t="str">
        <f t="shared" si="41"/>
        <v>Canada</v>
      </c>
      <c r="AA431" t="s">
        <v>231</v>
      </c>
      <c r="AB431" t="s">
        <v>33</v>
      </c>
      <c r="AC431" t="s">
        <v>232</v>
      </c>
      <c r="AD431" t="s">
        <v>233</v>
      </c>
      <c r="AE431" t="s">
        <v>51</v>
      </c>
    </row>
    <row r="432" spans="1:31" x14ac:dyDescent="0.3">
      <c r="A432">
        <v>10215</v>
      </c>
      <c r="B432">
        <v>46</v>
      </c>
      <c r="C432">
        <v>100</v>
      </c>
      <c r="D432">
        <v>2</v>
      </c>
      <c r="E432" s="4" t="str">
        <f t="shared" si="36"/>
        <v>high sales</v>
      </c>
      <c r="F432">
        <v>5152</v>
      </c>
      <c r="G432" t="s">
        <v>1104</v>
      </c>
      <c r="H432" s="1" t="str">
        <f t="shared" si="37"/>
        <v>Shipped</v>
      </c>
      <c r="I432" s="4" t="str">
        <f t="shared" si="38"/>
        <v>completed</v>
      </c>
      <c r="J432" t="s">
        <v>25</v>
      </c>
      <c r="K432">
        <v>1</v>
      </c>
      <c r="L432">
        <v>1</v>
      </c>
      <c r="M432">
        <v>2004</v>
      </c>
      <c r="N432" t="s">
        <v>504</v>
      </c>
      <c r="O432">
        <v>116</v>
      </c>
      <c r="P432" t="s">
        <v>537</v>
      </c>
      <c r="Q432" t="s">
        <v>234</v>
      </c>
      <c r="R432">
        <v>3105553722</v>
      </c>
      <c r="S432" t="s">
        <v>235</v>
      </c>
      <c r="U432" s="1" t="str">
        <f t="shared" si="39"/>
        <v>Burbank</v>
      </c>
      <c r="V432" t="s">
        <v>236</v>
      </c>
      <c r="W432" t="s">
        <v>55</v>
      </c>
      <c r="X432">
        <v>94019</v>
      </c>
      <c r="Y432" s="1" t="str">
        <f t="shared" si="40"/>
        <v>USA</v>
      </c>
      <c r="Z432" s="4" t="str">
        <f t="shared" si="41"/>
        <v>Usa</v>
      </c>
      <c r="AA432" t="s">
        <v>32</v>
      </c>
      <c r="AB432" t="s">
        <v>33</v>
      </c>
      <c r="AC432" t="s">
        <v>237</v>
      </c>
      <c r="AD432" t="s">
        <v>238</v>
      </c>
      <c r="AE432" t="s">
        <v>51</v>
      </c>
    </row>
    <row r="433" spans="1:31" x14ac:dyDescent="0.3">
      <c r="A433">
        <v>10228</v>
      </c>
      <c r="B433">
        <v>32</v>
      </c>
      <c r="C433">
        <v>100</v>
      </c>
      <c r="D433">
        <v>1</v>
      </c>
      <c r="E433" s="4" t="str">
        <f t="shared" si="36"/>
        <v>low sales</v>
      </c>
      <c r="F433">
        <v>3360</v>
      </c>
      <c r="G433" t="s">
        <v>1105</v>
      </c>
      <c r="H433" s="1" t="str">
        <f t="shared" si="37"/>
        <v>Shipped</v>
      </c>
      <c r="I433" s="4" t="str">
        <f t="shared" si="38"/>
        <v>completed</v>
      </c>
      <c r="J433" t="s">
        <v>25</v>
      </c>
      <c r="K433">
        <v>1</v>
      </c>
      <c r="L433">
        <v>3</v>
      </c>
      <c r="M433">
        <v>2004</v>
      </c>
      <c r="N433" t="s">
        <v>504</v>
      </c>
      <c r="O433">
        <v>116</v>
      </c>
      <c r="P433" t="s">
        <v>537</v>
      </c>
      <c r="Q433" t="s">
        <v>239</v>
      </c>
      <c r="R433">
        <v>6175555555</v>
      </c>
      <c r="S433" t="s">
        <v>240</v>
      </c>
      <c r="U433" s="1" t="str">
        <f t="shared" si="39"/>
        <v>Cambridge</v>
      </c>
      <c r="V433" t="s">
        <v>122</v>
      </c>
      <c r="W433" t="s">
        <v>123</v>
      </c>
      <c r="X433">
        <v>51247</v>
      </c>
      <c r="Y433" s="1" t="str">
        <f t="shared" si="40"/>
        <v>USA</v>
      </c>
      <c r="Z433" s="4" t="str">
        <f t="shared" si="41"/>
        <v>Usa</v>
      </c>
      <c r="AA433" t="s">
        <v>32</v>
      </c>
      <c r="AB433" t="s">
        <v>33</v>
      </c>
      <c r="AC433" t="s">
        <v>241</v>
      </c>
      <c r="AD433" t="s">
        <v>143</v>
      </c>
      <c r="AE433" t="s">
        <v>51</v>
      </c>
    </row>
    <row r="434" spans="1:31" x14ac:dyDescent="0.3">
      <c r="A434">
        <v>10245</v>
      </c>
      <c r="B434">
        <v>29</v>
      </c>
      <c r="C434">
        <v>100</v>
      </c>
      <c r="D434">
        <v>8</v>
      </c>
      <c r="E434" s="4" t="str">
        <f t="shared" si="36"/>
        <v>low sales</v>
      </c>
      <c r="F434">
        <v>3451</v>
      </c>
      <c r="G434" t="s">
        <v>1106</v>
      </c>
      <c r="H434" s="1" t="str">
        <f t="shared" si="37"/>
        <v>Shipped</v>
      </c>
      <c r="I434" s="4" t="str">
        <f t="shared" si="38"/>
        <v>completed</v>
      </c>
      <c r="J434" t="s">
        <v>25</v>
      </c>
      <c r="K434">
        <v>2</v>
      </c>
      <c r="L434">
        <v>5</v>
      </c>
      <c r="M434">
        <v>2004</v>
      </c>
      <c r="N434" t="s">
        <v>504</v>
      </c>
      <c r="O434">
        <v>116</v>
      </c>
      <c r="P434" t="s">
        <v>537</v>
      </c>
      <c r="Q434" t="s">
        <v>242</v>
      </c>
      <c r="R434">
        <v>2035559545</v>
      </c>
      <c r="S434" t="s">
        <v>243</v>
      </c>
      <c r="U434" s="1" t="str">
        <f t="shared" si="39"/>
        <v>New Haven</v>
      </c>
      <c r="V434" t="s">
        <v>244</v>
      </c>
      <c r="W434" t="s">
        <v>112</v>
      </c>
      <c r="X434">
        <v>97823</v>
      </c>
      <c r="Y434" s="1" t="str">
        <f t="shared" si="40"/>
        <v>USA</v>
      </c>
      <c r="Z434" s="4" t="str">
        <f t="shared" si="41"/>
        <v>Usa</v>
      </c>
      <c r="AA434" t="s">
        <v>32</v>
      </c>
      <c r="AB434" t="s">
        <v>33</v>
      </c>
      <c r="AC434" t="s">
        <v>83</v>
      </c>
      <c r="AD434" t="s">
        <v>245</v>
      </c>
      <c r="AE434" t="s">
        <v>51</v>
      </c>
    </row>
    <row r="435" spans="1:31" x14ac:dyDescent="0.3">
      <c r="A435">
        <v>10258</v>
      </c>
      <c r="B435">
        <v>41</v>
      </c>
      <c r="C435">
        <v>100</v>
      </c>
      <c r="D435">
        <v>5</v>
      </c>
      <c r="E435" s="4" t="str">
        <f t="shared" si="36"/>
        <v>high sales</v>
      </c>
      <c r="F435">
        <v>5453</v>
      </c>
      <c r="G435" t="s">
        <v>1107</v>
      </c>
      <c r="H435" s="1" t="str">
        <f t="shared" si="37"/>
        <v>Shipped</v>
      </c>
      <c r="I435" s="4" t="str">
        <f t="shared" si="38"/>
        <v>completed</v>
      </c>
      <c r="J435" t="s">
        <v>25</v>
      </c>
      <c r="K435">
        <v>2</v>
      </c>
      <c r="L435">
        <v>6</v>
      </c>
      <c r="M435">
        <v>2004</v>
      </c>
      <c r="N435" t="s">
        <v>504</v>
      </c>
      <c r="O435">
        <v>116</v>
      </c>
      <c r="P435" t="s">
        <v>537</v>
      </c>
      <c r="Q435" t="s">
        <v>246</v>
      </c>
      <c r="R435" t="s">
        <v>247</v>
      </c>
      <c r="S435" t="s">
        <v>248</v>
      </c>
      <c r="U435" s="1" t="str">
        <f t="shared" si="39"/>
        <v>Minato-Ku</v>
      </c>
      <c r="V435" t="s">
        <v>249</v>
      </c>
      <c r="W435" t="s">
        <v>250</v>
      </c>
      <c r="X435" t="s">
        <v>251</v>
      </c>
      <c r="Y435" s="1" t="str">
        <f t="shared" si="40"/>
        <v>JAPAN</v>
      </c>
      <c r="Z435" s="4" t="str">
        <f t="shared" si="41"/>
        <v>Japan</v>
      </c>
      <c r="AA435" t="s">
        <v>200</v>
      </c>
      <c r="AB435" t="s">
        <v>200</v>
      </c>
      <c r="AC435" t="s">
        <v>252</v>
      </c>
      <c r="AD435" t="s">
        <v>253</v>
      </c>
      <c r="AE435" t="s">
        <v>51</v>
      </c>
    </row>
    <row r="436" spans="1:31" x14ac:dyDescent="0.3">
      <c r="A436">
        <v>10270</v>
      </c>
      <c r="B436">
        <v>43</v>
      </c>
      <c r="C436">
        <v>96.84</v>
      </c>
      <c r="D436">
        <v>8</v>
      </c>
      <c r="E436" s="4" t="str">
        <f t="shared" si="36"/>
        <v>high sales</v>
      </c>
      <c r="F436">
        <v>4164.12</v>
      </c>
      <c r="G436" t="s">
        <v>1108</v>
      </c>
      <c r="H436" s="1" t="str">
        <f t="shared" si="37"/>
        <v>Shipped</v>
      </c>
      <c r="I436" s="4" t="str">
        <f t="shared" si="38"/>
        <v>completed</v>
      </c>
      <c r="J436" t="s">
        <v>25</v>
      </c>
      <c r="K436">
        <v>3</v>
      </c>
      <c r="L436">
        <v>7</v>
      </c>
      <c r="M436">
        <v>2004</v>
      </c>
      <c r="N436" t="s">
        <v>504</v>
      </c>
      <c r="O436">
        <v>116</v>
      </c>
      <c r="P436" t="s">
        <v>537</v>
      </c>
      <c r="Q436" t="s">
        <v>152</v>
      </c>
      <c r="R436" t="s">
        <v>153</v>
      </c>
      <c r="S436" t="s">
        <v>154</v>
      </c>
      <c r="T436" t="s">
        <v>155</v>
      </c>
      <c r="U436" s="1" t="str">
        <f t="shared" si="39"/>
        <v>Chatswood</v>
      </c>
      <c r="V436" t="s">
        <v>156</v>
      </c>
      <c r="W436" t="s">
        <v>157</v>
      </c>
      <c r="X436">
        <v>2067</v>
      </c>
      <c r="Y436" s="1" t="str">
        <f t="shared" si="40"/>
        <v>AUSTRALIA</v>
      </c>
      <c r="Z436" s="4" t="str">
        <f t="shared" si="41"/>
        <v>Australia</v>
      </c>
      <c r="AA436" t="s">
        <v>95</v>
      </c>
      <c r="AB436" t="s">
        <v>96</v>
      </c>
      <c r="AC436" t="s">
        <v>158</v>
      </c>
      <c r="AD436" t="s">
        <v>159</v>
      </c>
      <c r="AE436" t="s">
        <v>51</v>
      </c>
    </row>
    <row r="437" spans="1:31" x14ac:dyDescent="0.3">
      <c r="A437">
        <v>10280</v>
      </c>
      <c r="B437">
        <v>24</v>
      </c>
      <c r="C437">
        <v>100</v>
      </c>
      <c r="D437">
        <v>1</v>
      </c>
      <c r="E437" s="4" t="str">
        <f t="shared" si="36"/>
        <v>low sales</v>
      </c>
      <c r="F437">
        <v>2800.08</v>
      </c>
      <c r="G437" t="s">
        <v>1109</v>
      </c>
      <c r="H437" s="1" t="str">
        <f t="shared" si="37"/>
        <v>Shipped</v>
      </c>
      <c r="I437" s="4" t="str">
        <f t="shared" si="38"/>
        <v>completed</v>
      </c>
      <c r="J437" t="s">
        <v>25</v>
      </c>
      <c r="K437">
        <v>3</v>
      </c>
      <c r="L437">
        <v>8</v>
      </c>
      <c r="M437">
        <v>2004</v>
      </c>
      <c r="N437" t="s">
        <v>504</v>
      </c>
      <c r="O437">
        <v>116</v>
      </c>
      <c r="P437" t="s">
        <v>537</v>
      </c>
      <c r="Q437" t="s">
        <v>254</v>
      </c>
      <c r="R437" t="s">
        <v>255</v>
      </c>
      <c r="S437" t="s">
        <v>256</v>
      </c>
      <c r="U437" s="1" t="str">
        <f t="shared" si="39"/>
        <v>Torino</v>
      </c>
      <c r="V437" t="s">
        <v>257</v>
      </c>
      <c r="X437">
        <v>10100</v>
      </c>
      <c r="Y437" s="1" t="str">
        <f t="shared" si="40"/>
        <v>ITALY</v>
      </c>
      <c r="Z437" s="4" t="str">
        <f t="shared" si="41"/>
        <v>Italy</v>
      </c>
      <c r="AA437" t="s">
        <v>258</v>
      </c>
      <c r="AB437" t="s">
        <v>42</v>
      </c>
      <c r="AC437" t="s">
        <v>259</v>
      </c>
      <c r="AD437" t="s">
        <v>260</v>
      </c>
      <c r="AE437" t="s">
        <v>36</v>
      </c>
    </row>
    <row r="438" spans="1:31" x14ac:dyDescent="0.3">
      <c r="A438">
        <v>10291</v>
      </c>
      <c r="B438">
        <v>41</v>
      </c>
      <c r="C438">
        <v>100</v>
      </c>
      <c r="D438">
        <v>10</v>
      </c>
      <c r="E438" s="4" t="str">
        <f t="shared" si="36"/>
        <v>high sales</v>
      </c>
      <c r="F438">
        <v>4687.9399999999996</v>
      </c>
      <c r="G438" t="s">
        <v>1110</v>
      </c>
      <c r="H438" s="1" t="str">
        <f t="shared" si="37"/>
        <v>Shipped</v>
      </c>
      <c r="I438" s="4" t="str">
        <f t="shared" si="38"/>
        <v>completed</v>
      </c>
      <c r="J438" t="s">
        <v>25</v>
      </c>
      <c r="K438">
        <v>3</v>
      </c>
      <c r="L438">
        <v>9</v>
      </c>
      <c r="M438">
        <v>2004</v>
      </c>
      <c r="N438" t="s">
        <v>504</v>
      </c>
      <c r="O438">
        <v>116</v>
      </c>
      <c r="P438" t="s">
        <v>537</v>
      </c>
      <c r="Q438" t="s">
        <v>261</v>
      </c>
      <c r="R438" t="s">
        <v>262</v>
      </c>
      <c r="S438" t="s">
        <v>263</v>
      </c>
      <c r="U438" s="1" t="str">
        <f t="shared" si="39"/>
        <v>Boras</v>
      </c>
      <c r="V438" t="s">
        <v>264</v>
      </c>
      <c r="X438" t="s">
        <v>265</v>
      </c>
      <c r="Y438" s="1" t="str">
        <f t="shared" si="40"/>
        <v>SWEDEN</v>
      </c>
      <c r="Z438" s="4" t="str">
        <f t="shared" si="41"/>
        <v>Sweden</v>
      </c>
      <c r="AA438" t="s">
        <v>188</v>
      </c>
      <c r="AB438" t="s">
        <v>42</v>
      </c>
      <c r="AC438" t="s">
        <v>266</v>
      </c>
      <c r="AD438" t="s">
        <v>206</v>
      </c>
      <c r="AE438" t="s">
        <v>51</v>
      </c>
    </row>
    <row r="439" spans="1:31" x14ac:dyDescent="0.3">
      <c r="A439">
        <v>10304</v>
      </c>
      <c r="B439">
        <v>46</v>
      </c>
      <c r="C439">
        <v>98</v>
      </c>
      <c r="D439">
        <v>5</v>
      </c>
      <c r="E439" s="4" t="str">
        <f t="shared" si="36"/>
        <v>high sales</v>
      </c>
      <c r="F439">
        <v>4508</v>
      </c>
      <c r="G439" t="s">
        <v>1111</v>
      </c>
      <c r="H439" s="1" t="str">
        <f t="shared" si="37"/>
        <v>Shipped</v>
      </c>
      <c r="I439" s="4" t="str">
        <f t="shared" si="38"/>
        <v>completed</v>
      </c>
      <c r="J439" t="s">
        <v>25</v>
      </c>
      <c r="K439">
        <v>4</v>
      </c>
      <c r="L439">
        <v>10</v>
      </c>
      <c r="M439">
        <v>2004</v>
      </c>
      <c r="N439" t="s">
        <v>504</v>
      </c>
      <c r="O439">
        <v>116</v>
      </c>
      <c r="P439" t="s">
        <v>537</v>
      </c>
      <c r="Q439" t="s">
        <v>267</v>
      </c>
      <c r="R439" t="s">
        <v>268</v>
      </c>
      <c r="S439" t="s">
        <v>269</v>
      </c>
      <c r="U439" s="1" t="str">
        <f t="shared" si="39"/>
        <v>Versailles</v>
      </c>
      <c r="V439" t="s">
        <v>270</v>
      </c>
      <c r="X439">
        <v>78000</v>
      </c>
      <c r="Y439" s="1" t="str">
        <f t="shared" si="40"/>
        <v>FRANCE</v>
      </c>
      <c r="Z439" s="4" t="str">
        <f t="shared" si="41"/>
        <v>France</v>
      </c>
      <c r="AA439" t="s">
        <v>41</v>
      </c>
      <c r="AB439" t="s">
        <v>42</v>
      </c>
      <c r="AC439" t="s">
        <v>271</v>
      </c>
      <c r="AD439" t="s">
        <v>50</v>
      </c>
      <c r="AE439" t="s">
        <v>51</v>
      </c>
    </row>
    <row r="440" spans="1:31" x14ac:dyDescent="0.3">
      <c r="A440">
        <v>10312</v>
      </c>
      <c r="B440">
        <v>32</v>
      </c>
      <c r="C440">
        <v>100</v>
      </c>
      <c r="D440">
        <v>2</v>
      </c>
      <c r="E440" s="4" t="str">
        <f t="shared" si="36"/>
        <v>high sales</v>
      </c>
      <c r="F440">
        <v>4181.4399999999996</v>
      </c>
      <c r="G440" t="s">
        <v>1112</v>
      </c>
      <c r="H440" s="1" t="str">
        <f t="shared" si="37"/>
        <v>Shipped</v>
      </c>
      <c r="I440" s="4" t="str">
        <f t="shared" si="38"/>
        <v>completed</v>
      </c>
      <c r="J440" t="s">
        <v>25</v>
      </c>
      <c r="K440">
        <v>4</v>
      </c>
      <c r="L440">
        <v>10</v>
      </c>
      <c r="M440">
        <v>2004</v>
      </c>
      <c r="N440" t="s">
        <v>504</v>
      </c>
      <c r="O440">
        <v>116</v>
      </c>
      <c r="P440" t="s">
        <v>537</v>
      </c>
      <c r="Q440" t="s">
        <v>272</v>
      </c>
      <c r="R440">
        <v>4155551450</v>
      </c>
      <c r="S440" t="s">
        <v>273</v>
      </c>
      <c r="U440" s="1" t="str">
        <f t="shared" si="39"/>
        <v>San Rafael</v>
      </c>
      <c r="V440" t="s">
        <v>274</v>
      </c>
      <c r="W440" t="s">
        <v>55</v>
      </c>
      <c r="X440">
        <v>97562</v>
      </c>
      <c r="Y440" s="1" t="str">
        <f t="shared" si="40"/>
        <v>USA</v>
      </c>
      <c r="Z440" s="4" t="str">
        <f t="shared" si="41"/>
        <v>Usa</v>
      </c>
      <c r="AA440" t="s">
        <v>32</v>
      </c>
      <c r="AB440" t="s">
        <v>33</v>
      </c>
      <c r="AC440" t="s">
        <v>275</v>
      </c>
      <c r="AD440" t="s">
        <v>276</v>
      </c>
      <c r="AE440" t="s">
        <v>51</v>
      </c>
    </row>
    <row r="441" spans="1:31" x14ac:dyDescent="0.3">
      <c r="A441">
        <v>10322</v>
      </c>
      <c r="B441">
        <v>22</v>
      </c>
      <c r="C441">
        <v>100</v>
      </c>
      <c r="D441">
        <v>10</v>
      </c>
      <c r="E441" s="4" t="str">
        <f t="shared" si="36"/>
        <v>low sales</v>
      </c>
      <c r="F441">
        <v>2251.04</v>
      </c>
      <c r="G441" t="s">
        <v>1113</v>
      </c>
      <c r="H441" s="1" t="str">
        <f t="shared" si="37"/>
        <v>Shipped</v>
      </c>
      <c r="I441" s="4" t="str">
        <f t="shared" si="38"/>
        <v>completed</v>
      </c>
      <c r="J441" t="s">
        <v>25</v>
      </c>
      <c r="K441">
        <v>4</v>
      </c>
      <c r="L441">
        <v>11</v>
      </c>
      <c r="M441">
        <v>2004</v>
      </c>
      <c r="N441" t="s">
        <v>504</v>
      </c>
      <c r="O441">
        <v>116</v>
      </c>
      <c r="P441" t="s">
        <v>537</v>
      </c>
      <c r="Q441" t="s">
        <v>277</v>
      </c>
      <c r="R441">
        <v>6035558647</v>
      </c>
      <c r="S441" t="s">
        <v>278</v>
      </c>
      <c r="U441" s="1" t="str">
        <f t="shared" si="39"/>
        <v>Nashua</v>
      </c>
      <c r="V441" t="s">
        <v>279</v>
      </c>
      <c r="W441" t="s">
        <v>280</v>
      </c>
      <c r="X441">
        <v>62005</v>
      </c>
      <c r="Y441" s="1" t="str">
        <f t="shared" si="40"/>
        <v>USA</v>
      </c>
      <c r="Z441" s="4" t="str">
        <f t="shared" si="41"/>
        <v>Usa</v>
      </c>
      <c r="AA441" t="s">
        <v>32</v>
      </c>
      <c r="AB441" t="s">
        <v>33</v>
      </c>
      <c r="AC441" t="s">
        <v>56</v>
      </c>
      <c r="AD441" t="s">
        <v>276</v>
      </c>
      <c r="AE441" t="s">
        <v>36</v>
      </c>
    </row>
    <row r="442" spans="1:31" x14ac:dyDescent="0.3">
      <c r="A442">
        <v>10333</v>
      </c>
      <c r="B442">
        <v>29</v>
      </c>
      <c r="C442">
        <v>40.25</v>
      </c>
      <c r="D442">
        <v>7</v>
      </c>
      <c r="E442" s="4" t="str">
        <f t="shared" si="36"/>
        <v>low sales</v>
      </c>
      <c r="F442">
        <v>1167.25</v>
      </c>
      <c r="G442" t="s">
        <v>1114</v>
      </c>
      <c r="H442" s="1" t="str">
        <f t="shared" si="37"/>
        <v>Shipped</v>
      </c>
      <c r="I442" s="4" t="str">
        <f t="shared" si="38"/>
        <v>completed</v>
      </c>
      <c r="J442" t="s">
        <v>25</v>
      </c>
      <c r="K442">
        <v>4</v>
      </c>
      <c r="L442">
        <v>11</v>
      </c>
      <c r="M442">
        <v>2004</v>
      </c>
      <c r="N442" t="s">
        <v>504</v>
      </c>
      <c r="O442">
        <v>116</v>
      </c>
      <c r="P442" t="s">
        <v>537</v>
      </c>
      <c r="Q442" t="s">
        <v>81</v>
      </c>
      <c r="R442">
        <v>6505555787</v>
      </c>
      <c r="S442" t="s">
        <v>82</v>
      </c>
      <c r="U442" s="1" t="str">
        <f t="shared" si="39"/>
        <v>San Francisco</v>
      </c>
      <c r="V442" t="s">
        <v>60</v>
      </c>
      <c r="W442" t="s">
        <v>55</v>
      </c>
      <c r="Y442" s="1" t="str">
        <f t="shared" si="40"/>
        <v>USA</v>
      </c>
      <c r="Z442" s="4" t="str">
        <f t="shared" si="41"/>
        <v>Usa</v>
      </c>
      <c r="AA442" t="s">
        <v>32</v>
      </c>
      <c r="AB442" t="s">
        <v>33</v>
      </c>
      <c r="AC442" t="s">
        <v>83</v>
      </c>
      <c r="AD442" t="s">
        <v>57</v>
      </c>
      <c r="AE442" t="s">
        <v>36</v>
      </c>
    </row>
    <row r="443" spans="1:31" x14ac:dyDescent="0.3">
      <c r="A443">
        <v>10347</v>
      </c>
      <c r="B443">
        <v>42</v>
      </c>
      <c r="C443">
        <v>49.6</v>
      </c>
      <c r="D443">
        <v>5</v>
      </c>
      <c r="E443" s="4" t="str">
        <f t="shared" si="36"/>
        <v>low sales</v>
      </c>
      <c r="F443">
        <v>2083.1999999999998</v>
      </c>
      <c r="G443" t="s">
        <v>1115</v>
      </c>
      <c r="H443" s="1" t="str">
        <f t="shared" si="37"/>
        <v>Shipped</v>
      </c>
      <c r="I443" s="4" t="str">
        <f t="shared" si="38"/>
        <v>completed</v>
      </c>
      <c r="J443" t="s">
        <v>25</v>
      </c>
      <c r="K443">
        <v>4</v>
      </c>
      <c r="L443">
        <v>11</v>
      </c>
      <c r="M443">
        <v>2004</v>
      </c>
      <c r="N443" t="s">
        <v>504</v>
      </c>
      <c r="O443">
        <v>116</v>
      </c>
      <c r="P443" t="s">
        <v>537</v>
      </c>
      <c r="Q443" t="s">
        <v>89</v>
      </c>
      <c r="R443" t="s">
        <v>90</v>
      </c>
      <c r="S443" t="s">
        <v>91</v>
      </c>
      <c r="T443" t="s">
        <v>92</v>
      </c>
      <c r="U443" s="1" t="str">
        <f t="shared" si="39"/>
        <v>Melbourne</v>
      </c>
      <c r="V443" t="s">
        <v>93</v>
      </c>
      <c r="W443" t="s">
        <v>94</v>
      </c>
      <c r="X443">
        <v>3004</v>
      </c>
      <c r="Y443" s="1" t="str">
        <f t="shared" si="40"/>
        <v>AUSTRALIA</v>
      </c>
      <c r="Z443" s="4" t="str">
        <f t="shared" si="41"/>
        <v>Australia</v>
      </c>
      <c r="AA443" t="s">
        <v>95</v>
      </c>
      <c r="AB443" t="s">
        <v>96</v>
      </c>
      <c r="AC443" t="s">
        <v>97</v>
      </c>
      <c r="AD443" t="s">
        <v>98</v>
      </c>
      <c r="AE443" t="s">
        <v>36</v>
      </c>
    </row>
    <row r="444" spans="1:31" x14ac:dyDescent="0.3">
      <c r="A444">
        <v>10357</v>
      </c>
      <c r="B444">
        <v>39</v>
      </c>
      <c r="C444">
        <v>98</v>
      </c>
      <c r="D444">
        <v>1</v>
      </c>
      <c r="E444" s="4" t="str">
        <f t="shared" si="36"/>
        <v>low sales</v>
      </c>
      <c r="F444">
        <v>3822</v>
      </c>
      <c r="G444" t="s">
        <v>1116</v>
      </c>
      <c r="H444" s="1" t="str">
        <f t="shared" si="37"/>
        <v>Shipped</v>
      </c>
      <c r="I444" s="4" t="str">
        <f t="shared" si="38"/>
        <v>completed</v>
      </c>
      <c r="J444" t="s">
        <v>25</v>
      </c>
      <c r="K444">
        <v>4</v>
      </c>
      <c r="L444">
        <v>12</v>
      </c>
      <c r="M444">
        <v>2004</v>
      </c>
      <c r="N444" t="s">
        <v>504</v>
      </c>
      <c r="O444">
        <v>116</v>
      </c>
      <c r="P444" t="s">
        <v>537</v>
      </c>
      <c r="Q444" t="s">
        <v>272</v>
      </c>
      <c r="R444">
        <v>4155551450</v>
      </c>
      <c r="S444" t="s">
        <v>273</v>
      </c>
      <c r="U444" s="1" t="str">
        <f t="shared" si="39"/>
        <v>San Rafael</v>
      </c>
      <c r="V444" t="s">
        <v>274</v>
      </c>
      <c r="W444" t="s">
        <v>55</v>
      </c>
      <c r="X444">
        <v>97562</v>
      </c>
      <c r="Y444" s="1" t="str">
        <f t="shared" si="40"/>
        <v>USA</v>
      </c>
      <c r="Z444" s="4" t="str">
        <f t="shared" si="41"/>
        <v>Usa</v>
      </c>
      <c r="AA444" t="s">
        <v>32</v>
      </c>
      <c r="AB444" t="s">
        <v>33</v>
      </c>
      <c r="AC444" t="s">
        <v>275</v>
      </c>
      <c r="AD444" t="s">
        <v>276</v>
      </c>
      <c r="AE444" t="s">
        <v>51</v>
      </c>
    </row>
    <row r="445" spans="1:31" x14ac:dyDescent="0.3">
      <c r="A445">
        <v>10370</v>
      </c>
      <c r="B445">
        <v>27</v>
      </c>
      <c r="C445">
        <v>100</v>
      </c>
      <c r="D445">
        <v>1</v>
      </c>
      <c r="E445" s="4" t="str">
        <f t="shared" si="36"/>
        <v>low sales</v>
      </c>
      <c r="F445">
        <v>3911.49</v>
      </c>
      <c r="G445" t="s">
        <v>1117</v>
      </c>
      <c r="H445" s="1" t="str">
        <f t="shared" si="37"/>
        <v>Shipped</v>
      </c>
      <c r="I445" s="4" t="str">
        <f t="shared" si="38"/>
        <v>completed</v>
      </c>
      <c r="J445" t="s">
        <v>25</v>
      </c>
      <c r="K445">
        <v>1</v>
      </c>
      <c r="L445">
        <v>1</v>
      </c>
      <c r="M445">
        <v>2005</v>
      </c>
      <c r="N445" t="s">
        <v>504</v>
      </c>
      <c r="O445">
        <v>116</v>
      </c>
      <c r="P445" t="s">
        <v>537</v>
      </c>
      <c r="Q445" t="s">
        <v>285</v>
      </c>
      <c r="R445" t="s">
        <v>286</v>
      </c>
      <c r="S445" t="s">
        <v>287</v>
      </c>
      <c r="T445" t="s">
        <v>288</v>
      </c>
      <c r="U445" s="1" t="str">
        <f t="shared" si="39"/>
        <v>North Sydney</v>
      </c>
      <c r="V445" t="s">
        <v>289</v>
      </c>
      <c r="W445" t="s">
        <v>157</v>
      </c>
      <c r="X445">
        <v>2060</v>
      </c>
      <c r="Y445" s="1" t="str">
        <f t="shared" si="40"/>
        <v>AUSTRALIA</v>
      </c>
      <c r="Z445" s="4" t="str">
        <f t="shared" si="41"/>
        <v>Australia</v>
      </c>
      <c r="AA445" t="s">
        <v>95</v>
      </c>
      <c r="AB445" t="s">
        <v>96</v>
      </c>
      <c r="AC445" t="s">
        <v>290</v>
      </c>
      <c r="AD445" t="s">
        <v>291</v>
      </c>
      <c r="AE445" t="s">
        <v>51</v>
      </c>
    </row>
    <row r="446" spans="1:31" x14ac:dyDescent="0.3">
      <c r="A446">
        <v>10381</v>
      </c>
      <c r="B446">
        <v>48</v>
      </c>
      <c r="C446">
        <v>98</v>
      </c>
      <c r="D446">
        <v>2</v>
      </c>
      <c r="E446" s="4" t="str">
        <f t="shared" si="36"/>
        <v>high sales</v>
      </c>
      <c r="F446">
        <v>4704</v>
      </c>
      <c r="G446" t="s">
        <v>1118</v>
      </c>
      <c r="H446" s="1" t="str">
        <f t="shared" si="37"/>
        <v>Shipped</v>
      </c>
      <c r="I446" s="4" t="str">
        <f t="shared" si="38"/>
        <v>completed</v>
      </c>
      <c r="J446" t="s">
        <v>25</v>
      </c>
      <c r="K446">
        <v>1</v>
      </c>
      <c r="L446">
        <v>2</v>
      </c>
      <c r="M446">
        <v>2005</v>
      </c>
      <c r="N446" t="s">
        <v>504</v>
      </c>
      <c r="O446">
        <v>116</v>
      </c>
      <c r="P446" t="s">
        <v>537</v>
      </c>
      <c r="Q446" t="s">
        <v>58</v>
      </c>
      <c r="R446">
        <v>6505551386</v>
      </c>
      <c r="S446" t="s">
        <v>59</v>
      </c>
      <c r="U446" s="1" t="str">
        <f t="shared" si="39"/>
        <v>San Francisco</v>
      </c>
      <c r="V446" t="s">
        <v>60</v>
      </c>
      <c r="W446" t="s">
        <v>55</v>
      </c>
      <c r="Y446" s="1" t="str">
        <f t="shared" si="40"/>
        <v>USA</v>
      </c>
      <c r="Z446" s="4" t="str">
        <f t="shared" si="41"/>
        <v>Usa</v>
      </c>
      <c r="AA446" t="s">
        <v>32</v>
      </c>
      <c r="AB446" t="s">
        <v>33</v>
      </c>
      <c r="AC446" t="s">
        <v>61</v>
      </c>
      <c r="AD446" t="s">
        <v>57</v>
      </c>
      <c r="AE446" t="s">
        <v>51</v>
      </c>
    </row>
    <row r="447" spans="1:31" x14ac:dyDescent="0.3">
      <c r="A447">
        <v>10391</v>
      </c>
      <c r="B447">
        <v>29</v>
      </c>
      <c r="C447">
        <v>85.1</v>
      </c>
      <c r="D447">
        <v>10</v>
      </c>
      <c r="E447" s="4" t="str">
        <f t="shared" si="36"/>
        <v>low sales</v>
      </c>
      <c r="F447">
        <v>2467.9</v>
      </c>
      <c r="G447" t="s">
        <v>1119</v>
      </c>
      <c r="H447" s="1" t="str">
        <f t="shared" si="37"/>
        <v>Shipped</v>
      </c>
      <c r="I447" s="4" t="str">
        <f t="shared" si="38"/>
        <v>completed</v>
      </c>
      <c r="J447" t="s">
        <v>25</v>
      </c>
      <c r="K447">
        <v>1</v>
      </c>
      <c r="L447">
        <v>3</v>
      </c>
      <c r="M447">
        <v>2005</v>
      </c>
      <c r="N447" t="s">
        <v>504</v>
      </c>
      <c r="O447">
        <v>116</v>
      </c>
      <c r="P447" t="s">
        <v>537</v>
      </c>
      <c r="Q447" t="s">
        <v>285</v>
      </c>
      <c r="R447" t="s">
        <v>286</v>
      </c>
      <c r="S447" t="s">
        <v>287</v>
      </c>
      <c r="T447" t="s">
        <v>288</v>
      </c>
      <c r="U447" s="1" t="str">
        <f t="shared" si="39"/>
        <v>North Sydney</v>
      </c>
      <c r="V447" t="s">
        <v>289</v>
      </c>
      <c r="W447" t="s">
        <v>157</v>
      </c>
      <c r="X447">
        <v>2060</v>
      </c>
      <c r="Y447" s="1" t="str">
        <f t="shared" si="40"/>
        <v>AUSTRALIA</v>
      </c>
      <c r="Z447" s="4" t="str">
        <f t="shared" si="41"/>
        <v>Australia</v>
      </c>
      <c r="AA447" t="s">
        <v>95</v>
      </c>
      <c r="AB447" t="s">
        <v>96</v>
      </c>
      <c r="AC447" t="s">
        <v>290</v>
      </c>
      <c r="AD447" t="s">
        <v>291</v>
      </c>
      <c r="AE447" t="s">
        <v>36</v>
      </c>
    </row>
    <row r="448" spans="1:31" x14ac:dyDescent="0.3">
      <c r="A448">
        <v>10411</v>
      </c>
      <c r="B448">
        <v>27</v>
      </c>
      <c r="C448">
        <v>100</v>
      </c>
      <c r="D448">
        <v>8</v>
      </c>
      <c r="E448" s="4" t="str">
        <f t="shared" si="36"/>
        <v>low sales</v>
      </c>
      <c r="F448">
        <v>3213</v>
      </c>
      <c r="G448" t="s">
        <v>1120</v>
      </c>
      <c r="H448" s="1" t="str">
        <f t="shared" si="37"/>
        <v>Shipped</v>
      </c>
      <c r="I448" s="4" t="str">
        <f t="shared" si="38"/>
        <v>completed</v>
      </c>
      <c r="J448" t="s">
        <v>25</v>
      </c>
      <c r="K448">
        <v>2</v>
      </c>
      <c r="L448">
        <v>5</v>
      </c>
      <c r="M448">
        <v>2005</v>
      </c>
      <c r="N448" t="s">
        <v>504</v>
      </c>
      <c r="O448">
        <v>116</v>
      </c>
      <c r="P448" t="s">
        <v>537</v>
      </c>
      <c r="Q448" t="s">
        <v>292</v>
      </c>
      <c r="R448" t="s">
        <v>293</v>
      </c>
      <c r="S448" t="s">
        <v>294</v>
      </c>
      <c r="U448" s="1" t="str">
        <f t="shared" si="39"/>
        <v>Montreal</v>
      </c>
      <c r="V448" t="s">
        <v>295</v>
      </c>
      <c r="W448" t="s">
        <v>296</v>
      </c>
      <c r="X448" t="s">
        <v>297</v>
      </c>
      <c r="Y448" s="1" t="str">
        <f t="shared" si="40"/>
        <v>CANADA</v>
      </c>
      <c r="Z448" s="4" t="str">
        <f t="shared" si="41"/>
        <v>Canada</v>
      </c>
      <c r="AA448" t="s">
        <v>231</v>
      </c>
      <c r="AB448" t="s">
        <v>33</v>
      </c>
      <c r="AC448" t="s">
        <v>298</v>
      </c>
      <c r="AD448" t="s">
        <v>299</v>
      </c>
      <c r="AE448" t="s">
        <v>51</v>
      </c>
    </row>
    <row r="449" spans="1:31" x14ac:dyDescent="0.3">
      <c r="A449">
        <v>10424</v>
      </c>
      <c r="B449">
        <v>54</v>
      </c>
      <c r="C449">
        <v>100</v>
      </c>
      <c r="D449">
        <v>5</v>
      </c>
      <c r="E449" s="4" t="str">
        <f t="shared" si="36"/>
        <v>high sales</v>
      </c>
      <c r="F449">
        <v>7182</v>
      </c>
      <c r="G449" t="s">
        <v>1121</v>
      </c>
      <c r="H449" s="1" t="str">
        <f t="shared" si="37"/>
        <v>In Process</v>
      </c>
      <c r="I449" s="4" t="str">
        <f t="shared" si="38"/>
        <v>not completed</v>
      </c>
      <c r="J449" t="s">
        <v>300</v>
      </c>
      <c r="K449">
        <v>2</v>
      </c>
      <c r="L449">
        <v>5</v>
      </c>
      <c r="M449">
        <v>2005</v>
      </c>
      <c r="N449" t="s">
        <v>504</v>
      </c>
      <c r="O449">
        <v>116</v>
      </c>
      <c r="P449" t="s">
        <v>537</v>
      </c>
      <c r="Q449" t="s">
        <v>174</v>
      </c>
      <c r="R449" t="s">
        <v>175</v>
      </c>
      <c r="S449" t="s">
        <v>176</v>
      </c>
      <c r="U449" s="1" t="str">
        <f t="shared" si="39"/>
        <v>Madrid</v>
      </c>
      <c r="V449" t="s">
        <v>177</v>
      </c>
      <c r="X449">
        <v>28034</v>
      </c>
      <c r="Y449" s="1" t="str">
        <f t="shared" si="40"/>
        <v>SPAIN</v>
      </c>
      <c r="Z449" s="4" t="str">
        <f t="shared" si="41"/>
        <v>Spain</v>
      </c>
      <c r="AA449" t="s">
        <v>178</v>
      </c>
      <c r="AB449" t="s">
        <v>42</v>
      </c>
      <c r="AC449" t="s">
        <v>179</v>
      </c>
      <c r="AD449" t="s">
        <v>180</v>
      </c>
      <c r="AE449" t="s">
        <v>151</v>
      </c>
    </row>
    <row r="450" spans="1:31" x14ac:dyDescent="0.3">
      <c r="A450">
        <v>10109</v>
      </c>
      <c r="B450">
        <v>26</v>
      </c>
      <c r="C450">
        <v>100</v>
      </c>
      <c r="D450">
        <v>4</v>
      </c>
      <c r="E450" s="4" t="str">
        <f t="shared" si="36"/>
        <v>high sales</v>
      </c>
      <c r="F450">
        <v>4379.18</v>
      </c>
      <c r="G450" t="s">
        <v>1122</v>
      </c>
      <c r="H450" s="1" t="str">
        <f t="shared" si="37"/>
        <v>Shipped</v>
      </c>
      <c r="I450" s="4" t="str">
        <f t="shared" si="38"/>
        <v>completed</v>
      </c>
      <c r="J450" t="s">
        <v>25</v>
      </c>
      <c r="K450">
        <v>1</v>
      </c>
      <c r="L450">
        <v>3</v>
      </c>
      <c r="M450">
        <v>2003</v>
      </c>
      <c r="N450" t="s">
        <v>181</v>
      </c>
      <c r="O450">
        <v>141</v>
      </c>
      <c r="P450" t="s">
        <v>538</v>
      </c>
      <c r="Q450" t="s">
        <v>309</v>
      </c>
      <c r="R450">
        <v>2155559857</v>
      </c>
      <c r="S450" t="s">
        <v>310</v>
      </c>
      <c r="U450" s="1" t="str">
        <f t="shared" si="39"/>
        <v>Philadelphia</v>
      </c>
      <c r="V450" t="s">
        <v>216</v>
      </c>
      <c r="W450" t="s">
        <v>142</v>
      </c>
      <c r="X450">
        <v>71270</v>
      </c>
      <c r="Y450" s="1" t="str">
        <f t="shared" si="40"/>
        <v>USA</v>
      </c>
      <c r="Z450" s="4" t="str">
        <f t="shared" si="41"/>
        <v>Usa</v>
      </c>
      <c r="AA450" t="s">
        <v>32</v>
      </c>
      <c r="AB450" t="s">
        <v>33</v>
      </c>
      <c r="AC450" t="s">
        <v>124</v>
      </c>
      <c r="AD450" t="s">
        <v>311</v>
      </c>
      <c r="AE450" t="s">
        <v>51</v>
      </c>
    </row>
    <row r="451" spans="1:31" x14ac:dyDescent="0.3">
      <c r="A451">
        <v>10122</v>
      </c>
      <c r="B451">
        <v>34</v>
      </c>
      <c r="C451">
        <v>100</v>
      </c>
      <c r="D451">
        <v>2</v>
      </c>
      <c r="E451" s="4" t="str">
        <f t="shared" ref="E451:E514" si="42">IF(F451&gt;4000,"high sales","low sales")</f>
        <v>high sales</v>
      </c>
      <c r="F451">
        <v>5004.8</v>
      </c>
      <c r="G451" t="s">
        <v>1123</v>
      </c>
      <c r="H451" s="1" t="str">
        <f t="shared" ref="H451:H514" si="43">PROPER(TRIM(J451))</f>
        <v>Shipped</v>
      </c>
      <c r="I451" s="4" t="str">
        <f t="shared" ref="I451:I514" si="44">IF(J451="shipped","completed","not completed")</f>
        <v>completed</v>
      </c>
      <c r="J451" t="s">
        <v>25</v>
      </c>
      <c r="K451">
        <v>2</v>
      </c>
      <c r="L451">
        <v>5</v>
      </c>
      <c r="M451">
        <v>2003</v>
      </c>
      <c r="N451" t="s">
        <v>181</v>
      </c>
      <c r="O451">
        <v>141</v>
      </c>
      <c r="P451" t="s">
        <v>538</v>
      </c>
      <c r="Q451" t="s">
        <v>433</v>
      </c>
      <c r="R451" t="s">
        <v>434</v>
      </c>
      <c r="S451" t="s">
        <v>435</v>
      </c>
      <c r="U451" s="1" t="str">
        <f t="shared" ref="U451:U514" si="45">PROPER(TRIM(V451))</f>
        <v>Marseille</v>
      </c>
      <c r="V451" t="s">
        <v>436</v>
      </c>
      <c r="X451">
        <v>13008</v>
      </c>
      <c r="Y451" s="1" t="str">
        <f t="shared" ref="Y451:Y514" si="46">UPPER(TRIM(AA451))</f>
        <v>FRANCE</v>
      </c>
      <c r="Z451" s="4" t="str">
        <f t="shared" ref="Z451:Z514" si="47">PROPER(TRIM(AA451))</f>
        <v>France</v>
      </c>
      <c r="AA451" t="s">
        <v>41</v>
      </c>
      <c r="AB451" t="s">
        <v>42</v>
      </c>
      <c r="AC451" t="s">
        <v>437</v>
      </c>
      <c r="AD451" t="s">
        <v>438</v>
      </c>
      <c r="AE451" t="s">
        <v>51</v>
      </c>
    </row>
    <row r="452" spans="1:31" x14ac:dyDescent="0.3">
      <c r="A452">
        <v>10136</v>
      </c>
      <c r="B452">
        <v>25</v>
      </c>
      <c r="C452">
        <v>100</v>
      </c>
      <c r="D452">
        <v>2</v>
      </c>
      <c r="E452" s="4" t="str">
        <f t="shared" si="42"/>
        <v>low sales</v>
      </c>
      <c r="F452">
        <v>3644.75</v>
      </c>
      <c r="G452" t="s">
        <v>1124</v>
      </c>
      <c r="H452" s="1" t="str">
        <f t="shared" si="43"/>
        <v>Shipped</v>
      </c>
      <c r="I452" s="4" t="str">
        <f t="shared" si="44"/>
        <v>completed</v>
      </c>
      <c r="J452" t="s">
        <v>25</v>
      </c>
      <c r="K452">
        <v>3</v>
      </c>
      <c r="L452">
        <v>7</v>
      </c>
      <c r="M452">
        <v>2003</v>
      </c>
      <c r="N452" t="s">
        <v>181</v>
      </c>
      <c r="O452">
        <v>141</v>
      </c>
      <c r="P452" t="s">
        <v>538</v>
      </c>
      <c r="Q452" t="s">
        <v>340</v>
      </c>
      <c r="R452" t="s">
        <v>341</v>
      </c>
      <c r="S452" t="s">
        <v>342</v>
      </c>
      <c r="U452" s="1" t="str">
        <f t="shared" si="45"/>
        <v>Toulouse</v>
      </c>
      <c r="V452" t="s">
        <v>343</v>
      </c>
      <c r="X452">
        <v>31000</v>
      </c>
      <c r="Y452" s="1" t="str">
        <f t="shared" si="46"/>
        <v>FRANCE</v>
      </c>
      <c r="Z452" s="4" t="str">
        <f t="shared" si="47"/>
        <v>France</v>
      </c>
      <c r="AA452" t="s">
        <v>41</v>
      </c>
      <c r="AB452" t="s">
        <v>42</v>
      </c>
      <c r="AC452" t="s">
        <v>344</v>
      </c>
      <c r="AD452" t="s">
        <v>345</v>
      </c>
      <c r="AE452" t="s">
        <v>51</v>
      </c>
    </row>
    <row r="453" spans="1:31" x14ac:dyDescent="0.3">
      <c r="A453">
        <v>10148</v>
      </c>
      <c r="B453">
        <v>23</v>
      </c>
      <c r="C453">
        <v>100</v>
      </c>
      <c r="D453">
        <v>13</v>
      </c>
      <c r="E453" s="4" t="str">
        <f t="shared" si="42"/>
        <v>low sales</v>
      </c>
      <c r="F453">
        <v>2702.04</v>
      </c>
      <c r="G453" t="s">
        <v>1125</v>
      </c>
      <c r="H453" s="1" t="str">
        <f t="shared" si="43"/>
        <v>Shipped</v>
      </c>
      <c r="I453" s="4" t="str">
        <f t="shared" si="44"/>
        <v>completed</v>
      </c>
      <c r="J453" t="s">
        <v>25</v>
      </c>
      <c r="K453">
        <v>3</v>
      </c>
      <c r="L453">
        <v>9</v>
      </c>
      <c r="M453">
        <v>2003</v>
      </c>
      <c r="N453" t="s">
        <v>181</v>
      </c>
      <c r="O453">
        <v>141</v>
      </c>
      <c r="P453" t="s">
        <v>538</v>
      </c>
      <c r="Q453" t="s">
        <v>285</v>
      </c>
      <c r="R453" t="s">
        <v>286</v>
      </c>
      <c r="S453" t="s">
        <v>287</v>
      </c>
      <c r="T453" t="s">
        <v>288</v>
      </c>
      <c r="U453" s="1" t="str">
        <f t="shared" si="45"/>
        <v>North Sydney</v>
      </c>
      <c r="V453" t="s">
        <v>289</v>
      </c>
      <c r="W453" t="s">
        <v>157</v>
      </c>
      <c r="X453">
        <v>2060</v>
      </c>
      <c r="Y453" s="1" t="str">
        <f t="shared" si="46"/>
        <v>AUSTRALIA</v>
      </c>
      <c r="Z453" s="4" t="str">
        <f t="shared" si="47"/>
        <v>Australia</v>
      </c>
      <c r="AA453" t="s">
        <v>95</v>
      </c>
      <c r="AB453" t="s">
        <v>96</v>
      </c>
      <c r="AC453" t="s">
        <v>290</v>
      </c>
      <c r="AD453" t="s">
        <v>291</v>
      </c>
      <c r="AE453" t="s">
        <v>36</v>
      </c>
    </row>
    <row r="454" spans="1:31" x14ac:dyDescent="0.3">
      <c r="A454">
        <v>10161</v>
      </c>
      <c r="B454">
        <v>28</v>
      </c>
      <c r="C454">
        <v>100</v>
      </c>
      <c r="D454">
        <v>12</v>
      </c>
      <c r="E454" s="4" t="str">
        <f t="shared" si="42"/>
        <v>low sales</v>
      </c>
      <c r="F454">
        <v>3764.88</v>
      </c>
      <c r="G454" t="s">
        <v>1126</v>
      </c>
      <c r="H454" s="1" t="str">
        <f t="shared" si="43"/>
        <v>Shipped</v>
      </c>
      <c r="I454" s="4" t="str">
        <f t="shared" si="44"/>
        <v>completed</v>
      </c>
      <c r="J454" t="s">
        <v>25</v>
      </c>
      <c r="K454">
        <v>4</v>
      </c>
      <c r="L454">
        <v>10</v>
      </c>
      <c r="M454">
        <v>2003</v>
      </c>
      <c r="N454" t="s">
        <v>181</v>
      </c>
      <c r="O454">
        <v>141</v>
      </c>
      <c r="P454" t="s">
        <v>538</v>
      </c>
      <c r="Q454" t="s">
        <v>498</v>
      </c>
      <c r="R454" t="s">
        <v>499</v>
      </c>
      <c r="S454" t="s">
        <v>500</v>
      </c>
      <c r="U454" s="1" t="str">
        <f t="shared" si="45"/>
        <v>Aaarhus</v>
      </c>
      <c r="V454" t="s">
        <v>501</v>
      </c>
      <c r="X454">
        <v>8200</v>
      </c>
      <c r="Y454" s="1" t="str">
        <f t="shared" si="46"/>
        <v>DENMARK</v>
      </c>
      <c r="Z454" s="4" t="str">
        <f t="shared" si="47"/>
        <v>Denmark</v>
      </c>
      <c r="AA454" t="s">
        <v>326</v>
      </c>
      <c r="AB454" t="s">
        <v>42</v>
      </c>
      <c r="AC454" t="s">
        <v>502</v>
      </c>
      <c r="AD454" t="s">
        <v>503</v>
      </c>
      <c r="AE454" t="s">
        <v>51</v>
      </c>
    </row>
    <row r="455" spans="1:31" x14ac:dyDescent="0.3">
      <c r="A455">
        <v>10171</v>
      </c>
      <c r="B455">
        <v>35</v>
      </c>
      <c r="C455">
        <v>100</v>
      </c>
      <c r="D455">
        <v>2</v>
      </c>
      <c r="E455" s="4" t="str">
        <f t="shared" si="42"/>
        <v>high sales</v>
      </c>
      <c r="F455">
        <v>4508</v>
      </c>
      <c r="G455" t="s">
        <v>1127</v>
      </c>
      <c r="H455" s="1" t="str">
        <f t="shared" si="43"/>
        <v>Shipped</v>
      </c>
      <c r="I455" s="4" t="str">
        <f t="shared" si="44"/>
        <v>completed</v>
      </c>
      <c r="J455" t="s">
        <v>25</v>
      </c>
      <c r="K455">
        <v>4</v>
      </c>
      <c r="L455">
        <v>11</v>
      </c>
      <c r="M455">
        <v>2003</v>
      </c>
      <c r="N455" t="s">
        <v>181</v>
      </c>
      <c r="O455">
        <v>141</v>
      </c>
      <c r="P455" t="s">
        <v>538</v>
      </c>
      <c r="Q455" t="s">
        <v>292</v>
      </c>
      <c r="R455" t="s">
        <v>293</v>
      </c>
      <c r="S455" t="s">
        <v>294</v>
      </c>
      <c r="U455" s="1" t="str">
        <f t="shared" si="45"/>
        <v>Montreal</v>
      </c>
      <c r="V455" t="s">
        <v>295</v>
      </c>
      <c r="W455" t="s">
        <v>296</v>
      </c>
      <c r="X455" t="s">
        <v>297</v>
      </c>
      <c r="Y455" s="1" t="str">
        <f t="shared" si="46"/>
        <v>CANADA</v>
      </c>
      <c r="Z455" s="4" t="str">
        <f t="shared" si="47"/>
        <v>Canada</v>
      </c>
      <c r="AA455" t="s">
        <v>231</v>
      </c>
      <c r="AB455" t="s">
        <v>33</v>
      </c>
      <c r="AC455" t="s">
        <v>298</v>
      </c>
      <c r="AD455" t="s">
        <v>299</v>
      </c>
      <c r="AE455" t="s">
        <v>51</v>
      </c>
    </row>
    <row r="456" spans="1:31" x14ac:dyDescent="0.3">
      <c r="A456">
        <v>10181</v>
      </c>
      <c r="B456">
        <v>44</v>
      </c>
      <c r="C456">
        <v>100</v>
      </c>
      <c r="D456">
        <v>6</v>
      </c>
      <c r="E456" s="4" t="str">
        <f t="shared" si="42"/>
        <v>high sales</v>
      </c>
      <c r="F456">
        <v>5418.16</v>
      </c>
      <c r="G456" t="s">
        <v>1128</v>
      </c>
      <c r="H456" s="1" t="str">
        <f t="shared" si="43"/>
        <v>Shipped</v>
      </c>
      <c r="I456" s="4" t="str">
        <f t="shared" si="44"/>
        <v>completed</v>
      </c>
      <c r="J456" t="s">
        <v>25</v>
      </c>
      <c r="K456">
        <v>4</v>
      </c>
      <c r="L456">
        <v>11</v>
      </c>
      <c r="M456">
        <v>2003</v>
      </c>
      <c r="N456" t="s">
        <v>181</v>
      </c>
      <c r="O456">
        <v>141</v>
      </c>
      <c r="P456" t="s">
        <v>538</v>
      </c>
      <c r="Q456" t="s">
        <v>73</v>
      </c>
      <c r="R456" t="s">
        <v>74</v>
      </c>
      <c r="S456" t="s">
        <v>75</v>
      </c>
      <c r="U456" s="1" t="str">
        <f t="shared" si="45"/>
        <v>Bergen</v>
      </c>
      <c r="V456" t="s">
        <v>76</v>
      </c>
      <c r="X456" t="s">
        <v>77</v>
      </c>
      <c r="Y456" s="1" t="str">
        <f t="shared" si="46"/>
        <v>NORWAY</v>
      </c>
      <c r="Z456" s="4" t="str">
        <f t="shared" si="47"/>
        <v>Norway</v>
      </c>
      <c r="AA456" t="s">
        <v>78</v>
      </c>
      <c r="AB456" t="s">
        <v>42</v>
      </c>
      <c r="AC456" t="s">
        <v>79</v>
      </c>
      <c r="AD456" t="s">
        <v>80</v>
      </c>
      <c r="AE456" t="s">
        <v>51</v>
      </c>
    </row>
    <row r="457" spans="1:31" x14ac:dyDescent="0.3">
      <c r="A457">
        <v>10192</v>
      </c>
      <c r="B457">
        <v>22</v>
      </c>
      <c r="C457">
        <v>100</v>
      </c>
      <c r="D457">
        <v>11</v>
      </c>
      <c r="E457" s="4" t="str">
        <f t="shared" si="42"/>
        <v>low sales</v>
      </c>
      <c r="F457">
        <v>3300.66</v>
      </c>
      <c r="G457" t="s">
        <v>1129</v>
      </c>
      <c r="H457" s="1" t="str">
        <f t="shared" si="43"/>
        <v>Shipped</v>
      </c>
      <c r="I457" s="4" t="str">
        <f t="shared" si="44"/>
        <v>completed</v>
      </c>
      <c r="J457" t="s">
        <v>25</v>
      </c>
      <c r="K457">
        <v>4</v>
      </c>
      <c r="L457">
        <v>11</v>
      </c>
      <c r="M457">
        <v>2003</v>
      </c>
      <c r="N457" t="s">
        <v>181</v>
      </c>
      <c r="O457">
        <v>141</v>
      </c>
      <c r="P457" t="s">
        <v>538</v>
      </c>
      <c r="Q457" t="s">
        <v>277</v>
      </c>
      <c r="R457">
        <v>6035558647</v>
      </c>
      <c r="S457" t="s">
        <v>278</v>
      </c>
      <c r="U457" s="1" t="str">
        <f t="shared" si="45"/>
        <v>Nashua</v>
      </c>
      <c r="V457" t="s">
        <v>279</v>
      </c>
      <c r="W457" t="s">
        <v>280</v>
      </c>
      <c r="X457">
        <v>62005</v>
      </c>
      <c r="Y457" s="1" t="str">
        <f t="shared" si="46"/>
        <v>USA</v>
      </c>
      <c r="Z457" s="4" t="str">
        <f t="shared" si="47"/>
        <v>Usa</v>
      </c>
      <c r="AA457" t="s">
        <v>32</v>
      </c>
      <c r="AB457" t="s">
        <v>33</v>
      </c>
      <c r="AC457" t="s">
        <v>56</v>
      </c>
      <c r="AD457" t="s">
        <v>276</v>
      </c>
      <c r="AE457" t="s">
        <v>51</v>
      </c>
    </row>
    <row r="458" spans="1:31" x14ac:dyDescent="0.3">
      <c r="A458">
        <v>10204</v>
      </c>
      <c r="B458">
        <v>42</v>
      </c>
      <c r="C458">
        <v>100</v>
      </c>
      <c r="D458">
        <v>17</v>
      </c>
      <c r="E458" s="4" t="str">
        <f t="shared" si="42"/>
        <v>high sales</v>
      </c>
      <c r="F458">
        <v>6182.4</v>
      </c>
      <c r="G458" t="s">
        <v>1130</v>
      </c>
      <c r="H458" s="1" t="str">
        <f t="shared" si="43"/>
        <v>Shipped</v>
      </c>
      <c r="I458" s="4" t="str">
        <f t="shared" si="44"/>
        <v>completed</v>
      </c>
      <c r="J458" t="s">
        <v>25</v>
      </c>
      <c r="K458">
        <v>4</v>
      </c>
      <c r="L458">
        <v>12</v>
      </c>
      <c r="M458">
        <v>2003</v>
      </c>
      <c r="N458" t="s">
        <v>181</v>
      </c>
      <c r="O458">
        <v>141</v>
      </c>
      <c r="P458" t="s">
        <v>538</v>
      </c>
      <c r="Q458" t="s">
        <v>475</v>
      </c>
      <c r="R458">
        <v>2125557413</v>
      </c>
      <c r="S458" t="s">
        <v>476</v>
      </c>
      <c r="T458" t="s">
        <v>477</v>
      </c>
      <c r="U458" s="1" t="str">
        <f t="shared" si="45"/>
        <v>Nyc</v>
      </c>
      <c r="V458" t="s">
        <v>30</v>
      </c>
      <c r="W458" t="s">
        <v>31</v>
      </c>
      <c r="X458">
        <v>10022</v>
      </c>
      <c r="Y458" s="1" t="str">
        <f t="shared" si="46"/>
        <v>USA</v>
      </c>
      <c r="Z458" s="4" t="str">
        <f t="shared" si="47"/>
        <v>Usa</v>
      </c>
      <c r="AA458" t="s">
        <v>32</v>
      </c>
      <c r="AB458" t="s">
        <v>33</v>
      </c>
      <c r="AC458" t="s">
        <v>56</v>
      </c>
      <c r="AD458" t="s">
        <v>478</v>
      </c>
      <c r="AE458" t="s">
        <v>51</v>
      </c>
    </row>
    <row r="459" spans="1:31" x14ac:dyDescent="0.3">
      <c r="A459">
        <v>10212</v>
      </c>
      <c r="B459">
        <v>29</v>
      </c>
      <c r="C459">
        <v>100</v>
      </c>
      <c r="D459">
        <v>10</v>
      </c>
      <c r="E459" s="4" t="str">
        <f t="shared" si="42"/>
        <v>high sales</v>
      </c>
      <c r="F459">
        <v>4186.7299999999996</v>
      </c>
      <c r="G459" t="s">
        <v>1131</v>
      </c>
      <c r="H459" s="1" t="str">
        <f t="shared" si="43"/>
        <v>Shipped</v>
      </c>
      <c r="I459" s="4" t="str">
        <f t="shared" si="44"/>
        <v>completed</v>
      </c>
      <c r="J459" t="s">
        <v>25</v>
      </c>
      <c r="K459">
        <v>1</v>
      </c>
      <c r="L459">
        <v>1</v>
      </c>
      <c r="M459">
        <v>2004</v>
      </c>
      <c r="N459" t="s">
        <v>181</v>
      </c>
      <c r="O459">
        <v>141</v>
      </c>
      <c r="P459" t="s">
        <v>538</v>
      </c>
      <c r="Q459" t="s">
        <v>174</v>
      </c>
      <c r="R459" t="s">
        <v>175</v>
      </c>
      <c r="S459" t="s">
        <v>176</v>
      </c>
      <c r="U459" s="1" t="str">
        <f t="shared" si="45"/>
        <v>Madrid</v>
      </c>
      <c r="V459" t="s">
        <v>177</v>
      </c>
      <c r="X459">
        <v>28034</v>
      </c>
      <c r="Y459" s="1" t="str">
        <f t="shared" si="46"/>
        <v>SPAIN</v>
      </c>
      <c r="Z459" s="4" t="str">
        <f t="shared" si="47"/>
        <v>Spain</v>
      </c>
      <c r="AA459" t="s">
        <v>178</v>
      </c>
      <c r="AB459" t="s">
        <v>42</v>
      </c>
      <c r="AC459" t="s">
        <v>179</v>
      </c>
      <c r="AD459" t="s">
        <v>180</v>
      </c>
      <c r="AE459" t="s">
        <v>51</v>
      </c>
    </row>
    <row r="460" spans="1:31" x14ac:dyDescent="0.3">
      <c r="A460">
        <v>10225</v>
      </c>
      <c r="B460">
        <v>32</v>
      </c>
      <c r="C460">
        <v>100</v>
      </c>
      <c r="D460">
        <v>1</v>
      </c>
      <c r="E460" s="4" t="str">
        <f t="shared" si="42"/>
        <v>high sales</v>
      </c>
      <c r="F460">
        <v>4529.28</v>
      </c>
      <c r="G460" t="s">
        <v>1132</v>
      </c>
      <c r="H460" s="1" t="str">
        <f t="shared" si="43"/>
        <v>Shipped</v>
      </c>
      <c r="I460" s="4" t="str">
        <f t="shared" si="44"/>
        <v>completed</v>
      </c>
      <c r="J460" t="s">
        <v>25</v>
      </c>
      <c r="K460">
        <v>1</v>
      </c>
      <c r="L460">
        <v>2</v>
      </c>
      <c r="M460">
        <v>2004</v>
      </c>
      <c r="N460" t="s">
        <v>181</v>
      </c>
      <c r="O460">
        <v>141</v>
      </c>
      <c r="P460" t="s">
        <v>538</v>
      </c>
      <c r="Q460" t="s">
        <v>446</v>
      </c>
      <c r="R460" t="s">
        <v>447</v>
      </c>
      <c r="S460" t="s">
        <v>448</v>
      </c>
      <c r="U460" s="1" t="str">
        <f t="shared" si="45"/>
        <v>Gensve</v>
      </c>
      <c r="V460" t="s">
        <v>449</v>
      </c>
      <c r="X460">
        <v>1203</v>
      </c>
      <c r="Y460" s="1" t="str">
        <f t="shared" si="46"/>
        <v>SWITZERLAND</v>
      </c>
      <c r="Z460" s="4" t="str">
        <f t="shared" si="47"/>
        <v>Switzerland</v>
      </c>
      <c r="AA460" t="s">
        <v>450</v>
      </c>
      <c r="AB460" t="s">
        <v>42</v>
      </c>
      <c r="AC460" t="s">
        <v>451</v>
      </c>
      <c r="AD460" t="s">
        <v>103</v>
      </c>
      <c r="AE460" t="s">
        <v>51</v>
      </c>
    </row>
    <row r="461" spans="1:31" x14ac:dyDescent="0.3">
      <c r="A461">
        <v>10240</v>
      </c>
      <c r="B461">
        <v>41</v>
      </c>
      <c r="C461">
        <v>100</v>
      </c>
      <c r="D461">
        <v>3</v>
      </c>
      <c r="E461" s="4" t="str">
        <f t="shared" si="42"/>
        <v>high sales</v>
      </c>
      <c r="F461">
        <v>5628.89</v>
      </c>
      <c r="G461" t="s">
        <v>1133</v>
      </c>
      <c r="H461" s="1" t="str">
        <f t="shared" si="43"/>
        <v>Shipped</v>
      </c>
      <c r="I461" s="4" t="str">
        <f t="shared" si="44"/>
        <v>completed</v>
      </c>
      <c r="J461" t="s">
        <v>25</v>
      </c>
      <c r="K461">
        <v>2</v>
      </c>
      <c r="L461">
        <v>4</v>
      </c>
      <c r="M461">
        <v>2004</v>
      </c>
      <c r="N461" t="s">
        <v>181</v>
      </c>
      <c r="O461">
        <v>141</v>
      </c>
      <c r="P461" t="s">
        <v>538</v>
      </c>
      <c r="Q461" t="s">
        <v>302</v>
      </c>
      <c r="R461" t="s">
        <v>303</v>
      </c>
      <c r="S461" t="s">
        <v>304</v>
      </c>
      <c r="U461" s="1" t="str">
        <f t="shared" si="45"/>
        <v>Osaka</v>
      </c>
      <c r="V461" t="s">
        <v>305</v>
      </c>
      <c r="W461" t="s">
        <v>305</v>
      </c>
      <c r="X461" t="s">
        <v>306</v>
      </c>
      <c r="Y461" s="1" t="str">
        <f t="shared" si="46"/>
        <v>JAPAN</v>
      </c>
      <c r="Z461" s="4" t="str">
        <f t="shared" si="47"/>
        <v>Japan</v>
      </c>
      <c r="AA461" t="s">
        <v>200</v>
      </c>
      <c r="AB461" t="s">
        <v>200</v>
      </c>
      <c r="AC461" t="s">
        <v>307</v>
      </c>
      <c r="AD461" t="s">
        <v>308</v>
      </c>
      <c r="AE461" t="s">
        <v>51</v>
      </c>
    </row>
    <row r="462" spans="1:31" x14ac:dyDescent="0.3">
      <c r="A462">
        <v>10253</v>
      </c>
      <c r="B462">
        <v>26</v>
      </c>
      <c r="C462">
        <v>100</v>
      </c>
      <c r="D462">
        <v>5</v>
      </c>
      <c r="E462" s="4" t="str">
        <f t="shared" si="42"/>
        <v>low sales</v>
      </c>
      <c r="F462">
        <v>3054.48</v>
      </c>
      <c r="G462" t="s">
        <v>1134</v>
      </c>
      <c r="H462" s="1" t="str">
        <f t="shared" si="43"/>
        <v>Cancelled</v>
      </c>
      <c r="I462" s="4" t="str">
        <f t="shared" si="44"/>
        <v>not completed</v>
      </c>
      <c r="J462" t="s">
        <v>339</v>
      </c>
      <c r="K462">
        <v>2</v>
      </c>
      <c r="L462">
        <v>6</v>
      </c>
      <c r="M462">
        <v>2004</v>
      </c>
      <c r="N462" t="s">
        <v>181</v>
      </c>
      <c r="O462">
        <v>141</v>
      </c>
      <c r="P462" t="s">
        <v>538</v>
      </c>
      <c r="Q462" t="s">
        <v>165</v>
      </c>
      <c r="R462" t="s">
        <v>166</v>
      </c>
      <c r="S462" t="s">
        <v>167</v>
      </c>
      <c r="U462" s="1" t="str">
        <f t="shared" si="45"/>
        <v>Liverpool</v>
      </c>
      <c r="V462" t="s">
        <v>168</v>
      </c>
      <c r="X462" t="s">
        <v>169</v>
      </c>
      <c r="Y462" s="1" t="str">
        <f t="shared" si="46"/>
        <v>UK</v>
      </c>
      <c r="Z462" s="4" t="str">
        <f t="shared" si="47"/>
        <v>Uk</v>
      </c>
      <c r="AA462" t="s">
        <v>170</v>
      </c>
      <c r="AB462" t="s">
        <v>42</v>
      </c>
      <c r="AC462" t="s">
        <v>171</v>
      </c>
      <c r="AD462" t="s">
        <v>172</v>
      </c>
      <c r="AE462" t="s">
        <v>51</v>
      </c>
    </row>
    <row r="463" spans="1:31" x14ac:dyDescent="0.3">
      <c r="A463">
        <v>10266</v>
      </c>
      <c r="B463">
        <v>21</v>
      </c>
      <c r="C463">
        <v>100</v>
      </c>
      <c r="D463">
        <v>6</v>
      </c>
      <c r="E463" s="4" t="str">
        <f t="shared" si="42"/>
        <v>low sales</v>
      </c>
      <c r="F463">
        <v>2526.5100000000002</v>
      </c>
      <c r="G463" t="s">
        <v>1135</v>
      </c>
      <c r="H463" s="1" t="str">
        <f t="shared" si="43"/>
        <v>Shipped</v>
      </c>
      <c r="I463" s="4" t="str">
        <f t="shared" si="44"/>
        <v>completed</v>
      </c>
      <c r="J463" t="s">
        <v>25</v>
      </c>
      <c r="K463">
        <v>3</v>
      </c>
      <c r="L463">
        <v>7</v>
      </c>
      <c r="M463">
        <v>2004</v>
      </c>
      <c r="N463" t="s">
        <v>181</v>
      </c>
      <c r="O463">
        <v>141</v>
      </c>
      <c r="P463" t="s">
        <v>538</v>
      </c>
      <c r="Q463" t="s">
        <v>452</v>
      </c>
      <c r="R463" t="s">
        <v>453</v>
      </c>
      <c r="S463" t="s">
        <v>454</v>
      </c>
      <c r="U463" s="1" t="str">
        <f t="shared" si="45"/>
        <v>Reggio Emilia</v>
      </c>
      <c r="V463" t="s">
        <v>455</v>
      </c>
      <c r="X463">
        <v>42100</v>
      </c>
      <c r="Y463" s="1" t="str">
        <f t="shared" si="46"/>
        <v>ITALY</v>
      </c>
      <c r="Z463" s="4" t="str">
        <f t="shared" si="47"/>
        <v>Italy</v>
      </c>
      <c r="AA463" t="s">
        <v>258</v>
      </c>
      <c r="AB463" t="s">
        <v>42</v>
      </c>
      <c r="AC463" t="s">
        <v>456</v>
      </c>
      <c r="AD463" t="s">
        <v>457</v>
      </c>
      <c r="AE463" t="s">
        <v>36</v>
      </c>
    </row>
    <row r="464" spans="1:31" x14ac:dyDescent="0.3">
      <c r="A464">
        <v>10278</v>
      </c>
      <c r="B464">
        <v>34</v>
      </c>
      <c r="C464">
        <v>100</v>
      </c>
      <c r="D464">
        <v>6</v>
      </c>
      <c r="E464" s="4" t="str">
        <f t="shared" si="42"/>
        <v>high sales</v>
      </c>
      <c r="F464">
        <v>4667.8599999999997</v>
      </c>
      <c r="G464" t="s">
        <v>1136</v>
      </c>
      <c r="H464" s="1" t="str">
        <f t="shared" si="43"/>
        <v>Shipped</v>
      </c>
      <c r="I464" s="4" t="str">
        <f t="shared" si="44"/>
        <v>completed</v>
      </c>
      <c r="J464" t="s">
        <v>25</v>
      </c>
      <c r="K464">
        <v>3</v>
      </c>
      <c r="L464">
        <v>8</v>
      </c>
      <c r="M464">
        <v>2004</v>
      </c>
      <c r="N464" t="s">
        <v>181</v>
      </c>
      <c r="O464">
        <v>141</v>
      </c>
      <c r="P464" t="s">
        <v>538</v>
      </c>
      <c r="Q464" t="s">
        <v>539</v>
      </c>
      <c r="R464">
        <v>7025551838</v>
      </c>
      <c r="S464" t="s">
        <v>540</v>
      </c>
      <c r="U464" s="1" t="str">
        <f t="shared" si="45"/>
        <v>Las Vegas</v>
      </c>
      <c r="V464" t="s">
        <v>541</v>
      </c>
      <c r="W464" t="s">
        <v>542</v>
      </c>
      <c r="X464">
        <v>83030</v>
      </c>
      <c r="Y464" s="1" t="str">
        <f t="shared" si="46"/>
        <v>USA</v>
      </c>
      <c r="Z464" s="4" t="str">
        <f t="shared" si="47"/>
        <v>Usa</v>
      </c>
      <c r="AA464" t="s">
        <v>32</v>
      </c>
      <c r="AB464" t="s">
        <v>33</v>
      </c>
      <c r="AC464" t="s">
        <v>113</v>
      </c>
      <c r="AD464" t="s">
        <v>400</v>
      </c>
      <c r="AE464" t="s">
        <v>51</v>
      </c>
    </row>
    <row r="465" spans="1:31" x14ac:dyDescent="0.3">
      <c r="A465">
        <v>10287</v>
      </c>
      <c r="B465">
        <v>41</v>
      </c>
      <c r="C465">
        <v>100</v>
      </c>
      <c r="D465">
        <v>4</v>
      </c>
      <c r="E465" s="4" t="str">
        <f t="shared" si="42"/>
        <v>high sales</v>
      </c>
      <c r="F465">
        <v>6499.32</v>
      </c>
      <c r="G465" t="s">
        <v>1137</v>
      </c>
      <c r="H465" s="1" t="str">
        <f t="shared" si="43"/>
        <v>Shipped</v>
      </c>
      <c r="I465" s="4" t="str">
        <f t="shared" si="44"/>
        <v>completed</v>
      </c>
      <c r="J465" t="s">
        <v>25</v>
      </c>
      <c r="K465">
        <v>3</v>
      </c>
      <c r="L465">
        <v>8</v>
      </c>
      <c r="M465">
        <v>2004</v>
      </c>
      <c r="N465" t="s">
        <v>181</v>
      </c>
      <c r="O465">
        <v>141</v>
      </c>
      <c r="P465" t="s">
        <v>538</v>
      </c>
      <c r="Q465" t="s">
        <v>446</v>
      </c>
      <c r="R465" t="s">
        <v>447</v>
      </c>
      <c r="S465" t="s">
        <v>448</v>
      </c>
      <c r="U465" s="1" t="str">
        <f t="shared" si="45"/>
        <v>Gensve</v>
      </c>
      <c r="V465" t="s">
        <v>449</v>
      </c>
      <c r="X465">
        <v>1203</v>
      </c>
      <c r="Y465" s="1" t="str">
        <f t="shared" si="46"/>
        <v>SWITZERLAND</v>
      </c>
      <c r="Z465" s="4" t="str">
        <f t="shared" si="47"/>
        <v>Switzerland</v>
      </c>
      <c r="AA465" t="s">
        <v>450</v>
      </c>
      <c r="AB465" t="s">
        <v>42</v>
      </c>
      <c r="AC465" t="s">
        <v>451</v>
      </c>
      <c r="AD465" t="s">
        <v>103</v>
      </c>
      <c r="AE465" t="s">
        <v>51</v>
      </c>
    </row>
    <row r="466" spans="1:31" x14ac:dyDescent="0.3">
      <c r="A466">
        <v>10301</v>
      </c>
      <c r="B466">
        <v>37</v>
      </c>
      <c r="C466">
        <v>100</v>
      </c>
      <c r="D466">
        <v>8</v>
      </c>
      <c r="E466" s="4" t="str">
        <f t="shared" si="42"/>
        <v>high sales</v>
      </c>
      <c r="F466">
        <v>5917.78</v>
      </c>
      <c r="G466" t="s">
        <v>1138</v>
      </c>
      <c r="H466" s="1" t="str">
        <f t="shared" si="43"/>
        <v>Shipped</v>
      </c>
      <c r="I466" s="4" t="str">
        <f t="shared" si="44"/>
        <v>completed</v>
      </c>
      <c r="J466" t="s">
        <v>25</v>
      </c>
      <c r="K466">
        <v>4</v>
      </c>
      <c r="L466">
        <v>10</v>
      </c>
      <c r="M466">
        <v>2003</v>
      </c>
      <c r="N466" t="s">
        <v>181</v>
      </c>
      <c r="O466">
        <v>141</v>
      </c>
      <c r="P466" t="s">
        <v>538</v>
      </c>
      <c r="Q466" t="s">
        <v>543</v>
      </c>
      <c r="R466" t="s">
        <v>544</v>
      </c>
      <c r="S466" t="s">
        <v>545</v>
      </c>
      <c r="U466" s="1" t="str">
        <f t="shared" si="45"/>
        <v>Oslo</v>
      </c>
      <c r="V466" t="s">
        <v>546</v>
      </c>
      <c r="X466" t="s">
        <v>547</v>
      </c>
      <c r="Y466" s="1" t="str">
        <f t="shared" si="46"/>
        <v>NORWAY</v>
      </c>
      <c r="Z466" s="4" t="str">
        <f t="shared" si="47"/>
        <v>Norway</v>
      </c>
      <c r="AA466" t="s">
        <v>78</v>
      </c>
      <c r="AB466" t="s">
        <v>42</v>
      </c>
      <c r="AC466" t="s">
        <v>548</v>
      </c>
      <c r="AD466" t="s">
        <v>549</v>
      </c>
      <c r="AE466" t="s">
        <v>51</v>
      </c>
    </row>
    <row r="467" spans="1:31" x14ac:dyDescent="0.3">
      <c r="A467">
        <v>10310</v>
      </c>
      <c r="B467">
        <v>37</v>
      </c>
      <c r="C467">
        <v>100</v>
      </c>
      <c r="D467">
        <v>2</v>
      </c>
      <c r="E467" s="4" t="str">
        <f t="shared" si="42"/>
        <v>high sales</v>
      </c>
      <c r="F467">
        <v>6231.91</v>
      </c>
      <c r="G467" t="s">
        <v>1139</v>
      </c>
      <c r="H467" s="1" t="str">
        <f t="shared" si="43"/>
        <v>Shipped</v>
      </c>
      <c r="I467" s="4" t="str">
        <f t="shared" si="44"/>
        <v>completed</v>
      </c>
      <c r="J467" t="s">
        <v>25</v>
      </c>
      <c r="K467">
        <v>4</v>
      </c>
      <c r="L467">
        <v>10</v>
      </c>
      <c r="M467">
        <v>2004</v>
      </c>
      <c r="N467" t="s">
        <v>181</v>
      </c>
      <c r="O467">
        <v>141</v>
      </c>
      <c r="P467" t="s">
        <v>538</v>
      </c>
      <c r="Q467" t="s">
        <v>439</v>
      </c>
      <c r="R467" t="s">
        <v>440</v>
      </c>
      <c r="S467" t="s">
        <v>441</v>
      </c>
      <c r="U467" s="1" t="str">
        <f t="shared" si="45"/>
        <v>Koln</v>
      </c>
      <c r="V467" t="s">
        <v>442</v>
      </c>
      <c r="X467">
        <v>50739</v>
      </c>
      <c r="Y467" s="1" t="str">
        <f t="shared" si="46"/>
        <v>GERMANY</v>
      </c>
      <c r="Z467" s="4" t="str">
        <f t="shared" si="47"/>
        <v>Germany</v>
      </c>
      <c r="AA467" t="s">
        <v>443</v>
      </c>
      <c r="AB467" t="s">
        <v>42</v>
      </c>
      <c r="AC467" t="s">
        <v>444</v>
      </c>
      <c r="AD467" t="s">
        <v>445</v>
      </c>
      <c r="AE467" t="s">
        <v>51</v>
      </c>
    </row>
    <row r="468" spans="1:31" x14ac:dyDescent="0.3">
      <c r="A468">
        <v>10321</v>
      </c>
      <c r="B468">
        <v>41</v>
      </c>
      <c r="C468">
        <v>100</v>
      </c>
      <c r="D468">
        <v>10</v>
      </c>
      <c r="E468" s="4" t="str">
        <f t="shared" si="42"/>
        <v>high sales</v>
      </c>
      <c r="F468">
        <v>5803.14</v>
      </c>
      <c r="G468" t="s">
        <v>1140</v>
      </c>
      <c r="H468" s="1" t="str">
        <f t="shared" si="43"/>
        <v>Shipped</v>
      </c>
      <c r="I468" s="4" t="str">
        <f t="shared" si="44"/>
        <v>completed</v>
      </c>
      <c r="J468" t="s">
        <v>25</v>
      </c>
      <c r="K468">
        <v>4</v>
      </c>
      <c r="L468">
        <v>11</v>
      </c>
      <c r="M468">
        <v>2004</v>
      </c>
      <c r="N468" t="s">
        <v>181</v>
      </c>
      <c r="O468">
        <v>141</v>
      </c>
      <c r="P468" t="s">
        <v>538</v>
      </c>
      <c r="Q468" t="s">
        <v>160</v>
      </c>
      <c r="R468">
        <v>5085552555</v>
      </c>
      <c r="S468" t="s">
        <v>161</v>
      </c>
      <c r="U468" s="1" t="str">
        <f t="shared" si="45"/>
        <v>New Bedford</v>
      </c>
      <c r="V468" t="s">
        <v>162</v>
      </c>
      <c r="W468" t="s">
        <v>123</v>
      </c>
      <c r="X468">
        <v>50553</v>
      </c>
      <c r="Y468" s="1" t="str">
        <f t="shared" si="46"/>
        <v>USA</v>
      </c>
      <c r="Z468" s="4" t="str">
        <f t="shared" si="47"/>
        <v>Usa</v>
      </c>
      <c r="AA468" t="s">
        <v>32</v>
      </c>
      <c r="AB468" t="s">
        <v>33</v>
      </c>
      <c r="AC468" t="s">
        <v>163</v>
      </c>
      <c r="AD468" t="s">
        <v>164</v>
      </c>
      <c r="AE468" t="s">
        <v>51</v>
      </c>
    </row>
    <row r="469" spans="1:31" x14ac:dyDescent="0.3">
      <c r="A469">
        <v>10331</v>
      </c>
      <c r="B469">
        <v>46</v>
      </c>
      <c r="C469">
        <v>100</v>
      </c>
      <c r="D469">
        <v>6</v>
      </c>
      <c r="E469" s="4" t="str">
        <f t="shared" si="42"/>
        <v>high sales</v>
      </c>
      <c r="F469">
        <v>6434.02</v>
      </c>
      <c r="G469" t="s">
        <v>1141</v>
      </c>
      <c r="H469" s="1" t="str">
        <f t="shared" si="43"/>
        <v>Shipped</v>
      </c>
      <c r="I469" s="4" t="str">
        <f t="shared" si="44"/>
        <v>completed</v>
      </c>
      <c r="J469" t="s">
        <v>25</v>
      </c>
      <c r="K469">
        <v>4</v>
      </c>
      <c r="L469">
        <v>11</v>
      </c>
      <c r="M469">
        <v>2004</v>
      </c>
      <c r="N469" t="s">
        <v>181</v>
      </c>
      <c r="O469">
        <v>141</v>
      </c>
      <c r="P469" t="s">
        <v>538</v>
      </c>
      <c r="Q469" t="s">
        <v>309</v>
      </c>
      <c r="R469">
        <v>2155559857</v>
      </c>
      <c r="S469" t="s">
        <v>310</v>
      </c>
      <c r="U469" s="1" t="str">
        <f t="shared" si="45"/>
        <v>Philadelphia</v>
      </c>
      <c r="V469" t="s">
        <v>216</v>
      </c>
      <c r="W469" t="s">
        <v>142</v>
      </c>
      <c r="X469">
        <v>71270</v>
      </c>
      <c r="Y469" s="1" t="str">
        <f t="shared" si="46"/>
        <v>USA</v>
      </c>
      <c r="Z469" s="4" t="str">
        <f t="shared" si="47"/>
        <v>Usa</v>
      </c>
      <c r="AA469" t="s">
        <v>32</v>
      </c>
      <c r="AB469" t="s">
        <v>33</v>
      </c>
      <c r="AC469" t="s">
        <v>124</v>
      </c>
      <c r="AD469" t="s">
        <v>311</v>
      </c>
      <c r="AE469" t="s">
        <v>51</v>
      </c>
    </row>
    <row r="470" spans="1:31" x14ac:dyDescent="0.3">
      <c r="A470">
        <v>10342</v>
      </c>
      <c r="B470">
        <v>40</v>
      </c>
      <c r="C470">
        <v>100</v>
      </c>
      <c r="D470">
        <v>2</v>
      </c>
      <c r="E470" s="4" t="str">
        <f t="shared" si="42"/>
        <v>high sales</v>
      </c>
      <c r="F470">
        <v>6454.4</v>
      </c>
      <c r="G470" t="s">
        <v>1142</v>
      </c>
      <c r="H470" s="1" t="str">
        <f t="shared" si="43"/>
        <v>Shipped</v>
      </c>
      <c r="I470" s="4" t="str">
        <f t="shared" si="44"/>
        <v>completed</v>
      </c>
      <c r="J470" t="s">
        <v>25</v>
      </c>
      <c r="K470">
        <v>4</v>
      </c>
      <c r="L470">
        <v>11</v>
      </c>
      <c r="M470">
        <v>2004</v>
      </c>
      <c r="N470" t="s">
        <v>181</v>
      </c>
      <c r="O470">
        <v>141</v>
      </c>
      <c r="P470" t="s">
        <v>538</v>
      </c>
      <c r="Q470" t="s">
        <v>89</v>
      </c>
      <c r="R470" t="s">
        <v>90</v>
      </c>
      <c r="S470" t="s">
        <v>91</v>
      </c>
      <c r="T470" t="s">
        <v>92</v>
      </c>
      <c r="U470" s="1" t="str">
        <f t="shared" si="45"/>
        <v>Melbourne</v>
      </c>
      <c r="V470" t="s">
        <v>93</v>
      </c>
      <c r="W470" t="s">
        <v>94</v>
      </c>
      <c r="X470">
        <v>3004</v>
      </c>
      <c r="Y470" s="1" t="str">
        <f t="shared" si="46"/>
        <v>AUSTRALIA</v>
      </c>
      <c r="Z470" s="4" t="str">
        <f t="shared" si="47"/>
        <v>Australia</v>
      </c>
      <c r="AA470" t="s">
        <v>95</v>
      </c>
      <c r="AB470" t="s">
        <v>96</v>
      </c>
      <c r="AC470" t="s">
        <v>97</v>
      </c>
      <c r="AD470" t="s">
        <v>98</v>
      </c>
      <c r="AE470" t="s">
        <v>51</v>
      </c>
    </row>
    <row r="471" spans="1:31" x14ac:dyDescent="0.3">
      <c r="A471">
        <v>10356</v>
      </c>
      <c r="B471">
        <v>43</v>
      </c>
      <c r="C471">
        <v>97.6</v>
      </c>
      <c r="D471">
        <v>8</v>
      </c>
      <c r="E471" s="4" t="str">
        <f t="shared" si="42"/>
        <v>high sales</v>
      </c>
      <c r="F471">
        <v>4196.8</v>
      </c>
      <c r="G471" t="s">
        <v>1143</v>
      </c>
      <c r="H471" s="1" t="str">
        <f t="shared" si="43"/>
        <v>Shipped</v>
      </c>
      <c r="I471" s="4" t="str">
        <f t="shared" si="44"/>
        <v>completed</v>
      </c>
      <c r="J471" t="s">
        <v>25</v>
      </c>
      <c r="K471">
        <v>4</v>
      </c>
      <c r="L471">
        <v>12</v>
      </c>
      <c r="M471">
        <v>2004</v>
      </c>
      <c r="N471" t="s">
        <v>181</v>
      </c>
      <c r="O471">
        <v>141</v>
      </c>
      <c r="P471" t="s">
        <v>538</v>
      </c>
      <c r="Q471" t="s">
        <v>45</v>
      </c>
      <c r="R471" t="s">
        <v>46</v>
      </c>
      <c r="S471" t="s">
        <v>47</v>
      </c>
      <c r="U471" s="1" t="str">
        <f t="shared" si="45"/>
        <v>Paris</v>
      </c>
      <c r="V471" t="s">
        <v>48</v>
      </c>
      <c r="X471">
        <v>75508</v>
      </c>
      <c r="Y471" s="1" t="str">
        <f t="shared" si="46"/>
        <v>FRANCE</v>
      </c>
      <c r="Z471" s="4" t="str">
        <f t="shared" si="47"/>
        <v>France</v>
      </c>
      <c r="AA471" t="s">
        <v>41</v>
      </c>
      <c r="AB471" t="s">
        <v>42</v>
      </c>
      <c r="AC471" t="s">
        <v>49</v>
      </c>
      <c r="AD471" t="s">
        <v>50</v>
      </c>
      <c r="AE471" t="s">
        <v>51</v>
      </c>
    </row>
    <row r="472" spans="1:31" x14ac:dyDescent="0.3">
      <c r="A472">
        <v>10365</v>
      </c>
      <c r="B472">
        <v>30</v>
      </c>
      <c r="C472">
        <v>87.06</v>
      </c>
      <c r="D472">
        <v>1</v>
      </c>
      <c r="E472" s="4" t="str">
        <f t="shared" si="42"/>
        <v>low sales</v>
      </c>
      <c r="F472">
        <v>2611.8000000000002</v>
      </c>
      <c r="G472" t="s">
        <v>1144</v>
      </c>
      <c r="H472" s="1" t="str">
        <f t="shared" si="43"/>
        <v>Shipped</v>
      </c>
      <c r="I472" s="4" t="str">
        <f t="shared" si="44"/>
        <v>completed</v>
      </c>
      <c r="J472" t="s">
        <v>25</v>
      </c>
      <c r="K472">
        <v>1</v>
      </c>
      <c r="L472">
        <v>1</v>
      </c>
      <c r="M472">
        <v>2005</v>
      </c>
      <c r="N472" t="s">
        <v>181</v>
      </c>
      <c r="O472">
        <v>141</v>
      </c>
      <c r="P472" t="s">
        <v>538</v>
      </c>
      <c r="Q472" t="s">
        <v>335</v>
      </c>
      <c r="R472">
        <v>5085559555</v>
      </c>
      <c r="S472" t="s">
        <v>336</v>
      </c>
      <c r="U472" s="1" t="str">
        <f t="shared" si="45"/>
        <v>New Bedford</v>
      </c>
      <c r="V472" t="s">
        <v>162</v>
      </c>
      <c r="W472" t="s">
        <v>123</v>
      </c>
      <c r="X472">
        <v>50553</v>
      </c>
      <c r="Y472" s="1" t="str">
        <f t="shared" si="46"/>
        <v>USA</v>
      </c>
      <c r="Z472" s="4" t="str">
        <f t="shared" si="47"/>
        <v>Usa</v>
      </c>
      <c r="AA472" t="s">
        <v>32</v>
      </c>
      <c r="AB472" t="s">
        <v>33</v>
      </c>
      <c r="AC472" t="s">
        <v>337</v>
      </c>
      <c r="AD472" t="s">
        <v>338</v>
      </c>
      <c r="AE472" t="s">
        <v>36</v>
      </c>
    </row>
    <row r="473" spans="1:31" x14ac:dyDescent="0.3">
      <c r="A473">
        <v>10377</v>
      </c>
      <c r="B473">
        <v>35</v>
      </c>
      <c r="C473">
        <v>100</v>
      </c>
      <c r="D473">
        <v>2</v>
      </c>
      <c r="E473" s="4" t="str">
        <f t="shared" si="42"/>
        <v>high sales</v>
      </c>
      <c r="F473">
        <v>5895.05</v>
      </c>
      <c r="G473" t="s">
        <v>1145</v>
      </c>
      <c r="H473" s="1" t="str">
        <f t="shared" si="43"/>
        <v>Shipped</v>
      </c>
      <c r="I473" s="4" t="str">
        <f t="shared" si="44"/>
        <v>completed</v>
      </c>
      <c r="J473" t="s">
        <v>25</v>
      </c>
      <c r="K473">
        <v>1</v>
      </c>
      <c r="L473">
        <v>2</v>
      </c>
      <c r="M473">
        <v>2005</v>
      </c>
      <c r="N473" t="s">
        <v>181</v>
      </c>
      <c r="O473">
        <v>141</v>
      </c>
      <c r="P473" t="s">
        <v>538</v>
      </c>
      <c r="Q473" t="s">
        <v>126</v>
      </c>
      <c r="R473" t="s">
        <v>127</v>
      </c>
      <c r="S473" t="s">
        <v>128</v>
      </c>
      <c r="U473" s="1" t="str">
        <f t="shared" si="45"/>
        <v>Helsinki</v>
      </c>
      <c r="V473" t="s">
        <v>129</v>
      </c>
      <c r="X473">
        <v>21240</v>
      </c>
      <c r="Y473" s="1" t="str">
        <f t="shared" si="46"/>
        <v>FINLAND</v>
      </c>
      <c r="Z473" s="4" t="str">
        <f t="shared" si="47"/>
        <v>Finland</v>
      </c>
      <c r="AA473" t="s">
        <v>130</v>
      </c>
      <c r="AB473" t="s">
        <v>42</v>
      </c>
      <c r="AC473" t="s">
        <v>131</v>
      </c>
      <c r="AD473" t="s">
        <v>132</v>
      </c>
      <c r="AE473" t="s">
        <v>51</v>
      </c>
    </row>
    <row r="474" spans="1:31" x14ac:dyDescent="0.3">
      <c r="A474">
        <v>10390</v>
      </c>
      <c r="B474">
        <v>36</v>
      </c>
      <c r="C474">
        <v>93.77</v>
      </c>
      <c r="D474">
        <v>14</v>
      </c>
      <c r="E474" s="4" t="str">
        <f t="shared" si="42"/>
        <v>low sales</v>
      </c>
      <c r="F474">
        <v>3375.72</v>
      </c>
      <c r="G474" t="s">
        <v>1146</v>
      </c>
      <c r="H474" s="1" t="str">
        <f t="shared" si="43"/>
        <v>Shipped</v>
      </c>
      <c r="I474" s="4" t="str">
        <f t="shared" si="44"/>
        <v>completed</v>
      </c>
      <c r="J474" t="s">
        <v>25</v>
      </c>
      <c r="K474">
        <v>1</v>
      </c>
      <c r="L474">
        <v>3</v>
      </c>
      <c r="M474">
        <v>2005</v>
      </c>
      <c r="N474" t="s">
        <v>181</v>
      </c>
      <c r="O474">
        <v>141</v>
      </c>
      <c r="P474" t="s">
        <v>538</v>
      </c>
      <c r="Q474" t="s">
        <v>272</v>
      </c>
      <c r="R474">
        <v>4155551450</v>
      </c>
      <c r="S474" t="s">
        <v>273</v>
      </c>
      <c r="U474" s="1" t="str">
        <f t="shared" si="45"/>
        <v>San Rafael</v>
      </c>
      <c r="V474" t="s">
        <v>274</v>
      </c>
      <c r="W474" t="s">
        <v>55</v>
      </c>
      <c r="X474">
        <v>97562</v>
      </c>
      <c r="Y474" s="1" t="str">
        <f t="shared" si="46"/>
        <v>USA</v>
      </c>
      <c r="Z474" s="4" t="str">
        <f t="shared" si="47"/>
        <v>Usa</v>
      </c>
      <c r="AA474" t="s">
        <v>32</v>
      </c>
      <c r="AB474" t="s">
        <v>33</v>
      </c>
      <c r="AC474" t="s">
        <v>275</v>
      </c>
      <c r="AD474" t="s">
        <v>276</v>
      </c>
      <c r="AE474" t="s">
        <v>51</v>
      </c>
    </row>
    <row r="475" spans="1:31" x14ac:dyDescent="0.3">
      <c r="A475">
        <v>10406</v>
      </c>
      <c r="B475">
        <v>61</v>
      </c>
      <c r="C475">
        <v>100</v>
      </c>
      <c r="D475">
        <v>3</v>
      </c>
      <c r="E475" s="4" t="str">
        <f t="shared" si="42"/>
        <v>high sales</v>
      </c>
      <c r="F475">
        <v>8374.69</v>
      </c>
      <c r="G475" t="s">
        <v>1147</v>
      </c>
      <c r="H475" s="1" t="str">
        <f t="shared" si="43"/>
        <v>Disputed</v>
      </c>
      <c r="I475" s="4" t="str">
        <f t="shared" si="44"/>
        <v>not completed</v>
      </c>
      <c r="J475" t="s">
        <v>173</v>
      </c>
      <c r="K475">
        <v>2</v>
      </c>
      <c r="L475">
        <v>4</v>
      </c>
      <c r="M475">
        <v>2005</v>
      </c>
      <c r="N475" t="s">
        <v>181</v>
      </c>
      <c r="O475">
        <v>141</v>
      </c>
      <c r="P475" t="s">
        <v>538</v>
      </c>
      <c r="Q475" t="s">
        <v>322</v>
      </c>
      <c r="R475" t="s">
        <v>323</v>
      </c>
      <c r="S475" t="s">
        <v>324</v>
      </c>
      <c r="U475" s="1" t="str">
        <f t="shared" si="45"/>
        <v>Kobenhavn</v>
      </c>
      <c r="V475" t="s">
        <v>325</v>
      </c>
      <c r="X475">
        <v>1734</v>
      </c>
      <c r="Y475" s="1" t="str">
        <f t="shared" si="46"/>
        <v>DENMARK</v>
      </c>
      <c r="Z475" s="4" t="str">
        <f t="shared" si="47"/>
        <v>Denmark</v>
      </c>
      <c r="AA475" t="s">
        <v>326</v>
      </c>
      <c r="AB475" t="s">
        <v>42</v>
      </c>
      <c r="AC475" t="s">
        <v>327</v>
      </c>
      <c r="AD475" t="s">
        <v>328</v>
      </c>
      <c r="AE475" t="s">
        <v>151</v>
      </c>
    </row>
    <row r="476" spans="1:31" x14ac:dyDescent="0.3">
      <c r="A476">
        <v>10419</v>
      </c>
      <c r="B476">
        <v>38</v>
      </c>
      <c r="C476">
        <v>100</v>
      </c>
      <c r="D476">
        <v>5</v>
      </c>
      <c r="E476" s="4" t="str">
        <f t="shared" si="42"/>
        <v>high sales</v>
      </c>
      <c r="F476">
        <v>4464.24</v>
      </c>
      <c r="G476" t="s">
        <v>1148</v>
      </c>
      <c r="H476" s="1" t="str">
        <f t="shared" si="43"/>
        <v>Shipped</v>
      </c>
      <c r="I476" s="4" t="str">
        <f t="shared" si="44"/>
        <v>completed</v>
      </c>
      <c r="J476" t="s">
        <v>25</v>
      </c>
      <c r="K476">
        <v>2</v>
      </c>
      <c r="L476">
        <v>5</v>
      </c>
      <c r="M476">
        <v>2005</v>
      </c>
      <c r="N476" t="s">
        <v>181</v>
      </c>
      <c r="O476">
        <v>141</v>
      </c>
      <c r="P476" t="s">
        <v>538</v>
      </c>
      <c r="Q476" t="s">
        <v>144</v>
      </c>
      <c r="R476" t="s">
        <v>145</v>
      </c>
      <c r="S476" t="s">
        <v>146</v>
      </c>
      <c r="U476" s="1" t="str">
        <f t="shared" si="45"/>
        <v>Salzburg</v>
      </c>
      <c r="V476" t="s">
        <v>147</v>
      </c>
      <c r="X476">
        <v>5020</v>
      </c>
      <c r="Y476" s="1" t="str">
        <f t="shared" si="46"/>
        <v>AUSTRIA</v>
      </c>
      <c r="Z476" s="4" t="str">
        <f t="shared" si="47"/>
        <v>Austria</v>
      </c>
      <c r="AA476" t="s">
        <v>148</v>
      </c>
      <c r="AB476" t="s">
        <v>42</v>
      </c>
      <c r="AC476" t="s">
        <v>149</v>
      </c>
      <c r="AD476" t="s">
        <v>150</v>
      </c>
      <c r="AE476" t="s">
        <v>51</v>
      </c>
    </row>
    <row r="477" spans="1:31" x14ac:dyDescent="0.3">
      <c r="A477">
        <v>10102</v>
      </c>
      <c r="B477">
        <v>39</v>
      </c>
      <c r="C477">
        <v>100</v>
      </c>
      <c r="D477">
        <v>2</v>
      </c>
      <c r="E477" s="4" t="str">
        <f t="shared" si="42"/>
        <v>high sales</v>
      </c>
      <c r="F477">
        <v>4808.3100000000004</v>
      </c>
      <c r="G477" t="s">
        <v>1149</v>
      </c>
      <c r="H477" s="1" t="str">
        <f t="shared" si="43"/>
        <v>Shipped</v>
      </c>
      <c r="I477" s="4" t="str">
        <f t="shared" si="44"/>
        <v>completed</v>
      </c>
      <c r="J477" t="s">
        <v>25</v>
      </c>
      <c r="K477">
        <v>1</v>
      </c>
      <c r="L477">
        <v>1</v>
      </c>
      <c r="M477">
        <v>2003</v>
      </c>
      <c r="N477" t="s">
        <v>550</v>
      </c>
      <c r="O477">
        <v>102</v>
      </c>
      <c r="P477" t="s">
        <v>551</v>
      </c>
      <c r="Q477" t="s">
        <v>99</v>
      </c>
      <c r="R477">
        <v>2125551500</v>
      </c>
      <c r="S477" t="s">
        <v>100</v>
      </c>
      <c r="T477" t="s">
        <v>101</v>
      </c>
      <c r="U477" s="1" t="str">
        <f t="shared" si="45"/>
        <v>Nyc</v>
      </c>
      <c r="V477" t="s">
        <v>30</v>
      </c>
      <c r="W477" t="s">
        <v>31</v>
      </c>
      <c r="X477">
        <v>10022</v>
      </c>
      <c r="Y477" s="1" t="str">
        <f t="shared" si="46"/>
        <v>USA</v>
      </c>
      <c r="Z477" s="4" t="str">
        <f t="shared" si="47"/>
        <v>Usa</v>
      </c>
      <c r="AA477" t="s">
        <v>32</v>
      </c>
      <c r="AB477" t="s">
        <v>33</v>
      </c>
      <c r="AC477" t="s">
        <v>102</v>
      </c>
      <c r="AD477" t="s">
        <v>103</v>
      </c>
      <c r="AE477" t="s">
        <v>51</v>
      </c>
    </row>
    <row r="478" spans="1:31" x14ac:dyDescent="0.3">
      <c r="A478">
        <v>10111</v>
      </c>
      <c r="B478">
        <v>33</v>
      </c>
      <c r="C478">
        <v>99.66</v>
      </c>
      <c r="D478">
        <v>6</v>
      </c>
      <c r="E478" s="4" t="str">
        <f t="shared" si="42"/>
        <v>low sales</v>
      </c>
      <c r="F478">
        <v>3288.78</v>
      </c>
      <c r="G478" t="s">
        <v>1150</v>
      </c>
      <c r="H478" s="1" t="str">
        <f t="shared" si="43"/>
        <v>Shipped</v>
      </c>
      <c r="I478" s="4" t="str">
        <f t="shared" si="44"/>
        <v>completed</v>
      </c>
      <c r="J478" t="s">
        <v>25</v>
      </c>
      <c r="K478">
        <v>1</v>
      </c>
      <c r="L478">
        <v>3</v>
      </c>
      <c r="M478">
        <v>2003</v>
      </c>
      <c r="N478" t="s">
        <v>550</v>
      </c>
      <c r="O478">
        <v>102</v>
      </c>
      <c r="P478" t="s">
        <v>551</v>
      </c>
      <c r="Q478" t="s">
        <v>81</v>
      </c>
      <c r="R478">
        <v>6505555787</v>
      </c>
      <c r="S478" t="s">
        <v>82</v>
      </c>
      <c r="U478" s="1" t="str">
        <f t="shared" si="45"/>
        <v>San Francisco</v>
      </c>
      <c r="V478" t="s">
        <v>60</v>
      </c>
      <c r="W478" t="s">
        <v>55</v>
      </c>
      <c r="Y478" s="1" t="str">
        <f t="shared" si="46"/>
        <v>USA</v>
      </c>
      <c r="Z478" s="4" t="str">
        <f t="shared" si="47"/>
        <v>Usa</v>
      </c>
      <c r="AA478" t="s">
        <v>32</v>
      </c>
      <c r="AB478" t="s">
        <v>33</v>
      </c>
      <c r="AC478" t="s">
        <v>83</v>
      </c>
      <c r="AD478" t="s">
        <v>57</v>
      </c>
      <c r="AE478" t="s">
        <v>51</v>
      </c>
    </row>
    <row r="479" spans="1:31" x14ac:dyDescent="0.3">
      <c r="A479">
        <v>10125</v>
      </c>
      <c r="B479">
        <v>32</v>
      </c>
      <c r="C479">
        <v>100</v>
      </c>
      <c r="D479">
        <v>1</v>
      </c>
      <c r="E479" s="4" t="str">
        <f t="shared" si="42"/>
        <v>low sales</v>
      </c>
      <c r="F479">
        <v>3254.72</v>
      </c>
      <c r="G479" t="s">
        <v>1151</v>
      </c>
      <c r="H479" s="1" t="str">
        <f t="shared" si="43"/>
        <v>Shipped</v>
      </c>
      <c r="I479" s="4" t="str">
        <f t="shared" si="44"/>
        <v>completed</v>
      </c>
      <c r="J479" t="s">
        <v>25</v>
      </c>
      <c r="K479">
        <v>2</v>
      </c>
      <c r="L479">
        <v>5</v>
      </c>
      <c r="M479">
        <v>2003</v>
      </c>
      <c r="N479" t="s">
        <v>550</v>
      </c>
      <c r="O479">
        <v>102</v>
      </c>
      <c r="P479" t="s">
        <v>551</v>
      </c>
      <c r="Q479" t="s">
        <v>89</v>
      </c>
      <c r="R479" t="s">
        <v>90</v>
      </c>
      <c r="S479" t="s">
        <v>91</v>
      </c>
      <c r="T479" t="s">
        <v>92</v>
      </c>
      <c r="U479" s="1" t="str">
        <f t="shared" si="45"/>
        <v>Melbourne</v>
      </c>
      <c r="V479" t="s">
        <v>93</v>
      </c>
      <c r="W479" t="s">
        <v>94</v>
      </c>
      <c r="X479">
        <v>3004</v>
      </c>
      <c r="Y479" s="1" t="str">
        <f t="shared" si="46"/>
        <v>AUSTRALIA</v>
      </c>
      <c r="Z479" s="4" t="str">
        <f t="shared" si="47"/>
        <v>Australia</v>
      </c>
      <c r="AA479" t="s">
        <v>95</v>
      </c>
      <c r="AB479" t="s">
        <v>96</v>
      </c>
      <c r="AC479" t="s">
        <v>97</v>
      </c>
      <c r="AD479" t="s">
        <v>98</v>
      </c>
      <c r="AE479" t="s">
        <v>51</v>
      </c>
    </row>
    <row r="480" spans="1:31" x14ac:dyDescent="0.3">
      <c r="A480">
        <v>10139</v>
      </c>
      <c r="B480">
        <v>31</v>
      </c>
      <c r="C480">
        <v>100</v>
      </c>
      <c r="D480">
        <v>7</v>
      </c>
      <c r="E480" s="4" t="str">
        <f t="shared" si="42"/>
        <v>low sales</v>
      </c>
      <c r="F480">
        <v>3184.94</v>
      </c>
      <c r="G480" t="s">
        <v>1152</v>
      </c>
      <c r="H480" s="1" t="str">
        <f t="shared" si="43"/>
        <v>Shipped</v>
      </c>
      <c r="I480" s="4" t="str">
        <f t="shared" si="44"/>
        <v>completed</v>
      </c>
      <c r="J480" t="s">
        <v>25</v>
      </c>
      <c r="K480">
        <v>3</v>
      </c>
      <c r="L480">
        <v>7</v>
      </c>
      <c r="M480">
        <v>2003</v>
      </c>
      <c r="N480" t="s">
        <v>550</v>
      </c>
      <c r="O480">
        <v>102</v>
      </c>
      <c r="P480" t="s">
        <v>551</v>
      </c>
      <c r="Q480" t="s">
        <v>152</v>
      </c>
      <c r="R480" t="s">
        <v>153</v>
      </c>
      <c r="S480" t="s">
        <v>154</v>
      </c>
      <c r="T480" t="s">
        <v>155</v>
      </c>
      <c r="U480" s="1" t="str">
        <f t="shared" si="45"/>
        <v>Chatswood</v>
      </c>
      <c r="V480" t="s">
        <v>156</v>
      </c>
      <c r="W480" t="s">
        <v>157</v>
      </c>
      <c r="X480">
        <v>2067</v>
      </c>
      <c r="Y480" s="1" t="str">
        <f t="shared" si="46"/>
        <v>AUSTRALIA</v>
      </c>
      <c r="Z480" s="4" t="str">
        <f t="shared" si="47"/>
        <v>Australia</v>
      </c>
      <c r="AA480" t="s">
        <v>95</v>
      </c>
      <c r="AB480" t="s">
        <v>96</v>
      </c>
      <c r="AC480" t="s">
        <v>158</v>
      </c>
      <c r="AD480" t="s">
        <v>159</v>
      </c>
      <c r="AE480" t="s">
        <v>51</v>
      </c>
    </row>
    <row r="481" spans="1:31" x14ac:dyDescent="0.3">
      <c r="A481">
        <v>10149</v>
      </c>
      <c r="B481">
        <v>50</v>
      </c>
      <c r="C481">
        <v>100</v>
      </c>
      <c r="D481">
        <v>4</v>
      </c>
      <c r="E481" s="4" t="str">
        <f t="shared" si="42"/>
        <v>high sales</v>
      </c>
      <c r="F481">
        <v>5907.5</v>
      </c>
      <c r="G481" t="s">
        <v>1153</v>
      </c>
      <c r="H481" s="1" t="str">
        <f t="shared" si="43"/>
        <v>Shipped</v>
      </c>
      <c r="I481" s="4" t="str">
        <f t="shared" si="44"/>
        <v>completed</v>
      </c>
      <c r="J481" t="s">
        <v>25</v>
      </c>
      <c r="K481">
        <v>3</v>
      </c>
      <c r="L481">
        <v>9</v>
      </c>
      <c r="M481">
        <v>2003</v>
      </c>
      <c r="N481" t="s">
        <v>550</v>
      </c>
      <c r="O481">
        <v>102</v>
      </c>
      <c r="P481" t="s">
        <v>551</v>
      </c>
      <c r="Q481" t="s">
        <v>526</v>
      </c>
      <c r="R481">
        <v>4155554312</v>
      </c>
      <c r="S481" t="s">
        <v>527</v>
      </c>
      <c r="U481" s="1" t="str">
        <f t="shared" si="45"/>
        <v>Brisbane</v>
      </c>
      <c r="V481" t="s">
        <v>528</v>
      </c>
      <c r="W481" t="s">
        <v>55</v>
      </c>
      <c r="X481">
        <v>94217</v>
      </c>
      <c r="Y481" s="1" t="str">
        <f t="shared" si="46"/>
        <v>USA</v>
      </c>
      <c r="Z481" s="4" t="str">
        <f t="shared" si="47"/>
        <v>Usa</v>
      </c>
      <c r="AA481" t="s">
        <v>32</v>
      </c>
      <c r="AB481" t="s">
        <v>33</v>
      </c>
      <c r="AC481" t="s">
        <v>529</v>
      </c>
      <c r="AD481" t="s">
        <v>400</v>
      </c>
      <c r="AE481" t="s">
        <v>51</v>
      </c>
    </row>
    <row r="482" spans="1:31" x14ac:dyDescent="0.3">
      <c r="A482">
        <v>10162</v>
      </c>
      <c r="B482">
        <v>48</v>
      </c>
      <c r="C482">
        <v>91.44</v>
      </c>
      <c r="D482">
        <v>2</v>
      </c>
      <c r="E482" s="4" t="str">
        <f t="shared" si="42"/>
        <v>high sales</v>
      </c>
      <c r="F482">
        <v>4389.12</v>
      </c>
      <c r="G482" t="s">
        <v>1154</v>
      </c>
      <c r="H482" s="1" t="str">
        <f t="shared" si="43"/>
        <v>Shipped</v>
      </c>
      <c r="I482" s="4" t="str">
        <f t="shared" si="44"/>
        <v>completed</v>
      </c>
      <c r="J482" t="s">
        <v>25</v>
      </c>
      <c r="K482">
        <v>4</v>
      </c>
      <c r="L482">
        <v>10</v>
      </c>
      <c r="M482">
        <v>2003</v>
      </c>
      <c r="N482" t="s">
        <v>550</v>
      </c>
      <c r="O482">
        <v>102</v>
      </c>
      <c r="P482" t="s">
        <v>551</v>
      </c>
      <c r="Q482" t="s">
        <v>58</v>
      </c>
      <c r="R482">
        <v>6505551386</v>
      </c>
      <c r="S482" t="s">
        <v>59</v>
      </c>
      <c r="U482" s="1" t="str">
        <f t="shared" si="45"/>
        <v>San Francisco</v>
      </c>
      <c r="V482" t="s">
        <v>60</v>
      </c>
      <c r="W482" t="s">
        <v>55</v>
      </c>
      <c r="Y482" s="1" t="str">
        <f t="shared" si="46"/>
        <v>USA</v>
      </c>
      <c r="Z482" s="4" t="str">
        <f t="shared" si="47"/>
        <v>Usa</v>
      </c>
      <c r="AA482" t="s">
        <v>32</v>
      </c>
      <c r="AB482" t="s">
        <v>33</v>
      </c>
      <c r="AC482" t="s">
        <v>61</v>
      </c>
      <c r="AD482" t="s">
        <v>57</v>
      </c>
      <c r="AE482" t="s">
        <v>51</v>
      </c>
    </row>
    <row r="483" spans="1:31" x14ac:dyDescent="0.3">
      <c r="A483">
        <v>10173</v>
      </c>
      <c r="B483">
        <v>43</v>
      </c>
      <c r="C483">
        <v>100</v>
      </c>
      <c r="D483">
        <v>6</v>
      </c>
      <c r="E483" s="4" t="str">
        <f t="shared" si="42"/>
        <v>high sales</v>
      </c>
      <c r="F483">
        <v>5036.16</v>
      </c>
      <c r="G483" t="s">
        <v>1155</v>
      </c>
      <c r="H483" s="1" t="str">
        <f t="shared" si="43"/>
        <v>Shipped</v>
      </c>
      <c r="I483" s="4" t="str">
        <f t="shared" si="44"/>
        <v>completed</v>
      </c>
      <c r="J483" t="s">
        <v>25</v>
      </c>
      <c r="K483">
        <v>4</v>
      </c>
      <c r="L483">
        <v>11</v>
      </c>
      <c r="M483">
        <v>2003</v>
      </c>
      <c r="N483" t="s">
        <v>550</v>
      </c>
      <c r="O483">
        <v>102</v>
      </c>
      <c r="P483" t="s">
        <v>551</v>
      </c>
      <c r="Q483" t="s">
        <v>552</v>
      </c>
      <c r="R483" t="s">
        <v>553</v>
      </c>
      <c r="S483" t="s">
        <v>554</v>
      </c>
      <c r="U483" s="1" t="str">
        <f t="shared" si="45"/>
        <v>Bergamo</v>
      </c>
      <c r="V483" t="s">
        <v>555</v>
      </c>
      <c r="X483">
        <v>24100</v>
      </c>
      <c r="Y483" s="1" t="str">
        <f t="shared" si="46"/>
        <v>ITALY</v>
      </c>
      <c r="Z483" s="4" t="str">
        <f t="shared" si="47"/>
        <v>Italy</v>
      </c>
      <c r="AA483" t="s">
        <v>258</v>
      </c>
      <c r="AB483" t="s">
        <v>42</v>
      </c>
      <c r="AC483" t="s">
        <v>556</v>
      </c>
      <c r="AD483" t="s">
        <v>557</v>
      </c>
      <c r="AE483" t="s">
        <v>51</v>
      </c>
    </row>
    <row r="484" spans="1:31" x14ac:dyDescent="0.3">
      <c r="A484">
        <v>10182</v>
      </c>
      <c r="B484">
        <v>25</v>
      </c>
      <c r="C484">
        <v>87.33</v>
      </c>
      <c r="D484">
        <v>3</v>
      </c>
      <c r="E484" s="4" t="str">
        <f t="shared" si="42"/>
        <v>low sales</v>
      </c>
      <c r="F484">
        <v>2183.25</v>
      </c>
      <c r="G484" t="s">
        <v>1156</v>
      </c>
      <c r="H484" s="1" t="str">
        <f t="shared" si="43"/>
        <v>Shipped</v>
      </c>
      <c r="I484" s="4" t="str">
        <f t="shared" si="44"/>
        <v>completed</v>
      </c>
      <c r="J484" t="s">
        <v>25</v>
      </c>
      <c r="K484">
        <v>4</v>
      </c>
      <c r="L484">
        <v>11</v>
      </c>
      <c r="M484">
        <v>2003</v>
      </c>
      <c r="N484" t="s">
        <v>550</v>
      </c>
      <c r="O484">
        <v>102</v>
      </c>
      <c r="P484" t="s">
        <v>551</v>
      </c>
      <c r="Q484" t="s">
        <v>272</v>
      </c>
      <c r="R484">
        <v>4155551450</v>
      </c>
      <c r="S484" t="s">
        <v>273</v>
      </c>
      <c r="U484" s="1" t="str">
        <f t="shared" si="45"/>
        <v>San Rafael</v>
      </c>
      <c r="V484" t="s">
        <v>274</v>
      </c>
      <c r="W484" t="s">
        <v>55</v>
      </c>
      <c r="X484">
        <v>97562</v>
      </c>
      <c r="Y484" s="1" t="str">
        <f t="shared" si="46"/>
        <v>USA</v>
      </c>
      <c r="Z484" s="4" t="str">
        <f t="shared" si="47"/>
        <v>Usa</v>
      </c>
      <c r="AA484" t="s">
        <v>32</v>
      </c>
      <c r="AB484" t="s">
        <v>33</v>
      </c>
      <c r="AC484" t="s">
        <v>275</v>
      </c>
      <c r="AD484" t="s">
        <v>276</v>
      </c>
      <c r="AE484" t="s">
        <v>36</v>
      </c>
    </row>
    <row r="485" spans="1:31" x14ac:dyDescent="0.3">
      <c r="A485">
        <v>10193</v>
      </c>
      <c r="B485">
        <v>28</v>
      </c>
      <c r="C485">
        <v>100</v>
      </c>
      <c r="D485">
        <v>7</v>
      </c>
      <c r="E485" s="4" t="str">
        <f t="shared" si="42"/>
        <v>low sales</v>
      </c>
      <c r="F485">
        <v>3106.88</v>
      </c>
      <c r="G485" t="s">
        <v>1157</v>
      </c>
      <c r="H485" s="1" t="str">
        <f t="shared" si="43"/>
        <v>Shipped</v>
      </c>
      <c r="I485" s="4" t="str">
        <f t="shared" si="44"/>
        <v>completed</v>
      </c>
      <c r="J485" t="s">
        <v>25</v>
      </c>
      <c r="K485">
        <v>4</v>
      </c>
      <c r="L485">
        <v>11</v>
      </c>
      <c r="M485">
        <v>2003</v>
      </c>
      <c r="N485" t="s">
        <v>550</v>
      </c>
      <c r="O485">
        <v>102</v>
      </c>
      <c r="P485" t="s">
        <v>551</v>
      </c>
      <c r="Q485" t="s">
        <v>558</v>
      </c>
      <c r="R485" t="s">
        <v>559</v>
      </c>
      <c r="S485" t="s">
        <v>560</v>
      </c>
      <c r="U485" s="1" t="str">
        <f t="shared" si="45"/>
        <v>Glen Waverly</v>
      </c>
      <c r="V485" t="s">
        <v>561</v>
      </c>
      <c r="W485" t="s">
        <v>94</v>
      </c>
      <c r="X485">
        <v>3150</v>
      </c>
      <c r="Y485" s="1" t="str">
        <f t="shared" si="46"/>
        <v>AUSTRALIA</v>
      </c>
      <c r="Z485" s="4" t="str">
        <f t="shared" si="47"/>
        <v>Australia</v>
      </c>
      <c r="AA485" t="s">
        <v>95</v>
      </c>
      <c r="AB485" t="s">
        <v>96</v>
      </c>
      <c r="AC485" t="s">
        <v>562</v>
      </c>
      <c r="AD485" t="s">
        <v>563</v>
      </c>
      <c r="AE485" t="s">
        <v>51</v>
      </c>
    </row>
    <row r="486" spans="1:31" x14ac:dyDescent="0.3">
      <c r="A486">
        <v>10205</v>
      </c>
      <c r="B486">
        <v>36</v>
      </c>
      <c r="C486">
        <v>100</v>
      </c>
      <c r="D486">
        <v>2</v>
      </c>
      <c r="E486" s="4" t="str">
        <f t="shared" si="42"/>
        <v>low sales</v>
      </c>
      <c r="F486">
        <v>3735.72</v>
      </c>
      <c r="G486" t="s">
        <v>1158</v>
      </c>
      <c r="H486" s="1" t="str">
        <f t="shared" si="43"/>
        <v>Shipped</v>
      </c>
      <c r="I486" s="4" t="str">
        <f t="shared" si="44"/>
        <v>completed</v>
      </c>
      <c r="J486" t="s">
        <v>25</v>
      </c>
      <c r="K486">
        <v>4</v>
      </c>
      <c r="L486">
        <v>12</v>
      </c>
      <c r="M486">
        <v>2003</v>
      </c>
      <c r="N486" t="s">
        <v>550</v>
      </c>
      <c r="O486">
        <v>102</v>
      </c>
      <c r="P486" t="s">
        <v>551</v>
      </c>
      <c r="Q486" t="s">
        <v>174</v>
      </c>
      <c r="R486" t="s">
        <v>175</v>
      </c>
      <c r="S486" t="s">
        <v>176</v>
      </c>
      <c r="U486" s="1" t="str">
        <f t="shared" si="45"/>
        <v>Madrid</v>
      </c>
      <c r="V486" t="s">
        <v>177</v>
      </c>
      <c r="X486">
        <v>28034</v>
      </c>
      <c r="Y486" s="1" t="str">
        <f t="shared" si="46"/>
        <v>SPAIN</v>
      </c>
      <c r="Z486" s="4" t="str">
        <f t="shared" si="47"/>
        <v>Spain</v>
      </c>
      <c r="AA486" t="s">
        <v>178</v>
      </c>
      <c r="AB486" t="s">
        <v>42</v>
      </c>
      <c r="AC486" t="s">
        <v>179</v>
      </c>
      <c r="AD486" t="s">
        <v>180</v>
      </c>
      <c r="AE486" t="s">
        <v>51</v>
      </c>
    </row>
    <row r="487" spans="1:31" x14ac:dyDescent="0.3">
      <c r="A487">
        <v>10215</v>
      </c>
      <c r="B487">
        <v>27</v>
      </c>
      <c r="C487">
        <v>89.38</v>
      </c>
      <c r="D487">
        <v>10</v>
      </c>
      <c r="E487" s="4" t="str">
        <f t="shared" si="42"/>
        <v>low sales</v>
      </c>
      <c r="F487">
        <v>2413.2600000000002</v>
      </c>
      <c r="G487" t="s">
        <v>1159</v>
      </c>
      <c r="H487" s="1" t="str">
        <f t="shared" si="43"/>
        <v>Shipped</v>
      </c>
      <c r="I487" s="4" t="str">
        <f t="shared" si="44"/>
        <v>completed</v>
      </c>
      <c r="J487" t="s">
        <v>25</v>
      </c>
      <c r="K487">
        <v>1</v>
      </c>
      <c r="L487">
        <v>1</v>
      </c>
      <c r="M487">
        <v>2004</v>
      </c>
      <c r="N487" t="s">
        <v>550</v>
      </c>
      <c r="O487">
        <v>102</v>
      </c>
      <c r="P487" t="s">
        <v>551</v>
      </c>
      <c r="Q487" t="s">
        <v>234</v>
      </c>
      <c r="R487">
        <v>3105553722</v>
      </c>
      <c r="S487" t="s">
        <v>235</v>
      </c>
      <c r="U487" s="1" t="str">
        <f t="shared" si="45"/>
        <v>Burbank</v>
      </c>
      <c r="V487" t="s">
        <v>236</v>
      </c>
      <c r="W487" t="s">
        <v>55</v>
      </c>
      <c r="X487">
        <v>94019</v>
      </c>
      <c r="Y487" s="1" t="str">
        <f t="shared" si="46"/>
        <v>USA</v>
      </c>
      <c r="Z487" s="4" t="str">
        <f t="shared" si="47"/>
        <v>Usa</v>
      </c>
      <c r="AA487" t="s">
        <v>32</v>
      </c>
      <c r="AB487" t="s">
        <v>33</v>
      </c>
      <c r="AC487" t="s">
        <v>237</v>
      </c>
      <c r="AD487" t="s">
        <v>238</v>
      </c>
      <c r="AE487" t="s">
        <v>36</v>
      </c>
    </row>
    <row r="488" spans="1:31" x14ac:dyDescent="0.3">
      <c r="A488">
        <v>10227</v>
      </c>
      <c r="B488">
        <v>25</v>
      </c>
      <c r="C488">
        <v>100</v>
      </c>
      <c r="D488">
        <v>3</v>
      </c>
      <c r="E488" s="4" t="str">
        <f t="shared" si="42"/>
        <v>low sales</v>
      </c>
      <c r="F488">
        <v>2953.75</v>
      </c>
      <c r="G488" t="s">
        <v>1160</v>
      </c>
      <c r="H488" s="1" t="str">
        <f t="shared" si="43"/>
        <v>Shipped</v>
      </c>
      <c r="I488" s="4" t="str">
        <f t="shared" si="44"/>
        <v>completed</v>
      </c>
      <c r="J488" t="s">
        <v>25</v>
      </c>
      <c r="K488">
        <v>1</v>
      </c>
      <c r="L488">
        <v>3</v>
      </c>
      <c r="M488">
        <v>2004</v>
      </c>
      <c r="N488" t="s">
        <v>550</v>
      </c>
      <c r="O488">
        <v>102</v>
      </c>
      <c r="P488" t="s">
        <v>551</v>
      </c>
      <c r="Q488" t="s">
        <v>219</v>
      </c>
      <c r="R488" t="s">
        <v>220</v>
      </c>
      <c r="S488" t="s">
        <v>221</v>
      </c>
      <c r="U488" s="1" t="str">
        <f t="shared" si="45"/>
        <v>Lyon</v>
      </c>
      <c r="V488" t="s">
        <v>222</v>
      </c>
      <c r="X488">
        <v>69004</v>
      </c>
      <c r="Y488" s="1" t="str">
        <f t="shared" si="46"/>
        <v>FRANCE</v>
      </c>
      <c r="Z488" s="4" t="str">
        <f t="shared" si="47"/>
        <v>France</v>
      </c>
      <c r="AA488" t="s">
        <v>41</v>
      </c>
      <c r="AB488" t="s">
        <v>42</v>
      </c>
      <c r="AC488" t="s">
        <v>223</v>
      </c>
      <c r="AD488" t="s">
        <v>224</v>
      </c>
      <c r="AE488" t="s">
        <v>36</v>
      </c>
    </row>
    <row r="489" spans="1:31" x14ac:dyDescent="0.3">
      <c r="A489">
        <v>10244</v>
      </c>
      <c r="B489">
        <v>40</v>
      </c>
      <c r="C489">
        <v>100</v>
      </c>
      <c r="D489">
        <v>7</v>
      </c>
      <c r="E489" s="4" t="str">
        <f t="shared" si="42"/>
        <v>high sales</v>
      </c>
      <c r="F489">
        <v>4684.8</v>
      </c>
      <c r="G489" t="s">
        <v>1161</v>
      </c>
      <c r="H489" s="1" t="str">
        <f t="shared" si="43"/>
        <v>Shipped</v>
      </c>
      <c r="I489" s="4" t="str">
        <f t="shared" si="44"/>
        <v>completed</v>
      </c>
      <c r="J489" t="s">
        <v>25</v>
      </c>
      <c r="K489">
        <v>2</v>
      </c>
      <c r="L489">
        <v>4</v>
      </c>
      <c r="M489">
        <v>2004</v>
      </c>
      <c r="N489" t="s">
        <v>550</v>
      </c>
      <c r="O489">
        <v>102</v>
      </c>
      <c r="P489" t="s">
        <v>551</v>
      </c>
      <c r="Q489" t="s">
        <v>174</v>
      </c>
      <c r="R489" t="s">
        <v>175</v>
      </c>
      <c r="S489" t="s">
        <v>176</v>
      </c>
      <c r="U489" s="1" t="str">
        <f t="shared" si="45"/>
        <v>Madrid</v>
      </c>
      <c r="V489" t="s">
        <v>177</v>
      </c>
      <c r="X489">
        <v>28034</v>
      </c>
      <c r="Y489" s="1" t="str">
        <f t="shared" si="46"/>
        <v>SPAIN</v>
      </c>
      <c r="Z489" s="4" t="str">
        <f t="shared" si="47"/>
        <v>Spain</v>
      </c>
      <c r="AA489" t="s">
        <v>178</v>
      </c>
      <c r="AB489" t="s">
        <v>42</v>
      </c>
      <c r="AC489" t="s">
        <v>179</v>
      </c>
      <c r="AD489" t="s">
        <v>180</v>
      </c>
      <c r="AE489" t="s">
        <v>51</v>
      </c>
    </row>
    <row r="490" spans="1:31" x14ac:dyDescent="0.3">
      <c r="A490">
        <v>10256</v>
      </c>
      <c r="B490">
        <v>34</v>
      </c>
      <c r="C490">
        <v>95.55</v>
      </c>
      <c r="D490">
        <v>2</v>
      </c>
      <c r="E490" s="4" t="str">
        <f t="shared" si="42"/>
        <v>low sales</v>
      </c>
      <c r="F490">
        <v>3248.7</v>
      </c>
      <c r="G490" t="s">
        <v>1162</v>
      </c>
      <c r="H490" s="1" t="str">
        <f t="shared" si="43"/>
        <v>Shipped</v>
      </c>
      <c r="I490" s="4" t="str">
        <f t="shared" si="44"/>
        <v>completed</v>
      </c>
      <c r="J490" t="s">
        <v>25</v>
      </c>
      <c r="K490">
        <v>2</v>
      </c>
      <c r="L490">
        <v>6</v>
      </c>
      <c r="M490">
        <v>2004</v>
      </c>
      <c r="N490" t="s">
        <v>550</v>
      </c>
      <c r="O490">
        <v>102</v>
      </c>
      <c r="P490" t="s">
        <v>551</v>
      </c>
      <c r="Q490" t="s">
        <v>322</v>
      </c>
      <c r="R490" t="s">
        <v>323</v>
      </c>
      <c r="S490" t="s">
        <v>324</v>
      </c>
      <c r="U490" s="1" t="str">
        <f t="shared" si="45"/>
        <v>Kobenhavn</v>
      </c>
      <c r="V490" t="s">
        <v>325</v>
      </c>
      <c r="X490">
        <v>1734</v>
      </c>
      <c r="Y490" s="1" t="str">
        <f t="shared" si="46"/>
        <v>DENMARK</v>
      </c>
      <c r="Z490" s="4" t="str">
        <f t="shared" si="47"/>
        <v>Denmark</v>
      </c>
      <c r="AA490" t="s">
        <v>326</v>
      </c>
      <c r="AB490" t="s">
        <v>42</v>
      </c>
      <c r="AC490" t="s">
        <v>327</v>
      </c>
      <c r="AD490" t="s">
        <v>328</v>
      </c>
      <c r="AE490" t="s">
        <v>51</v>
      </c>
    </row>
    <row r="491" spans="1:31" x14ac:dyDescent="0.3">
      <c r="A491">
        <v>10280</v>
      </c>
      <c r="B491">
        <v>50</v>
      </c>
      <c r="C491">
        <v>100</v>
      </c>
      <c r="D491">
        <v>9</v>
      </c>
      <c r="E491" s="4" t="str">
        <f t="shared" si="42"/>
        <v>high sales</v>
      </c>
      <c r="F491">
        <v>5239.5</v>
      </c>
      <c r="G491" t="s">
        <v>1163</v>
      </c>
      <c r="H491" s="1" t="str">
        <f t="shared" si="43"/>
        <v>Shipped</v>
      </c>
      <c r="I491" s="4" t="str">
        <f t="shared" si="44"/>
        <v>completed</v>
      </c>
      <c r="J491" t="s">
        <v>25</v>
      </c>
      <c r="K491">
        <v>3</v>
      </c>
      <c r="L491">
        <v>8</v>
      </c>
      <c r="M491">
        <v>2004</v>
      </c>
      <c r="N491" t="s">
        <v>550</v>
      </c>
      <c r="O491">
        <v>102</v>
      </c>
      <c r="P491" t="s">
        <v>551</v>
      </c>
      <c r="Q491" t="s">
        <v>254</v>
      </c>
      <c r="R491" t="s">
        <v>255</v>
      </c>
      <c r="S491" t="s">
        <v>256</v>
      </c>
      <c r="U491" s="1" t="str">
        <f t="shared" si="45"/>
        <v>Torino</v>
      </c>
      <c r="V491" t="s">
        <v>257</v>
      </c>
      <c r="X491">
        <v>10100</v>
      </c>
      <c r="Y491" s="1" t="str">
        <f t="shared" si="46"/>
        <v>ITALY</v>
      </c>
      <c r="Z491" s="4" t="str">
        <f t="shared" si="47"/>
        <v>Italy</v>
      </c>
      <c r="AA491" t="s">
        <v>258</v>
      </c>
      <c r="AB491" t="s">
        <v>42</v>
      </c>
      <c r="AC491" t="s">
        <v>259</v>
      </c>
      <c r="AD491" t="s">
        <v>260</v>
      </c>
      <c r="AE491" t="s">
        <v>51</v>
      </c>
    </row>
    <row r="492" spans="1:31" x14ac:dyDescent="0.3">
      <c r="A492">
        <v>10289</v>
      </c>
      <c r="B492">
        <v>38</v>
      </c>
      <c r="C492">
        <v>100</v>
      </c>
      <c r="D492">
        <v>2</v>
      </c>
      <c r="E492" s="4" t="str">
        <f t="shared" si="42"/>
        <v>high sales</v>
      </c>
      <c r="F492">
        <v>4567.9799999999996</v>
      </c>
      <c r="G492" t="s">
        <v>1164</v>
      </c>
      <c r="H492" s="1" t="str">
        <f t="shared" si="43"/>
        <v>Shipped</v>
      </c>
      <c r="I492" s="4" t="str">
        <f t="shared" si="44"/>
        <v>completed</v>
      </c>
      <c r="J492" t="s">
        <v>25</v>
      </c>
      <c r="K492">
        <v>3</v>
      </c>
      <c r="L492">
        <v>9</v>
      </c>
      <c r="M492">
        <v>2004</v>
      </c>
      <c r="N492" t="s">
        <v>550</v>
      </c>
      <c r="O492">
        <v>102</v>
      </c>
      <c r="P492" t="s">
        <v>551</v>
      </c>
      <c r="Q492" t="s">
        <v>73</v>
      </c>
      <c r="R492" t="s">
        <v>74</v>
      </c>
      <c r="S492" t="s">
        <v>75</v>
      </c>
      <c r="U492" s="1" t="str">
        <f t="shared" si="45"/>
        <v>Bergen</v>
      </c>
      <c r="V492" t="s">
        <v>76</v>
      </c>
      <c r="X492" t="s">
        <v>77</v>
      </c>
      <c r="Y492" s="1" t="str">
        <f t="shared" si="46"/>
        <v>NORWAY</v>
      </c>
      <c r="Z492" s="4" t="str">
        <f t="shared" si="47"/>
        <v>Norway</v>
      </c>
      <c r="AA492" t="s">
        <v>78</v>
      </c>
      <c r="AB492" t="s">
        <v>42</v>
      </c>
      <c r="AC492" t="s">
        <v>79</v>
      </c>
      <c r="AD492" t="s">
        <v>80</v>
      </c>
      <c r="AE492" t="s">
        <v>51</v>
      </c>
    </row>
    <row r="493" spans="1:31" x14ac:dyDescent="0.3">
      <c r="A493">
        <v>10304</v>
      </c>
      <c r="B493">
        <v>37</v>
      </c>
      <c r="C493">
        <v>95.55</v>
      </c>
      <c r="D493">
        <v>13</v>
      </c>
      <c r="E493" s="4" t="str">
        <f t="shared" si="42"/>
        <v>low sales</v>
      </c>
      <c r="F493">
        <v>3535.35</v>
      </c>
      <c r="G493" t="s">
        <v>1165</v>
      </c>
      <c r="H493" s="1" t="str">
        <f t="shared" si="43"/>
        <v>Shipped</v>
      </c>
      <c r="I493" s="4" t="str">
        <f t="shared" si="44"/>
        <v>completed</v>
      </c>
      <c r="J493" t="s">
        <v>25</v>
      </c>
      <c r="K493">
        <v>4</v>
      </c>
      <c r="L493">
        <v>10</v>
      </c>
      <c r="M493">
        <v>2004</v>
      </c>
      <c r="N493" t="s">
        <v>550</v>
      </c>
      <c r="O493">
        <v>102</v>
      </c>
      <c r="P493" t="s">
        <v>551</v>
      </c>
      <c r="Q493" t="s">
        <v>267</v>
      </c>
      <c r="R493" t="s">
        <v>268</v>
      </c>
      <c r="S493" t="s">
        <v>269</v>
      </c>
      <c r="U493" s="1" t="str">
        <f t="shared" si="45"/>
        <v>Versailles</v>
      </c>
      <c r="V493" t="s">
        <v>270</v>
      </c>
      <c r="X493">
        <v>78000</v>
      </c>
      <c r="Y493" s="1" t="str">
        <f t="shared" si="46"/>
        <v>FRANCE</v>
      </c>
      <c r="Z493" s="4" t="str">
        <f t="shared" si="47"/>
        <v>France</v>
      </c>
      <c r="AA493" t="s">
        <v>41</v>
      </c>
      <c r="AB493" t="s">
        <v>42</v>
      </c>
      <c r="AC493" t="s">
        <v>271</v>
      </c>
      <c r="AD493" t="s">
        <v>50</v>
      </c>
      <c r="AE493" t="s">
        <v>51</v>
      </c>
    </row>
    <row r="494" spans="1:31" x14ac:dyDescent="0.3">
      <c r="A494">
        <v>10312</v>
      </c>
      <c r="B494">
        <v>43</v>
      </c>
      <c r="C494">
        <v>89.38</v>
      </c>
      <c r="D494">
        <v>10</v>
      </c>
      <c r="E494" s="4" t="str">
        <f t="shared" si="42"/>
        <v>low sales</v>
      </c>
      <c r="F494">
        <v>3843.34</v>
      </c>
      <c r="G494" t="s">
        <v>1166</v>
      </c>
      <c r="H494" s="1" t="str">
        <f t="shared" si="43"/>
        <v>Shipped</v>
      </c>
      <c r="I494" s="4" t="str">
        <f t="shared" si="44"/>
        <v>completed</v>
      </c>
      <c r="J494" t="s">
        <v>25</v>
      </c>
      <c r="K494">
        <v>4</v>
      </c>
      <c r="L494">
        <v>10</v>
      </c>
      <c r="M494">
        <v>2004</v>
      </c>
      <c r="N494" t="s">
        <v>550</v>
      </c>
      <c r="O494">
        <v>102</v>
      </c>
      <c r="P494" t="s">
        <v>551</v>
      </c>
      <c r="Q494" t="s">
        <v>272</v>
      </c>
      <c r="R494">
        <v>4155551450</v>
      </c>
      <c r="S494" t="s">
        <v>273</v>
      </c>
      <c r="U494" s="1" t="str">
        <f t="shared" si="45"/>
        <v>San Rafael</v>
      </c>
      <c r="V494" t="s">
        <v>274</v>
      </c>
      <c r="W494" t="s">
        <v>55</v>
      </c>
      <c r="X494">
        <v>97562</v>
      </c>
      <c r="Y494" s="1" t="str">
        <f t="shared" si="46"/>
        <v>USA</v>
      </c>
      <c r="Z494" s="4" t="str">
        <f t="shared" si="47"/>
        <v>Usa</v>
      </c>
      <c r="AA494" t="s">
        <v>32</v>
      </c>
      <c r="AB494" t="s">
        <v>33</v>
      </c>
      <c r="AC494" t="s">
        <v>275</v>
      </c>
      <c r="AD494" t="s">
        <v>276</v>
      </c>
      <c r="AE494" t="s">
        <v>51</v>
      </c>
    </row>
    <row r="495" spans="1:31" x14ac:dyDescent="0.3">
      <c r="A495">
        <v>10322</v>
      </c>
      <c r="B495">
        <v>43</v>
      </c>
      <c r="C495">
        <v>86.3</v>
      </c>
      <c r="D495">
        <v>14</v>
      </c>
      <c r="E495" s="4" t="str">
        <f t="shared" si="42"/>
        <v>low sales</v>
      </c>
      <c r="F495">
        <v>3710.9</v>
      </c>
      <c r="G495" t="s">
        <v>1167</v>
      </c>
      <c r="H495" s="1" t="str">
        <f t="shared" si="43"/>
        <v>Shipped</v>
      </c>
      <c r="I495" s="4" t="str">
        <f t="shared" si="44"/>
        <v>completed</v>
      </c>
      <c r="J495" t="s">
        <v>25</v>
      </c>
      <c r="K495">
        <v>4</v>
      </c>
      <c r="L495">
        <v>11</v>
      </c>
      <c r="M495">
        <v>2004</v>
      </c>
      <c r="N495" t="s">
        <v>550</v>
      </c>
      <c r="O495">
        <v>102</v>
      </c>
      <c r="P495" t="s">
        <v>551</v>
      </c>
      <c r="Q495" t="s">
        <v>277</v>
      </c>
      <c r="R495">
        <v>6035558647</v>
      </c>
      <c r="S495" t="s">
        <v>278</v>
      </c>
      <c r="U495" s="1" t="str">
        <f t="shared" si="45"/>
        <v>Nashua</v>
      </c>
      <c r="V495" t="s">
        <v>279</v>
      </c>
      <c r="W495" t="s">
        <v>280</v>
      </c>
      <c r="X495">
        <v>62005</v>
      </c>
      <c r="Y495" s="1" t="str">
        <f t="shared" si="46"/>
        <v>USA</v>
      </c>
      <c r="Z495" s="4" t="str">
        <f t="shared" si="47"/>
        <v>Usa</v>
      </c>
      <c r="AA495" t="s">
        <v>32</v>
      </c>
      <c r="AB495" t="s">
        <v>33</v>
      </c>
      <c r="AC495" t="s">
        <v>56</v>
      </c>
      <c r="AD495" t="s">
        <v>276</v>
      </c>
      <c r="AE495" t="s">
        <v>51</v>
      </c>
    </row>
    <row r="496" spans="1:31" x14ac:dyDescent="0.3">
      <c r="A496">
        <v>10332</v>
      </c>
      <c r="B496">
        <v>46</v>
      </c>
      <c r="C496">
        <v>95.13</v>
      </c>
      <c r="D496">
        <v>15</v>
      </c>
      <c r="E496" s="4" t="str">
        <f t="shared" si="42"/>
        <v>high sales</v>
      </c>
      <c r="F496">
        <v>4375.9799999999996</v>
      </c>
      <c r="G496" t="s">
        <v>1168</v>
      </c>
      <c r="H496" s="1" t="str">
        <f t="shared" si="43"/>
        <v>Shipped</v>
      </c>
      <c r="I496" s="4" t="str">
        <f t="shared" si="44"/>
        <v>completed</v>
      </c>
      <c r="J496" t="s">
        <v>25</v>
      </c>
      <c r="K496">
        <v>4</v>
      </c>
      <c r="L496">
        <v>11</v>
      </c>
      <c r="M496">
        <v>2004</v>
      </c>
      <c r="N496" t="s">
        <v>550</v>
      </c>
      <c r="O496">
        <v>102</v>
      </c>
      <c r="P496" t="s">
        <v>551</v>
      </c>
      <c r="Q496" t="s">
        <v>492</v>
      </c>
      <c r="R496" t="s">
        <v>493</v>
      </c>
      <c r="S496" t="s">
        <v>494</v>
      </c>
      <c r="U496" s="1" t="str">
        <f t="shared" si="45"/>
        <v>Manchester</v>
      </c>
      <c r="V496" t="s">
        <v>495</v>
      </c>
      <c r="X496" t="s">
        <v>496</v>
      </c>
      <c r="Y496" s="1" t="str">
        <f t="shared" si="46"/>
        <v>UK</v>
      </c>
      <c r="Z496" s="4" t="str">
        <f t="shared" si="47"/>
        <v>Uk</v>
      </c>
      <c r="AA496" t="s">
        <v>170</v>
      </c>
      <c r="AB496" t="s">
        <v>42</v>
      </c>
      <c r="AC496" t="s">
        <v>497</v>
      </c>
      <c r="AD496" t="s">
        <v>94</v>
      </c>
      <c r="AE496" t="s">
        <v>51</v>
      </c>
    </row>
    <row r="497" spans="1:31" x14ac:dyDescent="0.3">
      <c r="A497">
        <v>10346</v>
      </c>
      <c r="B497">
        <v>42</v>
      </c>
      <c r="C497">
        <v>36.11</v>
      </c>
      <c r="D497">
        <v>3</v>
      </c>
      <c r="E497" s="4" t="str">
        <f t="shared" si="42"/>
        <v>low sales</v>
      </c>
      <c r="F497">
        <v>1516.62</v>
      </c>
      <c r="G497" t="s">
        <v>1169</v>
      </c>
      <c r="H497" s="1" t="str">
        <f t="shared" si="43"/>
        <v>Shipped</v>
      </c>
      <c r="I497" s="4" t="str">
        <f t="shared" si="44"/>
        <v>completed</v>
      </c>
      <c r="J497" t="s">
        <v>25</v>
      </c>
      <c r="K497">
        <v>4</v>
      </c>
      <c r="L497">
        <v>11</v>
      </c>
      <c r="M497">
        <v>2004</v>
      </c>
      <c r="N497" t="s">
        <v>550</v>
      </c>
      <c r="O497">
        <v>102</v>
      </c>
      <c r="P497" t="s">
        <v>551</v>
      </c>
      <c r="Q497" t="s">
        <v>539</v>
      </c>
      <c r="R497">
        <v>7025551838</v>
      </c>
      <c r="S497" t="s">
        <v>540</v>
      </c>
      <c r="U497" s="1" t="str">
        <f t="shared" si="45"/>
        <v>Las Vegas</v>
      </c>
      <c r="V497" t="s">
        <v>541</v>
      </c>
      <c r="W497" t="s">
        <v>542</v>
      </c>
      <c r="X497">
        <v>83030</v>
      </c>
      <c r="Y497" s="1" t="str">
        <f t="shared" si="46"/>
        <v>USA</v>
      </c>
      <c r="Z497" s="4" t="str">
        <f t="shared" si="47"/>
        <v>Usa</v>
      </c>
      <c r="AA497" t="s">
        <v>32</v>
      </c>
      <c r="AB497" t="s">
        <v>33</v>
      </c>
      <c r="AC497" t="s">
        <v>113</v>
      </c>
      <c r="AD497" t="s">
        <v>400</v>
      </c>
      <c r="AE497" t="s">
        <v>36</v>
      </c>
    </row>
    <row r="498" spans="1:31" x14ac:dyDescent="0.3">
      <c r="A498">
        <v>10356</v>
      </c>
      <c r="B498">
        <v>50</v>
      </c>
      <c r="C498">
        <v>50.18</v>
      </c>
      <c r="D498">
        <v>9</v>
      </c>
      <c r="E498" s="4" t="str">
        <f t="shared" si="42"/>
        <v>low sales</v>
      </c>
      <c r="F498">
        <v>2509</v>
      </c>
      <c r="G498" t="s">
        <v>1170</v>
      </c>
      <c r="H498" s="1" t="str">
        <f t="shared" si="43"/>
        <v>Shipped</v>
      </c>
      <c r="I498" s="4" t="str">
        <f t="shared" si="44"/>
        <v>completed</v>
      </c>
      <c r="J498" t="s">
        <v>25</v>
      </c>
      <c r="K498">
        <v>4</v>
      </c>
      <c r="L498">
        <v>12</v>
      </c>
      <c r="M498">
        <v>2004</v>
      </c>
      <c r="N498" t="s">
        <v>550</v>
      </c>
      <c r="O498">
        <v>102</v>
      </c>
      <c r="P498" t="s">
        <v>551</v>
      </c>
      <c r="Q498" t="s">
        <v>45</v>
      </c>
      <c r="R498" t="s">
        <v>46</v>
      </c>
      <c r="S498" t="s">
        <v>47</v>
      </c>
      <c r="U498" s="1" t="str">
        <f t="shared" si="45"/>
        <v>Paris</v>
      </c>
      <c r="V498" t="s">
        <v>48</v>
      </c>
      <c r="X498">
        <v>75508</v>
      </c>
      <c r="Y498" s="1" t="str">
        <f t="shared" si="46"/>
        <v>FRANCE</v>
      </c>
      <c r="Z498" s="4" t="str">
        <f t="shared" si="47"/>
        <v>France</v>
      </c>
      <c r="AA498" t="s">
        <v>41</v>
      </c>
      <c r="AB498" t="s">
        <v>42</v>
      </c>
      <c r="AC498" t="s">
        <v>49</v>
      </c>
      <c r="AD498" t="s">
        <v>50</v>
      </c>
      <c r="AE498" t="s">
        <v>36</v>
      </c>
    </row>
    <row r="499" spans="1:31" x14ac:dyDescent="0.3">
      <c r="A499">
        <v>10369</v>
      </c>
      <c r="B499">
        <v>44</v>
      </c>
      <c r="C499">
        <v>100</v>
      </c>
      <c r="D499">
        <v>8</v>
      </c>
      <c r="E499" s="4" t="str">
        <f t="shared" si="42"/>
        <v>high sales</v>
      </c>
      <c r="F499">
        <v>9240.44</v>
      </c>
      <c r="G499" t="s">
        <v>1171</v>
      </c>
      <c r="H499" s="1" t="str">
        <f t="shared" si="43"/>
        <v>Shipped</v>
      </c>
      <c r="I499" s="4" t="str">
        <f t="shared" si="44"/>
        <v>completed</v>
      </c>
      <c r="J499" t="s">
        <v>25</v>
      </c>
      <c r="K499">
        <v>1</v>
      </c>
      <c r="L499">
        <v>1</v>
      </c>
      <c r="M499">
        <v>2005</v>
      </c>
      <c r="N499" t="s">
        <v>550</v>
      </c>
      <c r="O499">
        <v>102</v>
      </c>
      <c r="P499" t="s">
        <v>551</v>
      </c>
      <c r="Q499" t="s">
        <v>281</v>
      </c>
      <c r="R499">
        <v>6175558555</v>
      </c>
      <c r="S499" t="s">
        <v>282</v>
      </c>
      <c r="U499" s="1" t="str">
        <f t="shared" si="45"/>
        <v>Brickhaven</v>
      </c>
      <c r="V499" t="s">
        <v>283</v>
      </c>
      <c r="W499" t="s">
        <v>123</v>
      </c>
      <c r="X499">
        <v>58339</v>
      </c>
      <c r="Y499" s="1" t="str">
        <f t="shared" si="46"/>
        <v>USA</v>
      </c>
      <c r="Z499" s="4" t="str">
        <f t="shared" si="47"/>
        <v>Usa</v>
      </c>
      <c r="AA499" t="s">
        <v>32</v>
      </c>
      <c r="AB499" t="s">
        <v>33</v>
      </c>
      <c r="AC499" t="s">
        <v>275</v>
      </c>
      <c r="AD499" t="s">
        <v>284</v>
      </c>
      <c r="AE499" t="s">
        <v>151</v>
      </c>
    </row>
    <row r="500" spans="1:31" x14ac:dyDescent="0.3">
      <c r="A500">
        <v>10380</v>
      </c>
      <c r="B500">
        <v>27</v>
      </c>
      <c r="C500">
        <v>93.16</v>
      </c>
      <c r="D500">
        <v>13</v>
      </c>
      <c r="E500" s="4" t="str">
        <f t="shared" si="42"/>
        <v>low sales</v>
      </c>
      <c r="F500">
        <v>2515.3200000000002</v>
      </c>
      <c r="G500" t="s">
        <v>1172</v>
      </c>
      <c r="H500" s="1" t="str">
        <f t="shared" si="43"/>
        <v>Shipped</v>
      </c>
      <c r="I500" s="4" t="str">
        <f t="shared" si="44"/>
        <v>completed</v>
      </c>
      <c r="J500" t="s">
        <v>25</v>
      </c>
      <c r="K500">
        <v>1</v>
      </c>
      <c r="L500">
        <v>2</v>
      </c>
      <c r="M500">
        <v>2005</v>
      </c>
      <c r="N500" t="s">
        <v>550</v>
      </c>
      <c r="O500">
        <v>102</v>
      </c>
      <c r="P500" t="s">
        <v>551</v>
      </c>
      <c r="Q500" t="s">
        <v>174</v>
      </c>
      <c r="R500" t="s">
        <v>175</v>
      </c>
      <c r="S500" t="s">
        <v>176</v>
      </c>
      <c r="U500" s="1" t="str">
        <f t="shared" si="45"/>
        <v>Madrid</v>
      </c>
      <c r="V500" t="s">
        <v>177</v>
      </c>
      <c r="X500">
        <v>28034</v>
      </c>
      <c r="Y500" s="1" t="str">
        <f t="shared" si="46"/>
        <v>SPAIN</v>
      </c>
      <c r="Z500" s="4" t="str">
        <f t="shared" si="47"/>
        <v>Spain</v>
      </c>
      <c r="AA500" t="s">
        <v>178</v>
      </c>
      <c r="AB500" t="s">
        <v>42</v>
      </c>
      <c r="AC500" t="s">
        <v>179</v>
      </c>
      <c r="AD500" t="s">
        <v>180</v>
      </c>
      <c r="AE500" t="s">
        <v>36</v>
      </c>
    </row>
    <row r="501" spans="1:31" x14ac:dyDescent="0.3">
      <c r="A501">
        <v>10391</v>
      </c>
      <c r="B501">
        <v>35</v>
      </c>
      <c r="C501">
        <v>100</v>
      </c>
      <c r="D501">
        <v>2</v>
      </c>
      <c r="E501" s="4" t="str">
        <f t="shared" si="42"/>
        <v>high sales</v>
      </c>
      <c r="F501">
        <v>5548.9</v>
      </c>
      <c r="G501" t="s">
        <v>1173</v>
      </c>
      <c r="H501" s="1" t="str">
        <f t="shared" si="43"/>
        <v>Shipped</v>
      </c>
      <c r="I501" s="4" t="str">
        <f t="shared" si="44"/>
        <v>completed</v>
      </c>
      <c r="J501" t="s">
        <v>25</v>
      </c>
      <c r="K501">
        <v>1</v>
      </c>
      <c r="L501">
        <v>3</v>
      </c>
      <c r="M501">
        <v>2005</v>
      </c>
      <c r="N501" t="s">
        <v>550</v>
      </c>
      <c r="O501">
        <v>102</v>
      </c>
      <c r="P501" t="s">
        <v>551</v>
      </c>
      <c r="Q501" t="s">
        <v>285</v>
      </c>
      <c r="R501" t="s">
        <v>286</v>
      </c>
      <c r="S501" t="s">
        <v>287</v>
      </c>
      <c r="T501" t="s">
        <v>288</v>
      </c>
      <c r="U501" s="1" t="str">
        <f t="shared" si="45"/>
        <v>North Sydney</v>
      </c>
      <c r="V501" t="s">
        <v>289</v>
      </c>
      <c r="W501" t="s">
        <v>157</v>
      </c>
      <c r="X501">
        <v>2060</v>
      </c>
      <c r="Y501" s="1" t="str">
        <f t="shared" si="46"/>
        <v>AUSTRALIA</v>
      </c>
      <c r="Z501" s="4" t="str">
        <f t="shared" si="47"/>
        <v>Australia</v>
      </c>
      <c r="AA501" t="s">
        <v>95</v>
      </c>
      <c r="AB501" t="s">
        <v>96</v>
      </c>
      <c r="AC501" t="s">
        <v>290</v>
      </c>
      <c r="AD501" t="s">
        <v>291</v>
      </c>
      <c r="AE501" t="s">
        <v>51</v>
      </c>
    </row>
    <row r="502" spans="1:31" x14ac:dyDescent="0.3">
      <c r="A502">
        <v>10422</v>
      </c>
      <c r="B502">
        <v>51</v>
      </c>
      <c r="C502">
        <v>95.55</v>
      </c>
      <c r="D502">
        <v>2</v>
      </c>
      <c r="E502" s="4" t="str">
        <f t="shared" si="42"/>
        <v>high sales</v>
      </c>
      <c r="F502">
        <v>4873.05</v>
      </c>
      <c r="G502" t="s">
        <v>1174</v>
      </c>
      <c r="H502" s="1" t="str">
        <f t="shared" si="43"/>
        <v>In Process</v>
      </c>
      <c r="I502" s="4" t="str">
        <f t="shared" si="44"/>
        <v>not completed</v>
      </c>
      <c r="J502" t="s">
        <v>300</v>
      </c>
      <c r="K502">
        <v>2</v>
      </c>
      <c r="L502">
        <v>5</v>
      </c>
      <c r="M502">
        <v>2005</v>
      </c>
      <c r="N502" t="s">
        <v>550</v>
      </c>
      <c r="O502">
        <v>102</v>
      </c>
      <c r="P502" t="s">
        <v>551</v>
      </c>
      <c r="Q502" t="s">
        <v>139</v>
      </c>
      <c r="R502">
        <v>2155551555</v>
      </c>
      <c r="S502" t="s">
        <v>140</v>
      </c>
      <c r="U502" s="1" t="str">
        <f t="shared" si="45"/>
        <v>Allentown</v>
      </c>
      <c r="V502" t="s">
        <v>141</v>
      </c>
      <c r="W502" t="s">
        <v>142</v>
      </c>
      <c r="X502">
        <v>70267</v>
      </c>
      <c r="Y502" s="1" t="str">
        <f t="shared" si="46"/>
        <v>USA</v>
      </c>
      <c r="Z502" s="4" t="str">
        <f t="shared" si="47"/>
        <v>Usa</v>
      </c>
      <c r="AA502" t="s">
        <v>32</v>
      </c>
      <c r="AB502" t="s">
        <v>33</v>
      </c>
      <c r="AC502" t="s">
        <v>34</v>
      </c>
      <c r="AD502" t="s">
        <v>143</v>
      </c>
      <c r="AE502" t="s">
        <v>51</v>
      </c>
    </row>
    <row r="503" spans="1:31" x14ac:dyDescent="0.3">
      <c r="A503">
        <v>10102</v>
      </c>
      <c r="B503">
        <v>41</v>
      </c>
      <c r="C503">
        <v>50.14</v>
      </c>
      <c r="D503">
        <v>1</v>
      </c>
      <c r="E503" s="4" t="str">
        <f t="shared" si="42"/>
        <v>low sales</v>
      </c>
      <c r="F503">
        <v>2055.7399999999998</v>
      </c>
      <c r="G503" t="s">
        <v>1175</v>
      </c>
      <c r="H503" s="1" t="str">
        <f t="shared" si="43"/>
        <v>Shipped</v>
      </c>
      <c r="I503" s="4" t="str">
        <f t="shared" si="44"/>
        <v>completed</v>
      </c>
      <c r="J503" t="s">
        <v>25</v>
      </c>
      <c r="K503">
        <v>1</v>
      </c>
      <c r="L503">
        <v>1</v>
      </c>
      <c r="M503">
        <v>2003</v>
      </c>
      <c r="N503" t="s">
        <v>550</v>
      </c>
      <c r="O503">
        <v>53</v>
      </c>
      <c r="P503" t="s">
        <v>564</v>
      </c>
      <c r="Q503" t="s">
        <v>99</v>
      </c>
      <c r="R503">
        <v>2125551500</v>
      </c>
      <c r="S503" t="s">
        <v>100</v>
      </c>
      <c r="T503" t="s">
        <v>101</v>
      </c>
      <c r="U503" s="1" t="str">
        <f t="shared" si="45"/>
        <v>Nyc</v>
      </c>
      <c r="V503" t="s">
        <v>30</v>
      </c>
      <c r="W503" t="s">
        <v>31</v>
      </c>
      <c r="X503">
        <v>10022</v>
      </c>
      <c r="Y503" s="1" t="str">
        <f t="shared" si="46"/>
        <v>USA</v>
      </c>
      <c r="Z503" s="4" t="str">
        <f t="shared" si="47"/>
        <v>Usa</v>
      </c>
      <c r="AA503" t="s">
        <v>32</v>
      </c>
      <c r="AB503" t="s">
        <v>33</v>
      </c>
      <c r="AC503" t="s">
        <v>102</v>
      </c>
      <c r="AD503" t="s">
        <v>103</v>
      </c>
      <c r="AE503" t="s">
        <v>36</v>
      </c>
    </row>
    <row r="504" spans="1:31" x14ac:dyDescent="0.3">
      <c r="A504">
        <v>10111</v>
      </c>
      <c r="B504">
        <v>48</v>
      </c>
      <c r="C504">
        <v>49.06</v>
      </c>
      <c r="D504">
        <v>5</v>
      </c>
      <c r="E504" s="4" t="str">
        <f t="shared" si="42"/>
        <v>low sales</v>
      </c>
      <c r="F504">
        <v>2354.88</v>
      </c>
      <c r="G504" t="s">
        <v>1176</v>
      </c>
      <c r="H504" s="1" t="str">
        <f t="shared" si="43"/>
        <v>Shipped</v>
      </c>
      <c r="I504" s="4" t="str">
        <f t="shared" si="44"/>
        <v>completed</v>
      </c>
      <c r="J504" t="s">
        <v>25</v>
      </c>
      <c r="K504">
        <v>1</v>
      </c>
      <c r="L504">
        <v>3</v>
      </c>
      <c r="M504">
        <v>2003</v>
      </c>
      <c r="N504" t="s">
        <v>550</v>
      </c>
      <c r="O504">
        <v>53</v>
      </c>
      <c r="P504" t="s">
        <v>564</v>
      </c>
      <c r="Q504" t="s">
        <v>81</v>
      </c>
      <c r="R504">
        <v>6505555787</v>
      </c>
      <c r="S504" t="s">
        <v>82</v>
      </c>
      <c r="U504" s="1" t="str">
        <f t="shared" si="45"/>
        <v>San Francisco</v>
      </c>
      <c r="V504" t="s">
        <v>60</v>
      </c>
      <c r="W504" t="s">
        <v>55</v>
      </c>
      <c r="Y504" s="1" t="str">
        <f t="shared" si="46"/>
        <v>USA</v>
      </c>
      <c r="Z504" s="4" t="str">
        <f t="shared" si="47"/>
        <v>Usa</v>
      </c>
      <c r="AA504" t="s">
        <v>32</v>
      </c>
      <c r="AB504" t="s">
        <v>33</v>
      </c>
      <c r="AC504" t="s">
        <v>83</v>
      </c>
      <c r="AD504" t="s">
        <v>57</v>
      </c>
      <c r="AE504" t="s">
        <v>36</v>
      </c>
    </row>
    <row r="505" spans="1:31" x14ac:dyDescent="0.3">
      <c r="A505">
        <v>10126</v>
      </c>
      <c r="B505">
        <v>42</v>
      </c>
      <c r="C505">
        <v>54.99</v>
      </c>
      <c r="D505">
        <v>17</v>
      </c>
      <c r="E505" s="4" t="str">
        <f t="shared" si="42"/>
        <v>low sales</v>
      </c>
      <c r="F505">
        <v>2309.58</v>
      </c>
      <c r="G505" t="s">
        <v>1177</v>
      </c>
      <c r="H505" s="1" t="str">
        <f t="shared" si="43"/>
        <v>Shipped</v>
      </c>
      <c r="I505" s="4" t="str">
        <f t="shared" si="44"/>
        <v>completed</v>
      </c>
      <c r="J505" t="s">
        <v>25</v>
      </c>
      <c r="K505">
        <v>2</v>
      </c>
      <c r="L505">
        <v>5</v>
      </c>
      <c r="M505">
        <v>2003</v>
      </c>
      <c r="N505" t="s">
        <v>550</v>
      </c>
      <c r="O505">
        <v>53</v>
      </c>
      <c r="P505" t="s">
        <v>564</v>
      </c>
      <c r="Q505" t="s">
        <v>191</v>
      </c>
      <c r="R505" t="s">
        <v>192</v>
      </c>
      <c r="S505" t="s">
        <v>193</v>
      </c>
      <c r="U505" s="1" t="str">
        <f t="shared" si="45"/>
        <v>Madrid</v>
      </c>
      <c r="V505" t="s">
        <v>177</v>
      </c>
      <c r="X505">
        <v>28023</v>
      </c>
      <c r="Y505" s="1" t="str">
        <f t="shared" si="46"/>
        <v>SPAIN</v>
      </c>
      <c r="Z505" s="4" t="str">
        <f t="shared" si="47"/>
        <v>Spain</v>
      </c>
      <c r="AA505" t="s">
        <v>178</v>
      </c>
      <c r="AB505" t="s">
        <v>42</v>
      </c>
      <c r="AC505" t="s">
        <v>194</v>
      </c>
      <c r="AD505" t="s">
        <v>195</v>
      </c>
      <c r="AE505" t="s">
        <v>36</v>
      </c>
    </row>
    <row r="506" spans="1:31" x14ac:dyDescent="0.3">
      <c r="A506">
        <v>10139</v>
      </c>
      <c r="B506">
        <v>49</v>
      </c>
      <c r="C506">
        <v>43.13</v>
      </c>
      <c r="D506">
        <v>6</v>
      </c>
      <c r="E506" s="4" t="str">
        <f t="shared" si="42"/>
        <v>low sales</v>
      </c>
      <c r="F506">
        <v>2113.37</v>
      </c>
      <c r="G506" t="s">
        <v>1178</v>
      </c>
      <c r="H506" s="1" t="str">
        <f t="shared" si="43"/>
        <v>Shipped</v>
      </c>
      <c r="I506" s="4" t="str">
        <f t="shared" si="44"/>
        <v>completed</v>
      </c>
      <c r="J506" t="s">
        <v>25</v>
      </c>
      <c r="K506">
        <v>3</v>
      </c>
      <c r="L506">
        <v>7</v>
      </c>
      <c r="M506">
        <v>2003</v>
      </c>
      <c r="N506" t="s">
        <v>550</v>
      </c>
      <c r="O506">
        <v>53</v>
      </c>
      <c r="P506" t="s">
        <v>564</v>
      </c>
      <c r="Q506" t="s">
        <v>152</v>
      </c>
      <c r="R506" t="s">
        <v>153</v>
      </c>
      <c r="S506" t="s">
        <v>154</v>
      </c>
      <c r="T506" t="s">
        <v>155</v>
      </c>
      <c r="U506" s="1" t="str">
        <f t="shared" si="45"/>
        <v>Chatswood</v>
      </c>
      <c r="V506" t="s">
        <v>156</v>
      </c>
      <c r="W506" t="s">
        <v>157</v>
      </c>
      <c r="X506">
        <v>2067</v>
      </c>
      <c r="Y506" s="1" t="str">
        <f t="shared" si="46"/>
        <v>AUSTRALIA</v>
      </c>
      <c r="Z506" s="4" t="str">
        <f t="shared" si="47"/>
        <v>Australia</v>
      </c>
      <c r="AA506" t="s">
        <v>95</v>
      </c>
      <c r="AB506" t="s">
        <v>96</v>
      </c>
      <c r="AC506" t="s">
        <v>158</v>
      </c>
      <c r="AD506" t="s">
        <v>159</v>
      </c>
      <c r="AE506" t="s">
        <v>36</v>
      </c>
    </row>
    <row r="507" spans="1:31" x14ac:dyDescent="0.3">
      <c r="A507">
        <v>10149</v>
      </c>
      <c r="B507">
        <v>30</v>
      </c>
      <c r="C507">
        <v>58.22</v>
      </c>
      <c r="D507">
        <v>3</v>
      </c>
      <c r="E507" s="4" t="str">
        <f t="shared" si="42"/>
        <v>low sales</v>
      </c>
      <c r="F507">
        <v>1746.6</v>
      </c>
      <c r="G507" t="s">
        <v>1179</v>
      </c>
      <c r="H507" s="1" t="str">
        <f t="shared" si="43"/>
        <v>Shipped</v>
      </c>
      <c r="I507" s="4" t="str">
        <f t="shared" si="44"/>
        <v>completed</v>
      </c>
      <c r="J507" t="s">
        <v>25</v>
      </c>
      <c r="K507">
        <v>3</v>
      </c>
      <c r="L507">
        <v>9</v>
      </c>
      <c r="M507">
        <v>2003</v>
      </c>
      <c r="N507" t="s">
        <v>550</v>
      </c>
      <c r="O507">
        <v>53</v>
      </c>
      <c r="P507" t="s">
        <v>564</v>
      </c>
      <c r="Q507" t="s">
        <v>526</v>
      </c>
      <c r="R507">
        <v>4155554312</v>
      </c>
      <c r="S507" t="s">
        <v>527</v>
      </c>
      <c r="U507" s="1" t="str">
        <f t="shared" si="45"/>
        <v>Brisbane</v>
      </c>
      <c r="V507" t="s">
        <v>528</v>
      </c>
      <c r="W507" t="s">
        <v>55</v>
      </c>
      <c r="X507">
        <v>94217</v>
      </c>
      <c r="Y507" s="1" t="str">
        <f t="shared" si="46"/>
        <v>USA</v>
      </c>
      <c r="Z507" s="4" t="str">
        <f t="shared" si="47"/>
        <v>Usa</v>
      </c>
      <c r="AA507" t="s">
        <v>32</v>
      </c>
      <c r="AB507" t="s">
        <v>33</v>
      </c>
      <c r="AC507" t="s">
        <v>529</v>
      </c>
      <c r="AD507" t="s">
        <v>400</v>
      </c>
      <c r="AE507" t="s">
        <v>36</v>
      </c>
    </row>
    <row r="508" spans="1:31" x14ac:dyDescent="0.3">
      <c r="A508">
        <v>10162</v>
      </c>
      <c r="B508">
        <v>45</v>
      </c>
      <c r="C508">
        <v>51.21</v>
      </c>
      <c r="D508">
        <v>1</v>
      </c>
      <c r="E508" s="4" t="str">
        <f t="shared" si="42"/>
        <v>low sales</v>
      </c>
      <c r="F508">
        <v>2304.4499999999998</v>
      </c>
      <c r="G508" t="s">
        <v>1180</v>
      </c>
      <c r="H508" s="1" t="str">
        <f t="shared" si="43"/>
        <v>Shipped</v>
      </c>
      <c r="I508" s="4" t="str">
        <f t="shared" si="44"/>
        <v>completed</v>
      </c>
      <c r="J508" t="s">
        <v>25</v>
      </c>
      <c r="K508">
        <v>4</v>
      </c>
      <c r="L508">
        <v>10</v>
      </c>
      <c r="M508">
        <v>2003</v>
      </c>
      <c r="N508" t="s">
        <v>550</v>
      </c>
      <c r="O508">
        <v>53</v>
      </c>
      <c r="P508" t="s">
        <v>564</v>
      </c>
      <c r="Q508" t="s">
        <v>58</v>
      </c>
      <c r="R508">
        <v>6505551386</v>
      </c>
      <c r="S508" t="s">
        <v>59</v>
      </c>
      <c r="U508" s="1" t="str">
        <f t="shared" si="45"/>
        <v>San Francisco</v>
      </c>
      <c r="V508" t="s">
        <v>60</v>
      </c>
      <c r="W508" t="s">
        <v>55</v>
      </c>
      <c r="Y508" s="1" t="str">
        <f t="shared" si="46"/>
        <v>USA</v>
      </c>
      <c r="Z508" s="4" t="str">
        <f t="shared" si="47"/>
        <v>Usa</v>
      </c>
      <c r="AA508" t="s">
        <v>32</v>
      </c>
      <c r="AB508" t="s">
        <v>33</v>
      </c>
      <c r="AC508" t="s">
        <v>61</v>
      </c>
      <c r="AD508" t="s">
        <v>57</v>
      </c>
      <c r="AE508" t="s">
        <v>36</v>
      </c>
    </row>
    <row r="509" spans="1:31" x14ac:dyDescent="0.3">
      <c r="A509">
        <v>10173</v>
      </c>
      <c r="B509">
        <v>48</v>
      </c>
      <c r="C509">
        <v>44.21</v>
      </c>
      <c r="D509">
        <v>5</v>
      </c>
      <c r="E509" s="4" t="str">
        <f t="shared" si="42"/>
        <v>low sales</v>
      </c>
      <c r="F509">
        <v>2122.08</v>
      </c>
      <c r="G509" t="s">
        <v>1181</v>
      </c>
      <c r="H509" s="1" t="str">
        <f t="shared" si="43"/>
        <v>Shipped</v>
      </c>
      <c r="I509" s="4" t="str">
        <f t="shared" si="44"/>
        <v>completed</v>
      </c>
      <c r="J509" t="s">
        <v>25</v>
      </c>
      <c r="K509">
        <v>4</v>
      </c>
      <c r="L509">
        <v>11</v>
      </c>
      <c r="M509">
        <v>2003</v>
      </c>
      <c r="N509" t="s">
        <v>550</v>
      </c>
      <c r="O509">
        <v>53</v>
      </c>
      <c r="P509" t="s">
        <v>564</v>
      </c>
      <c r="Q509" t="s">
        <v>552</v>
      </c>
      <c r="R509" t="s">
        <v>553</v>
      </c>
      <c r="S509" t="s">
        <v>554</v>
      </c>
      <c r="U509" s="1" t="str">
        <f t="shared" si="45"/>
        <v>Bergamo</v>
      </c>
      <c r="V509" t="s">
        <v>555</v>
      </c>
      <c r="X509">
        <v>24100</v>
      </c>
      <c r="Y509" s="1" t="str">
        <f t="shared" si="46"/>
        <v>ITALY</v>
      </c>
      <c r="Z509" s="4" t="str">
        <f t="shared" si="47"/>
        <v>Italy</v>
      </c>
      <c r="AA509" t="s">
        <v>258</v>
      </c>
      <c r="AB509" t="s">
        <v>42</v>
      </c>
      <c r="AC509" t="s">
        <v>556</v>
      </c>
      <c r="AD509" t="s">
        <v>557</v>
      </c>
      <c r="AE509" t="s">
        <v>36</v>
      </c>
    </row>
    <row r="510" spans="1:31" x14ac:dyDescent="0.3">
      <c r="A510">
        <v>10182</v>
      </c>
      <c r="B510">
        <v>32</v>
      </c>
      <c r="C510">
        <v>54.45</v>
      </c>
      <c r="D510">
        <v>2</v>
      </c>
      <c r="E510" s="4" t="str">
        <f t="shared" si="42"/>
        <v>low sales</v>
      </c>
      <c r="F510">
        <v>1742.4</v>
      </c>
      <c r="G510" t="s">
        <v>1182</v>
      </c>
      <c r="H510" s="1" t="str">
        <f t="shared" si="43"/>
        <v>Shipped</v>
      </c>
      <c r="I510" s="4" t="str">
        <f t="shared" si="44"/>
        <v>completed</v>
      </c>
      <c r="J510" t="s">
        <v>25</v>
      </c>
      <c r="K510">
        <v>4</v>
      </c>
      <c r="L510">
        <v>11</v>
      </c>
      <c r="M510">
        <v>2003</v>
      </c>
      <c r="N510" t="s">
        <v>550</v>
      </c>
      <c r="O510">
        <v>53</v>
      </c>
      <c r="P510" t="s">
        <v>564</v>
      </c>
      <c r="Q510" t="s">
        <v>272</v>
      </c>
      <c r="R510">
        <v>4155551450</v>
      </c>
      <c r="S510" t="s">
        <v>273</v>
      </c>
      <c r="U510" s="1" t="str">
        <f t="shared" si="45"/>
        <v>San Rafael</v>
      </c>
      <c r="V510" t="s">
        <v>274</v>
      </c>
      <c r="W510" t="s">
        <v>55</v>
      </c>
      <c r="X510">
        <v>97562</v>
      </c>
      <c r="Y510" s="1" t="str">
        <f t="shared" si="46"/>
        <v>USA</v>
      </c>
      <c r="Z510" s="4" t="str">
        <f t="shared" si="47"/>
        <v>Usa</v>
      </c>
      <c r="AA510" t="s">
        <v>32</v>
      </c>
      <c r="AB510" t="s">
        <v>33</v>
      </c>
      <c r="AC510" t="s">
        <v>275</v>
      </c>
      <c r="AD510" t="s">
        <v>276</v>
      </c>
      <c r="AE510" t="s">
        <v>36</v>
      </c>
    </row>
    <row r="511" spans="1:31" x14ac:dyDescent="0.3">
      <c r="A511">
        <v>10193</v>
      </c>
      <c r="B511">
        <v>46</v>
      </c>
      <c r="C511">
        <v>53.37</v>
      </c>
      <c r="D511">
        <v>6</v>
      </c>
      <c r="E511" s="4" t="str">
        <f t="shared" si="42"/>
        <v>low sales</v>
      </c>
      <c r="F511">
        <v>2455.02</v>
      </c>
      <c r="G511" t="s">
        <v>1183</v>
      </c>
      <c r="H511" s="1" t="str">
        <f t="shared" si="43"/>
        <v>Shipped</v>
      </c>
      <c r="I511" s="4" t="str">
        <f t="shared" si="44"/>
        <v>completed</v>
      </c>
      <c r="J511" t="s">
        <v>25</v>
      </c>
      <c r="K511">
        <v>4</v>
      </c>
      <c r="L511">
        <v>11</v>
      </c>
      <c r="M511">
        <v>2003</v>
      </c>
      <c r="N511" t="s">
        <v>550</v>
      </c>
      <c r="O511">
        <v>53</v>
      </c>
      <c r="P511" t="s">
        <v>564</v>
      </c>
      <c r="Q511" t="s">
        <v>558</v>
      </c>
      <c r="R511" t="s">
        <v>559</v>
      </c>
      <c r="S511" t="s">
        <v>560</v>
      </c>
      <c r="U511" s="1" t="str">
        <f t="shared" si="45"/>
        <v>Glen Waverly</v>
      </c>
      <c r="V511" t="s">
        <v>561</v>
      </c>
      <c r="W511" t="s">
        <v>94</v>
      </c>
      <c r="X511">
        <v>3150</v>
      </c>
      <c r="Y511" s="1" t="str">
        <f t="shared" si="46"/>
        <v>AUSTRALIA</v>
      </c>
      <c r="Z511" s="4" t="str">
        <f t="shared" si="47"/>
        <v>Australia</v>
      </c>
      <c r="AA511" t="s">
        <v>95</v>
      </c>
      <c r="AB511" t="s">
        <v>96</v>
      </c>
      <c r="AC511" t="s">
        <v>562</v>
      </c>
      <c r="AD511" t="s">
        <v>563</v>
      </c>
      <c r="AE511" t="s">
        <v>36</v>
      </c>
    </row>
    <row r="512" spans="1:31" x14ac:dyDescent="0.3">
      <c r="A512">
        <v>10205</v>
      </c>
      <c r="B512">
        <v>48</v>
      </c>
      <c r="C512">
        <v>63.61</v>
      </c>
      <c r="D512">
        <v>1</v>
      </c>
      <c r="E512" s="4" t="str">
        <f t="shared" si="42"/>
        <v>low sales</v>
      </c>
      <c r="F512">
        <v>3053.28</v>
      </c>
      <c r="G512" t="s">
        <v>1184</v>
      </c>
      <c r="H512" s="1" t="str">
        <f t="shared" si="43"/>
        <v>Shipped</v>
      </c>
      <c r="I512" s="4" t="str">
        <f t="shared" si="44"/>
        <v>completed</v>
      </c>
      <c r="J512" t="s">
        <v>25</v>
      </c>
      <c r="K512">
        <v>4</v>
      </c>
      <c r="L512">
        <v>12</v>
      </c>
      <c r="M512">
        <v>2003</v>
      </c>
      <c r="N512" t="s">
        <v>550</v>
      </c>
      <c r="O512">
        <v>53</v>
      </c>
      <c r="P512" t="s">
        <v>564</v>
      </c>
      <c r="Q512" t="s">
        <v>174</v>
      </c>
      <c r="R512" t="s">
        <v>175</v>
      </c>
      <c r="S512" t="s">
        <v>176</v>
      </c>
      <c r="U512" s="1" t="str">
        <f t="shared" si="45"/>
        <v>Madrid</v>
      </c>
      <c r="V512" t="s">
        <v>177</v>
      </c>
      <c r="X512">
        <v>28034</v>
      </c>
      <c r="Y512" s="1" t="str">
        <f t="shared" si="46"/>
        <v>SPAIN</v>
      </c>
      <c r="Z512" s="4" t="str">
        <f t="shared" si="47"/>
        <v>Spain</v>
      </c>
      <c r="AA512" t="s">
        <v>178</v>
      </c>
      <c r="AB512" t="s">
        <v>42</v>
      </c>
      <c r="AC512" t="s">
        <v>179</v>
      </c>
      <c r="AD512" t="s">
        <v>180</v>
      </c>
      <c r="AE512" t="s">
        <v>51</v>
      </c>
    </row>
    <row r="513" spans="1:31" x14ac:dyDescent="0.3">
      <c r="A513">
        <v>10215</v>
      </c>
      <c r="B513">
        <v>33</v>
      </c>
      <c r="C513">
        <v>43.13</v>
      </c>
      <c r="D513">
        <v>9</v>
      </c>
      <c r="E513" s="4" t="str">
        <f t="shared" si="42"/>
        <v>low sales</v>
      </c>
      <c r="F513">
        <v>1423.29</v>
      </c>
      <c r="G513" t="s">
        <v>1185</v>
      </c>
      <c r="H513" s="1" t="str">
        <f t="shared" si="43"/>
        <v>Shipped</v>
      </c>
      <c r="I513" s="4" t="str">
        <f t="shared" si="44"/>
        <v>completed</v>
      </c>
      <c r="J513" t="s">
        <v>25</v>
      </c>
      <c r="K513">
        <v>1</v>
      </c>
      <c r="L513">
        <v>1</v>
      </c>
      <c r="M513">
        <v>2004</v>
      </c>
      <c r="N513" t="s">
        <v>550</v>
      </c>
      <c r="O513">
        <v>53</v>
      </c>
      <c r="P513" t="s">
        <v>564</v>
      </c>
      <c r="Q513" t="s">
        <v>234</v>
      </c>
      <c r="R513">
        <v>3105553722</v>
      </c>
      <c r="S513" t="s">
        <v>235</v>
      </c>
      <c r="U513" s="1" t="str">
        <f t="shared" si="45"/>
        <v>Burbank</v>
      </c>
      <c r="V513" t="s">
        <v>236</v>
      </c>
      <c r="W513" t="s">
        <v>55</v>
      </c>
      <c r="X513">
        <v>94019</v>
      </c>
      <c r="Y513" s="1" t="str">
        <f t="shared" si="46"/>
        <v>USA</v>
      </c>
      <c r="Z513" s="4" t="str">
        <f t="shared" si="47"/>
        <v>Usa</v>
      </c>
      <c r="AA513" t="s">
        <v>32</v>
      </c>
      <c r="AB513" t="s">
        <v>33</v>
      </c>
      <c r="AC513" t="s">
        <v>237</v>
      </c>
      <c r="AD513" t="s">
        <v>238</v>
      </c>
      <c r="AE513" t="s">
        <v>36</v>
      </c>
    </row>
    <row r="514" spans="1:31" x14ac:dyDescent="0.3">
      <c r="A514">
        <v>10227</v>
      </c>
      <c r="B514">
        <v>31</v>
      </c>
      <c r="C514">
        <v>48.52</v>
      </c>
      <c r="D514">
        <v>2</v>
      </c>
      <c r="E514" s="4" t="str">
        <f t="shared" si="42"/>
        <v>low sales</v>
      </c>
      <c r="F514">
        <v>1504.12</v>
      </c>
      <c r="G514" t="s">
        <v>1186</v>
      </c>
      <c r="H514" s="1" t="str">
        <f t="shared" si="43"/>
        <v>Shipped</v>
      </c>
      <c r="I514" s="4" t="str">
        <f t="shared" si="44"/>
        <v>completed</v>
      </c>
      <c r="J514" t="s">
        <v>25</v>
      </c>
      <c r="K514">
        <v>1</v>
      </c>
      <c r="L514">
        <v>3</v>
      </c>
      <c r="M514">
        <v>2004</v>
      </c>
      <c r="N514" t="s">
        <v>550</v>
      </c>
      <c r="O514">
        <v>53</v>
      </c>
      <c r="P514" t="s">
        <v>564</v>
      </c>
      <c r="Q514" t="s">
        <v>219</v>
      </c>
      <c r="R514" t="s">
        <v>220</v>
      </c>
      <c r="S514" t="s">
        <v>221</v>
      </c>
      <c r="U514" s="1" t="str">
        <f t="shared" si="45"/>
        <v>Lyon</v>
      </c>
      <c r="V514" t="s">
        <v>222</v>
      </c>
      <c r="X514">
        <v>69004</v>
      </c>
      <c r="Y514" s="1" t="str">
        <f t="shared" si="46"/>
        <v>FRANCE</v>
      </c>
      <c r="Z514" s="4" t="str">
        <f t="shared" si="47"/>
        <v>France</v>
      </c>
      <c r="AA514" t="s">
        <v>41</v>
      </c>
      <c r="AB514" t="s">
        <v>42</v>
      </c>
      <c r="AC514" t="s">
        <v>223</v>
      </c>
      <c r="AD514" t="s">
        <v>224</v>
      </c>
      <c r="AE514" t="s">
        <v>36</v>
      </c>
    </row>
    <row r="515" spans="1:31" x14ac:dyDescent="0.3">
      <c r="A515">
        <v>10244</v>
      </c>
      <c r="B515">
        <v>20</v>
      </c>
      <c r="C515">
        <v>58.22</v>
      </c>
      <c r="D515">
        <v>6</v>
      </c>
      <c r="E515" s="4" t="str">
        <f t="shared" ref="E515:E578" si="48">IF(F515&gt;4000,"high sales","low sales")</f>
        <v>low sales</v>
      </c>
      <c r="F515">
        <v>1164.4000000000001</v>
      </c>
      <c r="G515" t="s">
        <v>1187</v>
      </c>
      <c r="H515" s="1" t="str">
        <f t="shared" ref="H515:H578" si="49">PROPER(TRIM(J515))</f>
        <v>Shipped</v>
      </c>
      <c r="I515" s="4" t="str">
        <f t="shared" ref="I515:I578" si="50">IF(J515="shipped","completed","not completed")</f>
        <v>completed</v>
      </c>
      <c r="J515" t="s">
        <v>25</v>
      </c>
      <c r="K515">
        <v>2</v>
      </c>
      <c r="L515">
        <v>4</v>
      </c>
      <c r="M515">
        <v>2004</v>
      </c>
      <c r="N515" t="s">
        <v>550</v>
      </c>
      <c r="O515">
        <v>53</v>
      </c>
      <c r="P515" t="s">
        <v>564</v>
      </c>
      <c r="Q515" t="s">
        <v>174</v>
      </c>
      <c r="R515" t="s">
        <v>175</v>
      </c>
      <c r="S515" t="s">
        <v>176</v>
      </c>
      <c r="U515" s="1" t="str">
        <f t="shared" ref="U515:U578" si="51">PROPER(TRIM(V515))</f>
        <v>Madrid</v>
      </c>
      <c r="V515" t="s">
        <v>177</v>
      </c>
      <c r="X515">
        <v>28034</v>
      </c>
      <c r="Y515" s="1" t="str">
        <f t="shared" ref="Y515:Y578" si="52">UPPER(TRIM(AA515))</f>
        <v>SPAIN</v>
      </c>
      <c r="Z515" s="4" t="str">
        <f t="shared" ref="Z515:Z578" si="53">PROPER(TRIM(AA515))</f>
        <v>Spain</v>
      </c>
      <c r="AA515" t="s">
        <v>178</v>
      </c>
      <c r="AB515" t="s">
        <v>42</v>
      </c>
      <c r="AC515" t="s">
        <v>179</v>
      </c>
      <c r="AD515" t="s">
        <v>180</v>
      </c>
      <c r="AE515" t="s">
        <v>36</v>
      </c>
    </row>
    <row r="516" spans="1:31" x14ac:dyDescent="0.3">
      <c r="A516">
        <v>10256</v>
      </c>
      <c r="B516">
        <v>29</v>
      </c>
      <c r="C516">
        <v>51.75</v>
      </c>
      <c r="D516">
        <v>1</v>
      </c>
      <c r="E516" s="4" t="str">
        <f t="shared" si="48"/>
        <v>low sales</v>
      </c>
      <c r="F516">
        <v>1500.75</v>
      </c>
      <c r="G516" t="s">
        <v>1188</v>
      </c>
      <c r="H516" s="1" t="str">
        <f t="shared" si="49"/>
        <v>Shipped</v>
      </c>
      <c r="I516" s="4" t="str">
        <f t="shared" si="50"/>
        <v>completed</v>
      </c>
      <c r="J516" t="s">
        <v>25</v>
      </c>
      <c r="K516">
        <v>2</v>
      </c>
      <c r="L516">
        <v>6</v>
      </c>
      <c r="M516">
        <v>2004</v>
      </c>
      <c r="N516" t="s">
        <v>550</v>
      </c>
      <c r="O516">
        <v>53</v>
      </c>
      <c r="P516" t="s">
        <v>564</v>
      </c>
      <c r="Q516" t="s">
        <v>322</v>
      </c>
      <c r="R516" t="s">
        <v>323</v>
      </c>
      <c r="S516" t="s">
        <v>324</v>
      </c>
      <c r="U516" s="1" t="str">
        <f t="shared" si="51"/>
        <v>Kobenhavn</v>
      </c>
      <c r="V516" t="s">
        <v>325</v>
      </c>
      <c r="X516">
        <v>1734</v>
      </c>
      <c r="Y516" s="1" t="str">
        <f t="shared" si="52"/>
        <v>DENMARK</v>
      </c>
      <c r="Z516" s="4" t="str">
        <f t="shared" si="53"/>
        <v>Denmark</v>
      </c>
      <c r="AA516" t="s">
        <v>326</v>
      </c>
      <c r="AB516" t="s">
        <v>42</v>
      </c>
      <c r="AC516" t="s">
        <v>327</v>
      </c>
      <c r="AD516" t="s">
        <v>328</v>
      </c>
      <c r="AE516" t="s">
        <v>36</v>
      </c>
    </row>
    <row r="517" spans="1:31" x14ac:dyDescent="0.3">
      <c r="A517">
        <v>10280</v>
      </c>
      <c r="B517">
        <v>27</v>
      </c>
      <c r="C517">
        <v>57.68</v>
      </c>
      <c r="D517">
        <v>8</v>
      </c>
      <c r="E517" s="4" t="str">
        <f t="shared" si="48"/>
        <v>low sales</v>
      </c>
      <c r="F517">
        <v>1557.36</v>
      </c>
      <c r="G517" t="s">
        <v>1189</v>
      </c>
      <c r="H517" s="1" t="str">
        <f t="shared" si="49"/>
        <v>Shipped</v>
      </c>
      <c r="I517" s="4" t="str">
        <f t="shared" si="50"/>
        <v>completed</v>
      </c>
      <c r="J517" t="s">
        <v>25</v>
      </c>
      <c r="K517">
        <v>3</v>
      </c>
      <c r="L517">
        <v>8</v>
      </c>
      <c r="M517">
        <v>2004</v>
      </c>
      <c r="N517" t="s">
        <v>550</v>
      </c>
      <c r="O517">
        <v>53</v>
      </c>
      <c r="P517" t="s">
        <v>564</v>
      </c>
      <c r="Q517" t="s">
        <v>254</v>
      </c>
      <c r="R517" t="s">
        <v>255</v>
      </c>
      <c r="S517" t="s">
        <v>256</v>
      </c>
      <c r="U517" s="1" t="str">
        <f t="shared" si="51"/>
        <v>Torino</v>
      </c>
      <c r="V517" t="s">
        <v>257</v>
      </c>
      <c r="X517">
        <v>10100</v>
      </c>
      <c r="Y517" s="1" t="str">
        <f t="shared" si="52"/>
        <v>ITALY</v>
      </c>
      <c r="Z517" s="4" t="str">
        <f t="shared" si="53"/>
        <v>Italy</v>
      </c>
      <c r="AA517" t="s">
        <v>258</v>
      </c>
      <c r="AB517" t="s">
        <v>42</v>
      </c>
      <c r="AC517" t="s">
        <v>259</v>
      </c>
      <c r="AD517" t="s">
        <v>260</v>
      </c>
      <c r="AE517" t="s">
        <v>36</v>
      </c>
    </row>
    <row r="518" spans="1:31" x14ac:dyDescent="0.3">
      <c r="A518">
        <v>10289</v>
      </c>
      <c r="B518">
        <v>24</v>
      </c>
      <c r="C518">
        <v>56.07</v>
      </c>
      <c r="D518">
        <v>1</v>
      </c>
      <c r="E518" s="4" t="str">
        <f t="shared" si="48"/>
        <v>low sales</v>
      </c>
      <c r="F518">
        <v>1345.68</v>
      </c>
      <c r="G518" t="s">
        <v>1190</v>
      </c>
      <c r="H518" s="1" t="str">
        <f t="shared" si="49"/>
        <v>Shipped</v>
      </c>
      <c r="I518" s="4" t="str">
        <f t="shared" si="50"/>
        <v>completed</v>
      </c>
      <c r="J518" t="s">
        <v>25</v>
      </c>
      <c r="K518">
        <v>3</v>
      </c>
      <c r="L518">
        <v>9</v>
      </c>
      <c r="M518">
        <v>2004</v>
      </c>
      <c r="N518" t="s">
        <v>550</v>
      </c>
      <c r="O518">
        <v>53</v>
      </c>
      <c r="P518" t="s">
        <v>564</v>
      </c>
      <c r="Q518" t="s">
        <v>73</v>
      </c>
      <c r="R518" t="s">
        <v>74</v>
      </c>
      <c r="S518" t="s">
        <v>75</v>
      </c>
      <c r="U518" s="1" t="str">
        <f t="shared" si="51"/>
        <v>Bergen</v>
      </c>
      <c r="V518" t="s">
        <v>76</v>
      </c>
      <c r="X518" t="s">
        <v>77</v>
      </c>
      <c r="Y518" s="1" t="str">
        <f t="shared" si="52"/>
        <v>NORWAY</v>
      </c>
      <c r="Z518" s="4" t="str">
        <f t="shared" si="53"/>
        <v>Norway</v>
      </c>
      <c r="AA518" t="s">
        <v>78</v>
      </c>
      <c r="AB518" t="s">
        <v>42</v>
      </c>
      <c r="AC518" t="s">
        <v>79</v>
      </c>
      <c r="AD518" t="s">
        <v>80</v>
      </c>
      <c r="AE518" t="s">
        <v>36</v>
      </c>
    </row>
    <row r="519" spans="1:31" x14ac:dyDescent="0.3">
      <c r="A519">
        <v>10304</v>
      </c>
      <c r="B519">
        <v>37</v>
      </c>
      <c r="C519">
        <v>48.52</v>
      </c>
      <c r="D519">
        <v>12</v>
      </c>
      <c r="E519" s="4" t="str">
        <f t="shared" si="48"/>
        <v>low sales</v>
      </c>
      <c r="F519">
        <v>1795.24</v>
      </c>
      <c r="G519" t="s">
        <v>1191</v>
      </c>
      <c r="H519" s="1" t="str">
        <f t="shared" si="49"/>
        <v>Shipped</v>
      </c>
      <c r="I519" s="4" t="str">
        <f t="shared" si="50"/>
        <v>completed</v>
      </c>
      <c r="J519" t="s">
        <v>25</v>
      </c>
      <c r="K519">
        <v>4</v>
      </c>
      <c r="L519">
        <v>10</v>
      </c>
      <c r="M519">
        <v>2004</v>
      </c>
      <c r="N519" t="s">
        <v>550</v>
      </c>
      <c r="O519">
        <v>53</v>
      </c>
      <c r="P519" t="s">
        <v>564</v>
      </c>
      <c r="Q519" t="s">
        <v>267</v>
      </c>
      <c r="R519" t="s">
        <v>268</v>
      </c>
      <c r="S519" t="s">
        <v>269</v>
      </c>
      <c r="U519" s="1" t="str">
        <f t="shared" si="51"/>
        <v>Versailles</v>
      </c>
      <c r="V519" t="s">
        <v>270</v>
      </c>
      <c r="X519">
        <v>78000</v>
      </c>
      <c r="Y519" s="1" t="str">
        <f t="shared" si="52"/>
        <v>FRANCE</v>
      </c>
      <c r="Z519" s="4" t="str">
        <f t="shared" si="53"/>
        <v>France</v>
      </c>
      <c r="AA519" t="s">
        <v>41</v>
      </c>
      <c r="AB519" t="s">
        <v>42</v>
      </c>
      <c r="AC519" t="s">
        <v>271</v>
      </c>
      <c r="AD519" t="s">
        <v>50</v>
      </c>
      <c r="AE519" t="s">
        <v>36</v>
      </c>
    </row>
    <row r="520" spans="1:31" x14ac:dyDescent="0.3">
      <c r="A520">
        <v>10312</v>
      </c>
      <c r="B520">
        <v>25</v>
      </c>
      <c r="C520">
        <v>44.21</v>
      </c>
      <c r="D520">
        <v>9</v>
      </c>
      <c r="E520" s="4" t="str">
        <f t="shared" si="48"/>
        <v>low sales</v>
      </c>
      <c r="F520">
        <v>1105.25</v>
      </c>
      <c r="G520" t="s">
        <v>1192</v>
      </c>
      <c r="H520" s="1" t="str">
        <f t="shared" si="49"/>
        <v>Shipped</v>
      </c>
      <c r="I520" s="4" t="str">
        <f t="shared" si="50"/>
        <v>completed</v>
      </c>
      <c r="J520" t="s">
        <v>25</v>
      </c>
      <c r="K520">
        <v>4</v>
      </c>
      <c r="L520">
        <v>10</v>
      </c>
      <c r="M520">
        <v>2004</v>
      </c>
      <c r="N520" t="s">
        <v>550</v>
      </c>
      <c r="O520">
        <v>53</v>
      </c>
      <c r="P520" t="s">
        <v>564</v>
      </c>
      <c r="Q520" t="s">
        <v>272</v>
      </c>
      <c r="R520">
        <v>4155551450</v>
      </c>
      <c r="S520" t="s">
        <v>273</v>
      </c>
      <c r="U520" s="1" t="str">
        <f t="shared" si="51"/>
        <v>San Rafael</v>
      </c>
      <c r="V520" t="s">
        <v>274</v>
      </c>
      <c r="W520" t="s">
        <v>55</v>
      </c>
      <c r="X520">
        <v>97562</v>
      </c>
      <c r="Y520" s="1" t="str">
        <f t="shared" si="52"/>
        <v>USA</v>
      </c>
      <c r="Z520" s="4" t="str">
        <f t="shared" si="53"/>
        <v>Usa</v>
      </c>
      <c r="AA520" t="s">
        <v>32</v>
      </c>
      <c r="AB520" t="s">
        <v>33</v>
      </c>
      <c r="AC520" t="s">
        <v>275</v>
      </c>
      <c r="AD520" t="s">
        <v>276</v>
      </c>
      <c r="AE520" t="s">
        <v>36</v>
      </c>
    </row>
    <row r="521" spans="1:31" x14ac:dyDescent="0.3">
      <c r="A521">
        <v>10322</v>
      </c>
      <c r="B521">
        <v>41</v>
      </c>
      <c r="C521">
        <v>57.68</v>
      </c>
      <c r="D521">
        <v>5</v>
      </c>
      <c r="E521" s="4" t="str">
        <f t="shared" si="48"/>
        <v>low sales</v>
      </c>
      <c r="F521">
        <v>2364.88</v>
      </c>
      <c r="G521" t="s">
        <v>1193</v>
      </c>
      <c r="H521" s="1" t="str">
        <f t="shared" si="49"/>
        <v>Shipped</v>
      </c>
      <c r="I521" s="4" t="str">
        <f t="shared" si="50"/>
        <v>completed</v>
      </c>
      <c r="J521" t="s">
        <v>25</v>
      </c>
      <c r="K521">
        <v>4</v>
      </c>
      <c r="L521">
        <v>11</v>
      </c>
      <c r="M521">
        <v>2004</v>
      </c>
      <c r="N521" t="s">
        <v>550</v>
      </c>
      <c r="O521">
        <v>53</v>
      </c>
      <c r="P521" t="s">
        <v>564</v>
      </c>
      <c r="Q521" t="s">
        <v>277</v>
      </c>
      <c r="R521">
        <v>6035558647</v>
      </c>
      <c r="S521" t="s">
        <v>278</v>
      </c>
      <c r="U521" s="1" t="str">
        <f t="shared" si="51"/>
        <v>Nashua</v>
      </c>
      <c r="V521" t="s">
        <v>279</v>
      </c>
      <c r="W521" t="s">
        <v>280</v>
      </c>
      <c r="X521">
        <v>62005</v>
      </c>
      <c r="Y521" s="1" t="str">
        <f t="shared" si="52"/>
        <v>USA</v>
      </c>
      <c r="Z521" s="4" t="str">
        <f t="shared" si="53"/>
        <v>Usa</v>
      </c>
      <c r="AA521" t="s">
        <v>32</v>
      </c>
      <c r="AB521" t="s">
        <v>33</v>
      </c>
      <c r="AC521" t="s">
        <v>56</v>
      </c>
      <c r="AD521" t="s">
        <v>276</v>
      </c>
      <c r="AE521" t="s">
        <v>36</v>
      </c>
    </row>
    <row r="522" spans="1:31" x14ac:dyDescent="0.3">
      <c r="A522">
        <v>10332</v>
      </c>
      <c r="B522">
        <v>27</v>
      </c>
      <c r="C522">
        <v>89.89</v>
      </c>
      <c r="D522">
        <v>16</v>
      </c>
      <c r="E522" s="4" t="str">
        <f t="shared" si="48"/>
        <v>low sales</v>
      </c>
      <c r="F522">
        <v>2427.0300000000002</v>
      </c>
      <c r="G522" t="s">
        <v>1194</v>
      </c>
      <c r="H522" s="1" t="str">
        <f t="shared" si="49"/>
        <v>Shipped</v>
      </c>
      <c r="I522" s="4" t="str">
        <f t="shared" si="50"/>
        <v>completed</v>
      </c>
      <c r="J522" t="s">
        <v>25</v>
      </c>
      <c r="K522">
        <v>4</v>
      </c>
      <c r="L522">
        <v>11</v>
      </c>
      <c r="M522">
        <v>2004</v>
      </c>
      <c r="N522" t="s">
        <v>550</v>
      </c>
      <c r="O522">
        <v>53</v>
      </c>
      <c r="P522" t="s">
        <v>564</v>
      </c>
      <c r="Q522" t="s">
        <v>492</v>
      </c>
      <c r="R522" t="s">
        <v>493</v>
      </c>
      <c r="S522" t="s">
        <v>494</v>
      </c>
      <c r="U522" s="1" t="str">
        <f t="shared" si="51"/>
        <v>Manchester</v>
      </c>
      <c r="V522" t="s">
        <v>495</v>
      </c>
      <c r="X522" t="s">
        <v>496</v>
      </c>
      <c r="Y522" s="1" t="str">
        <f t="shared" si="52"/>
        <v>UK</v>
      </c>
      <c r="Z522" s="4" t="str">
        <f t="shared" si="53"/>
        <v>Uk</v>
      </c>
      <c r="AA522" t="s">
        <v>170</v>
      </c>
      <c r="AB522" t="s">
        <v>42</v>
      </c>
      <c r="AC522" t="s">
        <v>497</v>
      </c>
      <c r="AD522" t="s">
        <v>94</v>
      </c>
      <c r="AE522" t="s">
        <v>36</v>
      </c>
    </row>
    <row r="523" spans="1:31" x14ac:dyDescent="0.3">
      <c r="A523">
        <v>10347</v>
      </c>
      <c r="B523">
        <v>21</v>
      </c>
      <c r="C523">
        <v>58.95</v>
      </c>
      <c r="D523">
        <v>7</v>
      </c>
      <c r="E523" s="4" t="str">
        <f t="shared" si="48"/>
        <v>low sales</v>
      </c>
      <c r="F523">
        <v>1237.95</v>
      </c>
      <c r="G523" t="s">
        <v>1195</v>
      </c>
      <c r="H523" s="1" t="str">
        <f t="shared" si="49"/>
        <v>Shipped</v>
      </c>
      <c r="I523" s="4" t="str">
        <f t="shared" si="50"/>
        <v>completed</v>
      </c>
      <c r="J523" t="s">
        <v>25</v>
      </c>
      <c r="K523">
        <v>4</v>
      </c>
      <c r="L523">
        <v>11</v>
      </c>
      <c r="M523">
        <v>2004</v>
      </c>
      <c r="N523" t="s">
        <v>550</v>
      </c>
      <c r="O523">
        <v>53</v>
      </c>
      <c r="P523" t="s">
        <v>564</v>
      </c>
      <c r="Q523" t="s">
        <v>89</v>
      </c>
      <c r="R523" t="s">
        <v>90</v>
      </c>
      <c r="S523" t="s">
        <v>91</v>
      </c>
      <c r="T523" t="s">
        <v>92</v>
      </c>
      <c r="U523" s="1" t="str">
        <f t="shared" si="51"/>
        <v>Melbourne</v>
      </c>
      <c r="V523" t="s">
        <v>93</v>
      </c>
      <c r="W523" t="s">
        <v>94</v>
      </c>
      <c r="X523">
        <v>3004</v>
      </c>
      <c r="Y523" s="1" t="str">
        <f t="shared" si="52"/>
        <v>AUSTRALIA</v>
      </c>
      <c r="Z523" s="4" t="str">
        <f t="shared" si="53"/>
        <v>Australia</v>
      </c>
      <c r="AA523" t="s">
        <v>95</v>
      </c>
      <c r="AB523" t="s">
        <v>96</v>
      </c>
      <c r="AC523" t="s">
        <v>97</v>
      </c>
      <c r="AD523" t="s">
        <v>98</v>
      </c>
      <c r="AE523" t="s">
        <v>36</v>
      </c>
    </row>
    <row r="524" spans="1:31" x14ac:dyDescent="0.3">
      <c r="A524">
        <v>10356</v>
      </c>
      <c r="B524">
        <v>22</v>
      </c>
      <c r="C524">
        <v>72.41</v>
      </c>
      <c r="D524">
        <v>6</v>
      </c>
      <c r="E524" s="4" t="str">
        <f t="shared" si="48"/>
        <v>low sales</v>
      </c>
      <c r="F524">
        <v>1593.02</v>
      </c>
      <c r="G524" t="s">
        <v>1196</v>
      </c>
      <c r="H524" s="1" t="str">
        <f t="shared" si="49"/>
        <v>Shipped</v>
      </c>
      <c r="I524" s="4" t="str">
        <f t="shared" si="50"/>
        <v>completed</v>
      </c>
      <c r="J524" t="s">
        <v>25</v>
      </c>
      <c r="K524">
        <v>4</v>
      </c>
      <c r="L524">
        <v>12</v>
      </c>
      <c r="M524">
        <v>2004</v>
      </c>
      <c r="N524" t="s">
        <v>550</v>
      </c>
      <c r="O524">
        <v>53</v>
      </c>
      <c r="P524" t="s">
        <v>564</v>
      </c>
      <c r="Q524" t="s">
        <v>45</v>
      </c>
      <c r="R524" t="s">
        <v>46</v>
      </c>
      <c r="S524" t="s">
        <v>47</v>
      </c>
      <c r="U524" s="1" t="str">
        <f t="shared" si="51"/>
        <v>Paris</v>
      </c>
      <c r="V524" t="s">
        <v>48</v>
      </c>
      <c r="X524">
        <v>75508</v>
      </c>
      <c r="Y524" s="1" t="str">
        <f t="shared" si="52"/>
        <v>FRANCE</v>
      </c>
      <c r="Z524" s="4" t="str">
        <f t="shared" si="53"/>
        <v>France</v>
      </c>
      <c r="AA524" t="s">
        <v>41</v>
      </c>
      <c r="AB524" t="s">
        <v>42</v>
      </c>
      <c r="AC524" t="s">
        <v>49</v>
      </c>
      <c r="AD524" t="s">
        <v>50</v>
      </c>
      <c r="AE524" t="s">
        <v>36</v>
      </c>
    </row>
    <row r="525" spans="1:31" x14ac:dyDescent="0.3">
      <c r="A525">
        <v>10369</v>
      </c>
      <c r="B525">
        <v>32</v>
      </c>
      <c r="C525">
        <v>98.63</v>
      </c>
      <c r="D525">
        <v>7</v>
      </c>
      <c r="E525" s="4" t="str">
        <f t="shared" si="48"/>
        <v>low sales</v>
      </c>
      <c r="F525">
        <v>3156.16</v>
      </c>
      <c r="G525" t="s">
        <v>1197</v>
      </c>
      <c r="H525" s="1" t="str">
        <f t="shared" si="49"/>
        <v>Shipped</v>
      </c>
      <c r="I525" s="4" t="str">
        <f t="shared" si="50"/>
        <v>completed</v>
      </c>
      <c r="J525" t="s">
        <v>25</v>
      </c>
      <c r="K525">
        <v>1</v>
      </c>
      <c r="L525">
        <v>1</v>
      </c>
      <c r="M525">
        <v>2005</v>
      </c>
      <c r="N525" t="s">
        <v>550</v>
      </c>
      <c r="O525">
        <v>53</v>
      </c>
      <c r="P525" t="s">
        <v>564</v>
      </c>
      <c r="Q525" t="s">
        <v>281</v>
      </c>
      <c r="R525">
        <v>6175558555</v>
      </c>
      <c r="S525" t="s">
        <v>282</v>
      </c>
      <c r="U525" s="1" t="str">
        <f t="shared" si="51"/>
        <v>Brickhaven</v>
      </c>
      <c r="V525" t="s">
        <v>283</v>
      </c>
      <c r="W525" t="s">
        <v>123</v>
      </c>
      <c r="X525">
        <v>58339</v>
      </c>
      <c r="Y525" s="1" t="str">
        <f t="shared" si="52"/>
        <v>USA</v>
      </c>
      <c r="Z525" s="4" t="str">
        <f t="shared" si="53"/>
        <v>Usa</v>
      </c>
      <c r="AA525" t="s">
        <v>32</v>
      </c>
      <c r="AB525" t="s">
        <v>33</v>
      </c>
      <c r="AC525" t="s">
        <v>275</v>
      </c>
      <c r="AD525" t="s">
        <v>284</v>
      </c>
      <c r="AE525" t="s">
        <v>51</v>
      </c>
    </row>
    <row r="526" spans="1:31" x14ac:dyDescent="0.3">
      <c r="A526">
        <v>10381</v>
      </c>
      <c r="B526">
        <v>25</v>
      </c>
      <c r="C526">
        <v>52.83</v>
      </c>
      <c r="D526">
        <v>9</v>
      </c>
      <c r="E526" s="4" t="str">
        <f t="shared" si="48"/>
        <v>low sales</v>
      </c>
      <c r="F526">
        <v>1320.75</v>
      </c>
      <c r="G526" t="s">
        <v>1198</v>
      </c>
      <c r="H526" s="1" t="str">
        <f t="shared" si="49"/>
        <v>Shipped</v>
      </c>
      <c r="I526" s="4" t="str">
        <f t="shared" si="50"/>
        <v>completed</v>
      </c>
      <c r="J526" t="s">
        <v>25</v>
      </c>
      <c r="K526">
        <v>1</v>
      </c>
      <c r="L526">
        <v>2</v>
      </c>
      <c r="M526">
        <v>2005</v>
      </c>
      <c r="N526" t="s">
        <v>550</v>
      </c>
      <c r="O526">
        <v>53</v>
      </c>
      <c r="P526" t="s">
        <v>564</v>
      </c>
      <c r="Q526" t="s">
        <v>58</v>
      </c>
      <c r="R526">
        <v>6505551386</v>
      </c>
      <c r="S526" t="s">
        <v>59</v>
      </c>
      <c r="U526" s="1" t="str">
        <f t="shared" si="51"/>
        <v>San Francisco</v>
      </c>
      <c r="V526" t="s">
        <v>60</v>
      </c>
      <c r="W526" t="s">
        <v>55</v>
      </c>
      <c r="Y526" s="1" t="str">
        <f t="shared" si="52"/>
        <v>USA</v>
      </c>
      <c r="Z526" s="4" t="str">
        <f t="shared" si="53"/>
        <v>Usa</v>
      </c>
      <c r="AA526" t="s">
        <v>32</v>
      </c>
      <c r="AB526" t="s">
        <v>33</v>
      </c>
      <c r="AC526" t="s">
        <v>61</v>
      </c>
      <c r="AD526" t="s">
        <v>57</v>
      </c>
      <c r="AE526" t="s">
        <v>36</v>
      </c>
    </row>
    <row r="527" spans="1:31" x14ac:dyDescent="0.3">
      <c r="A527">
        <v>10391</v>
      </c>
      <c r="B527">
        <v>42</v>
      </c>
      <c r="C527">
        <v>100</v>
      </c>
      <c r="D527">
        <v>3</v>
      </c>
      <c r="E527" s="4" t="str">
        <f t="shared" si="48"/>
        <v>high sales</v>
      </c>
      <c r="F527">
        <v>4998</v>
      </c>
      <c r="G527" t="s">
        <v>1199</v>
      </c>
      <c r="H527" s="1" t="str">
        <f t="shared" si="49"/>
        <v>Shipped</v>
      </c>
      <c r="I527" s="4" t="str">
        <f t="shared" si="50"/>
        <v>completed</v>
      </c>
      <c r="J527" t="s">
        <v>25</v>
      </c>
      <c r="K527">
        <v>1</v>
      </c>
      <c r="L527">
        <v>3</v>
      </c>
      <c r="M527">
        <v>2005</v>
      </c>
      <c r="N527" t="s">
        <v>550</v>
      </c>
      <c r="O527">
        <v>53</v>
      </c>
      <c r="P527" t="s">
        <v>564</v>
      </c>
      <c r="Q527" t="s">
        <v>285</v>
      </c>
      <c r="R527" t="s">
        <v>286</v>
      </c>
      <c r="S527" t="s">
        <v>287</v>
      </c>
      <c r="T527" t="s">
        <v>288</v>
      </c>
      <c r="U527" s="1" t="str">
        <f t="shared" si="51"/>
        <v>North Sydney</v>
      </c>
      <c r="V527" t="s">
        <v>289</v>
      </c>
      <c r="W527" t="s">
        <v>157</v>
      </c>
      <c r="X527">
        <v>2060</v>
      </c>
      <c r="Y527" s="1" t="str">
        <f t="shared" si="52"/>
        <v>AUSTRALIA</v>
      </c>
      <c r="Z527" s="4" t="str">
        <f t="shared" si="53"/>
        <v>Australia</v>
      </c>
      <c r="AA527" t="s">
        <v>95</v>
      </c>
      <c r="AB527" t="s">
        <v>96</v>
      </c>
      <c r="AC527" t="s">
        <v>290</v>
      </c>
      <c r="AD527" t="s">
        <v>291</v>
      </c>
      <c r="AE527" t="s">
        <v>51</v>
      </c>
    </row>
    <row r="528" spans="1:31" x14ac:dyDescent="0.3">
      <c r="A528">
        <v>10422</v>
      </c>
      <c r="B528">
        <v>25</v>
      </c>
      <c r="C528">
        <v>51.75</v>
      </c>
      <c r="D528">
        <v>1</v>
      </c>
      <c r="E528" s="4" t="str">
        <f t="shared" si="48"/>
        <v>low sales</v>
      </c>
      <c r="F528">
        <v>1293.75</v>
      </c>
      <c r="G528" t="s">
        <v>1200</v>
      </c>
      <c r="H528" s="1" t="str">
        <f t="shared" si="49"/>
        <v>In Process</v>
      </c>
      <c r="I528" s="4" t="str">
        <f t="shared" si="50"/>
        <v>not completed</v>
      </c>
      <c r="J528" t="s">
        <v>300</v>
      </c>
      <c r="K528">
        <v>2</v>
      </c>
      <c r="L528">
        <v>5</v>
      </c>
      <c r="M528">
        <v>2005</v>
      </c>
      <c r="N528" t="s">
        <v>550</v>
      </c>
      <c r="O528">
        <v>53</v>
      </c>
      <c r="P528" t="s">
        <v>564</v>
      </c>
      <c r="Q528" t="s">
        <v>139</v>
      </c>
      <c r="R528">
        <v>2155551555</v>
      </c>
      <c r="S528" t="s">
        <v>140</v>
      </c>
      <c r="U528" s="1" t="str">
        <f t="shared" si="51"/>
        <v>Allentown</v>
      </c>
      <c r="V528" t="s">
        <v>141</v>
      </c>
      <c r="W528" t="s">
        <v>142</v>
      </c>
      <c r="X528">
        <v>70267</v>
      </c>
      <c r="Y528" s="1" t="str">
        <f t="shared" si="52"/>
        <v>USA</v>
      </c>
      <c r="Z528" s="4" t="str">
        <f t="shared" si="53"/>
        <v>Usa</v>
      </c>
      <c r="AA528" t="s">
        <v>32</v>
      </c>
      <c r="AB528" t="s">
        <v>33</v>
      </c>
      <c r="AC528" t="s">
        <v>34</v>
      </c>
      <c r="AD528" t="s">
        <v>143</v>
      </c>
      <c r="AE528" t="s">
        <v>36</v>
      </c>
    </row>
    <row r="529" spans="1:31" x14ac:dyDescent="0.3">
      <c r="A529">
        <v>10110</v>
      </c>
      <c r="B529">
        <v>37</v>
      </c>
      <c r="C529">
        <v>100</v>
      </c>
      <c r="D529">
        <v>16</v>
      </c>
      <c r="E529" s="4" t="str">
        <f t="shared" si="48"/>
        <v>high sales</v>
      </c>
      <c r="F529">
        <v>5433.08</v>
      </c>
      <c r="G529" t="s">
        <v>1201</v>
      </c>
      <c r="H529" s="1" t="str">
        <f t="shared" si="49"/>
        <v>Shipped</v>
      </c>
      <c r="I529" s="4" t="str">
        <f t="shared" si="50"/>
        <v>completed</v>
      </c>
      <c r="J529" t="s">
        <v>25</v>
      </c>
      <c r="K529">
        <v>1</v>
      </c>
      <c r="L529">
        <v>3</v>
      </c>
      <c r="M529">
        <v>2003</v>
      </c>
      <c r="N529" t="s">
        <v>181</v>
      </c>
      <c r="O529">
        <v>124</v>
      </c>
      <c r="P529" t="s">
        <v>565</v>
      </c>
      <c r="Q529" t="s">
        <v>492</v>
      </c>
      <c r="R529" t="s">
        <v>493</v>
      </c>
      <c r="S529" t="s">
        <v>494</v>
      </c>
      <c r="U529" s="1" t="str">
        <f t="shared" si="51"/>
        <v>Manchester</v>
      </c>
      <c r="V529" t="s">
        <v>495</v>
      </c>
      <c r="X529" t="s">
        <v>496</v>
      </c>
      <c r="Y529" s="1" t="str">
        <f t="shared" si="52"/>
        <v>UK</v>
      </c>
      <c r="Z529" s="4" t="str">
        <f t="shared" si="53"/>
        <v>Uk</v>
      </c>
      <c r="AA529" t="s">
        <v>170</v>
      </c>
      <c r="AB529" t="s">
        <v>42</v>
      </c>
      <c r="AC529" t="s">
        <v>497</v>
      </c>
      <c r="AD529" t="s">
        <v>94</v>
      </c>
      <c r="AE529" t="s">
        <v>51</v>
      </c>
    </row>
    <row r="530" spans="1:31" x14ac:dyDescent="0.3">
      <c r="A530">
        <v>10123</v>
      </c>
      <c r="B530">
        <v>26</v>
      </c>
      <c r="C530">
        <v>100</v>
      </c>
      <c r="D530">
        <v>2</v>
      </c>
      <c r="E530" s="4" t="str">
        <f t="shared" si="48"/>
        <v>low sales</v>
      </c>
      <c r="F530">
        <v>3073.72</v>
      </c>
      <c r="G530" t="s">
        <v>1202</v>
      </c>
      <c r="H530" s="1" t="str">
        <f t="shared" si="49"/>
        <v>Shipped</v>
      </c>
      <c r="I530" s="4" t="str">
        <f t="shared" si="50"/>
        <v>completed</v>
      </c>
      <c r="J530" t="s">
        <v>25</v>
      </c>
      <c r="K530">
        <v>2</v>
      </c>
      <c r="L530">
        <v>5</v>
      </c>
      <c r="M530">
        <v>2003</v>
      </c>
      <c r="N530" t="s">
        <v>181</v>
      </c>
      <c r="O530">
        <v>124</v>
      </c>
      <c r="P530" t="s">
        <v>565</v>
      </c>
      <c r="Q530" t="s">
        <v>312</v>
      </c>
      <c r="R530" t="s">
        <v>313</v>
      </c>
      <c r="S530" t="s">
        <v>314</v>
      </c>
      <c r="U530" s="1" t="str">
        <f t="shared" si="51"/>
        <v>Nantes</v>
      </c>
      <c r="V530" t="s">
        <v>117</v>
      </c>
      <c r="X530">
        <v>44000</v>
      </c>
      <c r="Y530" s="1" t="str">
        <f t="shared" si="52"/>
        <v>FRANCE</v>
      </c>
      <c r="Z530" s="4" t="str">
        <f t="shared" si="53"/>
        <v>France</v>
      </c>
      <c r="AA530" t="s">
        <v>41</v>
      </c>
      <c r="AB530" t="s">
        <v>42</v>
      </c>
      <c r="AC530" t="s">
        <v>315</v>
      </c>
      <c r="AD530" t="s">
        <v>316</v>
      </c>
      <c r="AE530" t="s">
        <v>51</v>
      </c>
    </row>
    <row r="531" spans="1:31" x14ac:dyDescent="0.3">
      <c r="A531">
        <v>10137</v>
      </c>
      <c r="B531">
        <v>44</v>
      </c>
      <c r="C531">
        <v>99.55</v>
      </c>
      <c r="D531">
        <v>2</v>
      </c>
      <c r="E531" s="4" t="str">
        <f t="shared" si="48"/>
        <v>high sales</v>
      </c>
      <c r="F531">
        <v>4380.2</v>
      </c>
      <c r="G531" t="s">
        <v>1203</v>
      </c>
      <c r="H531" s="1" t="str">
        <f t="shared" si="49"/>
        <v>Shipped</v>
      </c>
      <c r="I531" s="4" t="str">
        <f t="shared" si="50"/>
        <v>completed</v>
      </c>
      <c r="J531" t="s">
        <v>25</v>
      </c>
      <c r="K531">
        <v>3</v>
      </c>
      <c r="L531">
        <v>7</v>
      </c>
      <c r="M531">
        <v>2003</v>
      </c>
      <c r="N531" t="s">
        <v>181</v>
      </c>
      <c r="O531">
        <v>124</v>
      </c>
      <c r="P531" t="s">
        <v>565</v>
      </c>
      <c r="Q531" t="s">
        <v>37</v>
      </c>
      <c r="R531" t="s">
        <v>38</v>
      </c>
      <c r="S531" t="s">
        <v>39</v>
      </c>
      <c r="U531" s="1" t="str">
        <f t="shared" si="51"/>
        <v>Reims</v>
      </c>
      <c r="V531" t="s">
        <v>40</v>
      </c>
      <c r="X531">
        <v>51100</v>
      </c>
      <c r="Y531" s="1" t="str">
        <f t="shared" si="52"/>
        <v>FRANCE</v>
      </c>
      <c r="Z531" s="4" t="str">
        <f t="shared" si="53"/>
        <v>France</v>
      </c>
      <c r="AA531" t="s">
        <v>41</v>
      </c>
      <c r="AB531" t="s">
        <v>42</v>
      </c>
      <c r="AC531" t="s">
        <v>43</v>
      </c>
      <c r="AD531" t="s">
        <v>44</v>
      </c>
      <c r="AE531" t="s">
        <v>51</v>
      </c>
    </row>
    <row r="532" spans="1:31" x14ac:dyDescent="0.3">
      <c r="A532">
        <v>10148</v>
      </c>
      <c r="B532">
        <v>47</v>
      </c>
      <c r="C532">
        <v>100</v>
      </c>
      <c r="D532">
        <v>9</v>
      </c>
      <c r="E532" s="4" t="str">
        <f t="shared" si="48"/>
        <v>high sales</v>
      </c>
      <c r="F532">
        <v>5848.68</v>
      </c>
      <c r="G532" t="s">
        <v>1204</v>
      </c>
      <c r="H532" s="1" t="str">
        <f t="shared" si="49"/>
        <v>Shipped</v>
      </c>
      <c r="I532" s="4" t="str">
        <f t="shared" si="50"/>
        <v>completed</v>
      </c>
      <c r="J532" t="s">
        <v>25</v>
      </c>
      <c r="K532">
        <v>3</v>
      </c>
      <c r="L532">
        <v>9</v>
      </c>
      <c r="M532">
        <v>2003</v>
      </c>
      <c r="N532" t="s">
        <v>181</v>
      </c>
      <c r="O532">
        <v>124</v>
      </c>
      <c r="P532" t="s">
        <v>565</v>
      </c>
      <c r="Q532" t="s">
        <v>285</v>
      </c>
      <c r="R532" t="s">
        <v>286</v>
      </c>
      <c r="S532" t="s">
        <v>287</v>
      </c>
      <c r="T532" t="s">
        <v>288</v>
      </c>
      <c r="U532" s="1" t="str">
        <f t="shared" si="51"/>
        <v>North Sydney</v>
      </c>
      <c r="V532" t="s">
        <v>289</v>
      </c>
      <c r="W532" t="s">
        <v>157</v>
      </c>
      <c r="X532">
        <v>2060</v>
      </c>
      <c r="Y532" s="1" t="str">
        <f t="shared" si="52"/>
        <v>AUSTRALIA</v>
      </c>
      <c r="Z532" s="4" t="str">
        <f t="shared" si="53"/>
        <v>Australia</v>
      </c>
      <c r="AA532" t="s">
        <v>95</v>
      </c>
      <c r="AB532" t="s">
        <v>96</v>
      </c>
      <c r="AC532" t="s">
        <v>290</v>
      </c>
      <c r="AD532" t="s">
        <v>291</v>
      </c>
      <c r="AE532" t="s">
        <v>51</v>
      </c>
    </row>
    <row r="533" spans="1:31" x14ac:dyDescent="0.3">
      <c r="A533">
        <v>10161</v>
      </c>
      <c r="B533">
        <v>43</v>
      </c>
      <c r="C533">
        <v>100</v>
      </c>
      <c r="D533">
        <v>8</v>
      </c>
      <c r="E533" s="4" t="str">
        <f t="shared" si="48"/>
        <v>high sales</v>
      </c>
      <c r="F533">
        <v>6153.73</v>
      </c>
      <c r="G533" t="s">
        <v>1205</v>
      </c>
      <c r="H533" s="1" t="str">
        <f t="shared" si="49"/>
        <v>Shipped</v>
      </c>
      <c r="I533" s="4" t="str">
        <f t="shared" si="50"/>
        <v>completed</v>
      </c>
      <c r="J533" t="s">
        <v>25</v>
      </c>
      <c r="K533">
        <v>4</v>
      </c>
      <c r="L533">
        <v>10</v>
      </c>
      <c r="M533">
        <v>2003</v>
      </c>
      <c r="N533" t="s">
        <v>181</v>
      </c>
      <c r="O533">
        <v>124</v>
      </c>
      <c r="P533" t="s">
        <v>565</v>
      </c>
      <c r="Q533" t="s">
        <v>498</v>
      </c>
      <c r="R533" t="s">
        <v>499</v>
      </c>
      <c r="S533" t="s">
        <v>500</v>
      </c>
      <c r="U533" s="1" t="str">
        <f t="shared" si="51"/>
        <v>Aaarhus</v>
      </c>
      <c r="V533" t="s">
        <v>501</v>
      </c>
      <c r="X533">
        <v>8200</v>
      </c>
      <c r="Y533" s="1" t="str">
        <f t="shared" si="52"/>
        <v>DENMARK</v>
      </c>
      <c r="Z533" s="4" t="str">
        <f t="shared" si="53"/>
        <v>Denmark</v>
      </c>
      <c r="AA533" t="s">
        <v>326</v>
      </c>
      <c r="AB533" t="s">
        <v>42</v>
      </c>
      <c r="AC533" t="s">
        <v>502</v>
      </c>
      <c r="AD533" t="s">
        <v>503</v>
      </c>
      <c r="AE533" t="s">
        <v>51</v>
      </c>
    </row>
    <row r="534" spans="1:31" x14ac:dyDescent="0.3">
      <c r="A534">
        <v>10172</v>
      </c>
      <c r="B534">
        <v>42</v>
      </c>
      <c r="C534">
        <v>100</v>
      </c>
      <c r="D534">
        <v>6</v>
      </c>
      <c r="E534" s="4" t="str">
        <f t="shared" si="48"/>
        <v>high sales</v>
      </c>
      <c r="F534">
        <v>4965.24</v>
      </c>
      <c r="G534" t="s">
        <v>1206</v>
      </c>
      <c r="H534" s="1" t="str">
        <f t="shared" si="49"/>
        <v>Shipped</v>
      </c>
      <c r="I534" s="4" t="str">
        <f t="shared" si="50"/>
        <v>completed</v>
      </c>
      <c r="J534" t="s">
        <v>25</v>
      </c>
      <c r="K534">
        <v>4</v>
      </c>
      <c r="L534">
        <v>11</v>
      </c>
      <c r="M534">
        <v>2003</v>
      </c>
      <c r="N534" t="s">
        <v>181</v>
      </c>
      <c r="O534">
        <v>124</v>
      </c>
      <c r="P534" t="s">
        <v>565</v>
      </c>
      <c r="Q534" t="s">
        <v>109</v>
      </c>
      <c r="R534">
        <v>2035552570</v>
      </c>
      <c r="S534" t="s">
        <v>110</v>
      </c>
      <c r="U534" s="1" t="str">
        <f t="shared" si="51"/>
        <v>Bridgewater</v>
      </c>
      <c r="V534" t="s">
        <v>111</v>
      </c>
      <c r="W534" t="s">
        <v>112</v>
      </c>
      <c r="X534">
        <v>97562</v>
      </c>
      <c r="Y534" s="1" t="str">
        <f t="shared" si="52"/>
        <v>USA</v>
      </c>
      <c r="Z534" s="4" t="str">
        <f t="shared" si="53"/>
        <v>Usa</v>
      </c>
      <c r="AA534" t="s">
        <v>32</v>
      </c>
      <c r="AB534" t="s">
        <v>33</v>
      </c>
      <c r="AC534" t="s">
        <v>113</v>
      </c>
      <c r="AD534" t="s">
        <v>57</v>
      </c>
      <c r="AE534" t="s">
        <v>51</v>
      </c>
    </row>
    <row r="535" spans="1:31" x14ac:dyDescent="0.3">
      <c r="A535">
        <v>10181</v>
      </c>
      <c r="B535">
        <v>42</v>
      </c>
      <c r="C535">
        <v>100</v>
      </c>
      <c r="D535">
        <v>2</v>
      </c>
      <c r="E535" s="4" t="str">
        <f t="shared" si="48"/>
        <v>high sales</v>
      </c>
      <c r="F535">
        <v>5435.64</v>
      </c>
      <c r="G535" t="s">
        <v>1207</v>
      </c>
      <c r="H535" s="1" t="str">
        <f t="shared" si="49"/>
        <v>Shipped</v>
      </c>
      <c r="I535" s="4" t="str">
        <f t="shared" si="50"/>
        <v>completed</v>
      </c>
      <c r="J535" t="s">
        <v>25</v>
      </c>
      <c r="K535">
        <v>4</v>
      </c>
      <c r="L535">
        <v>11</v>
      </c>
      <c r="M535">
        <v>2003</v>
      </c>
      <c r="N535" t="s">
        <v>181</v>
      </c>
      <c r="O535">
        <v>124</v>
      </c>
      <c r="P535" t="s">
        <v>565</v>
      </c>
      <c r="Q535" t="s">
        <v>73</v>
      </c>
      <c r="R535" t="s">
        <v>74</v>
      </c>
      <c r="S535" t="s">
        <v>75</v>
      </c>
      <c r="U535" s="1" t="str">
        <f t="shared" si="51"/>
        <v>Bergen</v>
      </c>
      <c r="V535" t="s">
        <v>76</v>
      </c>
      <c r="X535" t="s">
        <v>77</v>
      </c>
      <c r="Y535" s="1" t="str">
        <f t="shared" si="52"/>
        <v>NORWAY</v>
      </c>
      <c r="Z535" s="4" t="str">
        <f t="shared" si="53"/>
        <v>Norway</v>
      </c>
      <c r="AA535" t="s">
        <v>78</v>
      </c>
      <c r="AB535" t="s">
        <v>42</v>
      </c>
      <c r="AC535" t="s">
        <v>79</v>
      </c>
      <c r="AD535" t="s">
        <v>80</v>
      </c>
      <c r="AE535" t="s">
        <v>51</v>
      </c>
    </row>
    <row r="536" spans="1:31" x14ac:dyDescent="0.3">
      <c r="A536">
        <v>10192</v>
      </c>
      <c r="B536">
        <v>29</v>
      </c>
      <c r="C536">
        <v>100</v>
      </c>
      <c r="D536">
        <v>7</v>
      </c>
      <c r="E536" s="4" t="str">
        <f t="shared" si="48"/>
        <v>high sales</v>
      </c>
      <c r="F536">
        <v>4258.3599999999997</v>
      </c>
      <c r="G536" t="s">
        <v>1208</v>
      </c>
      <c r="H536" s="1" t="str">
        <f t="shared" si="49"/>
        <v>Shipped</v>
      </c>
      <c r="I536" s="4" t="str">
        <f t="shared" si="50"/>
        <v>completed</v>
      </c>
      <c r="J536" t="s">
        <v>25</v>
      </c>
      <c r="K536">
        <v>4</v>
      </c>
      <c r="L536">
        <v>11</v>
      </c>
      <c r="M536">
        <v>2003</v>
      </c>
      <c r="N536" t="s">
        <v>181</v>
      </c>
      <c r="O536">
        <v>124</v>
      </c>
      <c r="P536" t="s">
        <v>565</v>
      </c>
      <c r="Q536" t="s">
        <v>277</v>
      </c>
      <c r="R536">
        <v>6035558647</v>
      </c>
      <c r="S536" t="s">
        <v>278</v>
      </c>
      <c r="U536" s="1" t="str">
        <f t="shared" si="51"/>
        <v>Nashua</v>
      </c>
      <c r="V536" t="s">
        <v>279</v>
      </c>
      <c r="W536" t="s">
        <v>280</v>
      </c>
      <c r="X536">
        <v>62005</v>
      </c>
      <c r="Y536" s="1" t="str">
        <f t="shared" si="52"/>
        <v>USA</v>
      </c>
      <c r="Z536" s="4" t="str">
        <f t="shared" si="53"/>
        <v>Usa</v>
      </c>
      <c r="AA536" t="s">
        <v>32</v>
      </c>
      <c r="AB536" t="s">
        <v>33</v>
      </c>
      <c r="AC536" t="s">
        <v>56</v>
      </c>
      <c r="AD536" t="s">
        <v>276</v>
      </c>
      <c r="AE536" t="s">
        <v>51</v>
      </c>
    </row>
    <row r="537" spans="1:31" x14ac:dyDescent="0.3">
      <c r="A537">
        <v>10204</v>
      </c>
      <c r="B537">
        <v>40</v>
      </c>
      <c r="C537">
        <v>100</v>
      </c>
      <c r="D537">
        <v>13</v>
      </c>
      <c r="E537" s="4" t="str">
        <f t="shared" si="48"/>
        <v>high sales</v>
      </c>
      <c r="F537">
        <v>4032</v>
      </c>
      <c r="G537" t="s">
        <v>1209</v>
      </c>
      <c r="H537" s="1" t="str">
        <f t="shared" si="49"/>
        <v>Shipped</v>
      </c>
      <c r="I537" s="4" t="str">
        <f t="shared" si="50"/>
        <v>completed</v>
      </c>
      <c r="J537" t="s">
        <v>25</v>
      </c>
      <c r="K537">
        <v>4</v>
      </c>
      <c r="L537">
        <v>12</v>
      </c>
      <c r="M537">
        <v>2003</v>
      </c>
      <c r="N537" t="s">
        <v>181</v>
      </c>
      <c r="O537">
        <v>124</v>
      </c>
      <c r="P537" t="s">
        <v>565</v>
      </c>
      <c r="Q537" t="s">
        <v>475</v>
      </c>
      <c r="R537">
        <v>2125557413</v>
      </c>
      <c r="S537" t="s">
        <v>476</v>
      </c>
      <c r="T537" t="s">
        <v>477</v>
      </c>
      <c r="U537" s="1" t="str">
        <f t="shared" si="51"/>
        <v>Nyc</v>
      </c>
      <c r="V537" t="s">
        <v>30</v>
      </c>
      <c r="W537" t="s">
        <v>31</v>
      </c>
      <c r="X537">
        <v>10022</v>
      </c>
      <c r="Y537" s="1" t="str">
        <f t="shared" si="52"/>
        <v>USA</v>
      </c>
      <c r="Z537" s="4" t="str">
        <f t="shared" si="53"/>
        <v>Usa</v>
      </c>
      <c r="AA537" t="s">
        <v>32</v>
      </c>
      <c r="AB537" t="s">
        <v>33</v>
      </c>
      <c r="AC537" t="s">
        <v>56</v>
      </c>
      <c r="AD537" t="s">
        <v>478</v>
      </c>
      <c r="AE537" t="s">
        <v>51</v>
      </c>
    </row>
    <row r="538" spans="1:31" x14ac:dyDescent="0.3">
      <c r="A538">
        <v>10212</v>
      </c>
      <c r="B538">
        <v>38</v>
      </c>
      <c r="C538">
        <v>100</v>
      </c>
      <c r="D538">
        <v>6</v>
      </c>
      <c r="E538" s="4" t="str">
        <f t="shared" si="48"/>
        <v>high sales</v>
      </c>
      <c r="F538">
        <v>4492.3599999999997</v>
      </c>
      <c r="G538" t="s">
        <v>1210</v>
      </c>
      <c r="H538" s="1" t="str">
        <f t="shared" si="49"/>
        <v>Shipped</v>
      </c>
      <c r="I538" s="4" t="str">
        <f t="shared" si="50"/>
        <v>completed</v>
      </c>
      <c r="J538" t="s">
        <v>25</v>
      </c>
      <c r="K538">
        <v>1</v>
      </c>
      <c r="L538">
        <v>1</v>
      </c>
      <c r="M538">
        <v>2004</v>
      </c>
      <c r="N538" t="s">
        <v>181</v>
      </c>
      <c r="O538">
        <v>124</v>
      </c>
      <c r="P538" t="s">
        <v>565</v>
      </c>
      <c r="Q538" t="s">
        <v>174</v>
      </c>
      <c r="R538" t="s">
        <v>175</v>
      </c>
      <c r="S538" t="s">
        <v>176</v>
      </c>
      <c r="U538" s="1" t="str">
        <f t="shared" si="51"/>
        <v>Madrid</v>
      </c>
      <c r="V538" t="s">
        <v>177</v>
      </c>
      <c r="X538">
        <v>28034</v>
      </c>
      <c r="Y538" s="1" t="str">
        <f t="shared" si="52"/>
        <v>SPAIN</v>
      </c>
      <c r="Z538" s="4" t="str">
        <f t="shared" si="53"/>
        <v>Spain</v>
      </c>
      <c r="AA538" t="s">
        <v>178</v>
      </c>
      <c r="AB538" t="s">
        <v>42</v>
      </c>
      <c r="AC538" t="s">
        <v>179</v>
      </c>
      <c r="AD538" t="s">
        <v>180</v>
      </c>
      <c r="AE538" t="s">
        <v>51</v>
      </c>
    </row>
    <row r="539" spans="1:31" x14ac:dyDescent="0.3">
      <c r="A539">
        <v>10226</v>
      </c>
      <c r="B539">
        <v>38</v>
      </c>
      <c r="C539">
        <v>100</v>
      </c>
      <c r="D539">
        <v>4</v>
      </c>
      <c r="E539" s="4" t="str">
        <f t="shared" si="48"/>
        <v>high sales</v>
      </c>
      <c r="F539">
        <v>4161.38</v>
      </c>
      <c r="G539" t="s">
        <v>1211</v>
      </c>
      <c r="H539" s="1" t="str">
        <f t="shared" si="49"/>
        <v>Shipped</v>
      </c>
      <c r="I539" s="4" t="str">
        <f t="shared" si="50"/>
        <v>completed</v>
      </c>
      <c r="J539" t="s">
        <v>25</v>
      </c>
      <c r="K539">
        <v>1</v>
      </c>
      <c r="L539">
        <v>2</v>
      </c>
      <c r="M539">
        <v>2004</v>
      </c>
      <c r="N539" t="s">
        <v>181</v>
      </c>
      <c r="O539">
        <v>124</v>
      </c>
      <c r="P539" t="s">
        <v>565</v>
      </c>
      <c r="Q539" t="s">
        <v>362</v>
      </c>
      <c r="R539">
        <v>7605558146</v>
      </c>
      <c r="S539" t="s">
        <v>363</v>
      </c>
      <c r="U539" s="1" t="str">
        <f t="shared" si="51"/>
        <v>San Diego</v>
      </c>
      <c r="V539" t="s">
        <v>364</v>
      </c>
      <c r="W539" t="s">
        <v>55</v>
      </c>
      <c r="X539">
        <v>91217</v>
      </c>
      <c r="Y539" s="1" t="str">
        <f t="shared" si="52"/>
        <v>USA</v>
      </c>
      <c r="Z539" s="4" t="str">
        <f t="shared" si="53"/>
        <v>Usa</v>
      </c>
      <c r="AA539" t="s">
        <v>32</v>
      </c>
      <c r="AB539" t="s">
        <v>33</v>
      </c>
      <c r="AC539" t="s">
        <v>237</v>
      </c>
      <c r="AD539" t="s">
        <v>276</v>
      </c>
      <c r="AE539" t="s">
        <v>51</v>
      </c>
    </row>
    <row r="540" spans="1:31" x14ac:dyDescent="0.3">
      <c r="A540">
        <v>10241</v>
      </c>
      <c r="B540">
        <v>21</v>
      </c>
      <c r="C540">
        <v>100</v>
      </c>
      <c r="D540">
        <v>11</v>
      </c>
      <c r="E540" s="4" t="str">
        <f t="shared" si="48"/>
        <v>low sales</v>
      </c>
      <c r="F540">
        <v>2508.66</v>
      </c>
      <c r="G540" t="s">
        <v>1212</v>
      </c>
      <c r="H540" s="1" t="str">
        <f t="shared" si="49"/>
        <v>Shipped</v>
      </c>
      <c r="I540" s="4" t="str">
        <f t="shared" si="50"/>
        <v>completed</v>
      </c>
      <c r="J540" t="s">
        <v>25</v>
      </c>
      <c r="K540">
        <v>2</v>
      </c>
      <c r="L540">
        <v>4</v>
      </c>
      <c r="M540">
        <v>2004</v>
      </c>
      <c r="N540" t="s">
        <v>181</v>
      </c>
      <c r="O540">
        <v>124</v>
      </c>
      <c r="P540" t="s">
        <v>565</v>
      </c>
      <c r="Q540" t="s">
        <v>531</v>
      </c>
      <c r="R540" t="s">
        <v>532</v>
      </c>
      <c r="S540" t="s">
        <v>533</v>
      </c>
      <c r="U540" s="1" t="str">
        <f t="shared" si="51"/>
        <v>Strasbourg</v>
      </c>
      <c r="V540" t="s">
        <v>534</v>
      </c>
      <c r="X540">
        <v>67000</v>
      </c>
      <c r="Y540" s="1" t="str">
        <f t="shared" si="52"/>
        <v>FRANCE</v>
      </c>
      <c r="Z540" s="4" t="str">
        <f t="shared" si="53"/>
        <v>France</v>
      </c>
      <c r="AA540" t="s">
        <v>41</v>
      </c>
      <c r="AB540" t="s">
        <v>42</v>
      </c>
      <c r="AC540" t="s">
        <v>535</v>
      </c>
      <c r="AD540" t="s">
        <v>536</v>
      </c>
      <c r="AE540" t="s">
        <v>36</v>
      </c>
    </row>
    <row r="541" spans="1:31" x14ac:dyDescent="0.3">
      <c r="A541">
        <v>10253</v>
      </c>
      <c r="B541">
        <v>24</v>
      </c>
      <c r="C541">
        <v>100</v>
      </c>
      <c r="D541">
        <v>1</v>
      </c>
      <c r="E541" s="4" t="str">
        <f t="shared" si="48"/>
        <v>low sales</v>
      </c>
      <c r="F541">
        <v>3374.88</v>
      </c>
      <c r="G541" t="s">
        <v>1213</v>
      </c>
      <c r="H541" s="1" t="str">
        <f t="shared" si="49"/>
        <v>Cancelled</v>
      </c>
      <c r="I541" s="4" t="str">
        <f t="shared" si="50"/>
        <v>not completed</v>
      </c>
      <c r="J541" t="s">
        <v>339</v>
      </c>
      <c r="K541">
        <v>2</v>
      </c>
      <c r="L541">
        <v>6</v>
      </c>
      <c r="M541">
        <v>2004</v>
      </c>
      <c r="N541" t="s">
        <v>181</v>
      </c>
      <c r="O541">
        <v>124</v>
      </c>
      <c r="P541" t="s">
        <v>565</v>
      </c>
      <c r="Q541" t="s">
        <v>165</v>
      </c>
      <c r="R541" t="s">
        <v>166</v>
      </c>
      <c r="S541" t="s">
        <v>167</v>
      </c>
      <c r="U541" s="1" t="str">
        <f t="shared" si="51"/>
        <v>Liverpool</v>
      </c>
      <c r="V541" t="s">
        <v>168</v>
      </c>
      <c r="X541" t="s">
        <v>169</v>
      </c>
      <c r="Y541" s="1" t="str">
        <f t="shared" si="52"/>
        <v>UK</v>
      </c>
      <c r="Z541" s="4" t="str">
        <f t="shared" si="53"/>
        <v>Uk</v>
      </c>
      <c r="AA541" t="s">
        <v>170</v>
      </c>
      <c r="AB541" t="s">
        <v>42</v>
      </c>
      <c r="AC541" t="s">
        <v>171</v>
      </c>
      <c r="AD541" t="s">
        <v>172</v>
      </c>
      <c r="AE541" t="s">
        <v>51</v>
      </c>
    </row>
    <row r="542" spans="1:31" x14ac:dyDescent="0.3">
      <c r="A542">
        <v>10266</v>
      </c>
      <c r="B542">
        <v>36</v>
      </c>
      <c r="C542">
        <v>100</v>
      </c>
      <c r="D542">
        <v>2</v>
      </c>
      <c r="E542" s="4" t="str">
        <f t="shared" si="48"/>
        <v>high sales</v>
      </c>
      <c r="F542">
        <v>5196.6000000000004</v>
      </c>
      <c r="G542" t="s">
        <v>1214</v>
      </c>
      <c r="H542" s="1" t="str">
        <f t="shared" si="49"/>
        <v>Shipped</v>
      </c>
      <c r="I542" s="4" t="str">
        <f t="shared" si="50"/>
        <v>completed</v>
      </c>
      <c r="J542" t="s">
        <v>25</v>
      </c>
      <c r="K542">
        <v>3</v>
      </c>
      <c r="L542">
        <v>7</v>
      </c>
      <c r="M542">
        <v>2004</v>
      </c>
      <c r="N542" t="s">
        <v>181</v>
      </c>
      <c r="O542">
        <v>124</v>
      </c>
      <c r="P542" t="s">
        <v>565</v>
      </c>
      <c r="Q542" t="s">
        <v>452</v>
      </c>
      <c r="R542" t="s">
        <v>453</v>
      </c>
      <c r="S542" t="s">
        <v>454</v>
      </c>
      <c r="U542" s="1" t="str">
        <f t="shared" si="51"/>
        <v>Reggio Emilia</v>
      </c>
      <c r="V542" t="s">
        <v>455</v>
      </c>
      <c r="X542">
        <v>42100</v>
      </c>
      <c r="Y542" s="1" t="str">
        <f t="shared" si="52"/>
        <v>ITALY</v>
      </c>
      <c r="Z542" s="4" t="str">
        <f t="shared" si="53"/>
        <v>Italy</v>
      </c>
      <c r="AA542" t="s">
        <v>258</v>
      </c>
      <c r="AB542" t="s">
        <v>42</v>
      </c>
      <c r="AC542" t="s">
        <v>456</v>
      </c>
      <c r="AD542" t="s">
        <v>457</v>
      </c>
      <c r="AE542" t="s">
        <v>51</v>
      </c>
    </row>
    <row r="543" spans="1:31" x14ac:dyDescent="0.3">
      <c r="A543">
        <v>10278</v>
      </c>
      <c r="B543">
        <v>23</v>
      </c>
      <c r="C543">
        <v>100</v>
      </c>
      <c r="D543">
        <v>2</v>
      </c>
      <c r="E543" s="4" t="str">
        <f t="shared" si="48"/>
        <v>low sales</v>
      </c>
      <c r="F543">
        <v>2604.52</v>
      </c>
      <c r="G543" t="s">
        <v>1215</v>
      </c>
      <c r="H543" s="1" t="str">
        <f t="shared" si="49"/>
        <v>Shipped</v>
      </c>
      <c r="I543" s="4" t="str">
        <f t="shared" si="50"/>
        <v>completed</v>
      </c>
      <c r="J543" t="s">
        <v>25</v>
      </c>
      <c r="K543">
        <v>3</v>
      </c>
      <c r="L543">
        <v>8</v>
      </c>
      <c r="M543">
        <v>2004</v>
      </c>
      <c r="N543" t="s">
        <v>181</v>
      </c>
      <c r="O543">
        <v>124</v>
      </c>
      <c r="P543" t="s">
        <v>565</v>
      </c>
      <c r="Q543" t="s">
        <v>539</v>
      </c>
      <c r="R543">
        <v>7025551838</v>
      </c>
      <c r="S543" t="s">
        <v>540</v>
      </c>
      <c r="U543" s="1" t="str">
        <f t="shared" si="51"/>
        <v>Las Vegas</v>
      </c>
      <c r="V543" t="s">
        <v>541</v>
      </c>
      <c r="W543" t="s">
        <v>542</v>
      </c>
      <c r="X543">
        <v>83030</v>
      </c>
      <c r="Y543" s="1" t="str">
        <f t="shared" si="52"/>
        <v>USA</v>
      </c>
      <c r="Z543" s="4" t="str">
        <f t="shared" si="53"/>
        <v>Usa</v>
      </c>
      <c r="AA543" t="s">
        <v>32</v>
      </c>
      <c r="AB543" t="s">
        <v>33</v>
      </c>
      <c r="AC543" t="s">
        <v>113</v>
      </c>
      <c r="AD543" t="s">
        <v>400</v>
      </c>
      <c r="AE543" t="s">
        <v>36</v>
      </c>
    </row>
    <row r="544" spans="1:31" x14ac:dyDescent="0.3">
      <c r="A544">
        <v>10288</v>
      </c>
      <c r="B544">
        <v>20</v>
      </c>
      <c r="C544">
        <v>100</v>
      </c>
      <c r="D544">
        <v>14</v>
      </c>
      <c r="E544" s="4" t="str">
        <f t="shared" si="48"/>
        <v>low sales</v>
      </c>
      <c r="F544">
        <v>2936.8</v>
      </c>
      <c r="G544" t="s">
        <v>1216</v>
      </c>
      <c r="H544" s="1" t="str">
        <f t="shared" si="49"/>
        <v>Shipped</v>
      </c>
      <c r="I544" s="4" t="str">
        <f t="shared" si="50"/>
        <v>completed</v>
      </c>
      <c r="J544" t="s">
        <v>25</v>
      </c>
      <c r="K544">
        <v>3</v>
      </c>
      <c r="L544">
        <v>9</v>
      </c>
      <c r="M544">
        <v>2004</v>
      </c>
      <c r="N544" t="s">
        <v>181</v>
      </c>
      <c r="O544">
        <v>124</v>
      </c>
      <c r="P544" t="s">
        <v>565</v>
      </c>
      <c r="Q544" t="s">
        <v>418</v>
      </c>
      <c r="R544" t="s">
        <v>419</v>
      </c>
      <c r="S544" t="s">
        <v>420</v>
      </c>
      <c r="T544" t="s">
        <v>421</v>
      </c>
      <c r="U544" s="1" t="str">
        <f t="shared" si="51"/>
        <v>Singapore</v>
      </c>
      <c r="V544" t="s">
        <v>199</v>
      </c>
      <c r="X544">
        <v>69045</v>
      </c>
      <c r="Y544" s="1" t="str">
        <f t="shared" si="52"/>
        <v>SINGAPORE</v>
      </c>
      <c r="Z544" s="4" t="str">
        <f t="shared" si="53"/>
        <v>Singapore</v>
      </c>
      <c r="AA544" t="s">
        <v>199</v>
      </c>
      <c r="AB544" t="s">
        <v>96</v>
      </c>
      <c r="AC544" t="s">
        <v>422</v>
      </c>
      <c r="AD544" t="s">
        <v>423</v>
      </c>
      <c r="AE544" t="s">
        <v>36</v>
      </c>
    </row>
    <row r="545" spans="1:31" x14ac:dyDescent="0.3">
      <c r="A545">
        <v>10301</v>
      </c>
      <c r="B545">
        <v>32</v>
      </c>
      <c r="C545">
        <v>100</v>
      </c>
      <c r="D545">
        <v>4</v>
      </c>
      <c r="E545" s="4" t="str">
        <f t="shared" si="48"/>
        <v>low sales</v>
      </c>
      <c r="F545">
        <v>3424.64</v>
      </c>
      <c r="G545" t="s">
        <v>1217</v>
      </c>
      <c r="H545" s="1" t="str">
        <f t="shared" si="49"/>
        <v>Shipped</v>
      </c>
      <c r="I545" s="4" t="str">
        <f t="shared" si="50"/>
        <v>completed</v>
      </c>
      <c r="J545" t="s">
        <v>25</v>
      </c>
      <c r="K545">
        <v>4</v>
      </c>
      <c r="L545">
        <v>10</v>
      </c>
      <c r="M545">
        <v>2003</v>
      </c>
      <c r="N545" t="s">
        <v>181</v>
      </c>
      <c r="O545">
        <v>124</v>
      </c>
      <c r="P545" t="s">
        <v>565</v>
      </c>
      <c r="Q545" t="s">
        <v>543</v>
      </c>
      <c r="R545" t="s">
        <v>544</v>
      </c>
      <c r="S545" t="s">
        <v>545</v>
      </c>
      <c r="U545" s="1" t="str">
        <f t="shared" si="51"/>
        <v>Oslo</v>
      </c>
      <c r="V545" t="s">
        <v>546</v>
      </c>
      <c r="X545" t="s">
        <v>547</v>
      </c>
      <c r="Y545" s="1" t="str">
        <f t="shared" si="52"/>
        <v>NORWAY</v>
      </c>
      <c r="Z545" s="4" t="str">
        <f t="shared" si="53"/>
        <v>Norway</v>
      </c>
      <c r="AA545" t="s">
        <v>78</v>
      </c>
      <c r="AB545" t="s">
        <v>42</v>
      </c>
      <c r="AC545" t="s">
        <v>548</v>
      </c>
      <c r="AD545" t="s">
        <v>549</v>
      </c>
      <c r="AE545" t="s">
        <v>51</v>
      </c>
    </row>
    <row r="546" spans="1:31" x14ac:dyDescent="0.3">
      <c r="A546">
        <v>10311</v>
      </c>
      <c r="B546">
        <v>29</v>
      </c>
      <c r="C546">
        <v>100</v>
      </c>
      <c r="D546">
        <v>9</v>
      </c>
      <c r="E546" s="4" t="str">
        <f t="shared" si="48"/>
        <v>low sales</v>
      </c>
      <c r="F546">
        <v>2923.2</v>
      </c>
      <c r="G546" t="s">
        <v>1218</v>
      </c>
      <c r="H546" s="1" t="str">
        <f t="shared" si="49"/>
        <v>Shipped</v>
      </c>
      <c r="I546" s="4" t="str">
        <f t="shared" si="50"/>
        <v>completed</v>
      </c>
      <c r="J546" t="s">
        <v>25</v>
      </c>
      <c r="K546">
        <v>4</v>
      </c>
      <c r="L546">
        <v>10</v>
      </c>
      <c r="M546">
        <v>2004</v>
      </c>
      <c r="N546" t="s">
        <v>181</v>
      </c>
      <c r="O546">
        <v>124</v>
      </c>
      <c r="P546" t="s">
        <v>565</v>
      </c>
      <c r="Q546" t="s">
        <v>174</v>
      </c>
      <c r="R546" t="s">
        <v>175</v>
      </c>
      <c r="S546" t="s">
        <v>176</v>
      </c>
      <c r="U546" s="1" t="str">
        <f t="shared" si="51"/>
        <v>Madrid</v>
      </c>
      <c r="V546" t="s">
        <v>177</v>
      </c>
      <c r="X546">
        <v>28034</v>
      </c>
      <c r="Y546" s="1" t="str">
        <f t="shared" si="52"/>
        <v>SPAIN</v>
      </c>
      <c r="Z546" s="4" t="str">
        <f t="shared" si="53"/>
        <v>Spain</v>
      </c>
      <c r="AA546" t="s">
        <v>178</v>
      </c>
      <c r="AB546" t="s">
        <v>42</v>
      </c>
      <c r="AC546" t="s">
        <v>179</v>
      </c>
      <c r="AD546" t="s">
        <v>180</v>
      </c>
      <c r="AE546" t="s">
        <v>36</v>
      </c>
    </row>
    <row r="547" spans="1:31" x14ac:dyDescent="0.3">
      <c r="A547">
        <v>10321</v>
      </c>
      <c r="B547">
        <v>44</v>
      </c>
      <c r="C547">
        <v>100</v>
      </c>
      <c r="D547">
        <v>6</v>
      </c>
      <c r="E547" s="4" t="str">
        <f t="shared" si="48"/>
        <v>high sales</v>
      </c>
      <c r="F547">
        <v>4489.76</v>
      </c>
      <c r="G547" t="s">
        <v>1219</v>
      </c>
      <c r="H547" s="1" t="str">
        <f t="shared" si="49"/>
        <v>Shipped</v>
      </c>
      <c r="I547" s="4" t="str">
        <f t="shared" si="50"/>
        <v>completed</v>
      </c>
      <c r="J547" t="s">
        <v>25</v>
      </c>
      <c r="K547">
        <v>4</v>
      </c>
      <c r="L547">
        <v>11</v>
      </c>
      <c r="M547">
        <v>2004</v>
      </c>
      <c r="N547" t="s">
        <v>181</v>
      </c>
      <c r="O547">
        <v>124</v>
      </c>
      <c r="P547" t="s">
        <v>565</v>
      </c>
      <c r="Q547" t="s">
        <v>160</v>
      </c>
      <c r="R547">
        <v>5085552555</v>
      </c>
      <c r="S547" t="s">
        <v>161</v>
      </c>
      <c r="U547" s="1" t="str">
        <f t="shared" si="51"/>
        <v>New Bedford</v>
      </c>
      <c r="V547" t="s">
        <v>162</v>
      </c>
      <c r="W547" t="s">
        <v>123</v>
      </c>
      <c r="X547">
        <v>50553</v>
      </c>
      <c r="Y547" s="1" t="str">
        <f t="shared" si="52"/>
        <v>USA</v>
      </c>
      <c r="Z547" s="4" t="str">
        <f t="shared" si="53"/>
        <v>Usa</v>
      </c>
      <c r="AA547" t="s">
        <v>32</v>
      </c>
      <c r="AB547" t="s">
        <v>33</v>
      </c>
      <c r="AC547" t="s">
        <v>163</v>
      </c>
      <c r="AD547" t="s">
        <v>164</v>
      </c>
      <c r="AE547" t="s">
        <v>51</v>
      </c>
    </row>
    <row r="548" spans="1:31" x14ac:dyDescent="0.3">
      <c r="A548">
        <v>10331</v>
      </c>
      <c r="B548">
        <v>44</v>
      </c>
      <c r="C548">
        <v>100</v>
      </c>
      <c r="D548">
        <v>14</v>
      </c>
      <c r="E548" s="4" t="str">
        <f t="shared" si="48"/>
        <v>high sales</v>
      </c>
      <c r="F548">
        <v>4849.24</v>
      </c>
      <c r="G548" t="s">
        <v>1220</v>
      </c>
      <c r="H548" s="1" t="str">
        <f t="shared" si="49"/>
        <v>Shipped</v>
      </c>
      <c r="I548" s="4" t="str">
        <f t="shared" si="50"/>
        <v>completed</v>
      </c>
      <c r="J548" t="s">
        <v>25</v>
      </c>
      <c r="K548">
        <v>4</v>
      </c>
      <c r="L548">
        <v>11</v>
      </c>
      <c r="M548">
        <v>2004</v>
      </c>
      <c r="N548" t="s">
        <v>181</v>
      </c>
      <c r="O548">
        <v>124</v>
      </c>
      <c r="P548" t="s">
        <v>565</v>
      </c>
      <c r="Q548" t="s">
        <v>309</v>
      </c>
      <c r="R548">
        <v>2155559857</v>
      </c>
      <c r="S548" t="s">
        <v>310</v>
      </c>
      <c r="U548" s="1" t="str">
        <f t="shared" si="51"/>
        <v>Philadelphia</v>
      </c>
      <c r="V548" t="s">
        <v>216</v>
      </c>
      <c r="W548" t="s">
        <v>142</v>
      </c>
      <c r="X548">
        <v>71270</v>
      </c>
      <c r="Y548" s="1" t="str">
        <f t="shared" si="52"/>
        <v>USA</v>
      </c>
      <c r="Z548" s="4" t="str">
        <f t="shared" si="53"/>
        <v>Usa</v>
      </c>
      <c r="AA548" t="s">
        <v>32</v>
      </c>
      <c r="AB548" t="s">
        <v>33</v>
      </c>
      <c r="AC548" t="s">
        <v>124</v>
      </c>
      <c r="AD548" t="s">
        <v>311</v>
      </c>
      <c r="AE548" t="s">
        <v>51</v>
      </c>
    </row>
    <row r="549" spans="1:31" x14ac:dyDescent="0.3">
      <c r="A549">
        <v>10343</v>
      </c>
      <c r="B549">
        <v>36</v>
      </c>
      <c r="C549">
        <v>100</v>
      </c>
      <c r="D549">
        <v>4</v>
      </c>
      <c r="E549" s="4" t="str">
        <f t="shared" si="48"/>
        <v>high sales</v>
      </c>
      <c r="F549">
        <v>5848.92</v>
      </c>
      <c r="G549" t="s">
        <v>1221</v>
      </c>
      <c r="H549" s="1" t="str">
        <f t="shared" si="49"/>
        <v>Shipped</v>
      </c>
      <c r="I549" s="4" t="str">
        <f t="shared" si="50"/>
        <v>completed</v>
      </c>
      <c r="J549" t="s">
        <v>25</v>
      </c>
      <c r="K549">
        <v>4</v>
      </c>
      <c r="L549">
        <v>11</v>
      </c>
      <c r="M549">
        <v>2004</v>
      </c>
      <c r="N549" t="s">
        <v>181</v>
      </c>
      <c r="O549">
        <v>124</v>
      </c>
      <c r="P549" t="s">
        <v>565</v>
      </c>
      <c r="Q549" t="s">
        <v>37</v>
      </c>
      <c r="R549" t="s">
        <v>38</v>
      </c>
      <c r="S549" t="s">
        <v>39</v>
      </c>
      <c r="U549" s="1" t="str">
        <f t="shared" si="51"/>
        <v>Reims</v>
      </c>
      <c r="V549" t="s">
        <v>40</v>
      </c>
      <c r="X549">
        <v>51100</v>
      </c>
      <c r="Y549" s="1" t="str">
        <f t="shared" si="52"/>
        <v>FRANCE</v>
      </c>
      <c r="Z549" s="4" t="str">
        <f t="shared" si="53"/>
        <v>France</v>
      </c>
      <c r="AA549" t="s">
        <v>41</v>
      </c>
      <c r="AB549" t="s">
        <v>42</v>
      </c>
      <c r="AC549" t="s">
        <v>43</v>
      </c>
      <c r="AD549" t="s">
        <v>44</v>
      </c>
      <c r="AE549" t="s">
        <v>51</v>
      </c>
    </row>
    <row r="550" spans="1:31" x14ac:dyDescent="0.3">
      <c r="A550">
        <v>10367</v>
      </c>
      <c r="B550">
        <v>49</v>
      </c>
      <c r="C550">
        <v>56.3</v>
      </c>
      <c r="D550">
        <v>1</v>
      </c>
      <c r="E550" s="4" t="str">
        <f t="shared" si="48"/>
        <v>low sales</v>
      </c>
      <c r="F550">
        <v>2758.7</v>
      </c>
      <c r="G550" t="s">
        <v>1222</v>
      </c>
      <c r="H550" s="1" t="str">
        <f t="shared" si="49"/>
        <v>Resolved</v>
      </c>
      <c r="I550" s="4" t="str">
        <f t="shared" si="50"/>
        <v>not completed</v>
      </c>
      <c r="J550" t="s">
        <v>408</v>
      </c>
      <c r="K550">
        <v>1</v>
      </c>
      <c r="L550">
        <v>1</v>
      </c>
      <c r="M550">
        <v>2005</v>
      </c>
      <c r="N550" t="s">
        <v>181</v>
      </c>
      <c r="O550">
        <v>124</v>
      </c>
      <c r="P550" t="s">
        <v>565</v>
      </c>
      <c r="Q550" t="s">
        <v>52</v>
      </c>
      <c r="R550">
        <v>6265557265</v>
      </c>
      <c r="S550" t="s">
        <v>53</v>
      </c>
      <c r="U550" s="1" t="str">
        <f t="shared" si="51"/>
        <v>Pasadena</v>
      </c>
      <c r="V550" t="s">
        <v>54</v>
      </c>
      <c r="W550" t="s">
        <v>55</v>
      </c>
      <c r="X550">
        <v>90003</v>
      </c>
      <c r="Y550" s="1" t="str">
        <f t="shared" si="52"/>
        <v>USA</v>
      </c>
      <c r="Z550" s="4" t="str">
        <f t="shared" si="53"/>
        <v>Usa</v>
      </c>
      <c r="AA550" t="s">
        <v>32</v>
      </c>
      <c r="AB550" t="s">
        <v>33</v>
      </c>
      <c r="AC550" t="s">
        <v>56</v>
      </c>
      <c r="AD550" t="s">
        <v>57</v>
      </c>
      <c r="AE550" t="s">
        <v>36</v>
      </c>
    </row>
    <row r="551" spans="1:31" x14ac:dyDescent="0.3">
      <c r="A551">
        <v>10378</v>
      </c>
      <c r="B551">
        <v>34</v>
      </c>
      <c r="C551">
        <v>42.64</v>
      </c>
      <c r="D551">
        <v>5</v>
      </c>
      <c r="E551" s="4" t="str">
        <f t="shared" si="48"/>
        <v>low sales</v>
      </c>
      <c r="F551">
        <v>1449.76</v>
      </c>
      <c r="G551" t="s">
        <v>1223</v>
      </c>
      <c r="H551" s="1" t="str">
        <f t="shared" si="49"/>
        <v>Shipped</v>
      </c>
      <c r="I551" s="4" t="str">
        <f t="shared" si="50"/>
        <v>completed</v>
      </c>
      <c r="J551" t="s">
        <v>25</v>
      </c>
      <c r="K551">
        <v>1</v>
      </c>
      <c r="L551">
        <v>2</v>
      </c>
      <c r="M551">
        <v>2005</v>
      </c>
      <c r="N551" t="s">
        <v>181</v>
      </c>
      <c r="O551">
        <v>124</v>
      </c>
      <c r="P551" t="s">
        <v>565</v>
      </c>
      <c r="Q551" t="s">
        <v>174</v>
      </c>
      <c r="R551" t="s">
        <v>175</v>
      </c>
      <c r="S551" t="s">
        <v>176</v>
      </c>
      <c r="U551" s="1" t="str">
        <f t="shared" si="51"/>
        <v>Madrid</v>
      </c>
      <c r="V551" t="s">
        <v>177</v>
      </c>
      <c r="X551">
        <v>28034</v>
      </c>
      <c r="Y551" s="1" t="str">
        <f t="shared" si="52"/>
        <v>SPAIN</v>
      </c>
      <c r="Z551" s="4" t="str">
        <f t="shared" si="53"/>
        <v>Spain</v>
      </c>
      <c r="AA551" t="s">
        <v>178</v>
      </c>
      <c r="AB551" t="s">
        <v>42</v>
      </c>
      <c r="AC551" t="s">
        <v>179</v>
      </c>
      <c r="AD551" t="s">
        <v>180</v>
      </c>
      <c r="AE551" t="s">
        <v>36</v>
      </c>
    </row>
    <row r="552" spans="1:31" x14ac:dyDescent="0.3">
      <c r="A552">
        <v>10407</v>
      </c>
      <c r="B552">
        <v>59</v>
      </c>
      <c r="C552">
        <v>100</v>
      </c>
      <c r="D552">
        <v>11</v>
      </c>
      <c r="E552" s="4" t="str">
        <f t="shared" si="48"/>
        <v>high sales</v>
      </c>
      <c r="F552">
        <v>7048.14</v>
      </c>
      <c r="G552" t="s">
        <v>1224</v>
      </c>
      <c r="H552" s="1" t="str">
        <f t="shared" si="49"/>
        <v>On Hold</v>
      </c>
      <c r="I552" s="4" t="str">
        <f t="shared" si="50"/>
        <v>not completed</v>
      </c>
      <c r="J552" t="s">
        <v>401</v>
      </c>
      <c r="K552">
        <v>2</v>
      </c>
      <c r="L552">
        <v>4</v>
      </c>
      <c r="M552">
        <v>2005</v>
      </c>
      <c r="N552" t="s">
        <v>181</v>
      </c>
      <c r="O552">
        <v>124</v>
      </c>
      <c r="P552" t="s">
        <v>565</v>
      </c>
      <c r="Q552" t="s">
        <v>397</v>
      </c>
      <c r="R552">
        <v>4085553659</v>
      </c>
      <c r="S552" t="s">
        <v>398</v>
      </c>
      <c r="U552" s="1" t="str">
        <f t="shared" si="51"/>
        <v>San Jose</v>
      </c>
      <c r="V552" t="s">
        <v>399</v>
      </c>
      <c r="W552" t="s">
        <v>55</v>
      </c>
      <c r="X552">
        <v>94217</v>
      </c>
      <c r="Y552" s="1" t="str">
        <f t="shared" si="52"/>
        <v>USA</v>
      </c>
      <c r="Z552" s="4" t="str">
        <f t="shared" si="53"/>
        <v>Usa</v>
      </c>
      <c r="AA552" t="s">
        <v>32</v>
      </c>
      <c r="AB552" t="s">
        <v>33</v>
      </c>
      <c r="AC552" t="s">
        <v>102</v>
      </c>
      <c r="AD552" t="s">
        <v>400</v>
      </c>
      <c r="AE552" t="s">
        <v>151</v>
      </c>
    </row>
    <row r="553" spans="1:31" x14ac:dyDescent="0.3">
      <c r="A553">
        <v>10419</v>
      </c>
      <c r="B553">
        <v>37</v>
      </c>
      <c r="C553">
        <v>100</v>
      </c>
      <c r="D553">
        <v>1</v>
      </c>
      <c r="E553" s="4" t="str">
        <f t="shared" si="48"/>
        <v>high sales</v>
      </c>
      <c r="F553">
        <v>5202.9399999999996</v>
      </c>
      <c r="G553" t="s">
        <v>1225</v>
      </c>
      <c r="H553" s="1" t="str">
        <f t="shared" si="49"/>
        <v>Shipped</v>
      </c>
      <c r="I553" s="4" t="str">
        <f t="shared" si="50"/>
        <v>completed</v>
      </c>
      <c r="J553" t="s">
        <v>25</v>
      </c>
      <c r="K553">
        <v>2</v>
      </c>
      <c r="L553">
        <v>5</v>
      </c>
      <c r="M553">
        <v>2005</v>
      </c>
      <c r="N553" t="s">
        <v>181</v>
      </c>
      <c r="O553">
        <v>124</v>
      </c>
      <c r="P553" t="s">
        <v>565</v>
      </c>
      <c r="Q553" t="s">
        <v>144</v>
      </c>
      <c r="R553" t="s">
        <v>145</v>
      </c>
      <c r="S553" t="s">
        <v>146</v>
      </c>
      <c r="U553" s="1" t="str">
        <f t="shared" si="51"/>
        <v>Salzburg</v>
      </c>
      <c r="V553" t="s">
        <v>147</v>
      </c>
      <c r="X553">
        <v>5020</v>
      </c>
      <c r="Y553" s="1" t="str">
        <f t="shared" si="52"/>
        <v>AUSTRIA</v>
      </c>
      <c r="Z553" s="4" t="str">
        <f t="shared" si="53"/>
        <v>Austria</v>
      </c>
      <c r="AA553" t="s">
        <v>148</v>
      </c>
      <c r="AB553" t="s">
        <v>42</v>
      </c>
      <c r="AC553" t="s">
        <v>149</v>
      </c>
      <c r="AD553" t="s">
        <v>150</v>
      </c>
      <c r="AE553" t="s">
        <v>51</v>
      </c>
    </row>
    <row r="554" spans="1:31" x14ac:dyDescent="0.3">
      <c r="A554">
        <v>10106</v>
      </c>
      <c r="B554">
        <v>36</v>
      </c>
      <c r="C554">
        <v>100</v>
      </c>
      <c r="D554">
        <v>12</v>
      </c>
      <c r="E554" s="4" t="str">
        <f t="shared" si="48"/>
        <v>high sales</v>
      </c>
      <c r="F554">
        <v>5279.4</v>
      </c>
      <c r="G554" t="s">
        <v>1226</v>
      </c>
      <c r="H554" s="1" t="str">
        <f t="shared" si="49"/>
        <v>Shipped</v>
      </c>
      <c r="I554" s="4" t="str">
        <f t="shared" si="50"/>
        <v>completed</v>
      </c>
      <c r="J554" t="s">
        <v>25</v>
      </c>
      <c r="K554">
        <v>1</v>
      </c>
      <c r="L554">
        <v>2</v>
      </c>
      <c r="M554">
        <v>2003</v>
      </c>
      <c r="N554" t="s">
        <v>566</v>
      </c>
      <c r="O554">
        <v>157</v>
      </c>
      <c r="P554" t="s">
        <v>567</v>
      </c>
      <c r="Q554" t="s">
        <v>552</v>
      </c>
      <c r="R554" t="s">
        <v>553</v>
      </c>
      <c r="S554" t="s">
        <v>554</v>
      </c>
      <c r="U554" s="1" t="str">
        <f t="shared" si="51"/>
        <v>Bergamo</v>
      </c>
      <c r="V554" t="s">
        <v>555</v>
      </c>
      <c r="X554">
        <v>24100</v>
      </c>
      <c r="Y554" s="1" t="str">
        <f t="shared" si="52"/>
        <v>ITALY</v>
      </c>
      <c r="Z554" s="4" t="str">
        <f t="shared" si="53"/>
        <v>Italy</v>
      </c>
      <c r="AA554" t="s">
        <v>258</v>
      </c>
      <c r="AB554" t="s">
        <v>42</v>
      </c>
      <c r="AC554" t="s">
        <v>556</v>
      </c>
      <c r="AD554" t="s">
        <v>557</v>
      </c>
      <c r="AE554" t="s">
        <v>51</v>
      </c>
    </row>
    <row r="555" spans="1:31" x14ac:dyDescent="0.3">
      <c r="A555">
        <v>10119</v>
      </c>
      <c r="B555">
        <v>43</v>
      </c>
      <c r="C555">
        <v>100</v>
      </c>
      <c r="D555">
        <v>3</v>
      </c>
      <c r="E555" s="4" t="str">
        <f t="shared" si="48"/>
        <v>high sales</v>
      </c>
      <c r="F555">
        <v>6916.12</v>
      </c>
      <c r="G555" t="s">
        <v>1227</v>
      </c>
      <c r="H555" s="1" t="str">
        <f t="shared" si="49"/>
        <v>Shipped</v>
      </c>
      <c r="I555" s="4" t="str">
        <f t="shared" si="50"/>
        <v>completed</v>
      </c>
      <c r="J555" t="s">
        <v>25</v>
      </c>
      <c r="K555">
        <v>2</v>
      </c>
      <c r="L555">
        <v>4</v>
      </c>
      <c r="M555">
        <v>2003</v>
      </c>
      <c r="N555" t="s">
        <v>566</v>
      </c>
      <c r="O555">
        <v>157</v>
      </c>
      <c r="P555" t="s">
        <v>567</v>
      </c>
      <c r="Q555" t="s">
        <v>144</v>
      </c>
      <c r="R555" t="s">
        <v>145</v>
      </c>
      <c r="S555" t="s">
        <v>146</v>
      </c>
      <c r="U555" s="1" t="str">
        <f t="shared" si="51"/>
        <v>Salzburg</v>
      </c>
      <c r="V555" t="s">
        <v>147</v>
      </c>
      <c r="X555">
        <v>5020</v>
      </c>
      <c r="Y555" s="1" t="str">
        <f t="shared" si="52"/>
        <v>AUSTRIA</v>
      </c>
      <c r="Z555" s="4" t="str">
        <f t="shared" si="53"/>
        <v>Austria</v>
      </c>
      <c r="AA555" t="s">
        <v>148</v>
      </c>
      <c r="AB555" t="s">
        <v>42</v>
      </c>
      <c r="AC555" t="s">
        <v>149</v>
      </c>
      <c r="AD555" t="s">
        <v>150</v>
      </c>
      <c r="AE555" t="s">
        <v>51</v>
      </c>
    </row>
    <row r="556" spans="1:31" x14ac:dyDescent="0.3">
      <c r="A556">
        <v>10131</v>
      </c>
      <c r="B556">
        <v>21</v>
      </c>
      <c r="C556">
        <v>100</v>
      </c>
      <c r="D556">
        <v>4</v>
      </c>
      <c r="E556" s="4" t="str">
        <f t="shared" si="48"/>
        <v>low sales</v>
      </c>
      <c r="F556">
        <v>2781.66</v>
      </c>
      <c r="G556" t="s">
        <v>1228</v>
      </c>
      <c r="H556" s="1" t="str">
        <f t="shared" si="49"/>
        <v>Shipped</v>
      </c>
      <c r="I556" s="4" t="str">
        <f t="shared" si="50"/>
        <v>completed</v>
      </c>
      <c r="J556" t="s">
        <v>25</v>
      </c>
      <c r="K556">
        <v>2</v>
      </c>
      <c r="L556">
        <v>6</v>
      </c>
      <c r="M556">
        <v>2003</v>
      </c>
      <c r="N556" t="s">
        <v>566</v>
      </c>
      <c r="O556">
        <v>157</v>
      </c>
      <c r="P556" t="s">
        <v>567</v>
      </c>
      <c r="Q556" t="s">
        <v>568</v>
      </c>
      <c r="R556">
        <v>2035554407</v>
      </c>
      <c r="S556" t="s">
        <v>569</v>
      </c>
      <c r="U556" s="1" t="str">
        <f t="shared" si="51"/>
        <v>Glendale</v>
      </c>
      <c r="V556" t="s">
        <v>516</v>
      </c>
      <c r="W556" t="s">
        <v>112</v>
      </c>
      <c r="X556">
        <v>97561</v>
      </c>
      <c r="Y556" s="1" t="str">
        <f t="shared" si="52"/>
        <v>USA</v>
      </c>
      <c r="Z556" s="4" t="str">
        <f t="shared" si="53"/>
        <v>Usa</v>
      </c>
      <c r="AA556" t="s">
        <v>32</v>
      </c>
      <c r="AB556" t="s">
        <v>33</v>
      </c>
      <c r="AC556" t="s">
        <v>570</v>
      </c>
      <c r="AD556" t="s">
        <v>571</v>
      </c>
      <c r="AE556" t="s">
        <v>36</v>
      </c>
    </row>
    <row r="557" spans="1:31" x14ac:dyDescent="0.3">
      <c r="A557">
        <v>10143</v>
      </c>
      <c r="B557">
        <v>32</v>
      </c>
      <c r="C557">
        <v>100</v>
      </c>
      <c r="D557">
        <v>7</v>
      </c>
      <c r="E557" s="4" t="str">
        <f t="shared" si="48"/>
        <v>high sales</v>
      </c>
      <c r="F557">
        <v>5248</v>
      </c>
      <c r="G557" t="s">
        <v>1229</v>
      </c>
      <c r="H557" s="1" t="str">
        <f t="shared" si="49"/>
        <v>Shipped</v>
      </c>
      <c r="I557" s="4" t="str">
        <f t="shared" si="50"/>
        <v>completed</v>
      </c>
      <c r="J557" t="s">
        <v>25</v>
      </c>
      <c r="K557">
        <v>3</v>
      </c>
      <c r="L557">
        <v>8</v>
      </c>
      <c r="M557">
        <v>2003</v>
      </c>
      <c r="N557" t="s">
        <v>566</v>
      </c>
      <c r="O557">
        <v>157</v>
      </c>
      <c r="P557" t="s">
        <v>567</v>
      </c>
      <c r="Q557" t="s">
        <v>335</v>
      </c>
      <c r="R557">
        <v>5085559555</v>
      </c>
      <c r="S557" t="s">
        <v>336</v>
      </c>
      <c r="U557" s="1" t="str">
        <f t="shared" si="51"/>
        <v>New Bedford</v>
      </c>
      <c r="V557" t="s">
        <v>162</v>
      </c>
      <c r="W557" t="s">
        <v>123</v>
      </c>
      <c r="X557">
        <v>50553</v>
      </c>
      <c r="Y557" s="1" t="str">
        <f t="shared" si="52"/>
        <v>USA</v>
      </c>
      <c r="Z557" s="4" t="str">
        <f t="shared" si="53"/>
        <v>Usa</v>
      </c>
      <c r="AA557" t="s">
        <v>32</v>
      </c>
      <c r="AB557" t="s">
        <v>33</v>
      </c>
      <c r="AC557" t="s">
        <v>337</v>
      </c>
      <c r="AD557" t="s">
        <v>338</v>
      </c>
      <c r="AE557" t="s">
        <v>51</v>
      </c>
    </row>
    <row r="558" spans="1:31" x14ac:dyDescent="0.3">
      <c r="A558">
        <v>10155</v>
      </c>
      <c r="B558">
        <v>38</v>
      </c>
      <c r="C558">
        <v>100</v>
      </c>
      <c r="D558">
        <v>5</v>
      </c>
      <c r="E558" s="4" t="str">
        <f t="shared" si="48"/>
        <v>high sales</v>
      </c>
      <c r="F558">
        <v>6531.44</v>
      </c>
      <c r="G558" t="s">
        <v>1230</v>
      </c>
      <c r="H558" s="1" t="str">
        <f t="shared" si="49"/>
        <v>Shipped</v>
      </c>
      <c r="I558" s="4" t="str">
        <f t="shared" si="50"/>
        <v>completed</v>
      </c>
      <c r="J558" t="s">
        <v>25</v>
      </c>
      <c r="K558">
        <v>4</v>
      </c>
      <c r="L558">
        <v>10</v>
      </c>
      <c r="M558">
        <v>2003</v>
      </c>
      <c r="N558" t="s">
        <v>566</v>
      </c>
      <c r="O558">
        <v>157</v>
      </c>
      <c r="P558" t="s">
        <v>567</v>
      </c>
      <c r="Q558" t="s">
        <v>126</v>
      </c>
      <c r="R558" t="s">
        <v>127</v>
      </c>
      <c r="S558" t="s">
        <v>128</v>
      </c>
      <c r="U558" s="1" t="str">
        <f t="shared" si="51"/>
        <v>Helsinki</v>
      </c>
      <c r="V558" t="s">
        <v>129</v>
      </c>
      <c r="X558">
        <v>21240</v>
      </c>
      <c r="Y558" s="1" t="str">
        <f t="shared" si="52"/>
        <v>FINLAND</v>
      </c>
      <c r="Z558" s="4" t="str">
        <f t="shared" si="53"/>
        <v>Finland</v>
      </c>
      <c r="AA558" t="s">
        <v>130</v>
      </c>
      <c r="AB558" t="s">
        <v>42</v>
      </c>
      <c r="AC558" t="s">
        <v>131</v>
      </c>
      <c r="AD558" t="s">
        <v>132</v>
      </c>
      <c r="AE558" t="s">
        <v>51</v>
      </c>
    </row>
    <row r="559" spans="1:31" x14ac:dyDescent="0.3">
      <c r="A559">
        <v>10167</v>
      </c>
      <c r="B559">
        <v>43</v>
      </c>
      <c r="C559">
        <v>100</v>
      </c>
      <c r="D559">
        <v>1</v>
      </c>
      <c r="E559" s="4" t="str">
        <f t="shared" si="48"/>
        <v>high sales</v>
      </c>
      <c r="F559">
        <v>5763.72</v>
      </c>
      <c r="G559" t="s">
        <v>1231</v>
      </c>
      <c r="H559" s="1" t="str">
        <f t="shared" si="49"/>
        <v>Cancelled</v>
      </c>
      <c r="I559" s="4" t="str">
        <f t="shared" si="50"/>
        <v>not completed</v>
      </c>
      <c r="J559" t="s">
        <v>339</v>
      </c>
      <c r="K559">
        <v>4</v>
      </c>
      <c r="L559">
        <v>10</v>
      </c>
      <c r="M559">
        <v>2003</v>
      </c>
      <c r="N559" t="s">
        <v>566</v>
      </c>
      <c r="O559">
        <v>157</v>
      </c>
      <c r="P559" t="s">
        <v>567</v>
      </c>
      <c r="Q559" t="s">
        <v>261</v>
      </c>
      <c r="R559" t="s">
        <v>262</v>
      </c>
      <c r="S559" t="s">
        <v>263</v>
      </c>
      <c r="U559" s="1" t="str">
        <f t="shared" si="51"/>
        <v>Boras</v>
      </c>
      <c r="V559" t="s">
        <v>264</v>
      </c>
      <c r="X559" t="s">
        <v>265</v>
      </c>
      <c r="Y559" s="1" t="str">
        <f t="shared" si="52"/>
        <v>SWEDEN</v>
      </c>
      <c r="Z559" s="4" t="str">
        <f t="shared" si="53"/>
        <v>Sweden</v>
      </c>
      <c r="AA559" t="s">
        <v>188</v>
      </c>
      <c r="AB559" t="s">
        <v>42</v>
      </c>
      <c r="AC559" t="s">
        <v>266</v>
      </c>
      <c r="AD559" t="s">
        <v>206</v>
      </c>
      <c r="AE559" t="s">
        <v>51</v>
      </c>
    </row>
    <row r="560" spans="1:31" x14ac:dyDescent="0.3">
      <c r="A560">
        <v>10178</v>
      </c>
      <c r="B560">
        <v>42</v>
      </c>
      <c r="C560">
        <v>100</v>
      </c>
      <c r="D560">
        <v>4</v>
      </c>
      <c r="E560" s="4" t="str">
        <f t="shared" si="48"/>
        <v>high sales</v>
      </c>
      <c r="F560">
        <v>6490.68</v>
      </c>
      <c r="G560" t="s">
        <v>1232</v>
      </c>
      <c r="H560" s="1" t="str">
        <f t="shared" si="49"/>
        <v>Shipped</v>
      </c>
      <c r="I560" s="4" t="str">
        <f t="shared" si="50"/>
        <v>completed</v>
      </c>
      <c r="J560" t="s">
        <v>25</v>
      </c>
      <c r="K560">
        <v>4</v>
      </c>
      <c r="L560">
        <v>11</v>
      </c>
      <c r="M560">
        <v>2003</v>
      </c>
      <c r="N560" t="s">
        <v>566</v>
      </c>
      <c r="O560">
        <v>157</v>
      </c>
      <c r="P560" t="s">
        <v>567</v>
      </c>
      <c r="Q560" t="s">
        <v>340</v>
      </c>
      <c r="R560" t="s">
        <v>341</v>
      </c>
      <c r="S560" t="s">
        <v>342</v>
      </c>
      <c r="U560" s="1" t="str">
        <f t="shared" si="51"/>
        <v>Toulouse</v>
      </c>
      <c r="V560" t="s">
        <v>343</v>
      </c>
      <c r="X560">
        <v>31000</v>
      </c>
      <c r="Y560" s="1" t="str">
        <f t="shared" si="52"/>
        <v>FRANCE</v>
      </c>
      <c r="Z560" s="4" t="str">
        <f t="shared" si="53"/>
        <v>France</v>
      </c>
      <c r="AA560" t="s">
        <v>41</v>
      </c>
      <c r="AB560" t="s">
        <v>42</v>
      </c>
      <c r="AC560" t="s">
        <v>344</v>
      </c>
      <c r="AD560" t="s">
        <v>345</v>
      </c>
      <c r="AE560" t="s">
        <v>51</v>
      </c>
    </row>
    <row r="561" spans="1:31" x14ac:dyDescent="0.3">
      <c r="A561">
        <v>10186</v>
      </c>
      <c r="B561">
        <v>32</v>
      </c>
      <c r="C561">
        <v>100</v>
      </c>
      <c r="D561">
        <v>1</v>
      </c>
      <c r="E561" s="4" t="str">
        <f t="shared" si="48"/>
        <v>high sales</v>
      </c>
      <c r="F561">
        <v>6004.8</v>
      </c>
      <c r="G561" t="s">
        <v>1233</v>
      </c>
      <c r="H561" s="1" t="str">
        <f t="shared" si="49"/>
        <v>Shipped</v>
      </c>
      <c r="I561" s="4" t="str">
        <f t="shared" si="50"/>
        <v>completed</v>
      </c>
      <c r="J561" t="s">
        <v>25</v>
      </c>
      <c r="K561">
        <v>4</v>
      </c>
      <c r="L561">
        <v>11</v>
      </c>
      <c r="M561">
        <v>2003</v>
      </c>
      <c r="N561" t="s">
        <v>566</v>
      </c>
      <c r="O561">
        <v>157</v>
      </c>
      <c r="P561" t="s">
        <v>567</v>
      </c>
      <c r="Q561" t="s">
        <v>346</v>
      </c>
      <c r="R561" t="s">
        <v>347</v>
      </c>
      <c r="S561" t="s">
        <v>348</v>
      </c>
      <c r="U561" s="1" t="str">
        <f t="shared" si="51"/>
        <v>London</v>
      </c>
      <c r="V561" t="s">
        <v>332</v>
      </c>
      <c r="X561" t="s">
        <v>349</v>
      </c>
      <c r="Y561" s="1" t="str">
        <f t="shared" si="52"/>
        <v>UK</v>
      </c>
      <c r="Z561" s="4" t="str">
        <f t="shared" si="53"/>
        <v>Uk</v>
      </c>
      <c r="AA561" t="s">
        <v>170</v>
      </c>
      <c r="AB561" t="s">
        <v>42</v>
      </c>
      <c r="AC561" t="s">
        <v>350</v>
      </c>
      <c r="AD561" t="s">
        <v>351</v>
      </c>
      <c r="AE561" t="s">
        <v>51</v>
      </c>
    </row>
    <row r="562" spans="1:31" x14ac:dyDescent="0.3">
      <c r="A562">
        <v>10198</v>
      </c>
      <c r="B562">
        <v>42</v>
      </c>
      <c r="C562">
        <v>100</v>
      </c>
      <c r="D562">
        <v>4</v>
      </c>
      <c r="E562" s="4" t="str">
        <f t="shared" si="48"/>
        <v>high sales</v>
      </c>
      <c r="F562">
        <v>7483.98</v>
      </c>
      <c r="G562" t="s">
        <v>1234</v>
      </c>
      <c r="H562" s="1" t="str">
        <f t="shared" si="49"/>
        <v>Shipped</v>
      </c>
      <c r="I562" s="4" t="str">
        <f t="shared" si="50"/>
        <v>completed</v>
      </c>
      <c r="J562" t="s">
        <v>25</v>
      </c>
      <c r="K562">
        <v>4</v>
      </c>
      <c r="L562">
        <v>11</v>
      </c>
      <c r="M562">
        <v>2003</v>
      </c>
      <c r="N562" t="s">
        <v>566</v>
      </c>
      <c r="O562">
        <v>157</v>
      </c>
      <c r="P562" t="s">
        <v>567</v>
      </c>
      <c r="Q562" t="s">
        <v>425</v>
      </c>
      <c r="R562" t="s">
        <v>426</v>
      </c>
      <c r="S562" t="s">
        <v>427</v>
      </c>
      <c r="U562" s="1" t="str">
        <f t="shared" si="51"/>
        <v>Makati City</v>
      </c>
      <c r="V562" t="s">
        <v>428</v>
      </c>
      <c r="X562" t="s">
        <v>429</v>
      </c>
      <c r="Y562" s="1" t="str">
        <f t="shared" si="52"/>
        <v>PHILIPPINES</v>
      </c>
      <c r="Z562" s="4" t="str">
        <f t="shared" si="53"/>
        <v>Philippines</v>
      </c>
      <c r="AA562" t="s">
        <v>430</v>
      </c>
      <c r="AB562" t="s">
        <v>200</v>
      </c>
      <c r="AC562" t="s">
        <v>431</v>
      </c>
      <c r="AD562" t="s">
        <v>432</v>
      </c>
      <c r="AE562" t="s">
        <v>151</v>
      </c>
    </row>
    <row r="563" spans="1:31" x14ac:dyDescent="0.3">
      <c r="A563">
        <v>10210</v>
      </c>
      <c r="B563">
        <v>31</v>
      </c>
      <c r="C563">
        <v>100</v>
      </c>
      <c r="D563">
        <v>17</v>
      </c>
      <c r="E563" s="4" t="str">
        <f t="shared" si="48"/>
        <v>high sales</v>
      </c>
      <c r="F563">
        <v>5719.5</v>
      </c>
      <c r="G563" t="s">
        <v>1235</v>
      </c>
      <c r="H563" s="1" t="str">
        <f t="shared" si="49"/>
        <v>Shipped</v>
      </c>
      <c r="I563" s="4" t="str">
        <f t="shared" si="50"/>
        <v>completed</v>
      </c>
      <c r="J563" t="s">
        <v>25</v>
      </c>
      <c r="K563">
        <v>1</v>
      </c>
      <c r="L563">
        <v>1</v>
      </c>
      <c r="M563">
        <v>2004</v>
      </c>
      <c r="N563" t="s">
        <v>566</v>
      </c>
      <c r="O563">
        <v>157</v>
      </c>
      <c r="P563" t="s">
        <v>567</v>
      </c>
      <c r="Q563" t="s">
        <v>302</v>
      </c>
      <c r="R563" t="s">
        <v>303</v>
      </c>
      <c r="S563" t="s">
        <v>304</v>
      </c>
      <c r="U563" s="1" t="str">
        <f t="shared" si="51"/>
        <v>Osaka</v>
      </c>
      <c r="V563" t="s">
        <v>305</v>
      </c>
      <c r="W563" t="s">
        <v>305</v>
      </c>
      <c r="X563" t="s">
        <v>306</v>
      </c>
      <c r="Y563" s="1" t="str">
        <f t="shared" si="52"/>
        <v>JAPAN</v>
      </c>
      <c r="Z563" s="4" t="str">
        <f t="shared" si="53"/>
        <v>Japan</v>
      </c>
      <c r="AA563" t="s">
        <v>200</v>
      </c>
      <c r="AB563" t="s">
        <v>200</v>
      </c>
      <c r="AC563" t="s">
        <v>307</v>
      </c>
      <c r="AD563" t="s">
        <v>308</v>
      </c>
      <c r="AE563" t="s">
        <v>51</v>
      </c>
    </row>
    <row r="564" spans="1:31" x14ac:dyDescent="0.3">
      <c r="A564">
        <v>10222</v>
      </c>
      <c r="B564">
        <v>49</v>
      </c>
      <c r="C564">
        <v>100</v>
      </c>
      <c r="D564">
        <v>4</v>
      </c>
      <c r="E564" s="4" t="str">
        <f t="shared" si="48"/>
        <v>high sales</v>
      </c>
      <c r="F564">
        <v>6954.08</v>
      </c>
      <c r="G564" t="s">
        <v>1236</v>
      </c>
      <c r="H564" s="1" t="str">
        <f t="shared" si="49"/>
        <v>Shipped</v>
      </c>
      <c r="I564" s="4" t="str">
        <f t="shared" si="50"/>
        <v>completed</v>
      </c>
      <c r="J564" t="s">
        <v>25</v>
      </c>
      <c r="K564">
        <v>1</v>
      </c>
      <c r="L564">
        <v>2</v>
      </c>
      <c r="M564">
        <v>2004</v>
      </c>
      <c r="N564" t="s">
        <v>566</v>
      </c>
      <c r="O564">
        <v>157</v>
      </c>
      <c r="P564" t="s">
        <v>567</v>
      </c>
      <c r="Q564" t="s">
        <v>362</v>
      </c>
      <c r="R564">
        <v>7605558146</v>
      </c>
      <c r="S564" t="s">
        <v>363</v>
      </c>
      <c r="U564" s="1" t="str">
        <f t="shared" si="51"/>
        <v>San Diego</v>
      </c>
      <c r="V564" t="s">
        <v>364</v>
      </c>
      <c r="W564" t="s">
        <v>55</v>
      </c>
      <c r="X564">
        <v>91217</v>
      </c>
      <c r="Y564" s="1" t="str">
        <f t="shared" si="52"/>
        <v>USA</v>
      </c>
      <c r="Z564" s="4" t="str">
        <f t="shared" si="53"/>
        <v>Usa</v>
      </c>
      <c r="AA564" t="s">
        <v>32</v>
      </c>
      <c r="AB564" t="s">
        <v>33</v>
      </c>
      <c r="AC564" t="s">
        <v>237</v>
      </c>
      <c r="AD564" t="s">
        <v>276</v>
      </c>
      <c r="AE564" t="s">
        <v>51</v>
      </c>
    </row>
    <row r="565" spans="1:31" x14ac:dyDescent="0.3">
      <c r="A565">
        <v>10250</v>
      </c>
      <c r="B565">
        <v>45</v>
      </c>
      <c r="C565">
        <v>100</v>
      </c>
      <c r="D565">
        <v>14</v>
      </c>
      <c r="E565" s="4" t="str">
        <f t="shared" si="48"/>
        <v>high sales</v>
      </c>
      <c r="F565">
        <v>8160.3</v>
      </c>
      <c r="G565" t="s">
        <v>1237</v>
      </c>
      <c r="H565" s="1" t="str">
        <f t="shared" si="49"/>
        <v>Shipped</v>
      </c>
      <c r="I565" s="4" t="str">
        <f t="shared" si="50"/>
        <v>completed</v>
      </c>
      <c r="J565" t="s">
        <v>25</v>
      </c>
      <c r="K565">
        <v>2</v>
      </c>
      <c r="L565">
        <v>5</v>
      </c>
      <c r="M565">
        <v>2004</v>
      </c>
      <c r="N565" t="s">
        <v>566</v>
      </c>
      <c r="O565">
        <v>157</v>
      </c>
      <c r="P565" t="s">
        <v>567</v>
      </c>
      <c r="Q565" t="s">
        <v>397</v>
      </c>
      <c r="R565">
        <v>4085553659</v>
      </c>
      <c r="S565" t="s">
        <v>398</v>
      </c>
      <c r="U565" s="1" t="str">
        <f t="shared" si="51"/>
        <v>San Jose</v>
      </c>
      <c r="V565" t="s">
        <v>399</v>
      </c>
      <c r="W565" t="s">
        <v>55</v>
      </c>
      <c r="X565">
        <v>94217</v>
      </c>
      <c r="Y565" s="1" t="str">
        <f t="shared" si="52"/>
        <v>USA</v>
      </c>
      <c r="Z565" s="4" t="str">
        <f t="shared" si="53"/>
        <v>Usa</v>
      </c>
      <c r="AA565" t="s">
        <v>32</v>
      </c>
      <c r="AB565" t="s">
        <v>33</v>
      </c>
      <c r="AC565" t="s">
        <v>102</v>
      </c>
      <c r="AD565" t="s">
        <v>400</v>
      </c>
      <c r="AE565" t="s">
        <v>151</v>
      </c>
    </row>
    <row r="566" spans="1:31" x14ac:dyDescent="0.3">
      <c r="A566">
        <v>10262</v>
      </c>
      <c r="B566">
        <v>49</v>
      </c>
      <c r="C566">
        <v>100</v>
      </c>
      <c r="D566">
        <v>9</v>
      </c>
      <c r="E566" s="4" t="str">
        <f t="shared" si="48"/>
        <v>high sales</v>
      </c>
      <c r="F566">
        <v>6567.96</v>
      </c>
      <c r="G566" t="s">
        <v>1238</v>
      </c>
      <c r="H566" s="1" t="str">
        <f t="shared" si="49"/>
        <v>Cancelled</v>
      </c>
      <c r="I566" s="4" t="str">
        <f t="shared" si="50"/>
        <v>not completed</v>
      </c>
      <c r="J566" t="s">
        <v>339</v>
      </c>
      <c r="K566">
        <v>2</v>
      </c>
      <c r="L566">
        <v>6</v>
      </c>
      <c r="M566">
        <v>2004</v>
      </c>
      <c r="N566" t="s">
        <v>566</v>
      </c>
      <c r="O566">
        <v>157</v>
      </c>
      <c r="P566" t="s">
        <v>567</v>
      </c>
      <c r="Q566" t="s">
        <v>174</v>
      </c>
      <c r="R566" t="s">
        <v>175</v>
      </c>
      <c r="S566" t="s">
        <v>176</v>
      </c>
      <c r="U566" s="1" t="str">
        <f t="shared" si="51"/>
        <v>Madrid</v>
      </c>
      <c r="V566" t="s">
        <v>177</v>
      </c>
      <c r="X566">
        <v>28034</v>
      </c>
      <c r="Y566" s="1" t="str">
        <f t="shared" si="52"/>
        <v>SPAIN</v>
      </c>
      <c r="Z566" s="4" t="str">
        <f t="shared" si="53"/>
        <v>Spain</v>
      </c>
      <c r="AA566" t="s">
        <v>178</v>
      </c>
      <c r="AB566" t="s">
        <v>42</v>
      </c>
      <c r="AC566" t="s">
        <v>179</v>
      </c>
      <c r="AD566" t="s">
        <v>180</v>
      </c>
      <c r="AE566" t="s">
        <v>51</v>
      </c>
    </row>
    <row r="567" spans="1:31" x14ac:dyDescent="0.3">
      <c r="A567">
        <v>10274</v>
      </c>
      <c r="B567">
        <v>41</v>
      </c>
      <c r="C567">
        <v>100</v>
      </c>
      <c r="D567">
        <v>1</v>
      </c>
      <c r="E567" s="4" t="str">
        <f t="shared" si="48"/>
        <v>high sales</v>
      </c>
      <c r="F567">
        <v>6724</v>
      </c>
      <c r="G567" t="s">
        <v>1239</v>
      </c>
      <c r="H567" s="1" t="str">
        <f t="shared" si="49"/>
        <v>Shipped</v>
      </c>
      <c r="I567" s="4" t="str">
        <f t="shared" si="50"/>
        <v>completed</v>
      </c>
      <c r="J567" t="s">
        <v>25</v>
      </c>
      <c r="K567">
        <v>3</v>
      </c>
      <c r="L567">
        <v>7</v>
      </c>
      <c r="M567">
        <v>2004</v>
      </c>
      <c r="N567" t="s">
        <v>566</v>
      </c>
      <c r="O567">
        <v>157</v>
      </c>
      <c r="P567" t="s">
        <v>567</v>
      </c>
      <c r="Q567" t="s">
        <v>281</v>
      </c>
      <c r="R567">
        <v>6175558555</v>
      </c>
      <c r="S567" t="s">
        <v>282</v>
      </c>
      <c r="U567" s="1" t="str">
        <f t="shared" si="51"/>
        <v>Brickhaven</v>
      </c>
      <c r="V567" t="s">
        <v>283</v>
      </c>
      <c r="W567" t="s">
        <v>123</v>
      </c>
      <c r="X567">
        <v>58339</v>
      </c>
      <c r="Y567" s="1" t="str">
        <f t="shared" si="52"/>
        <v>USA</v>
      </c>
      <c r="Z567" s="4" t="str">
        <f t="shared" si="53"/>
        <v>Usa</v>
      </c>
      <c r="AA567" t="s">
        <v>32</v>
      </c>
      <c r="AB567" t="s">
        <v>33</v>
      </c>
      <c r="AC567" t="s">
        <v>275</v>
      </c>
      <c r="AD567" t="s">
        <v>284</v>
      </c>
      <c r="AE567" t="s">
        <v>51</v>
      </c>
    </row>
    <row r="568" spans="1:31" x14ac:dyDescent="0.3">
      <c r="A568">
        <v>10284</v>
      </c>
      <c r="B568">
        <v>45</v>
      </c>
      <c r="C568">
        <v>100</v>
      </c>
      <c r="D568">
        <v>11</v>
      </c>
      <c r="E568" s="4" t="str">
        <f t="shared" si="48"/>
        <v>high sales</v>
      </c>
      <c r="F568">
        <v>5747.85</v>
      </c>
      <c r="G568" t="s">
        <v>1240</v>
      </c>
      <c r="H568" s="1" t="str">
        <f t="shared" si="49"/>
        <v>Shipped</v>
      </c>
      <c r="I568" s="4" t="str">
        <f t="shared" si="50"/>
        <v>completed</v>
      </c>
      <c r="J568" t="s">
        <v>25</v>
      </c>
      <c r="K568">
        <v>3</v>
      </c>
      <c r="L568">
        <v>8</v>
      </c>
      <c r="M568">
        <v>2004</v>
      </c>
      <c r="N568" t="s">
        <v>566</v>
      </c>
      <c r="O568">
        <v>157</v>
      </c>
      <c r="P568" t="s">
        <v>567</v>
      </c>
      <c r="Q568" t="s">
        <v>543</v>
      </c>
      <c r="R568" t="s">
        <v>544</v>
      </c>
      <c r="S568" t="s">
        <v>545</v>
      </c>
      <c r="U568" s="1" t="str">
        <f t="shared" si="51"/>
        <v>Oslo</v>
      </c>
      <c r="V568" t="s">
        <v>546</v>
      </c>
      <c r="X568" t="s">
        <v>547</v>
      </c>
      <c r="Y568" s="1" t="str">
        <f t="shared" si="52"/>
        <v>NORWAY</v>
      </c>
      <c r="Z568" s="4" t="str">
        <f t="shared" si="53"/>
        <v>Norway</v>
      </c>
      <c r="AA568" t="s">
        <v>78</v>
      </c>
      <c r="AB568" t="s">
        <v>42</v>
      </c>
      <c r="AC568" t="s">
        <v>548</v>
      </c>
      <c r="AD568" t="s">
        <v>549</v>
      </c>
      <c r="AE568" t="s">
        <v>51</v>
      </c>
    </row>
    <row r="569" spans="1:31" x14ac:dyDescent="0.3">
      <c r="A569">
        <v>10296</v>
      </c>
      <c r="B569">
        <v>36</v>
      </c>
      <c r="C569">
        <v>100</v>
      </c>
      <c r="D569">
        <v>7</v>
      </c>
      <c r="E569" s="4" t="str">
        <f t="shared" si="48"/>
        <v>high sales</v>
      </c>
      <c r="F569">
        <v>5676.84</v>
      </c>
      <c r="G569" t="s">
        <v>1241</v>
      </c>
      <c r="H569" s="1" t="str">
        <f t="shared" si="49"/>
        <v>Shipped</v>
      </c>
      <c r="I569" s="4" t="str">
        <f t="shared" si="50"/>
        <v>completed</v>
      </c>
      <c r="J569" t="s">
        <v>25</v>
      </c>
      <c r="K569">
        <v>3</v>
      </c>
      <c r="L569">
        <v>9</v>
      </c>
      <c r="M569">
        <v>2004</v>
      </c>
      <c r="N569" t="s">
        <v>566</v>
      </c>
      <c r="O569">
        <v>157</v>
      </c>
      <c r="P569" t="s">
        <v>567</v>
      </c>
      <c r="Q569" t="s">
        <v>572</v>
      </c>
      <c r="R569" t="s">
        <v>573</v>
      </c>
      <c r="S569" t="s">
        <v>574</v>
      </c>
      <c r="U569" s="1" t="str">
        <f t="shared" si="51"/>
        <v>Munich</v>
      </c>
      <c r="V569" t="s">
        <v>575</v>
      </c>
      <c r="X569">
        <v>80686</v>
      </c>
      <c r="Y569" s="1" t="str">
        <f t="shared" si="52"/>
        <v>GERMANY</v>
      </c>
      <c r="Z569" s="4" t="str">
        <f t="shared" si="53"/>
        <v>Germany</v>
      </c>
      <c r="AA569" t="s">
        <v>443</v>
      </c>
      <c r="AB569" t="s">
        <v>42</v>
      </c>
      <c r="AC569" t="s">
        <v>576</v>
      </c>
      <c r="AD569" t="s">
        <v>103</v>
      </c>
      <c r="AE569" t="s">
        <v>51</v>
      </c>
    </row>
    <row r="570" spans="1:31" x14ac:dyDescent="0.3">
      <c r="A570">
        <v>10307</v>
      </c>
      <c r="B570">
        <v>39</v>
      </c>
      <c r="C570">
        <v>100</v>
      </c>
      <c r="D570">
        <v>1</v>
      </c>
      <c r="E570" s="4" t="str">
        <f t="shared" si="48"/>
        <v>high sales</v>
      </c>
      <c r="F570">
        <v>7379.97</v>
      </c>
      <c r="G570" t="s">
        <v>1242</v>
      </c>
      <c r="H570" s="1" t="str">
        <f t="shared" si="49"/>
        <v>Shipped</v>
      </c>
      <c r="I570" s="4" t="str">
        <f t="shared" si="50"/>
        <v>completed</v>
      </c>
      <c r="J570" t="s">
        <v>25</v>
      </c>
      <c r="K570">
        <v>4</v>
      </c>
      <c r="L570">
        <v>10</v>
      </c>
      <c r="M570">
        <v>2004</v>
      </c>
      <c r="N570" t="s">
        <v>566</v>
      </c>
      <c r="O570">
        <v>157</v>
      </c>
      <c r="P570" t="s">
        <v>567</v>
      </c>
      <c r="Q570" t="s">
        <v>214</v>
      </c>
      <c r="R570">
        <v>2155554695</v>
      </c>
      <c r="S570" t="s">
        <v>215</v>
      </c>
      <c r="U570" s="1" t="str">
        <f t="shared" si="51"/>
        <v>Philadelphia</v>
      </c>
      <c r="V570" t="s">
        <v>216</v>
      </c>
      <c r="W570" t="s">
        <v>142</v>
      </c>
      <c r="X570">
        <v>71270</v>
      </c>
      <c r="Y570" s="1" t="str">
        <f t="shared" si="52"/>
        <v>USA</v>
      </c>
      <c r="Z570" s="4" t="str">
        <f t="shared" si="53"/>
        <v>Usa</v>
      </c>
      <c r="AA570" t="s">
        <v>32</v>
      </c>
      <c r="AB570" t="s">
        <v>33</v>
      </c>
      <c r="AC570" t="s">
        <v>217</v>
      </c>
      <c r="AD570" t="s">
        <v>218</v>
      </c>
      <c r="AE570" t="s">
        <v>151</v>
      </c>
    </row>
    <row r="571" spans="1:31" x14ac:dyDescent="0.3">
      <c r="A571">
        <v>10316</v>
      </c>
      <c r="B571">
        <v>27</v>
      </c>
      <c r="C571">
        <v>100</v>
      </c>
      <c r="D571">
        <v>9</v>
      </c>
      <c r="E571" s="4" t="str">
        <f t="shared" si="48"/>
        <v>low sales</v>
      </c>
      <c r="F571">
        <v>3704.13</v>
      </c>
      <c r="G571" t="s">
        <v>1243</v>
      </c>
      <c r="H571" s="1" t="str">
        <f t="shared" si="49"/>
        <v>Shipped</v>
      </c>
      <c r="I571" s="4" t="str">
        <f t="shared" si="50"/>
        <v>completed</v>
      </c>
      <c r="J571" t="s">
        <v>25</v>
      </c>
      <c r="K571">
        <v>4</v>
      </c>
      <c r="L571">
        <v>11</v>
      </c>
      <c r="M571">
        <v>2004</v>
      </c>
      <c r="N571" t="s">
        <v>566</v>
      </c>
      <c r="O571">
        <v>157</v>
      </c>
      <c r="P571" t="s">
        <v>567</v>
      </c>
      <c r="Q571" t="s">
        <v>383</v>
      </c>
      <c r="R571" t="s">
        <v>384</v>
      </c>
      <c r="S571" t="s">
        <v>385</v>
      </c>
      <c r="U571" s="1" t="str">
        <f t="shared" si="51"/>
        <v>Cowes</v>
      </c>
      <c r="V571" t="s">
        <v>386</v>
      </c>
      <c r="W571" t="s">
        <v>387</v>
      </c>
      <c r="X571" t="s">
        <v>388</v>
      </c>
      <c r="Y571" s="1" t="str">
        <f t="shared" si="52"/>
        <v>UK</v>
      </c>
      <c r="Z571" s="4" t="str">
        <f t="shared" si="53"/>
        <v>Uk</v>
      </c>
      <c r="AA571" t="s">
        <v>170</v>
      </c>
      <c r="AB571" t="s">
        <v>42</v>
      </c>
      <c r="AC571" t="s">
        <v>389</v>
      </c>
      <c r="AD571" t="s">
        <v>390</v>
      </c>
      <c r="AE571" t="s">
        <v>51</v>
      </c>
    </row>
    <row r="572" spans="1:31" x14ac:dyDescent="0.3">
      <c r="A572">
        <v>10327</v>
      </c>
      <c r="B572">
        <v>25</v>
      </c>
      <c r="C572">
        <v>100</v>
      </c>
      <c r="D572">
        <v>6</v>
      </c>
      <c r="E572" s="4" t="str">
        <f t="shared" si="48"/>
        <v>low sales</v>
      </c>
      <c r="F572">
        <v>2804.75</v>
      </c>
      <c r="G572" t="s">
        <v>1244</v>
      </c>
      <c r="H572" s="1" t="str">
        <f t="shared" si="49"/>
        <v>Resolved</v>
      </c>
      <c r="I572" s="4" t="str">
        <f t="shared" si="50"/>
        <v>not completed</v>
      </c>
      <c r="J572" t="s">
        <v>408</v>
      </c>
      <c r="K572">
        <v>4</v>
      </c>
      <c r="L572">
        <v>11</v>
      </c>
      <c r="M572">
        <v>2004</v>
      </c>
      <c r="N572" t="s">
        <v>566</v>
      </c>
      <c r="O572">
        <v>157</v>
      </c>
      <c r="P572" t="s">
        <v>567</v>
      </c>
      <c r="Q572" t="s">
        <v>322</v>
      </c>
      <c r="R572" t="s">
        <v>323</v>
      </c>
      <c r="S572" t="s">
        <v>324</v>
      </c>
      <c r="U572" s="1" t="str">
        <f t="shared" si="51"/>
        <v>Kobenhavn</v>
      </c>
      <c r="V572" t="s">
        <v>325</v>
      </c>
      <c r="X572">
        <v>1734</v>
      </c>
      <c r="Y572" s="1" t="str">
        <f t="shared" si="52"/>
        <v>DENMARK</v>
      </c>
      <c r="Z572" s="4" t="str">
        <f t="shared" si="53"/>
        <v>Denmark</v>
      </c>
      <c r="AA572" t="s">
        <v>326</v>
      </c>
      <c r="AB572" t="s">
        <v>42</v>
      </c>
      <c r="AC572" t="s">
        <v>327</v>
      </c>
      <c r="AD572" t="s">
        <v>328</v>
      </c>
      <c r="AE572" t="s">
        <v>36</v>
      </c>
    </row>
    <row r="573" spans="1:31" x14ac:dyDescent="0.3">
      <c r="A573">
        <v>10338</v>
      </c>
      <c r="B573">
        <v>41</v>
      </c>
      <c r="C573">
        <v>100</v>
      </c>
      <c r="D573">
        <v>1</v>
      </c>
      <c r="E573" s="4" t="str">
        <f t="shared" si="48"/>
        <v>high sales</v>
      </c>
      <c r="F573">
        <v>5624.79</v>
      </c>
      <c r="G573" t="s">
        <v>1245</v>
      </c>
      <c r="H573" s="1" t="str">
        <f t="shared" si="49"/>
        <v>Shipped</v>
      </c>
      <c r="I573" s="4" t="str">
        <f t="shared" si="50"/>
        <v>completed</v>
      </c>
      <c r="J573" t="s">
        <v>25</v>
      </c>
      <c r="K573">
        <v>4</v>
      </c>
      <c r="L573">
        <v>11</v>
      </c>
      <c r="M573">
        <v>2004</v>
      </c>
      <c r="N573" t="s">
        <v>566</v>
      </c>
      <c r="O573">
        <v>157</v>
      </c>
      <c r="P573" t="s">
        <v>567</v>
      </c>
      <c r="Q573" t="s">
        <v>577</v>
      </c>
      <c r="R573" t="s">
        <v>578</v>
      </c>
      <c r="S573" t="s">
        <v>579</v>
      </c>
      <c r="U573" s="1" t="str">
        <f t="shared" si="51"/>
        <v>Charleroi</v>
      </c>
      <c r="V573" t="s">
        <v>580</v>
      </c>
      <c r="X573" t="s">
        <v>581</v>
      </c>
      <c r="Y573" s="1" t="str">
        <f t="shared" si="52"/>
        <v>BELGIUM</v>
      </c>
      <c r="Z573" s="4" t="str">
        <f t="shared" si="53"/>
        <v>Belgium</v>
      </c>
      <c r="AA573" t="s">
        <v>370</v>
      </c>
      <c r="AB573" t="s">
        <v>42</v>
      </c>
      <c r="AC573" t="s">
        <v>582</v>
      </c>
      <c r="AD573" t="s">
        <v>583</v>
      </c>
      <c r="AE573" t="s">
        <v>51</v>
      </c>
    </row>
    <row r="574" spans="1:31" x14ac:dyDescent="0.3">
      <c r="A574">
        <v>10351</v>
      </c>
      <c r="B574">
        <v>39</v>
      </c>
      <c r="C574">
        <v>99.52</v>
      </c>
      <c r="D574">
        <v>1</v>
      </c>
      <c r="E574" s="4" t="str">
        <f t="shared" si="48"/>
        <v>low sales</v>
      </c>
      <c r="F574">
        <v>3881.28</v>
      </c>
      <c r="G574" t="s">
        <v>1246</v>
      </c>
      <c r="H574" s="1" t="str">
        <f t="shared" si="49"/>
        <v>Shipped</v>
      </c>
      <c r="I574" s="4" t="str">
        <f t="shared" si="50"/>
        <v>completed</v>
      </c>
      <c r="J574" t="s">
        <v>25</v>
      </c>
      <c r="K574">
        <v>4</v>
      </c>
      <c r="L574">
        <v>12</v>
      </c>
      <c r="M574">
        <v>2004</v>
      </c>
      <c r="N574" t="s">
        <v>566</v>
      </c>
      <c r="O574">
        <v>157</v>
      </c>
      <c r="P574" t="s">
        <v>567</v>
      </c>
      <c r="Q574" t="s">
        <v>329</v>
      </c>
      <c r="R574" t="s">
        <v>330</v>
      </c>
      <c r="S574" t="s">
        <v>331</v>
      </c>
      <c r="U574" s="1" t="str">
        <f t="shared" si="51"/>
        <v>London</v>
      </c>
      <c r="V574" t="s">
        <v>332</v>
      </c>
      <c r="X574" t="s">
        <v>333</v>
      </c>
      <c r="Y574" s="1" t="str">
        <f t="shared" si="52"/>
        <v>UK</v>
      </c>
      <c r="Z574" s="4" t="str">
        <f t="shared" si="53"/>
        <v>Uk</v>
      </c>
      <c r="AA574" t="s">
        <v>170</v>
      </c>
      <c r="AB574" t="s">
        <v>42</v>
      </c>
      <c r="AC574" t="s">
        <v>61</v>
      </c>
      <c r="AD574" t="s">
        <v>334</v>
      </c>
      <c r="AE574" t="s">
        <v>51</v>
      </c>
    </row>
    <row r="575" spans="1:31" x14ac:dyDescent="0.3">
      <c r="A575">
        <v>10373</v>
      </c>
      <c r="B575">
        <v>28</v>
      </c>
      <c r="C575">
        <v>57.55</v>
      </c>
      <c r="D575">
        <v>4</v>
      </c>
      <c r="E575" s="4" t="str">
        <f t="shared" si="48"/>
        <v>low sales</v>
      </c>
      <c r="F575">
        <v>1611.4</v>
      </c>
      <c r="G575" t="s">
        <v>1247</v>
      </c>
      <c r="H575" s="1" t="str">
        <f t="shared" si="49"/>
        <v>Shipped</v>
      </c>
      <c r="I575" s="4" t="str">
        <f t="shared" si="50"/>
        <v>completed</v>
      </c>
      <c r="J575" t="s">
        <v>25</v>
      </c>
      <c r="K575">
        <v>1</v>
      </c>
      <c r="L575">
        <v>1</v>
      </c>
      <c r="M575">
        <v>2005</v>
      </c>
      <c r="N575" t="s">
        <v>566</v>
      </c>
      <c r="O575">
        <v>157</v>
      </c>
      <c r="P575" t="s">
        <v>567</v>
      </c>
      <c r="Q575" t="s">
        <v>391</v>
      </c>
      <c r="R575" t="s">
        <v>392</v>
      </c>
      <c r="S575" t="s">
        <v>393</v>
      </c>
      <c r="U575" s="1" t="str">
        <f t="shared" si="51"/>
        <v>Oulu</v>
      </c>
      <c r="V575" t="s">
        <v>394</v>
      </c>
      <c r="X575">
        <v>90110</v>
      </c>
      <c r="Y575" s="1" t="str">
        <f t="shared" si="52"/>
        <v>FINLAND</v>
      </c>
      <c r="Z575" s="4" t="str">
        <f t="shared" si="53"/>
        <v>Finland</v>
      </c>
      <c r="AA575" t="s">
        <v>130</v>
      </c>
      <c r="AB575" t="s">
        <v>42</v>
      </c>
      <c r="AC575" t="s">
        <v>395</v>
      </c>
      <c r="AD575" t="s">
        <v>396</v>
      </c>
      <c r="AE575" t="s">
        <v>36</v>
      </c>
    </row>
    <row r="576" spans="1:31" x14ac:dyDescent="0.3">
      <c r="A576">
        <v>10386</v>
      </c>
      <c r="B576">
        <v>25</v>
      </c>
      <c r="C576">
        <v>54.57</v>
      </c>
      <c r="D576">
        <v>7</v>
      </c>
      <c r="E576" s="4" t="str">
        <f t="shared" si="48"/>
        <v>low sales</v>
      </c>
      <c r="F576">
        <v>1364.25</v>
      </c>
      <c r="G576" t="s">
        <v>1248</v>
      </c>
      <c r="H576" s="1" t="str">
        <f t="shared" si="49"/>
        <v>Resolved</v>
      </c>
      <c r="I576" s="4" t="str">
        <f t="shared" si="50"/>
        <v>not completed</v>
      </c>
      <c r="J576" t="s">
        <v>408</v>
      </c>
      <c r="K576">
        <v>1</v>
      </c>
      <c r="L576">
        <v>3</v>
      </c>
      <c r="M576">
        <v>2005</v>
      </c>
      <c r="N576" t="s">
        <v>566</v>
      </c>
      <c r="O576">
        <v>157</v>
      </c>
      <c r="P576" t="s">
        <v>567</v>
      </c>
      <c r="Q576" t="s">
        <v>174</v>
      </c>
      <c r="R576" t="s">
        <v>175</v>
      </c>
      <c r="S576" t="s">
        <v>176</v>
      </c>
      <c r="U576" s="1" t="str">
        <f t="shared" si="51"/>
        <v>Madrid</v>
      </c>
      <c r="V576" t="s">
        <v>177</v>
      </c>
      <c r="X576">
        <v>28034</v>
      </c>
      <c r="Y576" s="1" t="str">
        <f t="shared" si="52"/>
        <v>SPAIN</v>
      </c>
      <c r="Z576" s="4" t="str">
        <f t="shared" si="53"/>
        <v>Spain</v>
      </c>
      <c r="AA576" t="s">
        <v>178</v>
      </c>
      <c r="AB576" t="s">
        <v>42</v>
      </c>
      <c r="AC576" t="s">
        <v>179</v>
      </c>
      <c r="AD576" t="s">
        <v>180</v>
      </c>
      <c r="AE576" t="s">
        <v>36</v>
      </c>
    </row>
    <row r="577" spans="1:31" x14ac:dyDescent="0.3">
      <c r="A577">
        <v>10398</v>
      </c>
      <c r="B577">
        <v>33</v>
      </c>
      <c r="C577">
        <v>100</v>
      </c>
      <c r="D577">
        <v>11</v>
      </c>
      <c r="E577" s="4" t="str">
        <f t="shared" si="48"/>
        <v>high sales</v>
      </c>
      <c r="F577">
        <v>4215.09</v>
      </c>
      <c r="G577" t="s">
        <v>1249</v>
      </c>
      <c r="H577" s="1" t="str">
        <f t="shared" si="49"/>
        <v>Shipped</v>
      </c>
      <c r="I577" s="4" t="str">
        <f t="shared" si="50"/>
        <v>completed</v>
      </c>
      <c r="J577" t="s">
        <v>25</v>
      </c>
      <c r="K577">
        <v>1</v>
      </c>
      <c r="L577">
        <v>3</v>
      </c>
      <c r="M577">
        <v>2005</v>
      </c>
      <c r="N577" t="s">
        <v>566</v>
      </c>
      <c r="O577">
        <v>157</v>
      </c>
      <c r="P577" t="s">
        <v>567</v>
      </c>
      <c r="Q577" t="s">
        <v>37</v>
      </c>
      <c r="R577" t="s">
        <v>38</v>
      </c>
      <c r="S577" t="s">
        <v>39</v>
      </c>
      <c r="U577" s="1" t="str">
        <f t="shared" si="51"/>
        <v>Reims</v>
      </c>
      <c r="V577" t="s">
        <v>40</v>
      </c>
      <c r="X577">
        <v>51100</v>
      </c>
      <c r="Y577" s="1" t="str">
        <f t="shared" si="52"/>
        <v>FRANCE</v>
      </c>
      <c r="Z577" s="4" t="str">
        <f t="shared" si="53"/>
        <v>France</v>
      </c>
      <c r="AA577" t="s">
        <v>41</v>
      </c>
      <c r="AB577" t="s">
        <v>42</v>
      </c>
      <c r="AC577" t="s">
        <v>43</v>
      </c>
      <c r="AD577" t="s">
        <v>44</v>
      </c>
      <c r="AE577" t="s">
        <v>51</v>
      </c>
    </row>
    <row r="578" spans="1:31" x14ac:dyDescent="0.3">
      <c r="A578">
        <v>10400</v>
      </c>
      <c r="B578">
        <v>34</v>
      </c>
      <c r="C578">
        <v>100</v>
      </c>
      <c r="D578">
        <v>1</v>
      </c>
      <c r="E578" s="4" t="str">
        <f t="shared" si="48"/>
        <v>high sales</v>
      </c>
      <c r="F578">
        <v>6433.82</v>
      </c>
      <c r="G578" t="s">
        <v>1250</v>
      </c>
      <c r="H578" s="1" t="str">
        <f t="shared" si="49"/>
        <v>Shipped</v>
      </c>
      <c r="I578" s="4" t="str">
        <f t="shared" si="50"/>
        <v>completed</v>
      </c>
      <c r="J578" t="s">
        <v>25</v>
      </c>
      <c r="K578">
        <v>2</v>
      </c>
      <c r="L578">
        <v>4</v>
      </c>
      <c r="M578">
        <v>2005</v>
      </c>
      <c r="N578" t="s">
        <v>566</v>
      </c>
      <c r="O578">
        <v>157</v>
      </c>
      <c r="P578" t="s">
        <v>567</v>
      </c>
      <c r="Q578" t="s">
        <v>397</v>
      </c>
      <c r="R578">
        <v>4085553659</v>
      </c>
      <c r="S578" t="s">
        <v>398</v>
      </c>
      <c r="U578" s="1" t="str">
        <f t="shared" si="51"/>
        <v>San Jose</v>
      </c>
      <c r="V578" t="s">
        <v>399</v>
      </c>
      <c r="W578" t="s">
        <v>55</v>
      </c>
      <c r="X578">
        <v>94217</v>
      </c>
      <c r="Y578" s="1" t="str">
        <f t="shared" si="52"/>
        <v>USA</v>
      </c>
      <c r="Z578" s="4" t="str">
        <f t="shared" si="53"/>
        <v>Usa</v>
      </c>
      <c r="AA578" t="s">
        <v>32</v>
      </c>
      <c r="AB578" t="s">
        <v>33</v>
      </c>
      <c r="AC578" t="s">
        <v>102</v>
      </c>
      <c r="AD578" t="s">
        <v>400</v>
      </c>
      <c r="AE578" t="s">
        <v>51</v>
      </c>
    </row>
    <row r="579" spans="1:31" x14ac:dyDescent="0.3">
      <c r="A579">
        <v>10416</v>
      </c>
      <c r="B579">
        <v>24</v>
      </c>
      <c r="C579">
        <v>100</v>
      </c>
      <c r="D579">
        <v>14</v>
      </c>
      <c r="E579" s="4" t="str">
        <f t="shared" ref="E579:E642" si="54">IF(F579&gt;4000,"high sales","low sales")</f>
        <v>high sales</v>
      </c>
      <c r="F579">
        <v>4352.16</v>
      </c>
      <c r="G579" t="s">
        <v>1251</v>
      </c>
      <c r="H579" s="1" t="str">
        <f t="shared" ref="H579:H642" si="55">PROPER(TRIM(J579))</f>
        <v>Shipped</v>
      </c>
      <c r="I579" s="4" t="str">
        <f t="shared" ref="I579:I642" si="56">IF(J579="shipped","completed","not completed")</f>
        <v>completed</v>
      </c>
      <c r="J579" t="s">
        <v>25</v>
      </c>
      <c r="K579">
        <v>2</v>
      </c>
      <c r="L579">
        <v>5</v>
      </c>
      <c r="M579">
        <v>2005</v>
      </c>
      <c r="N579" t="s">
        <v>566</v>
      </c>
      <c r="O579">
        <v>157</v>
      </c>
      <c r="P579" t="s">
        <v>567</v>
      </c>
      <c r="Q579" t="s">
        <v>452</v>
      </c>
      <c r="R579" t="s">
        <v>453</v>
      </c>
      <c r="S579" t="s">
        <v>454</v>
      </c>
      <c r="U579" s="1" t="str">
        <f t="shared" ref="U579:U642" si="57">PROPER(TRIM(V579))</f>
        <v>Reggio Emilia</v>
      </c>
      <c r="V579" t="s">
        <v>455</v>
      </c>
      <c r="X579">
        <v>42100</v>
      </c>
      <c r="Y579" s="1" t="str">
        <f t="shared" ref="Y579:Y642" si="58">UPPER(TRIM(AA579))</f>
        <v>ITALY</v>
      </c>
      <c r="Z579" s="4" t="str">
        <f t="shared" ref="Z579:Z642" si="59">PROPER(TRIM(AA579))</f>
        <v>Italy</v>
      </c>
      <c r="AA579" t="s">
        <v>258</v>
      </c>
      <c r="AB579" t="s">
        <v>42</v>
      </c>
      <c r="AC579" t="s">
        <v>456</v>
      </c>
      <c r="AD579" t="s">
        <v>457</v>
      </c>
      <c r="AE579" t="s">
        <v>51</v>
      </c>
    </row>
    <row r="580" spans="1:31" x14ac:dyDescent="0.3">
      <c r="A580">
        <v>10100</v>
      </c>
      <c r="B580">
        <v>30</v>
      </c>
      <c r="C580">
        <v>100</v>
      </c>
      <c r="D580">
        <v>3</v>
      </c>
      <c r="E580" s="4" t="str">
        <f t="shared" si="54"/>
        <v>high sales</v>
      </c>
      <c r="F580">
        <v>5151</v>
      </c>
      <c r="G580" t="s">
        <v>1252</v>
      </c>
      <c r="H580" s="1" t="str">
        <f t="shared" si="55"/>
        <v>Shipped</v>
      </c>
      <c r="I580" s="4" t="str">
        <f t="shared" si="56"/>
        <v>completed</v>
      </c>
      <c r="J580" t="s">
        <v>25</v>
      </c>
      <c r="K580">
        <v>1</v>
      </c>
      <c r="L580">
        <v>1</v>
      </c>
      <c r="M580">
        <v>2003</v>
      </c>
      <c r="N580" t="s">
        <v>550</v>
      </c>
      <c r="O580">
        <v>170</v>
      </c>
      <c r="P580" t="s">
        <v>584</v>
      </c>
      <c r="Q580" t="s">
        <v>277</v>
      </c>
      <c r="R580">
        <v>6035558647</v>
      </c>
      <c r="S580" t="s">
        <v>278</v>
      </c>
      <c r="U580" s="1" t="str">
        <f t="shared" si="57"/>
        <v>Nashua</v>
      </c>
      <c r="V580" t="s">
        <v>279</v>
      </c>
      <c r="W580" t="s">
        <v>280</v>
      </c>
      <c r="X580">
        <v>62005</v>
      </c>
      <c r="Y580" s="1" t="str">
        <f t="shared" si="58"/>
        <v>USA</v>
      </c>
      <c r="Z580" s="4" t="str">
        <f t="shared" si="59"/>
        <v>Usa</v>
      </c>
      <c r="AA580" t="s">
        <v>32</v>
      </c>
      <c r="AB580" t="s">
        <v>33</v>
      </c>
      <c r="AC580" t="s">
        <v>56</v>
      </c>
      <c r="AD580" t="s">
        <v>276</v>
      </c>
      <c r="AE580" t="s">
        <v>51</v>
      </c>
    </row>
    <row r="581" spans="1:31" x14ac:dyDescent="0.3">
      <c r="A581">
        <v>10110</v>
      </c>
      <c r="B581">
        <v>42</v>
      </c>
      <c r="C581">
        <v>100</v>
      </c>
      <c r="D581">
        <v>7</v>
      </c>
      <c r="E581" s="4" t="str">
        <f t="shared" si="54"/>
        <v>high sales</v>
      </c>
      <c r="F581">
        <v>6069</v>
      </c>
      <c r="G581" t="s">
        <v>1253</v>
      </c>
      <c r="H581" s="1" t="str">
        <f t="shared" si="55"/>
        <v>Shipped</v>
      </c>
      <c r="I581" s="4" t="str">
        <f t="shared" si="56"/>
        <v>completed</v>
      </c>
      <c r="J581" t="s">
        <v>25</v>
      </c>
      <c r="K581">
        <v>1</v>
      </c>
      <c r="L581">
        <v>3</v>
      </c>
      <c r="M581">
        <v>2003</v>
      </c>
      <c r="N581" t="s">
        <v>550</v>
      </c>
      <c r="O581">
        <v>170</v>
      </c>
      <c r="P581" t="s">
        <v>584</v>
      </c>
      <c r="Q581" t="s">
        <v>492</v>
      </c>
      <c r="R581" t="s">
        <v>493</v>
      </c>
      <c r="S581" t="s">
        <v>494</v>
      </c>
      <c r="U581" s="1" t="str">
        <f t="shared" si="57"/>
        <v>Manchester</v>
      </c>
      <c r="V581" t="s">
        <v>495</v>
      </c>
      <c r="X581" t="s">
        <v>496</v>
      </c>
      <c r="Y581" s="1" t="str">
        <f t="shared" si="58"/>
        <v>UK</v>
      </c>
      <c r="Z581" s="4" t="str">
        <f t="shared" si="59"/>
        <v>Uk</v>
      </c>
      <c r="AA581" t="s">
        <v>170</v>
      </c>
      <c r="AB581" t="s">
        <v>42</v>
      </c>
      <c r="AC581" t="s">
        <v>497</v>
      </c>
      <c r="AD581" t="s">
        <v>94</v>
      </c>
      <c r="AE581" t="s">
        <v>51</v>
      </c>
    </row>
    <row r="582" spans="1:31" x14ac:dyDescent="0.3">
      <c r="A582">
        <v>10124</v>
      </c>
      <c r="B582">
        <v>21</v>
      </c>
      <c r="C582">
        <v>100</v>
      </c>
      <c r="D582">
        <v>6</v>
      </c>
      <c r="E582" s="4" t="str">
        <f t="shared" si="54"/>
        <v>low sales</v>
      </c>
      <c r="F582">
        <v>2856</v>
      </c>
      <c r="G582" t="s">
        <v>1254</v>
      </c>
      <c r="H582" s="1" t="str">
        <f t="shared" si="55"/>
        <v>Shipped</v>
      </c>
      <c r="I582" s="4" t="str">
        <f t="shared" si="56"/>
        <v>completed</v>
      </c>
      <c r="J582" t="s">
        <v>25</v>
      </c>
      <c r="K582">
        <v>2</v>
      </c>
      <c r="L582">
        <v>5</v>
      </c>
      <c r="M582">
        <v>2003</v>
      </c>
      <c r="N582" t="s">
        <v>550</v>
      </c>
      <c r="O582">
        <v>170</v>
      </c>
      <c r="P582" t="s">
        <v>584</v>
      </c>
      <c r="Q582" t="s">
        <v>539</v>
      </c>
      <c r="R582">
        <v>7025551838</v>
      </c>
      <c r="S582" t="s">
        <v>540</v>
      </c>
      <c r="U582" s="1" t="str">
        <f t="shared" si="57"/>
        <v>Las Vegas</v>
      </c>
      <c r="V582" t="s">
        <v>541</v>
      </c>
      <c r="W582" t="s">
        <v>542</v>
      </c>
      <c r="X582">
        <v>83030</v>
      </c>
      <c r="Y582" s="1" t="str">
        <f t="shared" si="58"/>
        <v>USA</v>
      </c>
      <c r="Z582" s="4" t="str">
        <f t="shared" si="59"/>
        <v>Usa</v>
      </c>
      <c r="AA582" t="s">
        <v>32</v>
      </c>
      <c r="AB582" t="s">
        <v>33</v>
      </c>
      <c r="AC582" t="s">
        <v>113</v>
      </c>
      <c r="AD582" t="s">
        <v>400</v>
      </c>
      <c r="AE582" t="s">
        <v>36</v>
      </c>
    </row>
    <row r="583" spans="1:31" x14ac:dyDescent="0.3">
      <c r="A583">
        <v>10149</v>
      </c>
      <c r="B583">
        <v>34</v>
      </c>
      <c r="C583">
        <v>100</v>
      </c>
      <c r="D583">
        <v>11</v>
      </c>
      <c r="E583" s="4" t="str">
        <f t="shared" si="54"/>
        <v>high sales</v>
      </c>
      <c r="F583">
        <v>5375.4</v>
      </c>
      <c r="G583" t="s">
        <v>1255</v>
      </c>
      <c r="H583" s="1" t="str">
        <f t="shared" si="55"/>
        <v>Shipped</v>
      </c>
      <c r="I583" s="4" t="str">
        <f t="shared" si="56"/>
        <v>completed</v>
      </c>
      <c r="J583" t="s">
        <v>25</v>
      </c>
      <c r="K583">
        <v>3</v>
      </c>
      <c r="L583">
        <v>9</v>
      </c>
      <c r="M583">
        <v>2003</v>
      </c>
      <c r="N583" t="s">
        <v>550</v>
      </c>
      <c r="O583">
        <v>170</v>
      </c>
      <c r="P583" t="s">
        <v>584</v>
      </c>
      <c r="Q583" t="s">
        <v>526</v>
      </c>
      <c r="R583">
        <v>4155554312</v>
      </c>
      <c r="S583" t="s">
        <v>527</v>
      </c>
      <c r="U583" s="1" t="str">
        <f t="shared" si="57"/>
        <v>Brisbane</v>
      </c>
      <c r="V583" t="s">
        <v>528</v>
      </c>
      <c r="W583" t="s">
        <v>55</v>
      </c>
      <c r="X583">
        <v>94217</v>
      </c>
      <c r="Y583" s="1" t="str">
        <f t="shared" si="58"/>
        <v>USA</v>
      </c>
      <c r="Z583" s="4" t="str">
        <f t="shared" si="59"/>
        <v>Usa</v>
      </c>
      <c r="AA583" t="s">
        <v>32</v>
      </c>
      <c r="AB583" t="s">
        <v>33</v>
      </c>
      <c r="AC583" t="s">
        <v>529</v>
      </c>
      <c r="AD583" t="s">
        <v>400</v>
      </c>
      <c r="AE583" t="s">
        <v>51</v>
      </c>
    </row>
    <row r="584" spans="1:31" x14ac:dyDescent="0.3">
      <c r="A584">
        <v>10162</v>
      </c>
      <c r="B584">
        <v>29</v>
      </c>
      <c r="C584">
        <v>100</v>
      </c>
      <c r="D584">
        <v>9</v>
      </c>
      <c r="E584" s="4" t="str">
        <f t="shared" si="54"/>
        <v>high sales</v>
      </c>
      <c r="F584">
        <v>5176.5</v>
      </c>
      <c r="G584" t="s">
        <v>1256</v>
      </c>
      <c r="H584" s="1" t="str">
        <f t="shared" si="55"/>
        <v>Shipped</v>
      </c>
      <c r="I584" s="4" t="str">
        <f t="shared" si="56"/>
        <v>completed</v>
      </c>
      <c r="J584" t="s">
        <v>25</v>
      </c>
      <c r="K584">
        <v>4</v>
      </c>
      <c r="L584">
        <v>10</v>
      </c>
      <c r="M584">
        <v>2003</v>
      </c>
      <c r="N584" t="s">
        <v>550</v>
      </c>
      <c r="O584">
        <v>170</v>
      </c>
      <c r="P584" t="s">
        <v>584</v>
      </c>
      <c r="Q584" t="s">
        <v>58</v>
      </c>
      <c r="R584">
        <v>6505551386</v>
      </c>
      <c r="S584" t="s">
        <v>59</v>
      </c>
      <c r="U584" s="1" t="str">
        <f t="shared" si="57"/>
        <v>San Francisco</v>
      </c>
      <c r="V584" t="s">
        <v>60</v>
      </c>
      <c r="W584" t="s">
        <v>55</v>
      </c>
      <c r="Y584" s="1" t="str">
        <f t="shared" si="58"/>
        <v>USA</v>
      </c>
      <c r="Z584" s="4" t="str">
        <f t="shared" si="59"/>
        <v>Usa</v>
      </c>
      <c r="AA584" t="s">
        <v>32</v>
      </c>
      <c r="AB584" t="s">
        <v>33</v>
      </c>
      <c r="AC584" t="s">
        <v>61</v>
      </c>
      <c r="AD584" t="s">
        <v>57</v>
      </c>
      <c r="AE584" t="s">
        <v>51</v>
      </c>
    </row>
    <row r="585" spans="1:31" x14ac:dyDescent="0.3">
      <c r="A585">
        <v>10173</v>
      </c>
      <c r="B585">
        <v>24</v>
      </c>
      <c r="C585">
        <v>100</v>
      </c>
      <c r="D585">
        <v>13</v>
      </c>
      <c r="E585" s="4" t="str">
        <f t="shared" si="54"/>
        <v>low sales</v>
      </c>
      <c r="F585">
        <v>3508.8</v>
      </c>
      <c r="G585" t="s">
        <v>1257</v>
      </c>
      <c r="H585" s="1" t="str">
        <f t="shared" si="55"/>
        <v>Shipped</v>
      </c>
      <c r="I585" s="4" t="str">
        <f t="shared" si="56"/>
        <v>completed</v>
      </c>
      <c r="J585" t="s">
        <v>25</v>
      </c>
      <c r="K585">
        <v>4</v>
      </c>
      <c r="L585">
        <v>11</v>
      </c>
      <c r="M585">
        <v>2003</v>
      </c>
      <c r="N585" t="s">
        <v>550</v>
      </c>
      <c r="O585">
        <v>170</v>
      </c>
      <c r="P585" t="s">
        <v>584</v>
      </c>
      <c r="Q585" t="s">
        <v>552</v>
      </c>
      <c r="R585" t="s">
        <v>553</v>
      </c>
      <c r="S585" t="s">
        <v>554</v>
      </c>
      <c r="U585" s="1" t="str">
        <f t="shared" si="57"/>
        <v>Bergamo</v>
      </c>
      <c r="V585" t="s">
        <v>555</v>
      </c>
      <c r="X585">
        <v>24100</v>
      </c>
      <c r="Y585" s="1" t="str">
        <f t="shared" si="58"/>
        <v>ITALY</v>
      </c>
      <c r="Z585" s="4" t="str">
        <f t="shared" si="59"/>
        <v>Italy</v>
      </c>
      <c r="AA585" t="s">
        <v>258</v>
      </c>
      <c r="AB585" t="s">
        <v>42</v>
      </c>
      <c r="AC585" t="s">
        <v>556</v>
      </c>
      <c r="AD585" t="s">
        <v>557</v>
      </c>
      <c r="AE585" t="s">
        <v>51</v>
      </c>
    </row>
    <row r="586" spans="1:31" x14ac:dyDescent="0.3">
      <c r="A586">
        <v>10182</v>
      </c>
      <c r="B586">
        <v>44</v>
      </c>
      <c r="C586">
        <v>100</v>
      </c>
      <c r="D586">
        <v>10</v>
      </c>
      <c r="E586" s="4" t="str">
        <f t="shared" si="54"/>
        <v>high sales</v>
      </c>
      <c r="F586">
        <v>7554.8</v>
      </c>
      <c r="G586" t="s">
        <v>1258</v>
      </c>
      <c r="H586" s="1" t="str">
        <f t="shared" si="55"/>
        <v>Shipped</v>
      </c>
      <c r="I586" s="4" t="str">
        <f t="shared" si="56"/>
        <v>completed</v>
      </c>
      <c r="J586" t="s">
        <v>25</v>
      </c>
      <c r="K586">
        <v>4</v>
      </c>
      <c r="L586">
        <v>11</v>
      </c>
      <c r="M586">
        <v>2003</v>
      </c>
      <c r="N586" t="s">
        <v>550</v>
      </c>
      <c r="O586">
        <v>170</v>
      </c>
      <c r="P586" t="s">
        <v>584</v>
      </c>
      <c r="Q586" t="s">
        <v>272</v>
      </c>
      <c r="R586">
        <v>4155551450</v>
      </c>
      <c r="S586" t="s">
        <v>273</v>
      </c>
      <c r="U586" s="1" t="str">
        <f t="shared" si="57"/>
        <v>San Rafael</v>
      </c>
      <c r="V586" t="s">
        <v>274</v>
      </c>
      <c r="W586" t="s">
        <v>55</v>
      </c>
      <c r="X586">
        <v>97562</v>
      </c>
      <c r="Y586" s="1" t="str">
        <f t="shared" si="58"/>
        <v>USA</v>
      </c>
      <c r="Z586" s="4" t="str">
        <f t="shared" si="59"/>
        <v>Usa</v>
      </c>
      <c r="AA586" t="s">
        <v>32</v>
      </c>
      <c r="AB586" t="s">
        <v>33</v>
      </c>
      <c r="AC586" t="s">
        <v>275</v>
      </c>
      <c r="AD586" t="s">
        <v>276</v>
      </c>
      <c r="AE586" t="s">
        <v>151</v>
      </c>
    </row>
    <row r="587" spans="1:31" x14ac:dyDescent="0.3">
      <c r="A587">
        <v>10193</v>
      </c>
      <c r="B587">
        <v>21</v>
      </c>
      <c r="C587">
        <v>100</v>
      </c>
      <c r="D587">
        <v>14</v>
      </c>
      <c r="E587" s="4" t="str">
        <f t="shared" si="54"/>
        <v>low sales</v>
      </c>
      <c r="F587">
        <v>3141.6</v>
      </c>
      <c r="G587" t="s">
        <v>1259</v>
      </c>
      <c r="H587" s="1" t="str">
        <f t="shared" si="55"/>
        <v>Shipped</v>
      </c>
      <c r="I587" s="4" t="str">
        <f t="shared" si="56"/>
        <v>completed</v>
      </c>
      <c r="J587" t="s">
        <v>25</v>
      </c>
      <c r="K587">
        <v>4</v>
      </c>
      <c r="L587">
        <v>11</v>
      </c>
      <c r="M587">
        <v>2003</v>
      </c>
      <c r="N587" t="s">
        <v>550</v>
      </c>
      <c r="O587">
        <v>170</v>
      </c>
      <c r="P587" t="s">
        <v>584</v>
      </c>
      <c r="Q587" t="s">
        <v>558</v>
      </c>
      <c r="R587" t="s">
        <v>559</v>
      </c>
      <c r="S587" t="s">
        <v>560</v>
      </c>
      <c r="U587" s="1" t="str">
        <f t="shared" si="57"/>
        <v>Glen Waverly</v>
      </c>
      <c r="V587" t="s">
        <v>561</v>
      </c>
      <c r="W587" t="s">
        <v>94</v>
      </c>
      <c r="X587">
        <v>3150</v>
      </c>
      <c r="Y587" s="1" t="str">
        <f t="shared" si="58"/>
        <v>AUSTRALIA</v>
      </c>
      <c r="Z587" s="4" t="str">
        <f t="shared" si="59"/>
        <v>Australia</v>
      </c>
      <c r="AA587" t="s">
        <v>95</v>
      </c>
      <c r="AB587" t="s">
        <v>96</v>
      </c>
      <c r="AC587" t="s">
        <v>562</v>
      </c>
      <c r="AD587" t="s">
        <v>563</v>
      </c>
      <c r="AE587" t="s">
        <v>51</v>
      </c>
    </row>
    <row r="588" spans="1:31" x14ac:dyDescent="0.3">
      <c r="A588">
        <v>10204</v>
      </c>
      <c r="B588">
        <v>33</v>
      </c>
      <c r="C588">
        <v>100</v>
      </c>
      <c r="D588">
        <v>4</v>
      </c>
      <c r="E588" s="4" t="str">
        <f t="shared" si="54"/>
        <v>high sales</v>
      </c>
      <c r="F588">
        <v>5890.5</v>
      </c>
      <c r="G588" t="s">
        <v>1260</v>
      </c>
      <c r="H588" s="1" t="str">
        <f t="shared" si="55"/>
        <v>Shipped</v>
      </c>
      <c r="I588" s="4" t="str">
        <f t="shared" si="56"/>
        <v>completed</v>
      </c>
      <c r="J588" t="s">
        <v>25</v>
      </c>
      <c r="K588">
        <v>4</v>
      </c>
      <c r="L588">
        <v>12</v>
      </c>
      <c r="M588">
        <v>2003</v>
      </c>
      <c r="N588" t="s">
        <v>550</v>
      </c>
      <c r="O588">
        <v>170</v>
      </c>
      <c r="P588" t="s">
        <v>584</v>
      </c>
      <c r="Q588" t="s">
        <v>475</v>
      </c>
      <c r="R588">
        <v>2125557413</v>
      </c>
      <c r="S588" t="s">
        <v>476</v>
      </c>
      <c r="T588" t="s">
        <v>477</v>
      </c>
      <c r="U588" s="1" t="str">
        <f t="shared" si="57"/>
        <v>Nyc</v>
      </c>
      <c r="V588" t="s">
        <v>30</v>
      </c>
      <c r="W588" t="s">
        <v>31</v>
      </c>
      <c r="X588">
        <v>10022</v>
      </c>
      <c r="Y588" s="1" t="str">
        <f t="shared" si="58"/>
        <v>USA</v>
      </c>
      <c r="Z588" s="4" t="str">
        <f t="shared" si="59"/>
        <v>Usa</v>
      </c>
      <c r="AA588" t="s">
        <v>32</v>
      </c>
      <c r="AB588" t="s">
        <v>33</v>
      </c>
      <c r="AC588" t="s">
        <v>56</v>
      </c>
      <c r="AD588" t="s">
        <v>478</v>
      </c>
      <c r="AE588" t="s">
        <v>51</v>
      </c>
    </row>
    <row r="589" spans="1:31" x14ac:dyDescent="0.3">
      <c r="A589">
        <v>10214</v>
      </c>
      <c r="B589">
        <v>30</v>
      </c>
      <c r="C589">
        <v>100</v>
      </c>
      <c r="D589">
        <v>7</v>
      </c>
      <c r="E589" s="4" t="str">
        <f t="shared" si="54"/>
        <v>high sales</v>
      </c>
      <c r="F589">
        <v>5967</v>
      </c>
      <c r="G589" t="s">
        <v>1261</v>
      </c>
      <c r="H589" s="1" t="str">
        <f t="shared" si="55"/>
        <v>Shipped</v>
      </c>
      <c r="I589" s="4" t="str">
        <f t="shared" si="56"/>
        <v>completed</v>
      </c>
      <c r="J589" t="s">
        <v>25</v>
      </c>
      <c r="K589">
        <v>1</v>
      </c>
      <c r="L589">
        <v>1</v>
      </c>
      <c r="M589">
        <v>2004</v>
      </c>
      <c r="N589" t="s">
        <v>550</v>
      </c>
      <c r="O589">
        <v>170</v>
      </c>
      <c r="P589" t="s">
        <v>584</v>
      </c>
      <c r="Q589" t="s">
        <v>191</v>
      </c>
      <c r="R589" t="s">
        <v>192</v>
      </c>
      <c r="S589" t="s">
        <v>193</v>
      </c>
      <c r="U589" s="1" t="str">
        <f t="shared" si="57"/>
        <v>Madrid</v>
      </c>
      <c r="V589" t="s">
        <v>177</v>
      </c>
      <c r="X589">
        <v>28023</v>
      </c>
      <c r="Y589" s="1" t="str">
        <f t="shared" si="58"/>
        <v>SPAIN</v>
      </c>
      <c r="Z589" s="4" t="str">
        <f t="shared" si="59"/>
        <v>Spain</v>
      </c>
      <c r="AA589" t="s">
        <v>178</v>
      </c>
      <c r="AB589" t="s">
        <v>42</v>
      </c>
      <c r="AC589" t="s">
        <v>194</v>
      </c>
      <c r="AD589" t="s">
        <v>195</v>
      </c>
      <c r="AE589" t="s">
        <v>51</v>
      </c>
    </row>
    <row r="590" spans="1:31" x14ac:dyDescent="0.3">
      <c r="A590">
        <v>10227</v>
      </c>
      <c r="B590">
        <v>26</v>
      </c>
      <c r="C590">
        <v>100</v>
      </c>
      <c r="D590">
        <v>10</v>
      </c>
      <c r="E590" s="4" t="str">
        <f t="shared" si="54"/>
        <v>low sales</v>
      </c>
      <c r="F590">
        <v>3712.8</v>
      </c>
      <c r="G590" t="s">
        <v>1262</v>
      </c>
      <c r="H590" s="1" t="str">
        <f t="shared" si="55"/>
        <v>Shipped</v>
      </c>
      <c r="I590" s="4" t="str">
        <f t="shared" si="56"/>
        <v>completed</v>
      </c>
      <c r="J590" t="s">
        <v>25</v>
      </c>
      <c r="K590">
        <v>1</v>
      </c>
      <c r="L590">
        <v>3</v>
      </c>
      <c r="M590">
        <v>2004</v>
      </c>
      <c r="N590" t="s">
        <v>550</v>
      </c>
      <c r="O590">
        <v>170</v>
      </c>
      <c r="P590" t="s">
        <v>584</v>
      </c>
      <c r="Q590" t="s">
        <v>219</v>
      </c>
      <c r="R590" t="s">
        <v>220</v>
      </c>
      <c r="S590" t="s">
        <v>221</v>
      </c>
      <c r="U590" s="1" t="str">
        <f t="shared" si="57"/>
        <v>Lyon</v>
      </c>
      <c r="V590" t="s">
        <v>222</v>
      </c>
      <c r="X590">
        <v>69004</v>
      </c>
      <c r="Y590" s="1" t="str">
        <f t="shared" si="58"/>
        <v>FRANCE</v>
      </c>
      <c r="Z590" s="4" t="str">
        <f t="shared" si="59"/>
        <v>France</v>
      </c>
      <c r="AA590" t="s">
        <v>41</v>
      </c>
      <c r="AB590" t="s">
        <v>42</v>
      </c>
      <c r="AC590" t="s">
        <v>223</v>
      </c>
      <c r="AD590" t="s">
        <v>224</v>
      </c>
      <c r="AE590" t="s">
        <v>51</v>
      </c>
    </row>
    <row r="591" spans="1:31" x14ac:dyDescent="0.3">
      <c r="A591">
        <v>10241</v>
      </c>
      <c r="B591">
        <v>41</v>
      </c>
      <c r="C591">
        <v>100</v>
      </c>
      <c r="D591">
        <v>2</v>
      </c>
      <c r="E591" s="4" t="str">
        <f t="shared" si="54"/>
        <v>high sales</v>
      </c>
      <c r="F591">
        <v>7597.3</v>
      </c>
      <c r="G591" t="s">
        <v>1263</v>
      </c>
      <c r="H591" s="1" t="str">
        <f t="shared" si="55"/>
        <v>Shipped</v>
      </c>
      <c r="I591" s="4" t="str">
        <f t="shared" si="56"/>
        <v>completed</v>
      </c>
      <c r="J591" t="s">
        <v>25</v>
      </c>
      <c r="K591">
        <v>2</v>
      </c>
      <c r="L591">
        <v>4</v>
      </c>
      <c r="M591">
        <v>2004</v>
      </c>
      <c r="N591" t="s">
        <v>550</v>
      </c>
      <c r="O591">
        <v>170</v>
      </c>
      <c r="P591" t="s">
        <v>584</v>
      </c>
      <c r="Q591" t="s">
        <v>531</v>
      </c>
      <c r="R591" t="s">
        <v>532</v>
      </c>
      <c r="S591" t="s">
        <v>533</v>
      </c>
      <c r="U591" s="1" t="str">
        <f t="shared" si="57"/>
        <v>Strasbourg</v>
      </c>
      <c r="V591" t="s">
        <v>534</v>
      </c>
      <c r="X591">
        <v>67000</v>
      </c>
      <c r="Y591" s="1" t="str">
        <f t="shared" si="58"/>
        <v>FRANCE</v>
      </c>
      <c r="Z591" s="4" t="str">
        <f t="shared" si="59"/>
        <v>France</v>
      </c>
      <c r="AA591" t="s">
        <v>41</v>
      </c>
      <c r="AB591" t="s">
        <v>42</v>
      </c>
      <c r="AC591" t="s">
        <v>535</v>
      </c>
      <c r="AD591" t="s">
        <v>536</v>
      </c>
      <c r="AE591" t="s">
        <v>151</v>
      </c>
    </row>
    <row r="592" spans="1:31" x14ac:dyDescent="0.3">
      <c r="A592">
        <v>10280</v>
      </c>
      <c r="B592">
        <v>26</v>
      </c>
      <c r="C592">
        <v>100</v>
      </c>
      <c r="D592">
        <v>16</v>
      </c>
      <c r="E592" s="4" t="str">
        <f t="shared" si="54"/>
        <v>low sales</v>
      </c>
      <c r="F592">
        <v>3668.6</v>
      </c>
      <c r="G592" t="s">
        <v>1264</v>
      </c>
      <c r="H592" s="1" t="str">
        <f t="shared" si="55"/>
        <v>Shipped</v>
      </c>
      <c r="I592" s="4" t="str">
        <f t="shared" si="56"/>
        <v>completed</v>
      </c>
      <c r="J592" t="s">
        <v>25</v>
      </c>
      <c r="K592">
        <v>3</v>
      </c>
      <c r="L592">
        <v>8</v>
      </c>
      <c r="M592">
        <v>2004</v>
      </c>
      <c r="N592" t="s">
        <v>550</v>
      </c>
      <c r="O592">
        <v>170</v>
      </c>
      <c r="P592" t="s">
        <v>584</v>
      </c>
      <c r="Q592" t="s">
        <v>254</v>
      </c>
      <c r="R592" t="s">
        <v>255</v>
      </c>
      <c r="S592" t="s">
        <v>256</v>
      </c>
      <c r="U592" s="1" t="str">
        <f t="shared" si="57"/>
        <v>Torino</v>
      </c>
      <c r="V592" t="s">
        <v>257</v>
      </c>
      <c r="X592">
        <v>10100</v>
      </c>
      <c r="Y592" s="1" t="str">
        <f t="shared" si="58"/>
        <v>ITALY</v>
      </c>
      <c r="Z592" s="4" t="str">
        <f t="shared" si="59"/>
        <v>Italy</v>
      </c>
      <c r="AA592" t="s">
        <v>258</v>
      </c>
      <c r="AB592" t="s">
        <v>42</v>
      </c>
      <c r="AC592" t="s">
        <v>259</v>
      </c>
      <c r="AD592" t="s">
        <v>260</v>
      </c>
      <c r="AE592" t="s">
        <v>51</v>
      </c>
    </row>
    <row r="593" spans="1:31" x14ac:dyDescent="0.3">
      <c r="A593">
        <v>10288</v>
      </c>
      <c r="B593">
        <v>32</v>
      </c>
      <c r="C593">
        <v>100</v>
      </c>
      <c r="D593">
        <v>5</v>
      </c>
      <c r="E593" s="4" t="str">
        <f t="shared" si="54"/>
        <v>high sales</v>
      </c>
      <c r="F593">
        <v>5875.2</v>
      </c>
      <c r="G593" t="s">
        <v>1265</v>
      </c>
      <c r="H593" s="1" t="str">
        <f t="shared" si="55"/>
        <v>Shipped</v>
      </c>
      <c r="I593" s="4" t="str">
        <f t="shared" si="56"/>
        <v>completed</v>
      </c>
      <c r="J593" t="s">
        <v>25</v>
      </c>
      <c r="K593">
        <v>3</v>
      </c>
      <c r="L593">
        <v>9</v>
      </c>
      <c r="M593">
        <v>2004</v>
      </c>
      <c r="N593" t="s">
        <v>550</v>
      </c>
      <c r="O593">
        <v>170</v>
      </c>
      <c r="P593" t="s">
        <v>584</v>
      </c>
      <c r="Q593" t="s">
        <v>418</v>
      </c>
      <c r="R593" t="s">
        <v>419</v>
      </c>
      <c r="S593" t="s">
        <v>420</v>
      </c>
      <c r="T593" t="s">
        <v>421</v>
      </c>
      <c r="U593" s="1" t="str">
        <f t="shared" si="57"/>
        <v>Singapore</v>
      </c>
      <c r="V593" t="s">
        <v>199</v>
      </c>
      <c r="X593">
        <v>69045</v>
      </c>
      <c r="Y593" s="1" t="str">
        <f t="shared" si="58"/>
        <v>SINGAPORE</v>
      </c>
      <c r="Z593" s="4" t="str">
        <f t="shared" si="59"/>
        <v>Singapore</v>
      </c>
      <c r="AA593" t="s">
        <v>199</v>
      </c>
      <c r="AB593" t="s">
        <v>96</v>
      </c>
      <c r="AC593" t="s">
        <v>422</v>
      </c>
      <c r="AD593" t="s">
        <v>423</v>
      </c>
      <c r="AE593" t="s">
        <v>51</v>
      </c>
    </row>
    <row r="594" spans="1:31" x14ac:dyDescent="0.3">
      <c r="A594">
        <v>10302</v>
      </c>
      <c r="B594">
        <v>43</v>
      </c>
      <c r="C594">
        <v>100</v>
      </c>
      <c r="D594">
        <v>1</v>
      </c>
      <c r="E594" s="4" t="str">
        <f t="shared" si="54"/>
        <v>high sales</v>
      </c>
      <c r="F594">
        <v>7310</v>
      </c>
      <c r="G594" t="s">
        <v>1266</v>
      </c>
      <c r="H594" s="1" t="str">
        <f t="shared" si="55"/>
        <v>Shipped</v>
      </c>
      <c r="I594" s="4" t="str">
        <f t="shared" si="56"/>
        <v>completed</v>
      </c>
      <c r="J594" t="s">
        <v>25</v>
      </c>
      <c r="K594">
        <v>4</v>
      </c>
      <c r="L594">
        <v>10</v>
      </c>
      <c r="M594">
        <v>2003</v>
      </c>
      <c r="N594" t="s">
        <v>550</v>
      </c>
      <c r="O594">
        <v>170</v>
      </c>
      <c r="P594" t="s">
        <v>584</v>
      </c>
      <c r="Q594" t="s">
        <v>165</v>
      </c>
      <c r="R594" t="s">
        <v>166</v>
      </c>
      <c r="S594" t="s">
        <v>167</v>
      </c>
      <c r="U594" s="1" t="str">
        <f t="shared" si="57"/>
        <v>Liverpool</v>
      </c>
      <c r="V594" t="s">
        <v>168</v>
      </c>
      <c r="X594" t="s">
        <v>169</v>
      </c>
      <c r="Y594" s="1" t="str">
        <f t="shared" si="58"/>
        <v>UK</v>
      </c>
      <c r="Z594" s="4" t="str">
        <f t="shared" si="59"/>
        <v>Uk</v>
      </c>
      <c r="AA594" t="s">
        <v>170</v>
      </c>
      <c r="AB594" t="s">
        <v>42</v>
      </c>
      <c r="AC594" t="s">
        <v>171</v>
      </c>
      <c r="AD594" t="s">
        <v>172</v>
      </c>
      <c r="AE594" t="s">
        <v>151</v>
      </c>
    </row>
    <row r="595" spans="1:31" x14ac:dyDescent="0.3">
      <c r="A595">
        <v>10312</v>
      </c>
      <c r="B595">
        <v>48</v>
      </c>
      <c r="C595">
        <v>100</v>
      </c>
      <c r="D595">
        <v>17</v>
      </c>
      <c r="E595" s="4" t="str">
        <f t="shared" si="54"/>
        <v>high sales</v>
      </c>
      <c r="F595">
        <v>8078.4</v>
      </c>
      <c r="G595" t="s">
        <v>1267</v>
      </c>
      <c r="H595" s="1" t="str">
        <f t="shared" si="55"/>
        <v>Shipped</v>
      </c>
      <c r="I595" s="4" t="str">
        <f t="shared" si="56"/>
        <v>completed</v>
      </c>
      <c r="J595" t="s">
        <v>25</v>
      </c>
      <c r="K595">
        <v>4</v>
      </c>
      <c r="L595">
        <v>10</v>
      </c>
      <c r="M595">
        <v>2004</v>
      </c>
      <c r="N595" t="s">
        <v>550</v>
      </c>
      <c r="O595">
        <v>170</v>
      </c>
      <c r="P595" t="s">
        <v>584</v>
      </c>
      <c r="Q595" t="s">
        <v>272</v>
      </c>
      <c r="R595">
        <v>4155551450</v>
      </c>
      <c r="S595" t="s">
        <v>273</v>
      </c>
      <c r="U595" s="1" t="str">
        <f t="shared" si="57"/>
        <v>San Rafael</v>
      </c>
      <c r="V595" t="s">
        <v>274</v>
      </c>
      <c r="W595" t="s">
        <v>55</v>
      </c>
      <c r="X595">
        <v>97562</v>
      </c>
      <c r="Y595" s="1" t="str">
        <f t="shared" si="58"/>
        <v>USA</v>
      </c>
      <c r="Z595" s="4" t="str">
        <f t="shared" si="59"/>
        <v>Usa</v>
      </c>
      <c r="AA595" t="s">
        <v>32</v>
      </c>
      <c r="AB595" t="s">
        <v>33</v>
      </c>
      <c r="AC595" t="s">
        <v>275</v>
      </c>
      <c r="AD595" t="s">
        <v>276</v>
      </c>
      <c r="AE595" t="s">
        <v>151</v>
      </c>
    </row>
    <row r="596" spans="1:31" x14ac:dyDescent="0.3">
      <c r="A596">
        <v>10331</v>
      </c>
      <c r="B596">
        <v>44</v>
      </c>
      <c r="C596">
        <v>74.040000000000006</v>
      </c>
      <c r="D596">
        <v>7</v>
      </c>
      <c r="E596" s="4" t="str">
        <f t="shared" si="54"/>
        <v>low sales</v>
      </c>
      <c r="F596">
        <v>3257.76</v>
      </c>
      <c r="G596" t="s">
        <v>1268</v>
      </c>
      <c r="H596" s="1" t="str">
        <f t="shared" si="55"/>
        <v>Shipped</v>
      </c>
      <c r="I596" s="4" t="str">
        <f t="shared" si="56"/>
        <v>completed</v>
      </c>
      <c r="J596" t="s">
        <v>25</v>
      </c>
      <c r="K596">
        <v>4</v>
      </c>
      <c r="L596">
        <v>11</v>
      </c>
      <c r="M596">
        <v>2004</v>
      </c>
      <c r="N596" t="s">
        <v>550</v>
      </c>
      <c r="O596">
        <v>170</v>
      </c>
      <c r="P596" t="s">
        <v>584</v>
      </c>
      <c r="Q596" t="s">
        <v>309</v>
      </c>
      <c r="R596">
        <v>2155559857</v>
      </c>
      <c r="S596" t="s">
        <v>310</v>
      </c>
      <c r="U596" s="1" t="str">
        <f t="shared" si="57"/>
        <v>Philadelphia</v>
      </c>
      <c r="V596" t="s">
        <v>216</v>
      </c>
      <c r="W596" t="s">
        <v>142</v>
      </c>
      <c r="X596">
        <v>71270</v>
      </c>
      <c r="Y596" s="1" t="str">
        <f t="shared" si="58"/>
        <v>USA</v>
      </c>
      <c r="Z596" s="4" t="str">
        <f t="shared" si="59"/>
        <v>Usa</v>
      </c>
      <c r="AA596" t="s">
        <v>32</v>
      </c>
      <c r="AB596" t="s">
        <v>33</v>
      </c>
      <c r="AC596" t="s">
        <v>124</v>
      </c>
      <c r="AD596" t="s">
        <v>311</v>
      </c>
      <c r="AE596" t="s">
        <v>51</v>
      </c>
    </row>
    <row r="597" spans="1:31" x14ac:dyDescent="0.3">
      <c r="A597">
        <v>10344</v>
      </c>
      <c r="B597">
        <v>45</v>
      </c>
      <c r="C597">
        <v>100</v>
      </c>
      <c r="D597">
        <v>1</v>
      </c>
      <c r="E597" s="4" t="str">
        <f t="shared" si="54"/>
        <v>high sales</v>
      </c>
      <c r="F597">
        <v>7650</v>
      </c>
      <c r="G597" t="s">
        <v>1269</v>
      </c>
      <c r="H597" s="1" t="str">
        <f t="shared" si="55"/>
        <v>Shipped</v>
      </c>
      <c r="I597" s="4" t="str">
        <f t="shared" si="56"/>
        <v>completed</v>
      </c>
      <c r="J597" t="s">
        <v>25</v>
      </c>
      <c r="K597">
        <v>4</v>
      </c>
      <c r="L597">
        <v>11</v>
      </c>
      <c r="M597">
        <v>2004</v>
      </c>
      <c r="N597" t="s">
        <v>550</v>
      </c>
      <c r="O597">
        <v>170</v>
      </c>
      <c r="P597" t="s">
        <v>584</v>
      </c>
      <c r="Q597" t="s">
        <v>433</v>
      </c>
      <c r="R597" t="s">
        <v>434</v>
      </c>
      <c r="S597" t="s">
        <v>435</v>
      </c>
      <c r="U597" s="1" t="str">
        <f t="shared" si="57"/>
        <v>Marseille</v>
      </c>
      <c r="V597" t="s">
        <v>436</v>
      </c>
      <c r="X597">
        <v>13008</v>
      </c>
      <c r="Y597" s="1" t="str">
        <f t="shared" si="58"/>
        <v>FRANCE</v>
      </c>
      <c r="Z597" s="4" t="str">
        <f t="shared" si="59"/>
        <v>France</v>
      </c>
      <c r="AA597" t="s">
        <v>41</v>
      </c>
      <c r="AB597" t="s">
        <v>42</v>
      </c>
      <c r="AC597" t="s">
        <v>437</v>
      </c>
      <c r="AD597" t="s">
        <v>438</v>
      </c>
      <c r="AE597" t="s">
        <v>151</v>
      </c>
    </row>
    <row r="598" spans="1:31" x14ac:dyDescent="0.3">
      <c r="A598">
        <v>10367</v>
      </c>
      <c r="B598">
        <v>37</v>
      </c>
      <c r="C598">
        <v>100</v>
      </c>
      <c r="D598">
        <v>3</v>
      </c>
      <c r="E598" s="4" t="str">
        <f t="shared" si="54"/>
        <v>high sales</v>
      </c>
      <c r="F598">
        <v>4703.8100000000004</v>
      </c>
      <c r="G598" t="s">
        <v>1270</v>
      </c>
      <c r="H598" s="1" t="str">
        <f t="shared" si="55"/>
        <v>Resolved</v>
      </c>
      <c r="I598" s="4" t="str">
        <f t="shared" si="56"/>
        <v>not completed</v>
      </c>
      <c r="J598" t="s">
        <v>408</v>
      </c>
      <c r="K598">
        <v>1</v>
      </c>
      <c r="L598">
        <v>1</v>
      </c>
      <c r="M598">
        <v>2005</v>
      </c>
      <c r="N598" t="s">
        <v>550</v>
      </c>
      <c r="O598">
        <v>170</v>
      </c>
      <c r="P598" t="s">
        <v>584</v>
      </c>
      <c r="Q598" t="s">
        <v>52</v>
      </c>
      <c r="R598">
        <v>6265557265</v>
      </c>
      <c r="S598" t="s">
        <v>53</v>
      </c>
      <c r="U598" s="1" t="str">
        <f t="shared" si="57"/>
        <v>Pasadena</v>
      </c>
      <c r="V598" t="s">
        <v>54</v>
      </c>
      <c r="W598" t="s">
        <v>55</v>
      </c>
      <c r="X598">
        <v>90003</v>
      </c>
      <c r="Y598" s="1" t="str">
        <f t="shared" si="58"/>
        <v>USA</v>
      </c>
      <c r="Z598" s="4" t="str">
        <f t="shared" si="59"/>
        <v>Usa</v>
      </c>
      <c r="AA598" t="s">
        <v>32</v>
      </c>
      <c r="AB598" t="s">
        <v>33</v>
      </c>
      <c r="AC598" t="s">
        <v>56</v>
      </c>
      <c r="AD598" t="s">
        <v>57</v>
      </c>
      <c r="AE598" t="s">
        <v>51</v>
      </c>
    </row>
    <row r="599" spans="1:31" x14ac:dyDescent="0.3">
      <c r="A599">
        <v>10379</v>
      </c>
      <c r="B599">
        <v>39</v>
      </c>
      <c r="C599">
        <v>100</v>
      </c>
      <c r="D599">
        <v>2</v>
      </c>
      <c r="E599" s="4" t="str">
        <f t="shared" si="54"/>
        <v>high sales</v>
      </c>
      <c r="F599">
        <v>5399.55</v>
      </c>
      <c r="G599" t="s">
        <v>1271</v>
      </c>
      <c r="H599" s="1" t="str">
        <f t="shared" si="55"/>
        <v>Shipped</v>
      </c>
      <c r="I599" s="4" t="str">
        <f t="shared" si="56"/>
        <v>completed</v>
      </c>
      <c r="J599" t="s">
        <v>25</v>
      </c>
      <c r="K599">
        <v>1</v>
      </c>
      <c r="L599">
        <v>2</v>
      </c>
      <c r="M599">
        <v>2005</v>
      </c>
      <c r="N599" t="s">
        <v>550</v>
      </c>
      <c r="O599">
        <v>170</v>
      </c>
      <c r="P599" t="s">
        <v>584</v>
      </c>
      <c r="Q599" t="s">
        <v>174</v>
      </c>
      <c r="R599" t="s">
        <v>175</v>
      </c>
      <c r="S599" t="s">
        <v>176</v>
      </c>
      <c r="U599" s="1" t="str">
        <f t="shared" si="57"/>
        <v>Madrid</v>
      </c>
      <c r="V599" t="s">
        <v>177</v>
      </c>
      <c r="X599">
        <v>28034</v>
      </c>
      <c r="Y599" s="1" t="str">
        <f t="shared" si="58"/>
        <v>SPAIN</v>
      </c>
      <c r="Z599" s="4" t="str">
        <f t="shared" si="59"/>
        <v>Spain</v>
      </c>
      <c r="AA599" t="s">
        <v>178</v>
      </c>
      <c r="AB599" t="s">
        <v>42</v>
      </c>
      <c r="AC599" t="s">
        <v>179</v>
      </c>
      <c r="AD599" t="s">
        <v>180</v>
      </c>
      <c r="AE599" t="s">
        <v>51</v>
      </c>
    </row>
    <row r="600" spans="1:31" x14ac:dyDescent="0.3">
      <c r="A600">
        <v>10407</v>
      </c>
      <c r="B600">
        <v>76</v>
      </c>
      <c r="C600">
        <v>100</v>
      </c>
      <c r="D600">
        <v>2</v>
      </c>
      <c r="E600" s="4" t="str">
        <f t="shared" si="54"/>
        <v>high sales</v>
      </c>
      <c r="F600">
        <v>14082.8</v>
      </c>
      <c r="G600" t="s">
        <v>1272</v>
      </c>
      <c r="H600" s="1" t="str">
        <f t="shared" si="55"/>
        <v>On Hold</v>
      </c>
      <c r="I600" s="4" t="str">
        <f t="shared" si="56"/>
        <v>not completed</v>
      </c>
      <c r="J600" t="s">
        <v>401</v>
      </c>
      <c r="K600">
        <v>2</v>
      </c>
      <c r="L600">
        <v>4</v>
      </c>
      <c r="M600">
        <v>2005</v>
      </c>
      <c r="N600" t="s">
        <v>550</v>
      </c>
      <c r="O600">
        <v>170</v>
      </c>
      <c r="P600" t="s">
        <v>584</v>
      </c>
      <c r="Q600" t="s">
        <v>397</v>
      </c>
      <c r="R600">
        <v>4085553659</v>
      </c>
      <c r="S600" t="s">
        <v>398</v>
      </c>
      <c r="U600" s="1" t="str">
        <f t="shared" si="57"/>
        <v>San Jose</v>
      </c>
      <c r="V600" t="s">
        <v>399</v>
      </c>
      <c r="W600" t="s">
        <v>55</v>
      </c>
      <c r="X600">
        <v>94217</v>
      </c>
      <c r="Y600" s="1" t="str">
        <f t="shared" si="58"/>
        <v>USA</v>
      </c>
      <c r="Z600" s="4" t="str">
        <f t="shared" si="59"/>
        <v>Usa</v>
      </c>
      <c r="AA600" t="s">
        <v>32</v>
      </c>
      <c r="AB600" t="s">
        <v>33</v>
      </c>
      <c r="AC600" t="s">
        <v>102</v>
      </c>
      <c r="AD600" t="s">
        <v>400</v>
      </c>
      <c r="AE600" t="s">
        <v>151</v>
      </c>
    </row>
    <row r="601" spans="1:31" x14ac:dyDescent="0.3">
      <c r="A601">
        <v>10420</v>
      </c>
      <c r="B601">
        <v>37</v>
      </c>
      <c r="C601">
        <v>100</v>
      </c>
      <c r="D601">
        <v>5</v>
      </c>
      <c r="E601" s="4" t="str">
        <f t="shared" si="54"/>
        <v>high sales</v>
      </c>
      <c r="F601">
        <v>5283.6</v>
      </c>
      <c r="G601" t="s">
        <v>1273</v>
      </c>
      <c r="H601" s="1" t="str">
        <f t="shared" si="55"/>
        <v>In Process</v>
      </c>
      <c r="I601" s="4" t="str">
        <f t="shared" si="56"/>
        <v>not completed</v>
      </c>
      <c r="J601" t="s">
        <v>300</v>
      </c>
      <c r="K601">
        <v>2</v>
      </c>
      <c r="L601">
        <v>5</v>
      </c>
      <c r="M601">
        <v>2005</v>
      </c>
      <c r="N601" t="s">
        <v>550</v>
      </c>
      <c r="O601">
        <v>170</v>
      </c>
      <c r="P601" t="s">
        <v>584</v>
      </c>
      <c r="Q601" t="s">
        <v>152</v>
      </c>
      <c r="R601" t="s">
        <v>153</v>
      </c>
      <c r="S601" t="s">
        <v>154</v>
      </c>
      <c r="T601" t="s">
        <v>155</v>
      </c>
      <c r="U601" s="1" t="str">
        <f t="shared" si="57"/>
        <v>Chatswood</v>
      </c>
      <c r="V601" t="s">
        <v>156</v>
      </c>
      <c r="W601" t="s">
        <v>157</v>
      </c>
      <c r="X601">
        <v>2067</v>
      </c>
      <c r="Y601" s="1" t="str">
        <f t="shared" si="58"/>
        <v>AUSTRALIA</v>
      </c>
      <c r="Z601" s="4" t="str">
        <f t="shared" si="59"/>
        <v>Australia</v>
      </c>
      <c r="AA601" t="s">
        <v>95</v>
      </c>
      <c r="AB601" t="s">
        <v>96</v>
      </c>
      <c r="AC601" t="s">
        <v>158</v>
      </c>
      <c r="AD601" t="s">
        <v>159</v>
      </c>
      <c r="AE601" t="s">
        <v>51</v>
      </c>
    </row>
    <row r="602" spans="1:31" x14ac:dyDescent="0.3">
      <c r="A602">
        <v>10108</v>
      </c>
      <c r="B602">
        <v>38</v>
      </c>
      <c r="C602">
        <v>82.39</v>
      </c>
      <c r="D602">
        <v>2</v>
      </c>
      <c r="E602" s="4" t="str">
        <f t="shared" si="54"/>
        <v>low sales</v>
      </c>
      <c r="F602">
        <v>3130.82</v>
      </c>
      <c r="G602" t="s">
        <v>1274</v>
      </c>
      <c r="H602" s="1" t="str">
        <f t="shared" si="55"/>
        <v>Shipped</v>
      </c>
      <c r="I602" s="4" t="str">
        <f t="shared" si="56"/>
        <v>completed</v>
      </c>
      <c r="J602" t="s">
        <v>25</v>
      </c>
      <c r="K602">
        <v>1</v>
      </c>
      <c r="L602">
        <v>3</v>
      </c>
      <c r="M602">
        <v>2003</v>
      </c>
      <c r="N602" t="s">
        <v>181</v>
      </c>
      <c r="O602">
        <v>77</v>
      </c>
      <c r="P602" t="s">
        <v>585</v>
      </c>
      <c r="Q602" t="s">
        <v>425</v>
      </c>
      <c r="R602" t="s">
        <v>426</v>
      </c>
      <c r="S602" t="s">
        <v>427</v>
      </c>
      <c r="U602" s="1" t="str">
        <f t="shared" si="57"/>
        <v>Makati City</v>
      </c>
      <c r="V602" t="s">
        <v>428</v>
      </c>
      <c r="X602" t="s">
        <v>429</v>
      </c>
      <c r="Y602" s="1" t="str">
        <f t="shared" si="58"/>
        <v>PHILIPPINES</v>
      </c>
      <c r="Z602" s="4" t="str">
        <f t="shared" si="59"/>
        <v>Philippines</v>
      </c>
      <c r="AA602" t="s">
        <v>430</v>
      </c>
      <c r="AB602" t="s">
        <v>200</v>
      </c>
      <c r="AC602" t="s">
        <v>431</v>
      </c>
      <c r="AD602" t="s">
        <v>432</v>
      </c>
      <c r="AE602" t="s">
        <v>51</v>
      </c>
    </row>
    <row r="603" spans="1:31" x14ac:dyDescent="0.3">
      <c r="A603">
        <v>10122</v>
      </c>
      <c r="B603">
        <v>43</v>
      </c>
      <c r="C603">
        <v>72.38</v>
      </c>
      <c r="D603">
        <v>6</v>
      </c>
      <c r="E603" s="4" t="str">
        <f t="shared" si="54"/>
        <v>low sales</v>
      </c>
      <c r="F603">
        <v>3112.34</v>
      </c>
      <c r="G603" t="s">
        <v>1275</v>
      </c>
      <c r="H603" s="1" t="str">
        <f t="shared" si="55"/>
        <v>Shipped</v>
      </c>
      <c r="I603" s="4" t="str">
        <f t="shared" si="56"/>
        <v>completed</v>
      </c>
      <c r="J603" t="s">
        <v>25</v>
      </c>
      <c r="K603">
        <v>2</v>
      </c>
      <c r="L603">
        <v>5</v>
      </c>
      <c r="M603">
        <v>2003</v>
      </c>
      <c r="N603" t="s">
        <v>181</v>
      </c>
      <c r="O603">
        <v>77</v>
      </c>
      <c r="P603" t="s">
        <v>585</v>
      </c>
      <c r="Q603" t="s">
        <v>433</v>
      </c>
      <c r="R603" t="s">
        <v>434</v>
      </c>
      <c r="S603" t="s">
        <v>435</v>
      </c>
      <c r="U603" s="1" t="str">
        <f t="shared" si="57"/>
        <v>Marseille</v>
      </c>
      <c r="V603" t="s">
        <v>436</v>
      </c>
      <c r="X603">
        <v>13008</v>
      </c>
      <c r="Y603" s="1" t="str">
        <f t="shared" si="58"/>
        <v>FRANCE</v>
      </c>
      <c r="Z603" s="4" t="str">
        <f t="shared" si="59"/>
        <v>France</v>
      </c>
      <c r="AA603" t="s">
        <v>41</v>
      </c>
      <c r="AB603" t="s">
        <v>42</v>
      </c>
      <c r="AC603" t="s">
        <v>437</v>
      </c>
      <c r="AD603" t="s">
        <v>438</v>
      </c>
      <c r="AE603" t="s">
        <v>51</v>
      </c>
    </row>
    <row r="604" spans="1:31" x14ac:dyDescent="0.3">
      <c r="A604">
        <v>10135</v>
      </c>
      <c r="B604">
        <v>48</v>
      </c>
      <c r="C604">
        <v>79.31</v>
      </c>
      <c r="D604">
        <v>3</v>
      </c>
      <c r="E604" s="4" t="str">
        <f t="shared" si="54"/>
        <v>low sales</v>
      </c>
      <c r="F604">
        <v>3806.88</v>
      </c>
      <c r="G604" t="s">
        <v>1276</v>
      </c>
      <c r="H604" s="1" t="str">
        <f t="shared" si="55"/>
        <v>Shipped</v>
      </c>
      <c r="I604" s="4" t="str">
        <f t="shared" si="56"/>
        <v>completed</v>
      </c>
      <c r="J604" t="s">
        <v>25</v>
      </c>
      <c r="K604">
        <v>3</v>
      </c>
      <c r="L604">
        <v>7</v>
      </c>
      <c r="M604">
        <v>2003</v>
      </c>
      <c r="N604" t="s">
        <v>181</v>
      </c>
      <c r="O604">
        <v>77</v>
      </c>
      <c r="P604" t="s">
        <v>585</v>
      </c>
      <c r="Q604" t="s">
        <v>272</v>
      </c>
      <c r="R604">
        <v>4155551450</v>
      </c>
      <c r="S604" t="s">
        <v>273</v>
      </c>
      <c r="U604" s="1" t="str">
        <f t="shared" si="57"/>
        <v>San Rafael</v>
      </c>
      <c r="V604" t="s">
        <v>274</v>
      </c>
      <c r="W604" t="s">
        <v>55</v>
      </c>
      <c r="X604">
        <v>97562</v>
      </c>
      <c r="Y604" s="1" t="str">
        <f t="shared" si="58"/>
        <v>USA</v>
      </c>
      <c r="Z604" s="4" t="str">
        <f t="shared" si="59"/>
        <v>Usa</v>
      </c>
      <c r="AA604" t="s">
        <v>32</v>
      </c>
      <c r="AB604" t="s">
        <v>33</v>
      </c>
      <c r="AC604" t="s">
        <v>275</v>
      </c>
      <c r="AD604" t="s">
        <v>276</v>
      </c>
      <c r="AE604" t="s">
        <v>51</v>
      </c>
    </row>
    <row r="605" spans="1:31" x14ac:dyDescent="0.3">
      <c r="A605">
        <v>10147</v>
      </c>
      <c r="B605">
        <v>26</v>
      </c>
      <c r="C605">
        <v>82.39</v>
      </c>
      <c r="D605">
        <v>3</v>
      </c>
      <c r="E605" s="4" t="str">
        <f t="shared" si="54"/>
        <v>low sales</v>
      </c>
      <c r="F605">
        <v>2142.14</v>
      </c>
      <c r="G605" t="s">
        <v>1277</v>
      </c>
      <c r="H605" s="1" t="str">
        <f t="shared" si="55"/>
        <v>Shipped</v>
      </c>
      <c r="I605" s="4" t="str">
        <f t="shared" si="56"/>
        <v>completed</v>
      </c>
      <c r="J605" t="s">
        <v>25</v>
      </c>
      <c r="K605">
        <v>3</v>
      </c>
      <c r="L605">
        <v>9</v>
      </c>
      <c r="M605">
        <v>2003</v>
      </c>
      <c r="N605" t="s">
        <v>181</v>
      </c>
      <c r="O605">
        <v>77</v>
      </c>
      <c r="P605" t="s">
        <v>585</v>
      </c>
      <c r="Q605" t="s">
        <v>281</v>
      </c>
      <c r="R605">
        <v>6175558555</v>
      </c>
      <c r="S605" t="s">
        <v>282</v>
      </c>
      <c r="U605" s="1" t="str">
        <f t="shared" si="57"/>
        <v>Brickhaven</v>
      </c>
      <c r="V605" t="s">
        <v>283</v>
      </c>
      <c r="W605" t="s">
        <v>123</v>
      </c>
      <c r="X605">
        <v>58339</v>
      </c>
      <c r="Y605" s="1" t="str">
        <f t="shared" si="58"/>
        <v>USA</v>
      </c>
      <c r="Z605" s="4" t="str">
        <f t="shared" si="59"/>
        <v>Usa</v>
      </c>
      <c r="AA605" t="s">
        <v>32</v>
      </c>
      <c r="AB605" t="s">
        <v>33</v>
      </c>
      <c r="AC605" t="s">
        <v>275</v>
      </c>
      <c r="AD605" t="s">
        <v>284</v>
      </c>
      <c r="AE605" t="s">
        <v>36</v>
      </c>
    </row>
    <row r="606" spans="1:31" x14ac:dyDescent="0.3">
      <c r="A606">
        <v>10160</v>
      </c>
      <c r="B606">
        <v>38</v>
      </c>
      <c r="C606">
        <v>88.55</v>
      </c>
      <c r="D606">
        <v>4</v>
      </c>
      <c r="E606" s="4" t="str">
        <f t="shared" si="54"/>
        <v>low sales</v>
      </c>
      <c r="F606">
        <v>3364.9</v>
      </c>
      <c r="G606" t="s">
        <v>1278</v>
      </c>
      <c r="H606" s="1" t="str">
        <f t="shared" si="55"/>
        <v>Shipped</v>
      </c>
      <c r="I606" s="4" t="str">
        <f t="shared" si="56"/>
        <v>completed</v>
      </c>
      <c r="J606" t="s">
        <v>25</v>
      </c>
      <c r="K606">
        <v>4</v>
      </c>
      <c r="L606">
        <v>10</v>
      </c>
      <c r="M606">
        <v>2003</v>
      </c>
      <c r="N606" t="s">
        <v>181</v>
      </c>
      <c r="O606">
        <v>77</v>
      </c>
      <c r="P606" t="s">
        <v>585</v>
      </c>
      <c r="Q606" t="s">
        <v>358</v>
      </c>
      <c r="R606">
        <v>2155554369</v>
      </c>
      <c r="S606" t="s">
        <v>359</v>
      </c>
      <c r="U606" s="1" t="str">
        <f t="shared" si="57"/>
        <v>Los Angeles</v>
      </c>
      <c r="V606" t="s">
        <v>360</v>
      </c>
      <c r="W606" t="s">
        <v>55</v>
      </c>
      <c r="Y606" s="1" t="str">
        <f t="shared" si="58"/>
        <v>USA</v>
      </c>
      <c r="Z606" s="4" t="str">
        <f t="shared" si="59"/>
        <v>Usa</v>
      </c>
      <c r="AA606" t="s">
        <v>32</v>
      </c>
      <c r="AB606" t="s">
        <v>33</v>
      </c>
      <c r="AC606" t="s">
        <v>361</v>
      </c>
      <c r="AD606" t="s">
        <v>103</v>
      </c>
      <c r="AE606" t="s">
        <v>51</v>
      </c>
    </row>
    <row r="607" spans="1:31" x14ac:dyDescent="0.3">
      <c r="A607">
        <v>10170</v>
      </c>
      <c r="B607">
        <v>20</v>
      </c>
      <c r="C607">
        <v>63.14</v>
      </c>
      <c r="D607">
        <v>2</v>
      </c>
      <c r="E607" s="4" t="str">
        <f t="shared" si="54"/>
        <v>low sales</v>
      </c>
      <c r="F607">
        <v>1262.8</v>
      </c>
      <c r="G607" t="s">
        <v>1279</v>
      </c>
      <c r="H607" s="1" t="str">
        <f t="shared" si="55"/>
        <v>Shipped</v>
      </c>
      <c r="I607" s="4" t="str">
        <f t="shared" si="56"/>
        <v>completed</v>
      </c>
      <c r="J607" t="s">
        <v>25</v>
      </c>
      <c r="K607">
        <v>4</v>
      </c>
      <c r="L607">
        <v>11</v>
      </c>
      <c r="M607">
        <v>2003</v>
      </c>
      <c r="N607" t="s">
        <v>181</v>
      </c>
      <c r="O607">
        <v>77</v>
      </c>
      <c r="P607" t="s">
        <v>585</v>
      </c>
      <c r="Q607" t="s">
        <v>409</v>
      </c>
      <c r="R607" t="s">
        <v>410</v>
      </c>
      <c r="S607" t="s">
        <v>411</v>
      </c>
      <c r="U607" s="1" t="str">
        <f t="shared" si="57"/>
        <v>Graz</v>
      </c>
      <c r="V607" t="s">
        <v>412</v>
      </c>
      <c r="X607">
        <v>8010</v>
      </c>
      <c r="Y607" s="1" t="str">
        <f t="shared" si="58"/>
        <v>AUSTRIA</v>
      </c>
      <c r="Z607" s="4" t="str">
        <f t="shared" si="59"/>
        <v>Austria</v>
      </c>
      <c r="AA607" t="s">
        <v>148</v>
      </c>
      <c r="AB607" t="s">
        <v>42</v>
      </c>
      <c r="AC607" t="s">
        <v>413</v>
      </c>
      <c r="AD607" t="s">
        <v>414</v>
      </c>
      <c r="AE607" t="s">
        <v>36</v>
      </c>
    </row>
    <row r="608" spans="1:31" x14ac:dyDescent="0.3">
      <c r="A608">
        <v>10181</v>
      </c>
      <c r="B608">
        <v>22</v>
      </c>
      <c r="C608">
        <v>73.92</v>
      </c>
      <c r="D608">
        <v>10</v>
      </c>
      <c r="E608" s="4" t="str">
        <f t="shared" si="54"/>
        <v>low sales</v>
      </c>
      <c r="F608">
        <v>1626.24</v>
      </c>
      <c r="G608" t="s">
        <v>1280</v>
      </c>
      <c r="H608" s="1" t="str">
        <f t="shared" si="55"/>
        <v>Shipped</v>
      </c>
      <c r="I608" s="4" t="str">
        <f t="shared" si="56"/>
        <v>completed</v>
      </c>
      <c r="J608" t="s">
        <v>25</v>
      </c>
      <c r="K608">
        <v>4</v>
      </c>
      <c r="L608">
        <v>11</v>
      </c>
      <c r="M608">
        <v>2003</v>
      </c>
      <c r="N608" t="s">
        <v>181</v>
      </c>
      <c r="O608">
        <v>77</v>
      </c>
      <c r="P608" t="s">
        <v>585</v>
      </c>
      <c r="Q608" t="s">
        <v>73</v>
      </c>
      <c r="R608" t="s">
        <v>74</v>
      </c>
      <c r="S608" t="s">
        <v>75</v>
      </c>
      <c r="U608" s="1" t="str">
        <f t="shared" si="57"/>
        <v>Bergen</v>
      </c>
      <c r="V608" t="s">
        <v>76</v>
      </c>
      <c r="X608" t="s">
        <v>77</v>
      </c>
      <c r="Y608" s="1" t="str">
        <f t="shared" si="58"/>
        <v>NORWAY</v>
      </c>
      <c r="Z608" s="4" t="str">
        <f t="shared" si="59"/>
        <v>Norway</v>
      </c>
      <c r="AA608" t="s">
        <v>78</v>
      </c>
      <c r="AB608" t="s">
        <v>42</v>
      </c>
      <c r="AC608" t="s">
        <v>79</v>
      </c>
      <c r="AD608" t="s">
        <v>80</v>
      </c>
      <c r="AE608" t="s">
        <v>36</v>
      </c>
    </row>
    <row r="609" spans="1:31" x14ac:dyDescent="0.3">
      <c r="A609">
        <v>10192</v>
      </c>
      <c r="B609">
        <v>45</v>
      </c>
      <c r="C609">
        <v>90.86</v>
      </c>
      <c r="D609">
        <v>15</v>
      </c>
      <c r="E609" s="4" t="str">
        <f t="shared" si="54"/>
        <v>high sales</v>
      </c>
      <c r="F609">
        <v>4088.7</v>
      </c>
      <c r="G609" t="s">
        <v>1281</v>
      </c>
      <c r="H609" s="1" t="str">
        <f t="shared" si="55"/>
        <v>Shipped</v>
      </c>
      <c r="I609" s="4" t="str">
        <f t="shared" si="56"/>
        <v>completed</v>
      </c>
      <c r="J609" t="s">
        <v>25</v>
      </c>
      <c r="K609">
        <v>4</v>
      </c>
      <c r="L609">
        <v>11</v>
      </c>
      <c r="M609">
        <v>2003</v>
      </c>
      <c r="N609" t="s">
        <v>181</v>
      </c>
      <c r="O609">
        <v>77</v>
      </c>
      <c r="P609" t="s">
        <v>585</v>
      </c>
      <c r="Q609" t="s">
        <v>277</v>
      </c>
      <c r="R609">
        <v>6035558647</v>
      </c>
      <c r="S609" t="s">
        <v>278</v>
      </c>
      <c r="U609" s="1" t="str">
        <f t="shared" si="57"/>
        <v>Nashua</v>
      </c>
      <c r="V609" t="s">
        <v>279</v>
      </c>
      <c r="W609" t="s">
        <v>280</v>
      </c>
      <c r="X609">
        <v>62005</v>
      </c>
      <c r="Y609" s="1" t="str">
        <f t="shared" si="58"/>
        <v>USA</v>
      </c>
      <c r="Z609" s="4" t="str">
        <f t="shared" si="59"/>
        <v>Usa</v>
      </c>
      <c r="AA609" t="s">
        <v>32</v>
      </c>
      <c r="AB609" t="s">
        <v>33</v>
      </c>
      <c r="AC609" t="s">
        <v>56</v>
      </c>
      <c r="AD609" t="s">
        <v>276</v>
      </c>
      <c r="AE609" t="s">
        <v>51</v>
      </c>
    </row>
    <row r="610" spans="1:31" x14ac:dyDescent="0.3">
      <c r="A610">
        <v>10203</v>
      </c>
      <c r="B610">
        <v>45</v>
      </c>
      <c r="C610">
        <v>85.47</v>
      </c>
      <c r="D610">
        <v>4</v>
      </c>
      <c r="E610" s="4" t="str">
        <f t="shared" si="54"/>
        <v>low sales</v>
      </c>
      <c r="F610">
        <v>3846.15</v>
      </c>
      <c r="G610" t="s">
        <v>1282</v>
      </c>
      <c r="H610" s="1" t="str">
        <f t="shared" si="55"/>
        <v>Shipped</v>
      </c>
      <c r="I610" s="4" t="str">
        <f t="shared" si="56"/>
        <v>completed</v>
      </c>
      <c r="J610" t="s">
        <v>25</v>
      </c>
      <c r="K610">
        <v>4</v>
      </c>
      <c r="L610">
        <v>12</v>
      </c>
      <c r="M610">
        <v>2003</v>
      </c>
      <c r="N610" t="s">
        <v>181</v>
      </c>
      <c r="O610">
        <v>77</v>
      </c>
      <c r="P610" t="s">
        <v>585</v>
      </c>
      <c r="Q610" t="s">
        <v>174</v>
      </c>
      <c r="R610" t="s">
        <v>175</v>
      </c>
      <c r="S610" t="s">
        <v>176</v>
      </c>
      <c r="U610" s="1" t="str">
        <f t="shared" si="57"/>
        <v>Madrid</v>
      </c>
      <c r="V610" t="s">
        <v>177</v>
      </c>
      <c r="X610">
        <v>28034</v>
      </c>
      <c r="Y610" s="1" t="str">
        <f t="shared" si="58"/>
        <v>SPAIN</v>
      </c>
      <c r="Z610" s="4" t="str">
        <f t="shared" si="59"/>
        <v>Spain</v>
      </c>
      <c r="AA610" t="s">
        <v>178</v>
      </c>
      <c r="AB610" t="s">
        <v>42</v>
      </c>
      <c r="AC610" t="s">
        <v>179</v>
      </c>
      <c r="AD610" t="s">
        <v>180</v>
      </c>
      <c r="AE610" t="s">
        <v>51</v>
      </c>
    </row>
    <row r="611" spans="1:31" x14ac:dyDescent="0.3">
      <c r="A611">
        <v>10212</v>
      </c>
      <c r="B611">
        <v>20</v>
      </c>
      <c r="C611">
        <v>66.989999999999995</v>
      </c>
      <c r="D611">
        <v>14</v>
      </c>
      <c r="E611" s="4" t="str">
        <f t="shared" si="54"/>
        <v>low sales</v>
      </c>
      <c r="F611">
        <v>1339.8</v>
      </c>
      <c r="G611" t="s">
        <v>1283</v>
      </c>
      <c r="H611" s="1" t="str">
        <f t="shared" si="55"/>
        <v>Shipped</v>
      </c>
      <c r="I611" s="4" t="str">
        <f t="shared" si="56"/>
        <v>completed</v>
      </c>
      <c r="J611" t="s">
        <v>25</v>
      </c>
      <c r="K611">
        <v>1</v>
      </c>
      <c r="L611">
        <v>1</v>
      </c>
      <c r="M611">
        <v>2004</v>
      </c>
      <c r="N611" t="s">
        <v>181</v>
      </c>
      <c r="O611">
        <v>77</v>
      </c>
      <c r="P611" t="s">
        <v>585</v>
      </c>
      <c r="Q611" t="s">
        <v>174</v>
      </c>
      <c r="R611" t="s">
        <v>175</v>
      </c>
      <c r="S611" t="s">
        <v>176</v>
      </c>
      <c r="U611" s="1" t="str">
        <f t="shared" si="57"/>
        <v>Madrid</v>
      </c>
      <c r="V611" t="s">
        <v>177</v>
      </c>
      <c r="X611">
        <v>28034</v>
      </c>
      <c r="Y611" s="1" t="str">
        <f t="shared" si="58"/>
        <v>SPAIN</v>
      </c>
      <c r="Z611" s="4" t="str">
        <f t="shared" si="59"/>
        <v>Spain</v>
      </c>
      <c r="AA611" t="s">
        <v>178</v>
      </c>
      <c r="AB611" t="s">
        <v>42</v>
      </c>
      <c r="AC611" t="s">
        <v>179</v>
      </c>
      <c r="AD611" t="s">
        <v>180</v>
      </c>
      <c r="AE611" t="s">
        <v>36</v>
      </c>
    </row>
    <row r="612" spans="1:31" x14ac:dyDescent="0.3">
      <c r="A612">
        <v>10225</v>
      </c>
      <c r="B612">
        <v>47</v>
      </c>
      <c r="C612">
        <v>64.680000000000007</v>
      </c>
      <c r="D612">
        <v>5</v>
      </c>
      <c r="E612" s="4" t="str">
        <f t="shared" si="54"/>
        <v>low sales</v>
      </c>
      <c r="F612">
        <v>3039.96</v>
      </c>
      <c r="G612" t="s">
        <v>1284</v>
      </c>
      <c r="H612" s="1" t="str">
        <f t="shared" si="55"/>
        <v>Shipped</v>
      </c>
      <c r="I612" s="4" t="str">
        <f t="shared" si="56"/>
        <v>completed</v>
      </c>
      <c r="J612" t="s">
        <v>25</v>
      </c>
      <c r="K612">
        <v>1</v>
      </c>
      <c r="L612">
        <v>2</v>
      </c>
      <c r="M612">
        <v>2004</v>
      </c>
      <c r="N612" t="s">
        <v>181</v>
      </c>
      <c r="O612">
        <v>77</v>
      </c>
      <c r="P612" t="s">
        <v>585</v>
      </c>
      <c r="Q612" t="s">
        <v>446</v>
      </c>
      <c r="R612" t="s">
        <v>447</v>
      </c>
      <c r="S612" t="s">
        <v>448</v>
      </c>
      <c r="U612" s="1" t="str">
        <f t="shared" si="57"/>
        <v>Gensve</v>
      </c>
      <c r="V612" t="s">
        <v>449</v>
      </c>
      <c r="X612">
        <v>1203</v>
      </c>
      <c r="Y612" s="1" t="str">
        <f t="shared" si="58"/>
        <v>SWITZERLAND</v>
      </c>
      <c r="Z612" s="4" t="str">
        <f t="shared" si="59"/>
        <v>Switzerland</v>
      </c>
      <c r="AA612" t="s">
        <v>450</v>
      </c>
      <c r="AB612" t="s">
        <v>42</v>
      </c>
      <c r="AC612" t="s">
        <v>451</v>
      </c>
      <c r="AD612" t="s">
        <v>103</v>
      </c>
      <c r="AE612" t="s">
        <v>51</v>
      </c>
    </row>
    <row r="613" spans="1:31" x14ac:dyDescent="0.3">
      <c r="A613">
        <v>10239</v>
      </c>
      <c r="B613">
        <v>46</v>
      </c>
      <c r="C613">
        <v>73.92</v>
      </c>
      <c r="D613">
        <v>4</v>
      </c>
      <c r="E613" s="4" t="str">
        <f t="shared" si="54"/>
        <v>low sales</v>
      </c>
      <c r="F613">
        <v>3400.32</v>
      </c>
      <c r="G613" t="s">
        <v>1285</v>
      </c>
      <c r="H613" s="1" t="str">
        <f t="shared" si="55"/>
        <v>Shipped</v>
      </c>
      <c r="I613" s="4" t="str">
        <f t="shared" si="56"/>
        <v>completed</v>
      </c>
      <c r="J613" t="s">
        <v>25</v>
      </c>
      <c r="K613">
        <v>2</v>
      </c>
      <c r="L613">
        <v>4</v>
      </c>
      <c r="M613">
        <v>2004</v>
      </c>
      <c r="N613" t="s">
        <v>181</v>
      </c>
      <c r="O613">
        <v>77</v>
      </c>
      <c r="P613" t="s">
        <v>585</v>
      </c>
      <c r="Q613" t="s">
        <v>391</v>
      </c>
      <c r="R613" t="s">
        <v>392</v>
      </c>
      <c r="S613" t="s">
        <v>393</v>
      </c>
      <c r="U613" s="1" t="str">
        <f t="shared" si="57"/>
        <v>Oulu</v>
      </c>
      <c r="V613" t="s">
        <v>394</v>
      </c>
      <c r="X613">
        <v>90110</v>
      </c>
      <c r="Y613" s="1" t="str">
        <f t="shared" si="58"/>
        <v>FINLAND</v>
      </c>
      <c r="Z613" s="4" t="str">
        <f t="shared" si="59"/>
        <v>Finland</v>
      </c>
      <c r="AA613" t="s">
        <v>130</v>
      </c>
      <c r="AB613" t="s">
        <v>42</v>
      </c>
      <c r="AC613" t="s">
        <v>395</v>
      </c>
      <c r="AD613" t="s">
        <v>396</v>
      </c>
      <c r="AE613" t="s">
        <v>51</v>
      </c>
    </row>
    <row r="614" spans="1:31" x14ac:dyDescent="0.3">
      <c r="A614">
        <v>10253</v>
      </c>
      <c r="B614">
        <v>23</v>
      </c>
      <c r="C614">
        <v>83.93</v>
      </c>
      <c r="D614">
        <v>9</v>
      </c>
      <c r="E614" s="4" t="str">
        <f t="shared" si="54"/>
        <v>low sales</v>
      </c>
      <c r="F614">
        <v>1930.39</v>
      </c>
      <c r="G614" t="s">
        <v>1286</v>
      </c>
      <c r="H614" s="1" t="str">
        <f t="shared" si="55"/>
        <v>Cancelled</v>
      </c>
      <c r="I614" s="4" t="str">
        <f t="shared" si="56"/>
        <v>not completed</v>
      </c>
      <c r="J614" t="s">
        <v>339</v>
      </c>
      <c r="K614">
        <v>2</v>
      </c>
      <c r="L614">
        <v>6</v>
      </c>
      <c r="M614">
        <v>2004</v>
      </c>
      <c r="N614" t="s">
        <v>181</v>
      </c>
      <c r="O614">
        <v>77</v>
      </c>
      <c r="P614" t="s">
        <v>585</v>
      </c>
      <c r="Q614" t="s">
        <v>165</v>
      </c>
      <c r="R614" t="s">
        <v>166</v>
      </c>
      <c r="S614" t="s">
        <v>167</v>
      </c>
      <c r="U614" s="1" t="str">
        <f t="shared" si="57"/>
        <v>Liverpool</v>
      </c>
      <c r="V614" t="s">
        <v>168</v>
      </c>
      <c r="X614" t="s">
        <v>169</v>
      </c>
      <c r="Y614" s="1" t="str">
        <f t="shared" si="58"/>
        <v>UK</v>
      </c>
      <c r="Z614" s="4" t="str">
        <f t="shared" si="59"/>
        <v>Uk</v>
      </c>
      <c r="AA614" t="s">
        <v>170</v>
      </c>
      <c r="AB614" t="s">
        <v>42</v>
      </c>
      <c r="AC614" t="s">
        <v>171</v>
      </c>
      <c r="AD614" t="s">
        <v>172</v>
      </c>
      <c r="AE614" t="s">
        <v>36</v>
      </c>
    </row>
    <row r="615" spans="1:31" x14ac:dyDescent="0.3">
      <c r="A615">
        <v>10266</v>
      </c>
      <c r="B615">
        <v>33</v>
      </c>
      <c r="C615">
        <v>74.69</v>
      </c>
      <c r="D615">
        <v>10</v>
      </c>
      <c r="E615" s="4" t="str">
        <f t="shared" si="54"/>
        <v>low sales</v>
      </c>
      <c r="F615">
        <v>2464.77</v>
      </c>
      <c r="G615" t="s">
        <v>1287</v>
      </c>
      <c r="H615" s="1" t="str">
        <f t="shared" si="55"/>
        <v>Shipped</v>
      </c>
      <c r="I615" s="4" t="str">
        <f t="shared" si="56"/>
        <v>completed</v>
      </c>
      <c r="J615" t="s">
        <v>25</v>
      </c>
      <c r="K615">
        <v>3</v>
      </c>
      <c r="L615">
        <v>7</v>
      </c>
      <c r="M615">
        <v>2004</v>
      </c>
      <c r="N615" t="s">
        <v>181</v>
      </c>
      <c r="O615">
        <v>77</v>
      </c>
      <c r="P615" t="s">
        <v>585</v>
      </c>
      <c r="Q615" t="s">
        <v>452</v>
      </c>
      <c r="R615" t="s">
        <v>453</v>
      </c>
      <c r="S615" t="s">
        <v>454</v>
      </c>
      <c r="U615" s="1" t="str">
        <f t="shared" si="57"/>
        <v>Reggio Emilia</v>
      </c>
      <c r="V615" t="s">
        <v>455</v>
      </c>
      <c r="X615">
        <v>42100</v>
      </c>
      <c r="Y615" s="1" t="str">
        <f t="shared" si="58"/>
        <v>ITALY</v>
      </c>
      <c r="Z615" s="4" t="str">
        <f t="shared" si="59"/>
        <v>Italy</v>
      </c>
      <c r="AA615" t="s">
        <v>258</v>
      </c>
      <c r="AB615" t="s">
        <v>42</v>
      </c>
      <c r="AC615" t="s">
        <v>456</v>
      </c>
      <c r="AD615" t="s">
        <v>457</v>
      </c>
      <c r="AE615" t="s">
        <v>36</v>
      </c>
    </row>
    <row r="616" spans="1:31" x14ac:dyDescent="0.3">
      <c r="A616">
        <v>10278</v>
      </c>
      <c r="B616">
        <v>29</v>
      </c>
      <c r="C616">
        <v>90.86</v>
      </c>
      <c r="D616">
        <v>10</v>
      </c>
      <c r="E616" s="4" t="str">
        <f t="shared" si="54"/>
        <v>low sales</v>
      </c>
      <c r="F616">
        <v>2634.94</v>
      </c>
      <c r="G616" t="s">
        <v>1288</v>
      </c>
      <c r="H616" s="1" t="str">
        <f t="shared" si="55"/>
        <v>Shipped</v>
      </c>
      <c r="I616" s="4" t="str">
        <f t="shared" si="56"/>
        <v>completed</v>
      </c>
      <c r="J616" t="s">
        <v>25</v>
      </c>
      <c r="K616">
        <v>3</v>
      </c>
      <c r="L616">
        <v>8</v>
      </c>
      <c r="M616">
        <v>2004</v>
      </c>
      <c r="N616" t="s">
        <v>181</v>
      </c>
      <c r="O616">
        <v>77</v>
      </c>
      <c r="P616" t="s">
        <v>585</v>
      </c>
      <c r="Q616" t="s">
        <v>539</v>
      </c>
      <c r="R616">
        <v>7025551838</v>
      </c>
      <c r="S616" t="s">
        <v>540</v>
      </c>
      <c r="U616" s="1" t="str">
        <f t="shared" si="57"/>
        <v>Las Vegas</v>
      </c>
      <c r="V616" t="s">
        <v>541</v>
      </c>
      <c r="W616" t="s">
        <v>542</v>
      </c>
      <c r="X616">
        <v>83030</v>
      </c>
      <c r="Y616" s="1" t="str">
        <f t="shared" si="58"/>
        <v>USA</v>
      </c>
      <c r="Z616" s="4" t="str">
        <f t="shared" si="59"/>
        <v>Usa</v>
      </c>
      <c r="AA616" t="s">
        <v>32</v>
      </c>
      <c r="AB616" t="s">
        <v>33</v>
      </c>
      <c r="AC616" t="s">
        <v>113</v>
      </c>
      <c r="AD616" t="s">
        <v>400</v>
      </c>
      <c r="AE616" t="s">
        <v>36</v>
      </c>
    </row>
    <row r="617" spans="1:31" x14ac:dyDescent="0.3">
      <c r="A617">
        <v>10287</v>
      </c>
      <c r="B617">
        <v>44</v>
      </c>
      <c r="C617">
        <v>82.39</v>
      </c>
      <c r="D617">
        <v>8</v>
      </c>
      <c r="E617" s="4" t="str">
        <f t="shared" si="54"/>
        <v>low sales</v>
      </c>
      <c r="F617">
        <v>3625.16</v>
      </c>
      <c r="G617" t="s">
        <v>1289</v>
      </c>
      <c r="H617" s="1" t="str">
        <f t="shared" si="55"/>
        <v>Shipped</v>
      </c>
      <c r="I617" s="4" t="str">
        <f t="shared" si="56"/>
        <v>completed</v>
      </c>
      <c r="J617" t="s">
        <v>25</v>
      </c>
      <c r="K617">
        <v>3</v>
      </c>
      <c r="L617">
        <v>8</v>
      </c>
      <c r="M617">
        <v>2004</v>
      </c>
      <c r="N617" t="s">
        <v>181</v>
      </c>
      <c r="O617">
        <v>77</v>
      </c>
      <c r="P617" t="s">
        <v>585</v>
      </c>
      <c r="Q617" t="s">
        <v>446</v>
      </c>
      <c r="R617" t="s">
        <v>447</v>
      </c>
      <c r="S617" t="s">
        <v>448</v>
      </c>
      <c r="U617" s="1" t="str">
        <f t="shared" si="57"/>
        <v>Gensve</v>
      </c>
      <c r="V617" t="s">
        <v>449</v>
      </c>
      <c r="X617">
        <v>1203</v>
      </c>
      <c r="Y617" s="1" t="str">
        <f t="shared" si="58"/>
        <v>SWITZERLAND</v>
      </c>
      <c r="Z617" s="4" t="str">
        <f t="shared" si="59"/>
        <v>Switzerland</v>
      </c>
      <c r="AA617" t="s">
        <v>450</v>
      </c>
      <c r="AB617" t="s">
        <v>42</v>
      </c>
      <c r="AC617" t="s">
        <v>451</v>
      </c>
      <c r="AD617" t="s">
        <v>103</v>
      </c>
      <c r="AE617" t="s">
        <v>51</v>
      </c>
    </row>
    <row r="618" spans="1:31" x14ac:dyDescent="0.3">
      <c r="A618">
        <v>10300</v>
      </c>
      <c r="B618">
        <v>41</v>
      </c>
      <c r="C618">
        <v>92.4</v>
      </c>
      <c r="D618">
        <v>1</v>
      </c>
      <c r="E618" s="4" t="str">
        <f t="shared" si="54"/>
        <v>low sales</v>
      </c>
      <c r="F618">
        <v>3788.4</v>
      </c>
      <c r="G618" t="s">
        <v>1290</v>
      </c>
      <c r="H618" s="1" t="str">
        <f t="shared" si="55"/>
        <v>Shipped</v>
      </c>
      <c r="I618" s="4" t="str">
        <f t="shared" si="56"/>
        <v>completed</v>
      </c>
      <c r="J618" t="s">
        <v>25</v>
      </c>
      <c r="K618">
        <v>4</v>
      </c>
      <c r="L618">
        <v>10</v>
      </c>
      <c r="M618">
        <v>2003</v>
      </c>
      <c r="N618" t="s">
        <v>181</v>
      </c>
      <c r="O618">
        <v>77</v>
      </c>
      <c r="P618" t="s">
        <v>585</v>
      </c>
      <c r="Q618" t="s">
        <v>462</v>
      </c>
      <c r="R618" t="s">
        <v>463</v>
      </c>
      <c r="S618" t="s">
        <v>464</v>
      </c>
      <c r="U618" s="1" t="str">
        <f t="shared" si="57"/>
        <v>Frankfurt</v>
      </c>
      <c r="V618" t="s">
        <v>465</v>
      </c>
      <c r="X618">
        <v>60528</v>
      </c>
      <c r="Y618" s="1" t="str">
        <f t="shared" si="58"/>
        <v>GERMANY</v>
      </c>
      <c r="Z618" s="4" t="str">
        <f t="shared" si="59"/>
        <v>Germany</v>
      </c>
      <c r="AA618" t="s">
        <v>443</v>
      </c>
      <c r="AB618" t="s">
        <v>42</v>
      </c>
      <c r="AC618" t="s">
        <v>466</v>
      </c>
      <c r="AD618" t="s">
        <v>414</v>
      </c>
      <c r="AE618" t="s">
        <v>51</v>
      </c>
    </row>
    <row r="619" spans="1:31" x14ac:dyDescent="0.3">
      <c r="A619">
        <v>10310</v>
      </c>
      <c r="B619">
        <v>20</v>
      </c>
      <c r="C619">
        <v>91.63</v>
      </c>
      <c r="D619">
        <v>6</v>
      </c>
      <c r="E619" s="4" t="str">
        <f t="shared" si="54"/>
        <v>low sales</v>
      </c>
      <c r="F619">
        <v>1832.6</v>
      </c>
      <c r="G619" t="s">
        <v>1291</v>
      </c>
      <c r="H619" s="1" t="str">
        <f t="shared" si="55"/>
        <v>Shipped</v>
      </c>
      <c r="I619" s="4" t="str">
        <f t="shared" si="56"/>
        <v>completed</v>
      </c>
      <c r="J619" t="s">
        <v>25</v>
      </c>
      <c r="K619">
        <v>4</v>
      </c>
      <c r="L619">
        <v>10</v>
      </c>
      <c r="M619">
        <v>2004</v>
      </c>
      <c r="N619" t="s">
        <v>181</v>
      </c>
      <c r="O619">
        <v>77</v>
      </c>
      <c r="P619" t="s">
        <v>585</v>
      </c>
      <c r="Q619" t="s">
        <v>439</v>
      </c>
      <c r="R619" t="s">
        <v>440</v>
      </c>
      <c r="S619" t="s">
        <v>441</v>
      </c>
      <c r="U619" s="1" t="str">
        <f t="shared" si="57"/>
        <v>Koln</v>
      </c>
      <c r="V619" t="s">
        <v>442</v>
      </c>
      <c r="X619">
        <v>50739</v>
      </c>
      <c r="Y619" s="1" t="str">
        <f t="shared" si="58"/>
        <v>GERMANY</v>
      </c>
      <c r="Z619" s="4" t="str">
        <f t="shared" si="59"/>
        <v>Germany</v>
      </c>
      <c r="AA619" t="s">
        <v>443</v>
      </c>
      <c r="AB619" t="s">
        <v>42</v>
      </c>
      <c r="AC619" t="s">
        <v>444</v>
      </c>
      <c r="AD619" t="s">
        <v>445</v>
      </c>
      <c r="AE619" t="s">
        <v>36</v>
      </c>
    </row>
    <row r="620" spans="1:31" x14ac:dyDescent="0.3">
      <c r="A620">
        <v>10321</v>
      </c>
      <c r="B620">
        <v>37</v>
      </c>
      <c r="C620">
        <v>78.540000000000006</v>
      </c>
      <c r="D620">
        <v>14</v>
      </c>
      <c r="E620" s="4" t="str">
        <f t="shared" si="54"/>
        <v>low sales</v>
      </c>
      <c r="F620">
        <v>2905.98</v>
      </c>
      <c r="G620" t="s">
        <v>1292</v>
      </c>
      <c r="H620" s="1" t="str">
        <f t="shared" si="55"/>
        <v>Shipped</v>
      </c>
      <c r="I620" s="4" t="str">
        <f t="shared" si="56"/>
        <v>completed</v>
      </c>
      <c r="J620" t="s">
        <v>25</v>
      </c>
      <c r="K620">
        <v>4</v>
      </c>
      <c r="L620">
        <v>11</v>
      </c>
      <c r="M620">
        <v>2004</v>
      </c>
      <c r="N620" t="s">
        <v>181</v>
      </c>
      <c r="O620">
        <v>77</v>
      </c>
      <c r="P620" t="s">
        <v>585</v>
      </c>
      <c r="Q620" t="s">
        <v>160</v>
      </c>
      <c r="R620">
        <v>5085552555</v>
      </c>
      <c r="S620" t="s">
        <v>161</v>
      </c>
      <c r="U620" s="1" t="str">
        <f t="shared" si="57"/>
        <v>New Bedford</v>
      </c>
      <c r="V620" t="s">
        <v>162</v>
      </c>
      <c r="W620" t="s">
        <v>123</v>
      </c>
      <c r="X620">
        <v>50553</v>
      </c>
      <c r="Y620" s="1" t="str">
        <f t="shared" si="58"/>
        <v>USA</v>
      </c>
      <c r="Z620" s="4" t="str">
        <f t="shared" si="59"/>
        <v>Usa</v>
      </c>
      <c r="AA620" t="s">
        <v>32</v>
      </c>
      <c r="AB620" t="s">
        <v>33</v>
      </c>
      <c r="AC620" t="s">
        <v>163</v>
      </c>
      <c r="AD620" t="s">
        <v>164</v>
      </c>
      <c r="AE620" t="s">
        <v>36</v>
      </c>
    </row>
    <row r="621" spans="1:31" x14ac:dyDescent="0.3">
      <c r="A621">
        <v>10329</v>
      </c>
      <c r="B621">
        <v>29</v>
      </c>
      <c r="C621">
        <v>100</v>
      </c>
      <c r="D621">
        <v>9</v>
      </c>
      <c r="E621" s="4" t="str">
        <f t="shared" si="54"/>
        <v>low sales</v>
      </c>
      <c r="F621">
        <v>2954.81</v>
      </c>
      <c r="G621" t="s">
        <v>1293</v>
      </c>
      <c r="H621" s="1" t="str">
        <f t="shared" si="55"/>
        <v>Shipped</v>
      </c>
      <c r="I621" s="4" t="str">
        <f t="shared" si="56"/>
        <v>completed</v>
      </c>
      <c r="J621" t="s">
        <v>25</v>
      </c>
      <c r="K621">
        <v>4</v>
      </c>
      <c r="L621">
        <v>11</v>
      </c>
      <c r="M621">
        <v>2004</v>
      </c>
      <c r="N621" t="s">
        <v>181</v>
      </c>
      <c r="O621">
        <v>77</v>
      </c>
      <c r="P621" t="s">
        <v>585</v>
      </c>
      <c r="Q621" t="s">
        <v>28</v>
      </c>
      <c r="R621">
        <v>2125557818</v>
      </c>
      <c r="S621" t="s">
        <v>29</v>
      </c>
      <c r="U621" s="1" t="str">
        <f t="shared" si="57"/>
        <v>Nyc</v>
      </c>
      <c r="V621" t="s">
        <v>30</v>
      </c>
      <c r="W621" t="s">
        <v>31</v>
      </c>
      <c r="X621">
        <v>10022</v>
      </c>
      <c r="Y621" s="1" t="str">
        <f t="shared" si="58"/>
        <v>USA</v>
      </c>
      <c r="Z621" s="4" t="str">
        <f t="shared" si="59"/>
        <v>Usa</v>
      </c>
      <c r="AA621" t="s">
        <v>32</v>
      </c>
      <c r="AB621" t="s">
        <v>33</v>
      </c>
      <c r="AC621" t="s">
        <v>34</v>
      </c>
      <c r="AD621" t="s">
        <v>35</v>
      </c>
      <c r="AE621" t="s">
        <v>36</v>
      </c>
    </row>
    <row r="622" spans="1:31" x14ac:dyDescent="0.3">
      <c r="A622">
        <v>10342</v>
      </c>
      <c r="B622">
        <v>55</v>
      </c>
      <c r="C622">
        <v>65.45</v>
      </c>
      <c r="D622">
        <v>1</v>
      </c>
      <c r="E622" s="4" t="str">
        <f t="shared" si="54"/>
        <v>low sales</v>
      </c>
      <c r="F622">
        <v>3599.75</v>
      </c>
      <c r="G622" t="s">
        <v>1294</v>
      </c>
      <c r="H622" s="1" t="str">
        <f t="shared" si="55"/>
        <v>Shipped</v>
      </c>
      <c r="I622" s="4" t="str">
        <f t="shared" si="56"/>
        <v>completed</v>
      </c>
      <c r="J622" t="s">
        <v>25</v>
      </c>
      <c r="K622">
        <v>4</v>
      </c>
      <c r="L622">
        <v>11</v>
      </c>
      <c r="M622">
        <v>2004</v>
      </c>
      <c r="N622" t="s">
        <v>181</v>
      </c>
      <c r="O622">
        <v>77</v>
      </c>
      <c r="P622" t="s">
        <v>585</v>
      </c>
      <c r="Q622" t="s">
        <v>89</v>
      </c>
      <c r="R622" t="s">
        <v>90</v>
      </c>
      <c r="S622" t="s">
        <v>91</v>
      </c>
      <c r="T622" t="s">
        <v>92</v>
      </c>
      <c r="U622" s="1" t="str">
        <f t="shared" si="57"/>
        <v>Melbourne</v>
      </c>
      <c r="V622" t="s">
        <v>93</v>
      </c>
      <c r="W622" t="s">
        <v>94</v>
      </c>
      <c r="X622">
        <v>3004</v>
      </c>
      <c r="Y622" s="1" t="str">
        <f t="shared" si="58"/>
        <v>AUSTRALIA</v>
      </c>
      <c r="Z622" s="4" t="str">
        <f t="shared" si="59"/>
        <v>Australia</v>
      </c>
      <c r="AA622" t="s">
        <v>95</v>
      </c>
      <c r="AB622" t="s">
        <v>96</v>
      </c>
      <c r="AC622" t="s">
        <v>97</v>
      </c>
      <c r="AD622" t="s">
        <v>98</v>
      </c>
      <c r="AE622" t="s">
        <v>51</v>
      </c>
    </row>
    <row r="623" spans="1:31" x14ac:dyDescent="0.3">
      <c r="A623">
        <v>10363</v>
      </c>
      <c r="B623">
        <v>22</v>
      </c>
      <c r="C623">
        <v>100</v>
      </c>
      <c r="D623">
        <v>7</v>
      </c>
      <c r="E623" s="4" t="str">
        <f t="shared" si="54"/>
        <v>low sales</v>
      </c>
      <c r="F623">
        <v>3686.54</v>
      </c>
      <c r="G623" t="s">
        <v>1295</v>
      </c>
      <c r="H623" s="1" t="str">
        <f t="shared" si="55"/>
        <v>Shipped</v>
      </c>
      <c r="I623" s="4" t="str">
        <f t="shared" si="56"/>
        <v>completed</v>
      </c>
      <c r="J623" t="s">
        <v>25</v>
      </c>
      <c r="K623">
        <v>1</v>
      </c>
      <c r="L623">
        <v>1</v>
      </c>
      <c r="M623">
        <v>2005</v>
      </c>
      <c r="N623" t="s">
        <v>181</v>
      </c>
      <c r="O623">
        <v>77</v>
      </c>
      <c r="P623" t="s">
        <v>585</v>
      </c>
      <c r="Q623" t="s">
        <v>467</v>
      </c>
      <c r="R623" t="s">
        <v>468</v>
      </c>
      <c r="S623" t="s">
        <v>469</v>
      </c>
      <c r="U623" s="1" t="str">
        <f t="shared" si="57"/>
        <v>Espoo</v>
      </c>
      <c r="V623" t="s">
        <v>470</v>
      </c>
      <c r="X623" t="s">
        <v>471</v>
      </c>
      <c r="Y623" s="1" t="str">
        <f t="shared" si="58"/>
        <v>FINLAND</v>
      </c>
      <c r="Z623" s="4" t="str">
        <f t="shared" si="59"/>
        <v>Finland</v>
      </c>
      <c r="AA623" t="s">
        <v>130</v>
      </c>
      <c r="AB623" t="s">
        <v>42</v>
      </c>
      <c r="AC623" t="s">
        <v>472</v>
      </c>
      <c r="AD623" t="s">
        <v>473</v>
      </c>
      <c r="AE623" t="s">
        <v>51</v>
      </c>
    </row>
    <row r="624" spans="1:31" x14ac:dyDescent="0.3">
      <c r="A624">
        <v>10377</v>
      </c>
      <c r="B624">
        <v>31</v>
      </c>
      <c r="C624">
        <v>67.760000000000005</v>
      </c>
      <c r="D624">
        <v>4</v>
      </c>
      <c r="E624" s="4" t="str">
        <f t="shared" si="54"/>
        <v>low sales</v>
      </c>
      <c r="F624">
        <v>2100.56</v>
      </c>
      <c r="G624" t="s">
        <v>1296</v>
      </c>
      <c r="H624" s="1" t="str">
        <f t="shared" si="55"/>
        <v>Shipped</v>
      </c>
      <c r="I624" s="4" t="str">
        <f t="shared" si="56"/>
        <v>completed</v>
      </c>
      <c r="J624" t="s">
        <v>25</v>
      </c>
      <c r="K624">
        <v>1</v>
      </c>
      <c r="L624">
        <v>2</v>
      </c>
      <c r="M624">
        <v>2005</v>
      </c>
      <c r="N624" t="s">
        <v>181</v>
      </c>
      <c r="O624">
        <v>77</v>
      </c>
      <c r="P624" t="s">
        <v>585</v>
      </c>
      <c r="Q624" t="s">
        <v>126</v>
      </c>
      <c r="R624" t="s">
        <v>127</v>
      </c>
      <c r="S624" t="s">
        <v>128</v>
      </c>
      <c r="U624" s="1" t="str">
        <f t="shared" si="57"/>
        <v>Helsinki</v>
      </c>
      <c r="V624" t="s">
        <v>129</v>
      </c>
      <c r="X624">
        <v>21240</v>
      </c>
      <c r="Y624" s="1" t="str">
        <f t="shared" si="58"/>
        <v>FINLAND</v>
      </c>
      <c r="Z624" s="4" t="str">
        <f t="shared" si="59"/>
        <v>Finland</v>
      </c>
      <c r="AA624" t="s">
        <v>130</v>
      </c>
      <c r="AB624" t="s">
        <v>42</v>
      </c>
      <c r="AC624" t="s">
        <v>131</v>
      </c>
      <c r="AD624" t="s">
        <v>132</v>
      </c>
      <c r="AE624" t="s">
        <v>36</v>
      </c>
    </row>
    <row r="625" spans="1:31" x14ac:dyDescent="0.3">
      <c r="A625">
        <v>10389</v>
      </c>
      <c r="B625">
        <v>49</v>
      </c>
      <c r="C625">
        <v>79.22</v>
      </c>
      <c r="D625">
        <v>3</v>
      </c>
      <c r="E625" s="4" t="str">
        <f t="shared" si="54"/>
        <v>low sales</v>
      </c>
      <c r="F625">
        <v>3881.78</v>
      </c>
      <c r="G625" t="s">
        <v>1297</v>
      </c>
      <c r="H625" s="1" t="str">
        <f t="shared" si="55"/>
        <v>Shipped</v>
      </c>
      <c r="I625" s="4" t="str">
        <f t="shared" si="56"/>
        <v>completed</v>
      </c>
      <c r="J625" t="s">
        <v>25</v>
      </c>
      <c r="K625">
        <v>1</v>
      </c>
      <c r="L625">
        <v>3</v>
      </c>
      <c r="M625">
        <v>2005</v>
      </c>
      <c r="N625" t="s">
        <v>181</v>
      </c>
      <c r="O625">
        <v>77</v>
      </c>
      <c r="P625" t="s">
        <v>585</v>
      </c>
      <c r="Q625" t="s">
        <v>261</v>
      </c>
      <c r="R625" t="s">
        <v>262</v>
      </c>
      <c r="S625" t="s">
        <v>263</v>
      </c>
      <c r="U625" s="1" t="str">
        <f t="shared" si="57"/>
        <v>Boras</v>
      </c>
      <c r="V625" t="s">
        <v>264</v>
      </c>
      <c r="X625" t="s">
        <v>265</v>
      </c>
      <c r="Y625" s="1" t="str">
        <f t="shared" si="58"/>
        <v>SWEDEN</v>
      </c>
      <c r="Z625" s="4" t="str">
        <f t="shared" si="59"/>
        <v>Sweden</v>
      </c>
      <c r="AA625" t="s">
        <v>188</v>
      </c>
      <c r="AB625" t="s">
        <v>42</v>
      </c>
      <c r="AC625" t="s">
        <v>266</v>
      </c>
      <c r="AD625" t="s">
        <v>206</v>
      </c>
      <c r="AE625" t="s">
        <v>51</v>
      </c>
    </row>
    <row r="626" spans="1:31" x14ac:dyDescent="0.3">
      <c r="A626">
        <v>10405</v>
      </c>
      <c r="B626">
        <v>61</v>
      </c>
      <c r="C626">
        <v>73.92</v>
      </c>
      <c r="D626">
        <v>4</v>
      </c>
      <c r="E626" s="4" t="str">
        <f t="shared" si="54"/>
        <v>high sales</v>
      </c>
      <c r="F626">
        <v>4509.12</v>
      </c>
      <c r="G626" t="s">
        <v>1298</v>
      </c>
      <c r="H626" s="1" t="str">
        <f t="shared" si="55"/>
        <v>Shipped</v>
      </c>
      <c r="I626" s="4" t="str">
        <f t="shared" si="56"/>
        <v>completed</v>
      </c>
      <c r="J626" t="s">
        <v>25</v>
      </c>
      <c r="K626">
        <v>2</v>
      </c>
      <c r="L626">
        <v>4</v>
      </c>
      <c r="M626">
        <v>2005</v>
      </c>
      <c r="N626" t="s">
        <v>181</v>
      </c>
      <c r="O626">
        <v>77</v>
      </c>
      <c r="P626" t="s">
        <v>585</v>
      </c>
      <c r="Q626" t="s">
        <v>531</v>
      </c>
      <c r="R626" t="s">
        <v>532</v>
      </c>
      <c r="S626" t="s">
        <v>533</v>
      </c>
      <c r="U626" s="1" t="str">
        <f t="shared" si="57"/>
        <v>Strasbourg</v>
      </c>
      <c r="V626" t="s">
        <v>534</v>
      </c>
      <c r="X626">
        <v>67000</v>
      </c>
      <c r="Y626" s="1" t="str">
        <f t="shared" si="58"/>
        <v>FRANCE</v>
      </c>
      <c r="Z626" s="4" t="str">
        <f t="shared" si="59"/>
        <v>France</v>
      </c>
      <c r="AA626" t="s">
        <v>41</v>
      </c>
      <c r="AB626" t="s">
        <v>42</v>
      </c>
      <c r="AC626" t="s">
        <v>535</v>
      </c>
      <c r="AD626" t="s">
        <v>536</v>
      </c>
      <c r="AE626" t="s">
        <v>51</v>
      </c>
    </row>
    <row r="627" spans="1:31" x14ac:dyDescent="0.3">
      <c r="A627">
        <v>10419</v>
      </c>
      <c r="B627">
        <v>39</v>
      </c>
      <c r="C627">
        <v>83.93</v>
      </c>
      <c r="D627">
        <v>9</v>
      </c>
      <c r="E627" s="4" t="str">
        <f t="shared" si="54"/>
        <v>low sales</v>
      </c>
      <c r="F627">
        <v>3273.27</v>
      </c>
      <c r="G627" t="s">
        <v>1299</v>
      </c>
      <c r="H627" s="1" t="str">
        <f t="shared" si="55"/>
        <v>Shipped</v>
      </c>
      <c r="I627" s="4" t="str">
        <f t="shared" si="56"/>
        <v>completed</v>
      </c>
      <c r="J627" t="s">
        <v>25</v>
      </c>
      <c r="K627">
        <v>2</v>
      </c>
      <c r="L627">
        <v>5</v>
      </c>
      <c r="M627">
        <v>2005</v>
      </c>
      <c r="N627" t="s">
        <v>181</v>
      </c>
      <c r="O627">
        <v>77</v>
      </c>
      <c r="P627" t="s">
        <v>585</v>
      </c>
      <c r="Q627" t="s">
        <v>144</v>
      </c>
      <c r="R627" t="s">
        <v>145</v>
      </c>
      <c r="S627" t="s">
        <v>146</v>
      </c>
      <c r="U627" s="1" t="str">
        <f t="shared" si="57"/>
        <v>Salzburg</v>
      </c>
      <c r="V627" t="s">
        <v>147</v>
      </c>
      <c r="X627">
        <v>5020</v>
      </c>
      <c r="Y627" s="1" t="str">
        <f t="shared" si="58"/>
        <v>AUSTRIA</v>
      </c>
      <c r="Z627" s="4" t="str">
        <f t="shared" si="59"/>
        <v>Austria</v>
      </c>
      <c r="AA627" t="s">
        <v>148</v>
      </c>
      <c r="AB627" t="s">
        <v>42</v>
      </c>
      <c r="AC627" t="s">
        <v>149</v>
      </c>
      <c r="AD627" t="s">
        <v>150</v>
      </c>
      <c r="AE627" t="s">
        <v>51</v>
      </c>
    </row>
    <row r="628" spans="1:31" x14ac:dyDescent="0.3">
      <c r="A628">
        <v>10109</v>
      </c>
      <c r="B628">
        <v>38</v>
      </c>
      <c r="C628">
        <v>100</v>
      </c>
      <c r="D628">
        <v>3</v>
      </c>
      <c r="E628" s="4" t="str">
        <f t="shared" si="54"/>
        <v>high sales</v>
      </c>
      <c r="F628">
        <v>4432.7</v>
      </c>
      <c r="G628" t="s">
        <v>1300</v>
      </c>
      <c r="H628" s="1" t="str">
        <f t="shared" si="55"/>
        <v>Shipped</v>
      </c>
      <c r="I628" s="4" t="str">
        <f t="shared" si="56"/>
        <v>completed</v>
      </c>
      <c r="J628" t="s">
        <v>25</v>
      </c>
      <c r="K628">
        <v>1</v>
      </c>
      <c r="L628">
        <v>3</v>
      </c>
      <c r="M628">
        <v>2003</v>
      </c>
      <c r="N628" t="s">
        <v>181</v>
      </c>
      <c r="O628">
        <v>142</v>
      </c>
      <c r="P628" t="s">
        <v>586</v>
      </c>
      <c r="Q628" t="s">
        <v>309</v>
      </c>
      <c r="R628">
        <v>2155559857</v>
      </c>
      <c r="S628" t="s">
        <v>310</v>
      </c>
      <c r="U628" s="1" t="str">
        <f t="shared" si="57"/>
        <v>Philadelphia</v>
      </c>
      <c r="V628" t="s">
        <v>216</v>
      </c>
      <c r="W628" t="s">
        <v>142</v>
      </c>
      <c r="X628">
        <v>71270</v>
      </c>
      <c r="Y628" s="1" t="str">
        <f t="shared" si="58"/>
        <v>USA</v>
      </c>
      <c r="Z628" s="4" t="str">
        <f t="shared" si="59"/>
        <v>Usa</v>
      </c>
      <c r="AA628" t="s">
        <v>32</v>
      </c>
      <c r="AB628" t="s">
        <v>33</v>
      </c>
      <c r="AC628" t="s">
        <v>124</v>
      </c>
      <c r="AD628" t="s">
        <v>311</v>
      </c>
      <c r="AE628" t="s">
        <v>51</v>
      </c>
    </row>
    <row r="629" spans="1:31" x14ac:dyDescent="0.3">
      <c r="A629">
        <v>10122</v>
      </c>
      <c r="B629">
        <v>31</v>
      </c>
      <c r="C629">
        <v>100</v>
      </c>
      <c r="D629">
        <v>1</v>
      </c>
      <c r="E629" s="4" t="str">
        <f t="shared" si="54"/>
        <v>high sales</v>
      </c>
      <c r="F629">
        <v>4100.99</v>
      </c>
      <c r="G629" t="s">
        <v>1301</v>
      </c>
      <c r="H629" s="1" t="str">
        <f t="shared" si="55"/>
        <v>Shipped</v>
      </c>
      <c r="I629" s="4" t="str">
        <f t="shared" si="56"/>
        <v>completed</v>
      </c>
      <c r="J629" t="s">
        <v>25</v>
      </c>
      <c r="K629">
        <v>2</v>
      </c>
      <c r="L629">
        <v>5</v>
      </c>
      <c r="M629">
        <v>2003</v>
      </c>
      <c r="N629" t="s">
        <v>181</v>
      </c>
      <c r="O629">
        <v>142</v>
      </c>
      <c r="P629" t="s">
        <v>586</v>
      </c>
      <c r="Q629" t="s">
        <v>433</v>
      </c>
      <c r="R629" t="s">
        <v>434</v>
      </c>
      <c r="S629" t="s">
        <v>435</v>
      </c>
      <c r="U629" s="1" t="str">
        <f t="shared" si="57"/>
        <v>Marseille</v>
      </c>
      <c r="V629" t="s">
        <v>436</v>
      </c>
      <c r="X629">
        <v>13008</v>
      </c>
      <c r="Y629" s="1" t="str">
        <f t="shared" si="58"/>
        <v>FRANCE</v>
      </c>
      <c r="Z629" s="4" t="str">
        <f t="shared" si="59"/>
        <v>France</v>
      </c>
      <c r="AA629" t="s">
        <v>41</v>
      </c>
      <c r="AB629" t="s">
        <v>42</v>
      </c>
      <c r="AC629" t="s">
        <v>437</v>
      </c>
      <c r="AD629" t="s">
        <v>438</v>
      </c>
      <c r="AE629" t="s">
        <v>51</v>
      </c>
    </row>
    <row r="630" spans="1:31" x14ac:dyDescent="0.3">
      <c r="A630">
        <v>10136</v>
      </c>
      <c r="B630">
        <v>36</v>
      </c>
      <c r="C630">
        <v>100</v>
      </c>
      <c r="D630">
        <v>1</v>
      </c>
      <c r="E630" s="4" t="str">
        <f t="shared" si="54"/>
        <v>high sales</v>
      </c>
      <c r="F630">
        <v>5274.72</v>
      </c>
      <c r="G630" t="s">
        <v>1302</v>
      </c>
      <c r="H630" s="1" t="str">
        <f t="shared" si="55"/>
        <v>Shipped</v>
      </c>
      <c r="I630" s="4" t="str">
        <f t="shared" si="56"/>
        <v>completed</v>
      </c>
      <c r="J630" t="s">
        <v>25</v>
      </c>
      <c r="K630">
        <v>3</v>
      </c>
      <c r="L630">
        <v>7</v>
      </c>
      <c r="M630">
        <v>2003</v>
      </c>
      <c r="N630" t="s">
        <v>181</v>
      </c>
      <c r="O630">
        <v>142</v>
      </c>
      <c r="P630" t="s">
        <v>586</v>
      </c>
      <c r="Q630" t="s">
        <v>340</v>
      </c>
      <c r="R630" t="s">
        <v>341</v>
      </c>
      <c r="S630" t="s">
        <v>342</v>
      </c>
      <c r="U630" s="1" t="str">
        <f t="shared" si="57"/>
        <v>Toulouse</v>
      </c>
      <c r="V630" t="s">
        <v>343</v>
      </c>
      <c r="X630">
        <v>31000</v>
      </c>
      <c r="Y630" s="1" t="str">
        <f t="shared" si="58"/>
        <v>FRANCE</v>
      </c>
      <c r="Z630" s="4" t="str">
        <f t="shared" si="59"/>
        <v>France</v>
      </c>
      <c r="AA630" t="s">
        <v>41</v>
      </c>
      <c r="AB630" t="s">
        <v>42</v>
      </c>
      <c r="AC630" t="s">
        <v>344</v>
      </c>
      <c r="AD630" t="s">
        <v>345</v>
      </c>
      <c r="AE630" t="s">
        <v>51</v>
      </c>
    </row>
    <row r="631" spans="1:31" x14ac:dyDescent="0.3">
      <c r="A631">
        <v>10148</v>
      </c>
      <c r="B631">
        <v>25</v>
      </c>
      <c r="C631">
        <v>100</v>
      </c>
      <c r="D631">
        <v>12</v>
      </c>
      <c r="E631" s="4" t="str">
        <f t="shared" si="54"/>
        <v>high sales</v>
      </c>
      <c r="F631">
        <v>4232</v>
      </c>
      <c r="G631" t="s">
        <v>1303</v>
      </c>
      <c r="H631" s="1" t="str">
        <f t="shared" si="55"/>
        <v>Shipped</v>
      </c>
      <c r="I631" s="4" t="str">
        <f t="shared" si="56"/>
        <v>completed</v>
      </c>
      <c r="J631" t="s">
        <v>25</v>
      </c>
      <c r="K631">
        <v>3</v>
      </c>
      <c r="L631">
        <v>9</v>
      </c>
      <c r="M631">
        <v>2003</v>
      </c>
      <c r="N631" t="s">
        <v>181</v>
      </c>
      <c r="O631">
        <v>142</v>
      </c>
      <c r="P631" t="s">
        <v>586</v>
      </c>
      <c r="Q631" t="s">
        <v>285</v>
      </c>
      <c r="R631" t="s">
        <v>286</v>
      </c>
      <c r="S631" t="s">
        <v>287</v>
      </c>
      <c r="T631" t="s">
        <v>288</v>
      </c>
      <c r="U631" s="1" t="str">
        <f t="shared" si="57"/>
        <v>North Sydney</v>
      </c>
      <c r="V631" t="s">
        <v>289</v>
      </c>
      <c r="W631" t="s">
        <v>157</v>
      </c>
      <c r="X631">
        <v>2060</v>
      </c>
      <c r="Y631" s="1" t="str">
        <f t="shared" si="58"/>
        <v>AUSTRALIA</v>
      </c>
      <c r="Z631" s="4" t="str">
        <f t="shared" si="59"/>
        <v>Australia</v>
      </c>
      <c r="AA631" t="s">
        <v>95</v>
      </c>
      <c r="AB631" t="s">
        <v>96</v>
      </c>
      <c r="AC631" t="s">
        <v>290</v>
      </c>
      <c r="AD631" t="s">
        <v>291</v>
      </c>
      <c r="AE631" t="s">
        <v>51</v>
      </c>
    </row>
    <row r="632" spans="1:31" x14ac:dyDescent="0.3">
      <c r="A632">
        <v>10161</v>
      </c>
      <c r="B632">
        <v>48</v>
      </c>
      <c r="C632">
        <v>100</v>
      </c>
      <c r="D632">
        <v>11</v>
      </c>
      <c r="E632" s="4" t="str">
        <f t="shared" si="54"/>
        <v>high sales</v>
      </c>
      <c r="F632">
        <v>6145.44</v>
      </c>
      <c r="G632" t="s">
        <v>1304</v>
      </c>
      <c r="H632" s="1" t="str">
        <f t="shared" si="55"/>
        <v>Shipped</v>
      </c>
      <c r="I632" s="4" t="str">
        <f t="shared" si="56"/>
        <v>completed</v>
      </c>
      <c r="J632" t="s">
        <v>25</v>
      </c>
      <c r="K632">
        <v>4</v>
      </c>
      <c r="L632">
        <v>10</v>
      </c>
      <c r="M632">
        <v>2003</v>
      </c>
      <c r="N632" t="s">
        <v>181</v>
      </c>
      <c r="O632">
        <v>142</v>
      </c>
      <c r="P632" t="s">
        <v>586</v>
      </c>
      <c r="Q632" t="s">
        <v>498</v>
      </c>
      <c r="R632" t="s">
        <v>499</v>
      </c>
      <c r="S632" t="s">
        <v>500</v>
      </c>
      <c r="U632" s="1" t="str">
        <f t="shared" si="57"/>
        <v>Aaarhus</v>
      </c>
      <c r="V632" t="s">
        <v>501</v>
      </c>
      <c r="X632">
        <v>8200</v>
      </c>
      <c r="Y632" s="1" t="str">
        <f t="shared" si="58"/>
        <v>DENMARK</v>
      </c>
      <c r="Z632" s="4" t="str">
        <f t="shared" si="59"/>
        <v>Denmark</v>
      </c>
      <c r="AA632" t="s">
        <v>326</v>
      </c>
      <c r="AB632" t="s">
        <v>42</v>
      </c>
      <c r="AC632" t="s">
        <v>502</v>
      </c>
      <c r="AD632" t="s">
        <v>503</v>
      </c>
      <c r="AE632" t="s">
        <v>51</v>
      </c>
    </row>
    <row r="633" spans="1:31" x14ac:dyDescent="0.3">
      <c r="A633">
        <v>10171</v>
      </c>
      <c r="B633">
        <v>35</v>
      </c>
      <c r="C633">
        <v>100</v>
      </c>
      <c r="D633">
        <v>1</v>
      </c>
      <c r="E633" s="4" t="str">
        <f t="shared" si="54"/>
        <v>high sales</v>
      </c>
      <c r="F633">
        <v>4680.2</v>
      </c>
      <c r="G633" t="s">
        <v>1305</v>
      </c>
      <c r="H633" s="1" t="str">
        <f t="shared" si="55"/>
        <v>Shipped</v>
      </c>
      <c r="I633" s="4" t="str">
        <f t="shared" si="56"/>
        <v>completed</v>
      </c>
      <c r="J633" t="s">
        <v>25</v>
      </c>
      <c r="K633">
        <v>4</v>
      </c>
      <c r="L633">
        <v>11</v>
      </c>
      <c r="M633">
        <v>2003</v>
      </c>
      <c r="N633" t="s">
        <v>181</v>
      </c>
      <c r="O633">
        <v>142</v>
      </c>
      <c r="P633" t="s">
        <v>586</v>
      </c>
      <c r="Q633" t="s">
        <v>292</v>
      </c>
      <c r="R633" t="s">
        <v>293</v>
      </c>
      <c r="S633" t="s">
        <v>294</v>
      </c>
      <c r="U633" s="1" t="str">
        <f t="shared" si="57"/>
        <v>Montreal</v>
      </c>
      <c r="V633" t="s">
        <v>295</v>
      </c>
      <c r="W633" t="s">
        <v>296</v>
      </c>
      <c r="X633" t="s">
        <v>297</v>
      </c>
      <c r="Y633" s="1" t="str">
        <f t="shared" si="58"/>
        <v>CANADA</v>
      </c>
      <c r="Z633" s="4" t="str">
        <f t="shared" si="59"/>
        <v>Canada</v>
      </c>
      <c r="AA633" t="s">
        <v>231</v>
      </c>
      <c r="AB633" t="s">
        <v>33</v>
      </c>
      <c r="AC633" t="s">
        <v>298</v>
      </c>
      <c r="AD633" t="s">
        <v>299</v>
      </c>
      <c r="AE633" t="s">
        <v>51</v>
      </c>
    </row>
    <row r="634" spans="1:31" x14ac:dyDescent="0.3">
      <c r="A634">
        <v>10181</v>
      </c>
      <c r="B634">
        <v>21</v>
      </c>
      <c r="C634">
        <v>100</v>
      </c>
      <c r="D634">
        <v>5</v>
      </c>
      <c r="E634" s="4" t="str">
        <f t="shared" si="54"/>
        <v>low sales</v>
      </c>
      <c r="F634">
        <v>3286.08</v>
      </c>
      <c r="G634" t="s">
        <v>1306</v>
      </c>
      <c r="H634" s="1" t="str">
        <f t="shared" si="55"/>
        <v>Shipped</v>
      </c>
      <c r="I634" s="4" t="str">
        <f t="shared" si="56"/>
        <v>completed</v>
      </c>
      <c r="J634" t="s">
        <v>25</v>
      </c>
      <c r="K634">
        <v>4</v>
      </c>
      <c r="L634">
        <v>11</v>
      </c>
      <c r="M634">
        <v>2003</v>
      </c>
      <c r="N634" t="s">
        <v>181</v>
      </c>
      <c r="O634">
        <v>142</v>
      </c>
      <c r="P634" t="s">
        <v>586</v>
      </c>
      <c r="Q634" t="s">
        <v>73</v>
      </c>
      <c r="R634" t="s">
        <v>74</v>
      </c>
      <c r="S634" t="s">
        <v>75</v>
      </c>
      <c r="U634" s="1" t="str">
        <f t="shared" si="57"/>
        <v>Bergen</v>
      </c>
      <c r="V634" t="s">
        <v>76</v>
      </c>
      <c r="X634" t="s">
        <v>77</v>
      </c>
      <c r="Y634" s="1" t="str">
        <f t="shared" si="58"/>
        <v>NORWAY</v>
      </c>
      <c r="Z634" s="4" t="str">
        <f t="shared" si="59"/>
        <v>Norway</v>
      </c>
      <c r="AA634" t="s">
        <v>78</v>
      </c>
      <c r="AB634" t="s">
        <v>42</v>
      </c>
      <c r="AC634" t="s">
        <v>79</v>
      </c>
      <c r="AD634" t="s">
        <v>80</v>
      </c>
      <c r="AE634" t="s">
        <v>51</v>
      </c>
    </row>
    <row r="635" spans="1:31" x14ac:dyDescent="0.3">
      <c r="A635">
        <v>10192</v>
      </c>
      <c r="B635">
        <v>47</v>
      </c>
      <c r="C635">
        <v>100</v>
      </c>
      <c r="D635">
        <v>10</v>
      </c>
      <c r="E635" s="4" t="str">
        <f t="shared" si="54"/>
        <v>high sales</v>
      </c>
      <c r="F635">
        <v>7421.3</v>
      </c>
      <c r="G635" t="s">
        <v>1307</v>
      </c>
      <c r="H635" s="1" t="str">
        <f t="shared" si="55"/>
        <v>Shipped</v>
      </c>
      <c r="I635" s="4" t="str">
        <f t="shared" si="56"/>
        <v>completed</v>
      </c>
      <c r="J635" t="s">
        <v>25</v>
      </c>
      <c r="K635">
        <v>4</v>
      </c>
      <c r="L635">
        <v>11</v>
      </c>
      <c r="M635">
        <v>2003</v>
      </c>
      <c r="N635" t="s">
        <v>181</v>
      </c>
      <c r="O635">
        <v>142</v>
      </c>
      <c r="P635" t="s">
        <v>586</v>
      </c>
      <c r="Q635" t="s">
        <v>277</v>
      </c>
      <c r="R635">
        <v>6035558647</v>
      </c>
      <c r="S635" t="s">
        <v>278</v>
      </c>
      <c r="U635" s="1" t="str">
        <f t="shared" si="57"/>
        <v>Nashua</v>
      </c>
      <c r="V635" t="s">
        <v>279</v>
      </c>
      <c r="W635" t="s">
        <v>280</v>
      </c>
      <c r="X635">
        <v>62005</v>
      </c>
      <c r="Y635" s="1" t="str">
        <f t="shared" si="58"/>
        <v>USA</v>
      </c>
      <c r="Z635" s="4" t="str">
        <f t="shared" si="59"/>
        <v>Usa</v>
      </c>
      <c r="AA635" t="s">
        <v>32</v>
      </c>
      <c r="AB635" t="s">
        <v>33</v>
      </c>
      <c r="AC635" t="s">
        <v>56</v>
      </c>
      <c r="AD635" t="s">
        <v>276</v>
      </c>
      <c r="AE635" t="s">
        <v>151</v>
      </c>
    </row>
    <row r="636" spans="1:31" x14ac:dyDescent="0.3">
      <c r="A636">
        <v>10204</v>
      </c>
      <c r="B636">
        <v>38</v>
      </c>
      <c r="C636">
        <v>100</v>
      </c>
      <c r="D636">
        <v>16</v>
      </c>
      <c r="E636" s="4" t="str">
        <f t="shared" si="54"/>
        <v>high sales</v>
      </c>
      <c r="F636">
        <v>6432.64</v>
      </c>
      <c r="G636" t="s">
        <v>1308</v>
      </c>
      <c r="H636" s="1" t="str">
        <f t="shared" si="55"/>
        <v>Shipped</v>
      </c>
      <c r="I636" s="4" t="str">
        <f t="shared" si="56"/>
        <v>completed</v>
      </c>
      <c r="J636" t="s">
        <v>25</v>
      </c>
      <c r="K636">
        <v>4</v>
      </c>
      <c r="L636">
        <v>12</v>
      </c>
      <c r="M636">
        <v>2003</v>
      </c>
      <c r="N636" t="s">
        <v>181</v>
      </c>
      <c r="O636">
        <v>142</v>
      </c>
      <c r="P636" t="s">
        <v>586</v>
      </c>
      <c r="Q636" t="s">
        <v>475</v>
      </c>
      <c r="R636">
        <v>2125557413</v>
      </c>
      <c r="S636" t="s">
        <v>476</v>
      </c>
      <c r="T636" t="s">
        <v>477</v>
      </c>
      <c r="U636" s="1" t="str">
        <f t="shared" si="57"/>
        <v>Nyc</v>
      </c>
      <c r="V636" t="s">
        <v>30</v>
      </c>
      <c r="W636" t="s">
        <v>31</v>
      </c>
      <c r="X636">
        <v>10022</v>
      </c>
      <c r="Y636" s="1" t="str">
        <f t="shared" si="58"/>
        <v>USA</v>
      </c>
      <c r="Z636" s="4" t="str">
        <f t="shared" si="59"/>
        <v>Usa</v>
      </c>
      <c r="AA636" t="s">
        <v>32</v>
      </c>
      <c r="AB636" t="s">
        <v>33</v>
      </c>
      <c r="AC636" t="s">
        <v>56</v>
      </c>
      <c r="AD636" t="s">
        <v>478</v>
      </c>
      <c r="AE636" t="s">
        <v>51</v>
      </c>
    </row>
    <row r="637" spans="1:31" x14ac:dyDescent="0.3">
      <c r="A637">
        <v>10212</v>
      </c>
      <c r="B637">
        <v>41</v>
      </c>
      <c r="C637">
        <v>100</v>
      </c>
      <c r="D637">
        <v>9</v>
      </c>
      <c r="E637" s="4" t="str">
        <f t="shared" si="54"/>
        <v>high sales</v>
      </c>
      <c r="F637">
        <v>4840.87</v>
      </c>
      <c r="G637" t="s">
        <v>1309</v>
      </c>
      <c r="H637" s="1" t="str">
        <f t="shared" si="55"/>
        <v>Shipped</v>
      </c>
      <c r="I637" s="4" t="str">
        <f t="shared" si="56"/>
        <v>completed</v>
      </c>
      <c r="J637" t="s">
        <v>25</v>
      </c>
      <c r="K637">
        <v>1</v>
      </c>
      <c r="L637">
        <v>1</v>
      </c>
      <c r="M637">
        <v>2004</v>
      </c>
      <c r="N637" t="s">
        <v>181</v>
      </c>
      <c r="O637">
        <v>142</v>
      </c>
      <c r="P637" t="s">
        <v>586</v>
      </c>
      <c r="Q637" t="s">
        <v>174</v>
      </c>
      <c r="R637" t="s">
        <v>175</v>
      </c>
      <c r="S637" t="s">
        <v>176</v>
      </c>
      <c r="U637" s="1" t="str">
        <f t="shared" si="57"/>
        <v>Madrid</v>
      </c>
      <c r="V637" t="s">
        <v>177</v>
      </c>
      <c r="X637">
        <v>28034</v>
      </c>
      <c r="Y637" s="1" t="str">
        <f t="shared" si="58"/>
        <v>SPAIN</v>
      </c>
      <c r="Z637" s="4" t="str">
        <f t="shared" si="59"/>
        <v>Spain</v>
      </c>
      <c r="AA637" t="s">
        <v>178</v>
      </c>
      <c r="AB637" t="s">
        <v>42</v>
      </c>
      <c r="AC637" t="s">
        <v>179</v>
      </c>
      <c r="AD637" t="s">
        <v>180</v>
      </c>
      <c r="AE637" t="s">
        <v>51</v>
      </c>
    </row>
    <row r="638" spans="1:31" x14ac:dyDescent="0.3">
      <c r="A638">
        <v>10226</v>
      </c>
      <c r="B638">
        <v>24</v>
      </c>
      <c r="C638">
        <v>100</v>
      </c>
      <c r="D638">
        <v>7</v>
      </c>
      <c r="E638" s="4" t="str">
        <f t="shared" si="54"/>
        <v>low sales</v>
      </c>
      <c r="F638">
        <v>3892.08</v>
      </c>
      <c r="G638" t="s">
        <v>1310</v>
      </c>
      <c r="H638" s="1" t="str">
        <f t="shared" si="55"/>
        <v>Shipped</v>
      </c>
      <c r="I638" s="4" t="str">
        <f t="shared" si="56"/>
        <v>completed</v>
      </c>
      <c r="J638" t="s">
        <v>25</v>
      </c>
      <c r="K638">
        <v>1</v>
      </c>
      <c r="L638">
        <v>2</v>
      </c>
      <c r="M638">
        <v>2004</v>
      </c>
      <c r="N638" t="s">
        <v>181</v>
      </c>
      <c r="O638">
        <v>142</v>
      </c>
      <c r="P638" t="s">
        <v>586</v>
      </c>
      <c r="Q638" t="s">
        <v>362</v>
      </c>
      <c r="R638">
        <v>7605558146</v>
      </c>
      <c r="S638" t="s">
        <v>363</v>
      </c>
      <c r="U638" s="1" t="str">
        <f t="shared" si="57"/>
        <v>San Diego</v>
      </c>
      <c r="V638" t="s">
        <v>364</v>
      </c>
      <c r="W638" t="s">
        <v>55</v>
      </c>
      <c r="X638">
        <v>91217</v>
      </c>
      <c r="Y638" s="1" t="str">
        <f t="shared" si="58"/>
        <v>USA</v>
      </c>
      <c r="Z638" s="4" t="str">
        <f t="shared" si="59"/>
        <v>Usa</v>
      </c>
      <c r="AA638" t="s">
        <v>32</v>
      </c>
      <c r="AB638" t="s">
        <v>33</v>
      </c>
      <c r="AC638" t="s">
        <v>237</v>
      </c>
      <c r="AD638" t="s">
        <v>276</v>
      </c>
      <c r="AE638" t="s">
        <v>51</v>
      </c>
    </row>
    <row r="639" spans="1:31" x14ac:dyDescent="0.3">
      <c r="A639">
        <v>10240</v>
      </c>
      <c r="B639">
        <v>37</v>
      </c>
      <c r="C639">
        <v>100</v>
      </c>
      <c r="D639">
        <v>2</v>
      </c>
      <c r="E639" s="4" t="str">
        <f t="shared" si="54"/>
        <v>high sales</v>
      </c>
      <c r="F639">
        <v>5526.32</v>
      </c>
      <c r="G639" t="s">
        <v>1311</v>
      </c>
      <c r="H639" s="1" t="str">
        <f t="shared" si="55"/>
        <v>Shipped</v>
      </c>
      <c r="I639" s="4" t="str">
        <f t="shared" si="56"/>
        <v>completed</v>
      </c>
      <c r="J639" t="s">
        <v>25</v>
      </c>
      <c r="K639">
        <v>2</v>
      </c>
      <c r="L639">
        <v>4</v>
      </c>
      <c r="M639">
        <v>2004</v>
      </c>
      <c r="N639" t="s">
        <v>181</v>
      </c>
      <c r="O639">
        <v>142</v>
      </c>
      <c r="P639" t="s">
        <v>586</v>
      </c>
      <c r="Q639" t="s">
        <v>302</v>
      </c>
      <c r="R639" t="s">
        <v>303</v>
      </c>
      <c r="S639" t="s">
        <v>304</v>
      </c>
      <c r="U639" s="1" t="str">
        <f t="shared" si="57"/>
        <v>Osaka</v>
      </c>
      <c r="V639" t="s">
        <v>305</v>
      </c>
      <c r="W639" t="s">
        <v>305</v>
      </c>
      <c r="X639" t="s">
        <v>306</v>
      </c>
      <c r="Y639" s="1" t="str">
        <f t="shared" si="58"/>
        <v>JAPAN</v>
      </c>
      <c r="Z639" s="4" t="str">
        <f t="shared" si="59"/>
        <v>Japan</v>
      </c>
      <c r="AA639" t="s">
        <v>200</v>
      </c>
      <c r="AB639" t="s">
        <v>200</v>
      </c>
      <c r="AC639" t="s">
        <v>307</v>
      </c>
      <c r="AD639" t="s">
        <v>308</v>
      </c>
      <c r="AE639" t="s">
        <v>51</v>
      </c>
    </row>
    <row r="640" spans="1:31" x14ac:dyDescent="0.3">
      <c r="A640">
        <v>10253</v>
      </c>
      <c r="B640">
        <v>33</v>
      </c>
      <c r="C640">
        <v>100</v>
      </c>
      <c r="D640">
        <v>4</v>
      </c>
      <c r="E640" s="4" t="str">
        <f t="shared" si="54"/>
        <v>high sales</v>
      </c>
      <c r="F640">
        <v>4459.62</v>
      </c>
      <c r="G640" t="s">
        <v>1312</v>
      </c>
      <c r="H640" s="1" t="str">
        <f t="shared" si="55"/>
        <v>Cancelled</v>
      </c>
      <c r="I640" s="4" t="str">
        <f t="shared" si="56"/>
        <v>not completed</v>
      </c>
      <c r="J640" t="s">
        <v>339</v>
      </c>
      <c r="K640">
        <v>2</v>
      </c>
      <c r="L640">
        <v>6</v>
      </c>
      <c r="M640">
        <v>2004</v>
      </c>
      <c r="N640" t="s">
        <v>181</v>
      </c>
      <c r="O640">
        <v>142</v>
      </c>
      <c r="P640" t="s">
        <v>586</v>
      </c>
      <c r="Q640" t="s">
        <v>165</v>
      </c>
      <c r="R640" t="s">
        <v>166</v>
      </c>
      <c r="S640" t="s">
        <v>167</v>
      </c>
      <c r="U640" s="1" t="str">
        <f t="shared" si="57"/>
        <v>Liverpool</v>
      </c>
      <c r="V640" t="s">
        <v>168</v>
      </c>
      <c r="X640" t="s">
        <v>169</v>
      </c>
      <c r="Y640" s="1" t="str">
        <f t="shared" si="58"/>
        <v>UK</v>
      </c>
      <c r="Z640" s="4" t="str">
        <f t="shared" si="59"/>
        <v>Uk</v>
      </c>
      <c r="AA640" t="s">
        <v>170</v>
      </c>
      <c r="AB640" t="s">
        <v>42</v>
      </c>
      <c r="AC640" t="s">
        <v>171</v>
      </c>
      <c r="AD640" t="s">
        <v>172</v>
      </c>
      <c r="AE640" t="s">
        <v>51</v>
      </c>
    </row>
    <row r="641" spans="1:31" x14ac:dyDescent="0.3">
      <c r="A641">
        <v>10266</v>
      </c>
      <c r="B641">
        <v>49</v>
      </c>
      <c r="C641">
        <v>100</v>
      </c>
      <c r="D641">
        <v>5</v>
      </c>
      <c r="E641" s="4" t="str">
        <f t="shared" si="54"/>
        <v>high sales</v>
      </c>
      <c r="F641">
        <v>6203.4</v>
      </c>
      <c r="G641" t="s">
        <v>1313</v>
      </c>
      <c r="H641" s="1" t="str">
        <f t="shared" si="55"/>
        <v>Shipped</v>
      </c>
      <c r="I641" s="4" t="str">
        <f t="shared" si="56"/>
        <v>completed</v>
      </c>
      <c r="J641" t="s">
        <v>25</v>
      </c>
      <c r="K641">
        <v>3</v>
      </c>
      <c r="L641">
        <v>7</v>
      </c>
      <c r="M641">
        <v>2004</v>
      </c>
      <c r="N641" t="s">
        <v>181</v>
      </c>
      <c r="O641">
        <v>142</v>
      </c>
      <c r="P641" t="s">
        <v>586</v>
      </c>
      <c r="Q641" t="s">
        <v>452</v>
      </c>
      <c r="R641" t="s">
        <v>453</v>
      </c>
      <c r="S641" t="s">
        <v>454</v>
      </c>
      <c r="U641" s="1" t="str">
        <f t="shared" si="57"/>
        <v>Reggio Emilia</v>
      </c>
      <c r="V641" t="s">
        <v>455</v>
      </c>
      <c r="X641">
        <v>42100</v>
      </c>
      <c r="Y641" s="1" t="str">
        <f t="shared" si="58"/>
        <v>ITALY</v>
      </c>
      <c r="Z641" s="4" t="str">
        <f t="shared" si="59"/>
        <v>Italy</v>
      </c>
      <c r="AA641" t="s">
        <v>258</v>
      </c>
      <c r="AB641" t="s">
        <v>42</v>
      </c>
      <c r="AC641" t="s">
        <v>456</v>
      </c>
      <c r="AD641" t="s">
        <v>457</v>
      </c>
      <c r="AE641" t="s">
        <v>51</v>
      </c>
    </row>
    <row r="642" spans="1:31" x14ac:dyDescent="0.3">
      <c r="A642">
        <v>10278</v>
      </c>
      <c r="B642">
        <v>29</v>
      </c>
      <c r="C642">
        <v>100</v>
      </c>
      <c r="D642">
        <v>5</v>
      </c>
      <c r="E642" s="4" t="str">
        <f t="shared" si="54"/>
        <v>low sales</v>
      </c>
      <c r="F642">
        <v>3754.05</v>
      </c>
      <c r="G642" t="s">
        <v>1314</v>
      </c>
      <c r="H642" s="1" t="str">
        <f t="shared" si="55"/>
        <v>Shipped</v>
      </c>
      <c r="I642" s="4" t="str">
        <f t="shared" si="56"/>
        <v>completed</v>
      </c>
      <c r="J642" t="s">
        <v>25</v>
      </c>
      <c r="K642">
        <v>3</v>
      </c>
      <c r="L642">
        <v>8</v>
      </c>
      <c r="M642">
        <v>2004</v>
      </c>
      <c r="N642" t="s">
        <v>181</v>
      </c>
      <c r="O642">
        <v>142</v>
      </c>
      <c r="P642" t="s">
        <v>586</v>
      </c>
      <c r="Q642" t="s">
        <v>539</v>
      </c>
      <c r="R642">
        <v>7025551838</v>
      </c>
      <c r="S642" t="s">
        <v>540</v>
      </c>
      <c r="U642" s="1" t="str">
        <f t="shared" si="57"/>
        <v>Las Vegas</v>
      </c>
      <c r="V642" t="s">
        <v>541</v>
      </c>
      <c r="W642" t="s">
        <v>542</v>
      </c>
      <c r="X642">
        <v>83030</v>
      </c>
      <c r="Y642" s="1" t="str">
        <f t="shared" si="58"/>
        <v>USA</v>
      </c>
      <c r="Z642" s="4" t="str">
        <f t="shared" si="59"/>
        <v>Usa</v>
      </c>
      <c r="AA642" t="s">
        <v>32</v>
      </c>
      <c r="AB642" t="s">
        <v>33</v>
      </c>
      <c r="AC642" t="s">
        <v>113</v>
      </c>
      <c r="AD642" t="s">
        <v>400</v>
      </c>
      <c r="AE642" t="s">
        <v>51</v>
      </c>
    </row>
    <row r="643" spans="1:31" x14ac:dyDescent="0.3">
      <c r="A643">
        <v>10287</v>
      </c>
      <c r="B643">
        <v>24</v>
      </c>
      <c r="C643">
        <v>100</v>
      </c>
      <c r="D643">
        <v>3</v>
      </c>
      <c r="E643" s="4" t="str">
        <f t="shared" ref="E643:E706" si="60">IF(F643&gt;4000,"high sales","low sales")</f>
        <v>low sales</v>
      </c>
      <c r="F643">
        <v>3516.48</v>
      </c>
      <c r="G643" t="s">
        <v>1315</v>
      </c>
      <c r="H643" s="1" t="str">
        <f t="shared" ref="H643:H706" si="61">PROPER(TRIM(J643))</f>
        <v>Shipped</v>
      </c>
      <c r="I643" s="4" t="str">
        <f t="shared" ref="I643:I706" si="62">IF(J643="shipped","completed","not completed")</f>
        <v>completed</v>
      </c>
      <c r="J643" t="s">
        <v>25</v>
      </c>
      <c r="K643">
        <v>3</v>
      </c>
      <c r="L643">
        <v>8</v>
      </c>
      <c r="M643">
        <v>2004</v>
      </c>
      <c r="N643" t="s">
        <v>181</v>
      </c>
      <c r="O643">
        <v>142</v>
      </c>
      <c r="P643" t="s">
        <v>586</v>
      </c>
      <c r="Q643" t="s">
        <v>446</v>
      </c>
      <c r="R643" t="s">
        <v>447</v>
      </c>
      <c r="S643" t="s">
        <v>448</v>
      </c>
      <c r="U643" s="1" t="str">
        <f t="shared" ref="U643:U706" si="63">PROPER(TRIM(V643))</f>
        <v>Gensve</v>
      </c>
      <c r="V643" t="s">
        <v>449</v>
      </c>
      <c r="X643">
        <v>1203</v>
      </c>
      <c r="Y643" s="1" t="str">
        <f t="shared" ref="Y643:Y706" si="64">UPPER(TRIM(AA643))</f>
        <v>SWITZERLAND</v>
      </c>
      <c r="Z643" s="4" t="str">
        <f t="shared" ref="Z643:Z706" si="65">PROPER(TRIM(AA643))</f>
        <v>Switzerland</v>
      </c>
      <c r="AA643" t="s">
        <v>450</v>
      </c>
      <c r="AB643" t="s">
        <v>42</v>
      </c>
      <c r="AC643" t="s">
        <v>451</v>
      </c>
      <c r="AD643" t="s">
        <v>103</v>
      </c>
      <c r="AE643" t="s">
        <v>51</v>
      </c>
    </row>
    <row r="644" spans="1:31" x14ac:dyDescent="0.3">
      <c r="A644">
        <v>10301</v>
      </c>
      <c r="B644">
        <v>47</v>
      </c>
      <c r="C644">
        <v>100</v>
      </c>
      <c r="D644">
        <v>7</v>
      </c>
      <c r="E644" s="4" t="str">
        <f t="shared" si="60"/>
        <v>high sales</v>
      </c>
      <c r="F644">
        <v>7488.04</v>
      </c>
      <c r="G644" t="s">
        <v>1316</v>
      </c>
      <c r="H644" s="1" t="str">
        <f t="shared" si="61"/>
        <v>Shipped</v>
      </c>
      <c r="I644" s="4" t="str">
        <f t="shared" si="62"/>
        <v>completed</v>
      </c>
      <c r="J644" t="s">
        <v>25</v>
      </c>
      <c r="K644">
        <v>4</v>
      </c>
      <c r="L644">
        <v>10</v>
      </c>
      <c r="M644">
        <v>2003</v>
      </c>
      <c r="N644" t="s">
        <v>181</v>
      </c>
      <c r="O644">
        <v>142</v>
      </c>
      <c r="P644" t="s">
        <v>586</v>
      </c>
      <c r="Q644" t="s">
        <v>543</v>
      </c>
      <c r="R644" t="s">
        <v>544</v>
      </c>
      <c r="S644" t="s">
        <v>545</v>
      </c>
      <c r="U644" s="1" t="str">
        <f t="shared" si="63"/>
        <v>Oslo</v>
      </c>
      <c r="V644" t="s">
        <v>546</v>
      </c>
      <c r="X644" t="s">
        <v>547</v>
      </c>
      <c r="Y644" s="1" t="str">
        <f t="shared" si="64"/>
        <v>NORWAY</v>
      </c>
      <c r="Z644" s="4" t="str">
        <f t="shared" si="65"/>
        <v>Norway</v>
      </c>
      <c r="AA644" t="s">
        <v>78</v>
      </c>
      <c r="AB644" t="s">
        <v>42</v>
      </c>
      <c r="AC644" t="s">
        <v>548</v>
      </c>
      <c r="AD644" t="s">
        <v>549</v>
      </c>
      <c r="AE644" t="s">
        <v>151</v>
      </c>
    </row>
    <row r="645" spans="1:31" x14ac:dyDescent="0.3">
      <c r="A645">
        <v>10310</v>
      </c>
      <c r="B645">
        <v>24</v>
      </c>
      <c r="C645">
        <v>100</v>
      </c>
      <c r="D645">
        <v>1</v>
      </c>
      <c r="E645" s="4" t="str">
        <f t="shared" si="60"/>
        <v>low sales</v>
      </c>
      <c r="F645">
        <v>3448.08</v>
      </c>
      <c r="G645" t="s">
        <v>1317</v>
      </c>
      <c r="H645" s="1" t="str">
        <f t="shared" si="61"/>
        <v>Shipped</v>
      </c>
      <c r="I645" s="4" t="str">
        <f t="shared" si="62"/>
        <v>completed</v>
      </c>
      <c r="J645" t="s">
        <v>25</v>
      </c>
      <c r="K645">
        <v>4</v>
      </c>
      <c r="L645">
        <v>10</v>
      </c>
      <c r="M645">
        <v>2004</v>
      </c>
      <c r="N645" t="s">
        <v>181</v>
      </c>
      <c r="O645">
        <v>142</v>
      </c>
      <c r="P645" t="s">
        <v>586</v>
      </c>
      <c r="Q645" t="s">
        <v>439</v>
      </c>
      <c r="R645" t="s">
        <v>440</v>
      </c>
      <c r="S645" t="s">
        <v>441</v>
      </c>
      <c r="U645" s="1" t="str">
        <f t="shared" si="63"/>
        <v>Koln</v>
      </c>
      <c r="V645" t="s">
        <v>442</v>
      </c>
      <c r="X645">
        <v>50739</v>
      </c>
      <c r="Y645" s="1" t="str">
        <f t="shared" si="64"/>
        <v>GERMANY</v>
      </c>
      <c r="Z645" s="4" t="str">
        <f t="shared" si="65"/>
        <v>Germany</v>
      </c>
      <c r="AA645" t="s">
        <v>443</v>
      </c>
      <c r="AB645" t="s">
        <v>42</v>
      </c>
      <c r="AC645" t="s">
        <v>444</v>
      </c>
      <c r="AD645" t="s">
        <v>445</v>
      </c>
      <c r="AE645" t="s">
        <v>51</v>
      </c>
    </row>
    <row r="646" spans="1:31" x14ac:dyDescent="0.3">
      <c r="A646">
        <v>10321</v>
      </c>
      <c r="B646">
        <v>25</v>
      </c>
      <c r="C646">
        <v>100</v>
      </c>
      <c r="D646">
        <v>9</v>
      </c>
      <c r="E646" s="4" t="str">
        <f t="shared" si="60"/>
        <v>low sales</v>
      </c>
      <c r="F646">
        <v>3734</v>
      </c>
      <c r="G646" t="s">
        <v>1318</v>
      </c>
      <c r="H646" s="1" t="str">
        <f t="shared" si="61"/>
        <v>Shipped</v>
      </c>
      <c r="I646" s="4" t="str">
        <f t="shared" si="62"/>
        <v>completed</v>
      </c>
      <c r="J646" t="s">
        <v>25</v>
      </c>
      <c r="K646">
        <v>4</v>
      </c>
      <c r="L646">
        <v>11</v>
      </c>
      <c r="M646">
        <v>2004</v>
      </c>
      <c r="N646" t="s">
        <v>181</v>
      </c>
      <c r="O646">
        <v>142</v>
      </c>
      <c r="P646" t="s">
        <v>586</v>
      </c>
      <c r="Q646" t="s">
        <v>160</v>
      </c>
      <c r="R646">
        <v>5085552555</v>
      </c>
      <c r="S646" t="s">
        <v>161</v>
      </c>
      <c r="U646" s="1" t="str">
        <f t="shared" si="63"/>
        <v>New Bedford</v>
      </c>
      <c r="V646" t="s">
        <v>162</v>
      </c>
      <c r="W646" t="s">
        <v>123</v>
      </c>
      <c r="X646">
        <v>50553</v>
      </c>
      <c r="Y646" s="1" t="str">
        <f t="shared" si="64"/>
        <v>USA</v>
      </c>
      <c r="Z646" s="4" t="str">
        <f t="shared" si="65"/>
        <v>Usa</v>
      </c>
      <c r="AA646" t="s">
        <v>32</v>
      </c>
      <c r="AB646" t="s">
        <v>33</v>
      </c>
      <c r="AC646" t="s">
        <v>163</v>
      </c>
      <c r="AD646" t="s">
        <v>164</v>
      </c>
      <c r="AE646" t="s">
        <v>51</v>
      </c>
    </row>
    <row r="647" spans="1:31" x14ac:dyDescent="0.3">
      <c r="A647">
        <v>10331</v>
      </c>
      <c r="B647">
        <v>30</v>
      </c>
      <c r="C647">
        <v>32.47</v>
      </c>
      <c r="D647">
        <v>8</v>
      </c>
      <c r="E647" s="4" t="str">
        <f t="shared" si="60"/>
        <v>low sales</v>
      </c>
      <c r="F647">
        <v>974.1</v>
      </c>
      <c r="G647" t="s">
        <v>1319</v>
      </c>
      <c r="H647" s="1" t="str">
        <f t="shared" si="61"/>
        <v>Shipped</v>
      </c>
      <c r="I647" s="4" t="str">
        <f t="shared" si="62"/>
        <v>completed</v>
      </c>
      <c r="J647" t="s">
        <v>25</v>
      </c>
      <c r="K647">
        <v>4</v>
      </c>
      <c r="L647">
        <v>11</v>
      </c>
      <c r="M647">
        <v>2004</v>
      </c>
      <c r="N647" t="s">
        <v>181</v>
      </c>
      <c r="O647">
        <v>142</v>
      </c>
      <c r="P647" t="s">
        <v>586</v>
      </c>
      <c r="Q647" t="s">
        <v>309</v>
      </c>
      <c r="R647">
        <v>2155559857</v>
      </c>
      <c r="S647" t="s">
        <v>310</v>
      </c>
      <c r="U647" s="1" t="str">
        <f t="shared" si="63"/>
        <v>Philadelphia</v>
      </c>
      <c r="V647" t="s">
        <v>216</v>
      </c>
      <c r="W647" t="s">
        <v>142</v>
      </c>
      <c r="X647">
        <v>71270</v>
      </c>
      <c r="Y647" s="1" t="str">
        <f t="shared" si="64"/>
        <v>USA</v>
      </c>
      <c r="Z647" s="4" t="str">
        <f t="shared" si="65"/>
        <v>Usa</v>
      </c>
      <c r="AA647" t="s">
        <v>32</v>
      </c>
      <c r="AB647" t="s">
        <v>33</v>
      </c>
      <c r="AC647" t="s">
        <v>124</v>
      </c>
      <c r="AD647" t="s">
        <v>311</v>
      </c>
      <c r="AE647" t="s">
        <v>36</v>
      </c>
    </row>
    <row r="648" spans="1:31" x14ac:dyDescent="0.3">
      <c r="A648">
        <v>10342</v>
      </c>
      <c r="B648">
        <v>22</v>
      </c>
      <c r="C648">
        <v>100</v>
      </c>
      <c r="D648">
        <v>3</v>
      </c>
      <c r="E648" s="4" t="str">
        <f t="shared" si="60"/>
        <v>low sales</v>
      </c>
      <c r="F648">
        <v>3160.74</v>
      </c>
      <c r="G648" t="s">
        <v>1320</v>
      </c>
      <c r="H648" s="1" t="str">
        <f t="shared" si="61"/>
        <v>Shipped</v>
      </c>
      <c r="I648" s="4" t="str">
        <f t="shared" si="62"/>
        <v>completed</v>
      </c>
      <c r="J648" t="s">
        <v>25</v>
      </c>
      <c r="K648">
        <v>4</v>
      </c>
      <c r="L648">
        <v>11</v>
      </c>
      <c r="M648">
        <v>2004</v>
      </c>
      <c r="N648" t="s">
        <v>181</v>
      </c>
      <c r="O648">
        <v>142</v>
      </c>
      <c r="P648" t="s">
        <v>586</v>
      </c>
      <c r="Q648" t="s">
        <v>89</v>
      </c>
      <c r="R648" t="s">
        <v>90</v>
      </c>
      <c r="S648" t="s">
        <v>91</v>
      </c>
      <c r="T648" t="s">
        <v>92</v>
      </c>
      <c r="U648" s="1" t="str">
        <f t="shared" si="63"/>
        <v>Melbourne</v>
      </c>
      <c r="V648" t="s">
        <v>93</v>
      </c>
      <c r="W648" t="s">
        <v>94</v>
      </c>
      <c r="X648">
        <v>3004</v>
      </c>
      <c r="Y648" s="1" t="str">
        <f t="shared" si="64"/>
        <v>AUSTRALIA</v>
      </c>
      <c r="Z648" s="4" t="str">
        <f t="shared" si="65"/>
        <v>Australia</v>
      </c>
      <c r="AA648" t="s">
        <v>95</v>
      </c>
      <c r="AB648" t="s">
        <v>96</v>
      </c>
      <c r="AC648" t="s">
        <v>97</v>
      </c>
      <c r="AD648" t="s">
        <v>98</v>
      </c>
      <c r="AE648" t="s">
        <v>51</v>
      </c>
    </row>
    <row r="649" spans="1:31" x14ac:dyDescent="0.3">
      <c r="A649">
        <v>10356</v>
      </c>
      <c r="B649">
        <v>27</v>
      </c>
      <c r="C649">
        <v>64.69</v>
      </c>
      <c r="D649">
        <v>2</v>
      </c>
      <c r="E649" s="4" t="str">
        <f t="shared" si="60"/>
        <v>low sales</v>
      </c>
      <c r="F649">
        <v>1746.63</v>
      </c>
      <c r="G649" t="s">
        <v>1321</v>
      </c>
      <c r="H649" s="1" t="str">
        <f t="shared" si="61"/>
        <v>Shipped</v>
      </c>
      <c r="I649" s="4" t="str">
        <f t="shared" si="62"/>
        <v>completed</v>
      </c>
      <c r="J649" t="s">
        <v>25</v>
      </c>
      <c r="K649">
        <v>4</v>
      </c>
      <c r="L649">
        <v>12</v>
      </c>
      <c r="M649">
        <v>2004</v>
      </c>
      <c r="N649" t="s">
        <v>181</v>
      </c>
      <c r="O649">
        <v>142</v>
      </c>
      <c r="P649" t="s">
        <v>586</v>
      </c>
      <c r="Q649" t="s">
        <v>45</v>
      </c>
      <c r="R649" t="s">
        <v>46</v>
      </c>
      <c r="S649" t="s">
        <v>47</v>
      </c>
      <c r="U649" s="1" t="str">
        <f t="shared" si="63"/>
        <v>Paris</v>
      </c>
      <c r="V649" t="s">
        <v>48</v>
      </c>
      <c r="X649">
        <v>75508</v>
      </c>
      <c r="Y649" s="1" t="str">
        <f t="shared" si="64"/>
        <v>FRANCE</v>
      </c>
      <c r="Z649" s="4" t="str">
        <f t="shared" si="65"/>
        <v>France</v>
      </c>
      <c r="AA649" t="s">
        <v>41</v>
      </c>
      <c r="AB649" t="s">
        <v>42</v>
      </c>
      <c r="AC649" t="s">
        <v>49</v>
      </c>
      <c r="AD649" t="s">
        <v>50</v>
      </c>
      <c r="AE649" t="s">
        <v>36</v>
      </c>
    </row>
    <row r="650" spans="1:31" x14ac:dyDescent="0.3">
      <c r="A650">
        <v>10366</v>
      </c>
      <c r="B650">
        <v>34</v>
      </c>
      <c r="C650">
        <v>100</v>
      </c>
      <c r="D650">
        <v>3</v>
      </c>
      <c r="E650" s="4" t="str">
        <f t="shared" si="60"/>
        <v>high sales</v>
      </c>
      <c r="F650">
        <v>4207.84</v>
      </c>
      <c r="G650" t="s">
        <v>1322</v>
      </c>
      <c r="H650" s="1" t="str">
        <f t="shared" si="61"/>
        <v>Shipped</v>
      </c>
      <c r="I650" s="4" t="str">
        <f t="shared" si="62"/>
        <v>completed</v>
      </c>
      <c r="J650" t="s">
        <v>25</v>
      </c>
      <c r="K650">
        <v>1</v>
      </c>
      <c r="L650">
        <v>1</v>
      </c>
      <c r="M650">
        <v>2005</v>
      </c>
      <c r="N650" t="s">
        <v>181</v>
      </c>
      <c r="O650">
        <v>142</v>
      </c>
      <c r="P650" t="s">
        <v>586</v>
      </c>
      <c r="Q650" t="s">
        <v>577</v>
      </c>
      <c r="R650" t="s">
        <v>578</v>
      </c>
      <c r="S650" t="s">
        <v>579</v>
      </c>
      <c r="U650" s="1" t="str">
        <f t="shared" si="63"/>
        <v>Charleroi</v>
      </c>
      <c r="V650" t="s">
        <v>580</v>
      </c>
      <c r="X650" t="s">
        <v>581</v>
      </c>
      <c r="Y650" s="1" t="str">
        <f t="shared" si="64"/>
        <v>BELGIUM</v>
      </c>
      <c r="Z650" s="4" t="str">
        <f t="shared" si="65"/>
        <v>Belgium</v>
      </c>
      <c r="AA650" t="s">
        <v>370</v>
      </c>
      <c r="AB650" t="s">
        <v>42</v>
      </c>
      <c r="AC650" t="s">
        <v>582</v>
      </c>
      <c r="AD650" t="s">
        <v>583</v>
      </c>
      <c r="AE650" t="s">
        <v>51</v>
      </c>
    </row>
    <row r="651" spans="1:31" x14ac:dyDescent="0.3">
      <c r="A651">
        <v>10377</v>
      </c>
      <c r="B651">
        <v>36</v>
      </c>
      <c r="C651">
        <v>100</v>
      </c>
      <c r="D651">
        <v>6</v>
      </c>
      <c r="E651" s="4" t="str">
        <f t="shared" si="60"/>
        <v>high sales</v>
      </c>
      <c r="F651">
        <v>4352.76</v>
      </c>
      <c r="G651" t="s">
        <v>1323</v>
      </c>
      <c r="H651" s="1" t="str">
        <f t="shared" si="61"/>
        <v>Shipped</v>
      </c>
      <c r="I651" s="4" t="str">
        <f t="shared" si="62"/>
        <v>completed</v>
      </c>
      <c r="J651" t="s">
        <v>25</v>
      </c>
      <c r="K651">
        <v>1</v>
      </c>
      <c r="L651">
        <v>2</v>
      </c>
      <c r="M651">
        <v>2005</v>
      </c>
      <c r="N651" t="s">
        <v>181</v>
      </c>
      <c r="O651">
        <v>142</v>
      </c>
      <c r="P651" t="s">
        <v>586</v>
      </c>
      <c r="Q651" t="s">
        <v>126</v>
      </c>
      <c r="R651" t="s">
        <v>127</v>
      </c>
      <c r="S651" t="s">
        <v>128</v>
      </c>
      <c r="U651" s="1" t="str">
        <f t="shared" si="63"/>
        <v>Helsinki</v>
      </c>
      <c r="V651" t="s">
        <v>129</v>
      </c>
      <c r="X651">
        <v>21240</v>
      </c>
      <c r="Y651" s="1" t="str">
        <f t="shared" si="64"/>
        <v>FINLAND</v>
      </c>
      <c r="Z651" s="4" t="str">
        <f t="shared" si="65"/>
        <v>Finland</v>
      </c>
      <c r="AA651" t="s">
        <v>130</v>
      </c>
      <c r="AB651" t="s">
        <v>42</v>
      </c>
      <c r="AC651" t="s">
        <v>131</v>
      </c>
      <c r="AD651" t="s">
        <v>132</v>
      </c>
      <c r="AE651" t="s">
        <v>51</v>
      </c>
    </row>
    <row r="652" spans="1:31" x14ac:dyDescent="0.3">
      <c r="A652">
        <v>10390</v>
      </c>
      <c r="B652">
        <v>34</v>
      </c>
      <c r="C652">
        <v>43.05</v>
      </c>
      <c r="D652">
        <v>15</v>
      </c>
      <c r="E652" s="4" t="str">
        <f t="shared" si="60"/>
        <v>low sales</v>
      </c>
      <c r="F652">
        <v>1463.7</v>
      </c>
      <c r="G652" t="s">
        <v>1324</v>
      </c>
      <c r="H652" s="1" t="str">
        <f t="shared" si="61"/>
        <v>Shipped</v>
      </c>
      <c r="I652" s="4" t="str">
        <f t="shared" si="62"/>
        <v>completed</v>
      </c>
      <c r="J652" t="s">
        <v>25</v>
      </c>
      <c r="K652">
        <v>1</v>
      </c>
      <c r="L652">
        <v>3</v>
      </c>
      <c r="M652">
        <v>2005</v>
      </c>
      <c r="N652" t="s">
        <v>181</v>
      </c>
      <c r="O652">
        <v>142</v>
      </c>
      <c r="P652" t="s">
        <v>586</v>
      </c>
      <c r="Q652" t="s">
        <v>272</v>
      </c>
      <c r="R652">
        <v>4155551450</v>
      </c>
      <c r="S652" t="s">
        <v>273</v>
      </c>
      <c r="U652" s="1" t="str">
        <f t="shared" si="63"/>
        <v>San Rafael</v>
      </c>
      <c r="V652" t="s">
        <v>274</v>
      </c>
      <c r="W652" t="s">
        <v>55</v>
      </c>
      <c r="X652">
        <v>97562</v>
      </c>
      <c r="Y652" s="1" t="str">
        <f t="shared" si="64"/>
        <v>USA</v>
      </c>
      <c r="Z652" s="4" t="str">
        <f t="shared" si="65"/>
        <v>Usa</v>
      </c>
      <c r="AA652" t="s">
        <v>32</v>
      </c>
      <c r="AB652" t="s">
        <v>33</v>
      </c>
      <c r="AC652" t="s">
        <v>275</v>
      </c>
      <c r="AD652" t="s">
        <v>276</v>
      </c>
      <c r="AE652" t="s">
        <v>36</v>
      </c>
    </row>
    <row r="653" spans="1:31" x14ac:dyDescent="0.3">
      <c r="A653">
        <v>10406</v>
      </c>
      <c r="B653">
        <v>48</v>
      </c>
      <c r="C653">
        <v>100</v>
      </c>
      <c r="D653">
        <v>2</v>
      </c>
      <c r="E653" s="4" t="str">
        <f t="shared" si="60"/>
        <v>high sales</v>
      </c>
      <c r="F653">
        <v>7169.28</v>
      </c>
      <c r="G653" t="s">
        <v>1325</v>
      </c>
      <c r="H653" s="1" t="str">
        <f t="shared" si="61"/>
        <v>Disputed</v>
      </c>
      <c r="I653" s="4" t="str">
        <f t="shared" si="62"/>
        <v>not completed</v>
      </c>
      <c r="J653" t="s">
        <v>173</v>
      </c>
      <c r="K653">
        <v>2</v>
      </c>
      <c r="L653">
        <v>4</v>
      </c>
      <c r="M653">
        <v>2005</v>
      </c>
      <c r="N653" t="s">
        <v>181</v>
      </c>
      <c r="O653">
        <v>142</v>
      </c>
      <c r="P653" t="s">
        <v>586</v>
      </c>
      <c r="Q653" t="s">
        <v>322</v>
      </c>
      <c r="R653" t="s">
        <v>323</v>
      </c>
      <c r="S653" t="s">
        <v>324</v>
      </c>
      <c r="U653" s="1" t="str">
        <f t="shared" si="63"/>
        <v>Kobenhavn</v>
      </c>
      <c r="V653" t="s">
        <v>325</v>
      </c>
      <c r="X653">
        <v>1734</v>
      </c>
      <c r="Y653" s="1" t="str">
        <f t="shared" si="64"/>
        <v>DENMARK</v>
      </c>
      <c r="Z653" s="4" t="str">
        <f t="shared" si="65"/>
        <v>Denmark</v>
      </c>
      <c r="AA653" t="s">
        <v>326</v>
      </c>
      <c r="AB653" t="s">
        <v>42</v>
      </c>
      <c r="AC653" t="s">
        <v>327</v>
      </c>
      <c r="AD653" t="s">
        <v>328</v>
      </c>
      <c r="AE653" t="s">
        <v>151</v>
      </c>
    </row>
    <row r="654" spans="1:31" x14ac:dyDescent="0.3">
      <c r="A654">
        <v>10419</v>
      </c>
      <c r="B654">
        <v>34</v>
      </c>
      <c r="C654">
        <v>100</v>
      </c>
      <c r="D654">
        <v>4</v>
      </c>
      <c r="E654" s="4" t="str">
        <f t="shared" si="60"/>
        <v>high sales</v>
      </c>
      <c r="F654">
        <v>4594.76</v>
      </c>
      <c r="G654" t="s">
        <v>1326</v>
      </c>
      <c r="H654" s="1" t="str">
        <f t="shared" si="61"/>
        <v>Shipped</v>
      </c>
      <c r="I654" s="4" t="str">
        <f t="shared" si="62"/>
        <v>completed</v>
      </c>
      <c r="J654" t="s">
        <v>25</v>
      </c>
      <c r="K654">
        <v>2</v>
      </c>
      <c r="L654">
        <v>5</v>
      </c>
      <c r="M654">
        <v>2005</v>
      </c>
      <c r="N654" t="s">
        <v>181</v>
      </c>
      <c r="O654">
        <v>142</v>
      </c>
      <c r="P654" t="s">
        <v>586</v>
      </c>
      <c r="Q654" t="s">
        <v>144</v>
      </c>
      <c r="R654" t="s">
        <v>145</v>
      </c>
      <c r="S654" t="s">
        <v>146</v>
      </c>
      <c r="U654" s="1" t="str">
        <f t="shared" si="63"/>
        <v>Salzburg</v>
      </c>
      <c r="V654" t="s">
        <v>147</v>
      </c>
      <c r="X654">
        <v>5020</v>
      </c>
      <c r="Y654" s="1" t="str">
        <f t="shared" si="64"/>
        <v>AUSTRIA</v>
      </c>
      <c r="Z654" s="4" t="str">
        <f t="shared" si="65"/>
        <v>Austria</v>
      </c>
      <c r="AA654" t="s">
        <v>148</v>
      </c>
      <c r="AB654" t="s">
        <v>42</v>
      </c>
      <c r="AC654" t="s">
        <v>149</v>
      </c>
      <c r="AD654" t="s">
        <v>150</v>
      </c>
      <c r="AE654" t="s">
        <v>51</v>
      </c>
    </row>
    <row r="655" spans="1:31" x14ac:dyDescent="0.3">
      <c r="A655">
        <v>10104</v>
      </c>
      <c r="B655">
        <v>24</v>
      </c>
      <c r="C655">
        <v>100</v>
      </c>
      <c r="D655">
        <v>8</v>
      </c>
      <c r="E655" s="4" t="str">
        <f t="shared" si="60"/>
        <v>low sales</v>
      </c>
      <c r="F655">
        <v>3457.92</v>
      </c>
      <c r="G655" t="s">
        <v>1327</v>
      </c>
      <c r="H655" s="1" t="str">
        <f t="shared" si="61"/>
        <v>Shipped</v>
      </c>
      <c r="I655" s="4" t="str">
        <f t="shared" si="62"/>
        <v>completed</v>
      </c>
      <c r="J655" t="s">
        <v>25</v>
      </c>
      <c r="K655">
        <v>1</v>
      </c>
      <c r="L655">
        <v>1</v>
      </c>
      <c r="M655">
        <v>2003</v>
      </c>
      <c r="N655" t="s">
        <v>181</v>
      </c>
      <c r="O655">
        <v>163</v>
      </c>
      <c r="P655" t="s">
        <v>587</v>
      </c>
      <c r="Q655" t="s">
        <v>174</v>
      </c>
      <c r="R655" t="s">
        <v>175</v>
      </c>
      <c r="S655" t="s">
        <v>176</v>
      </c>
      <c r="U655" s="1" t="str">
        <f t="shared" si="63"/>
        <v>Madrid</v>
      </c>
      <c r="V655" t="s">
        <v>177</v>
      </c>
      <c r="X655">
        <v>28034</v>
      </c>
      <c r="Y655" s="1" t="str">
        <f t="shared" si="64"/>
        <v>SPAIN</v>
      </c>
      <c r="Z655" s="4" t="str">
        <f t="shared" si="65"/>
        <v>Spain</v>
      </c>
      <c r="AA655" t="s">
        <v>178</v>
      </c>
      <c r="AB655" t="s">
        <v>42</v>
      </c>
      <c r="AC655" t="s">
        <v>179</v>
      </c>
      <c r="AD655" t="s">
        <v>180</v>
      </c>
      <c r="AE655" t="s">
        <v>51</v>
      </c>
    </row>
    <row r="656" spans="1:31" x14ac:dyDescent="0.3">
      <c r="A656">
        <v>10115</v>
      </c>
      <c r="B656">
        <v>46</v>
      </c>
      <c r="C656">
        <v>100</v>
      </c>
      <c r="D656">
        <v>4</v>
      </c>
      <c r="E656" s="4" t="str">
        <f t="shared" si="60"/>
        <v>high sales</v>
      </c>
      <c r="F656">
        <v>7381.16</v>
      </c>
      <c r="G656" t="s">
        <v>1328</v>
      </c>
      <c r="H656" s="1" t="str">
        <f t="shared" si="61"/>
        <v>Shipped</v>
      </c>
      <c r="I656" s="4" t="str">
        <f t="shared" si="62"/>
        <v>completed</v>
      </c>
      <c r="J656" t="s">
        <v>25</v>
      </c>
      <c r="K656">
        <v>2</v>
      </c>
      <c r="L656">
        <v>4</v>
      </c>
      <c r="M656">
        <v>2003</v>
      </c>
      <c r="N656" t="s">
        <v>181</v>
      </c>
      <c r="O656">
        <v>163</v>
      </c>
      <c r="P656" t="s">
        <v>587</v>
      </c>
      <c r="Q656" t="s">
        <v>203</v>
      </c>
      <c r="R656">
        <v>2125558493</v>
      </c>
      <c r="S656" t="s">
        <v>204</v>
      </c>
      <c r="T656" t="s">
        <v>205</v>
      </c>
      <c r="U656" s="1" t="str">
        <f t="shared" si="63"/>
        <v>Nyc</v>
      </c>
      <c r="V656" t="s">
        <v>30</v>
      </c>
      <c r="W656" t="s">
        <v>31</v>
      </c>
      <c r="X656">
        <v>10022</v>
      </c>
      <c r="Y656" s="1" t="str">
        <f t="shared" si="64"/>
        <v>USA</v>
      </c>
      <c r="Z656" s="4" t="str">
        <f t="shared" si="65"/>
        <v>Usa</v>
      </c>
      <c r="AA656" t="s">
        <v>32</v>
      </c>
      <c r="AB656" t="s">
        <v>33</v>
      </c>
      <c r="AC656" t="s">
        <v>124</v>
      </c>
      <c r="AD656" t="s">
        <v>206</v>
      </c>
      <c r="AE656" t="s">
        <v>151</v>
      </c>
    </row>
    <row r="657" spans="1:31" x14ac:dyDescent="0.3">
      <c r="A657">
        <v>10127</v>
      </c>
      <c r="B657">
        <v>45</v>
      </c>
      <c r="C657">
        <v>100</v>
      </c>
      <c r="D657">
        <v>10</v>
      </c>
      <c r="E657" s="4" t="str">
        <f t="shared" si="60"/>
        <v>high sales</v>
      </c>
      <c r="F657">
        <v>7146.9</v>
      </c>
      <c r="G657" t="s">
        <v>1329</v>
      </c>
      <c r="H657" s="1" t="str">
        <f t="shared" si="61"/>
        <v>Shipped</v>
      </c>
      <c r="I657" s="4" t="str">
        <f t="shared" si="62"/>
        <v>completed</v>
      </c>
      <c r="J657" t="s">
        <v>25</v>
      </c>
      <c r="K657">
        <v>2</v>
      </c>
      <c r="L657">
        <v>6</v>
      </c>
      <c r="M657">
        <v>2003</v>
      </c>
      <c r="N657" t="s">
        <v>181</v>
      </c>
      <c r="O657">
        <v>163</v>
      </c>
      <c r="P657" t="s">
        <v>587</v>
      </c>
      <c r="Q657" t="s">
        <v>475</v>
      </c>
      <c r="R657">
        <v>2125557413</v>
      </c>
      <c r="S657" t="s">
        <v>476</v>
      </c>
      <c r="T657" t="s">
        <v>477</v>
      </c>
      <c r="U657" s="1" t="str">
        <f t="shared" si="63"/>
        <v>Nyc</v>
      </c>
      <c r="V657" t="s">
        <v>30</v>
      </c>
      <c r="W657" t="s">
        <v>31</v>
      </c>
      <c r="X657">
        <v>10022</v>
      </c>
      <c r="Y657" s="1" t="str">
        <f t="shared" si="64"/>
        <v>USA</v>
      </c>
      <c r="Z657" s="4" t="str">
        <f t="shared" si="65"/>
        <v>Usa</v>
      </c>
      <c r="AA657" t="s">
        <v>32</v>
      </c>
      <c r="AB657" t="s">
        <v>33</v>
      </c>
      <c r="AC657" t="s">
        <v>56</v>
      </c>
      <c r="AD657" t="s">
        <v>478</v>
      </c>
      <c r="AE657" t="s">
        <v>151</v>
      </c>
    </row>
    <row r="658" spans="1:31" x14ac:dyDescent="0.3">
      <c r="A658">
        <v>10141</v>
      </c>
      <c r="B658">
        <v>39</v>
      </c>
      <c r="C658">
        <v>100</v>
      </c>
      <c r="D658">
        <v>4</v>
      </c>
      <c r="E658" s="4" t="str">
        <f t="shared" si="60"/>
        <v>high sales</v>
      </c>
      <c r="F658">
        <v>5938.53</v>
      </c>
      <c r="G658" t="s">
        <v>1330</v>
      </c>
      <c r="H658" s="1" t="str">
        <f t="shared" si="61"/>
        <v>Shipped</v>
      </c>
      <c r="I658" s="4" t="str">
        <f t="shared" si="62"/>
        <v>completed</v>
      </c>
      <c r="J658" t="s">
        <v>25</v>
      </c>
      <c r="K658">
        <v>3</v>
      </c>
      <c r="L658">
        <v>8</v>
      </c>
      <c r="M658">
        <v>2003</v>
      </c>
      <c r="N658" t="s">
        <v>181</v>
      </c>
      <c r="O658">
        <v>163</v>
      </c>
      <c r="P658" t="s">
        <v>587</v>
      </c>
      <c r="Q658" t="s">
        <v>467</v>
      </c>
      <c r="R658" t="s">
        <v>468</v>
      </c>
      <c r="S658" t="s">
        <v>469</v>
      </c>
      <c r="U658" s="1" t="str">
        <f t="shared" si="63"/>
        <v>Espoo</v>
      </c>
      <c r="V658" t="s">
        <v>470</v>
      </c>
      <c r="X658" t="s">
        <v>471</v>
      </c>
      <c r="Y658" s="1" t="str">
        <f t="shared" si="64"/>
        <v>FINLAND</v>
      </c>
      <c r="Z658" s="4" t="str">
        <f t="shared" si="65"/>
        <v>Finland</v>
      </c>
      <c r="AA658" t="s">
        <v>130</v>
      </c>
      <c r="AB658" t="s">
        <v>42</v>
      </c>
      <c r="AC658" t="s">
        <v>472</v>
      </c>
      <c r="AD658" t="s">
        <v>473</v>
      </c>
      <c r="AE658" t="s">
        <v>51</v>
      </c>
    </row>
    <row r="659" spans="1:31" x14ac:dyDescent="0.3">
      <c r="A659">
        <v>10151</v>
      </c>
      <c r="B659">
        <v>43</v>
      </c>
      <c r="C659">
        <v>100</v>
      </c>
      <c r="D659">
        <v>2</v>
      </c>
      <c r="E659" s="4" t="str">
        <f t="shared" si="60"/>
        <v>high sales</v>
      </c>
      <c r="F659">
        <v>7110.91</v>
      </c>
      <c r="G659" t="s">
        <v>1331</v>
      </c>
      <c r="H659" s="1" t="str">
        <f t="shared" si="61"/>
        <v>Shipped</v>
      </c>
      <c r="I659" s="4" t="str">
        <f t="shared" si="62"/>
        <v>completed</v>
      </c>
      <c r="J659" t="s">
        <v>25</v>
      </c>
      <c r="K659">
        <v>3</v>
      </c>
      <c r="L659">
        <v>9</v>
      </c>
      <c r="M659">
        <v>2003</v>
      </c>
      <c r="N659" t="s">
        <v>181</v>
      </c>
      <c r="O659">
        <v>163</v>
      </c>
      <c r="P659" t="s">
        <v>587</v>
      </c>
      <c r="Q659" t="s">
        <v>391</v>
      </c>
      <c r="R659" t="s">
        <v>392</v>
      </c>
      <c r="S659" t="s">
        <v>393</v>
      </c>
      <c r="U659" s="1" t="str">
        <f t="shared" si="63"/>
        <v>Oulu</v>
      </c>
      <c r="V659" t="s">
        <v>394</v>
      </c>
      <c r="X659">
        <v>90110</v>
      </c>
      <c r="Y659" s="1" t="str">
        <f t="shared" si="64"/>
        <v>FINLAND</v>
      </c>
      <c r="Z659" s="4" t="str">
        <f t="shared" si="65"/>
        <v>Finland</v>
      </c>
      <c r="AA659" t="s">
        <v>130</v>
      </c>
      <c r="AB659" t="s">
        <v>42</v>
      </c>
      <c r="AC659" t="s">
        <v>395</v>
      </c>
      <c r="AD659" t="s">
        <v>396</v>
      </c>
      <c r="AE659" t="s">
        <v>151</v>
      </c>
    </row>
    <row r="660" spans="1:31" x14ac:dyDescent="0.3">
      <c r="A660">
        <v>10165</v>
      </c>
      <c r="B660">
        <v>29</v>
      </c>
      <c r="C660">
        <v>100</v>
      </c>
      <c r="D660">
        <v>11</v>
      </c>
      <c r="E660" s="4" t="str">
        <f t="shared" si="60"/>
        <v>high sales</v>
      </c>
      <c r="F660">
        <v>5032.95</v>
      </c>
      <c r="G660" t="s">
        <v>1332</v>
      </c>
      <c r="H660" s="1" t="str">
        <f t="shared" si="61"/>
        <v>Shipped</v>
      </c>
      <c r="I660" s="4" t="str">
        <f t="shared" si="62"/>
        <v>completed</v>
      </c>
      <c r="J660" t="s">
        <v>25</v>
      </c>
      <c r="K660">
        <v>4</v>
      </c>
      <c r="L660">
        <v>10</v>
      </c>
      <c r="M660">
        <v>2003</v>
      </c>
      <c r="N660" t="s">
        <v>181</v>
      </c>
      <c r="O660">
        <v>163</v>
      </c>
      <c r="P660" t="s">
        <v>587</v>
      </c>
      <c r="Q660" t="s">
        <v>196</v>
      </c>
      <c r="R660" t="s">
        <v>197</v>
      </c>
      <c r="S660" t="s">
        <v>198</v>
      </c>
      <c r="U660" s="1" t="str">
        <f t="shared" si="63"/>
        <v>Singapore</v>
      </c>
      <c r="V660" t="s">
        <v>199</v>
      </c>
      <c r="X660">
        <v>79903</v>
      </c>
      <c r="Y660" s="1" t="str">
        <f t="shared" si="64"/>
        <v>SINGAPORE</v>
      </c>
      <c r="Z660" s="4" t="str">
        <f t="shared" si="65"/>
        <v>Singapore</v>
      </c>
      <c r="AA660" t="s">
        <v>199</v>
      </c>
      <c r="AB660" t="s">
        <v>200</v>
      </c>
      <c r="AC660" t="s">
        <v>201</v>
      </c>
      <c r="AD660" t="s">
        <v>202</v>
      </c>
      <c r="AE660" t="s">
        <v>51</v>
      </c>
    </row>
    <row r="661" spans="1:31" x14ac:dyDescent="0.3">
      <c r="A661">
        <v>10176</v>
      </c>
      <c r="B661">
        <v>20</v>
      </c>
      <c r="C661">
        <v>100</v>
      </c>
      <c r="D661">
        <v>10</v>
      </c>
      <c r="E661" s="4" t="str">
        <f t="shared" si="60"/>
        <v>low sales</v>
      </c>
      <c r="F661">
        <v>3667.6</v>
      </c>
      <c r="G661" t="s">
        <v>1333</v>
      </c>
      <c r="H661" s="1" t="str">
        <f t="shared" si="61"/>
        <v>Shipped</v>
      </c>
      <c r="I661" s="4" t="str">
        <f t="shared" si="62"/>
        <v>completed</v>
      </c>
      <c r="J661" t="s">
        <v>25</v>
      </c>
      <c r="K661">
        <v>4</v>
      </c>
      <c r="L661">
        <v>11</v>
      </c>
      <c r="M661">
        <v>2003</v>
      </c>
      <c r="N661" t="s">
        <v>181</v>
      </c>
      <c r="O661">
        <v>163</v>
      </c>
      <c r="P661" t="s">
        <v>587</v>
      </c>
      <c r="Q661" t="s">
        <v>452</v>
      </c>
      <c r="R661" t="s">
        <v>453</v>
      </c>
      <c r="S661" t="s">
        <v>454</v>
      </c>
      <c r="U661" s="1" t="str">
        <f t="shared" si="63"/>
        <v>Reggio Emilia</v>
      </c>
      <c r="V661" t="s">
        <v>455</v>
      </c>
      <c r="X661">
        <v>42100</v>
      </c>
      <c r="Y661" s="1" t="str">
        <f t="shared" si="64"/>
        <v>ITALY</v>
      </c>
      <c r="Z661" s="4" t="str">
        <f t="shared" si="65"/>
        <v>Italy</v>
      </c>
      <c r="AA661" t="s">
        <v>258</v>
      </c>
      <c r="AB661" t="s">
        <v>42</v>
      </c>
      <c r="AC661" t="s">
        <v>456</v>
      </c>
      <c r="AD661" t="s">
        <v>457</v>
      </c>
      <c r="AE661" t="s">
        <v>51</v>
      </c>
    </row>
    <row r="662" spans="1:31" x14ac:dyDescent="0.3">
      <c r="A662">
        <v>10184</v>
      </c>
      <c r="B662">
        <v>46</v>
      </c>
      <c r="C662">
        <v>100</v>
      </c>
      <c r="D662">
        <v>5</v>
      </c>
      <c r="E662" s="4" t="str">
        <f t="shared" si="60"/>
        <v>high sales</v>
      </c>
      <c r="F662">
        <v>7381.16</v>
      </c>
      <c r="G662" t="s">
        <v>1334</v>
      </c>
      <c r="H662" s="1" t="str">
        <f t="shared" si="61"/>
        <v>Shipped</v>
      </c>
      <c r="I662" s="4" t="str">
        <f t="shared" si="62"/>
        <v>completed</v>
      </c>
      <c r="J662" t="s">
        <v>25</v>
      </c>
      <c r="K662">
        <v>4</v>
      </c>
      <c r="L662">
        <v>11</v>
      </c>
      <c r="M662">
        <v>2003</v>
      </c>
      <c r="N662" t="s">
        <v>181</v>
      </c>
      <c r="O662">
        <v>163</v>
      </c>
      <c r="P662" t="s">
        <v>587</v>
      </c>
      <c r="Q662" t="s">
        <v>520</v>
      </c>
      <c r="R662" t="s">
        <v>521</v>
      </c>
      <c r="S662" t="s">
        <v>522</v>
      </c>
      <c r="U662" s="1" t="str">
        <f t="shared" si="63"/>
        <v>Sevilla</v>
      </c>
      <c r="V662" t="s">
        <v>523</v>
      </c>
      <c r="X662">
        <v>41101</v>
      </c>
      <c r="Y662" s="1" t="str">
        <f t="shared" si="64"/>
        <v>SPAIN</v>
      </c>
      <c r="Z662" s="4" t="str">
        <f t="shared" si="65"/>
        <v>Spain</v>
      </c>
      <c r="AA662" t="s">
        <v>178</v>
      </c>
      <c r="AB662" t="s">
        <v>42</v>
      </c>
      <c r="AC662" t="s">
        <v>524</v>
      </c>
      <c r="AD662" t="s">
        <v>525</v>
      </c>
      <c r="AE662" t="s">
        <v>151</v>
      </c>
    </row>
    <row r="663" spans="1:31" x14ac:dyDescent="0.3">
      <c r="A663">
        <v>10195</v>
      </c>
      <c r="B663">
        <v>27</v>
      </c>
      <c r="C663">
        <v>100</v>
      </c>
      <c r="D663">
        <v>5</v>
      </c>
      <c r="E663" s="4" t="str">
        <f t="shared" si="60"/>
        <v>high sales</v>
      </c>
      <c r="F663">
        <v>5128.1099999999997</v>
      </c>
      <c r="G663" t="s">
        <v>1335</v>
      </c>
      <c r="H663" s="1" t="str">
        <f t="shared" si="61"/>
        <v>Shipped</v>
      </c>
      <c r="I663" s="4" t="str">
        <f t="shared" si="62"/>
        <v>completed</v>
      </c>
      <c r="J663" t="s">
        <v>25</v>
      </c>
      <c r="K663">
        <v>4</v>
      </c>
      <c r="L663">
        <v>11</v>
      </c>
      <c r="M663">
        <v>2003</v>
      </c>
      <c r="N663" t="s">
        <v>181</v>
      </c>
      <c r="O663">
        <v>163</v>
      </c>
      <c r="P663" t="s">
        <v>587</v>
      </c>
      <c r="Q663" t="s">
        <v>317</v>
      </c>
      <c r="R663">
        <v>9145554562</v>
      </c>
      <c r="S663" t="s">
        <v>318</v>
      </c>
      <c r="U663" s="1" t="str">
        <f t="shared" si="63"/>
        <v>White Plains</v>
      </c>
      <c r="V663" t="s">
        <v>319</v>
      </c>
      <c r="W663" t="s">
        <v>31</v>
      </c>
      <c r="X663">
        <v>24067</v>
      </c>
      <c r="Y663" s="1" t="str">
        <f t="shared" si="64"/>
        <v>USA</v>
      </c>
      <c r="Z663" s="4" t="str">
        <f t="shared" si="65"/>
        <v>Usa</v>
      </c>
      <c r="AA663" t="s">
        <v>32</v>
      </c>
      <c r="AB663" t="s">
        <v>33</v>
      </c>
      <c r="AC663" t="s">
        <v>102</v>
      </c>
      <c r="AD663" t="s">
        <v>238</v>
      </c>
      <c r="AE663" t="s">
        <v>51</v>
      </c>
    </row>
    <row r="664" spans="1:31" x14ac:dyDescent="0.3">
      <c r="A664">
        <v>10207</v>
      </c>
      <c r="B664">
        <v>44</v>
      </c>
      <c r="C664">
        <v>100</v>
      </c>
      <c r="D664">
        <v>6</v>
      </c>
      <c r="E664" s="4" t="str">
        <f t="shared" si="60"/>
        <v>high sales</v>
      </c>
      <c r="F664">
        <v>7060.24</v>
      </c>
      <c r="G664" t="s">
        <v>1336</v>
      </c>
      <c r="H664" s="1" t="str">
        <f t="shared" si="61"/>
        <v>Shipped</v>
      </c>
      <c r="I664" s="4" t="str">
        <f t="shared" si="62"/>
        <v>completed</v>
      </c>
      <c r="J664" t="s">
        <v>25</v>
      </c>
      <c r="K664">
        <v>4</v>
      </c>
      <c r="L664">
        <v>12</v>
      </c>
      <c r="M664">
        <v>2003</v>
      </c>
      <c r="N664" t="s">
        <v>181</v>
      </c>
      <c r="O664">
        <v>163</v>
      </c>
      <c r="P664" t="s">
        <v>587</v>
      </c>
      <c r="Q664" t="s">
        <v>415</v>
      </c>
      <c r="R664">
        <v>6175552555</v>
      </c>
      <c r="S664" t="s">
        <v>416</v>
      </c>
      <c r="U664" s="1" t="str">
        <f t="shared" si="63"/>
        <v>Boston</v>
      </c>
      <c r="V664" t="s">
        <v>381</v>
      </c>
      <c r="W664" t="s">
        <v>123</v>
      </c>
      <c r="X664">
        <v>51003</v>
      </c>
      <c r="Y664" s="1" t="str">
        <f t="shared" si="64"/>
        <v>USA</v>
      </c>
      <c r="Z664" s="4" t="str">
        <f t="shared" si="65"/>
        <v>Usa</v>
      </c>
      <c r="AA664" t="s">
        <v>32</v>
      </c>
      <c r="AB664" t="s">
        <v>33</v>
      </c>
      <c r="AC664" t="s">
        <v>417</v>
      </c>
      <c r="AD664" t="s">
        <v>276</v>
      </c>
      <c r="AE664" t="s">
        <v>151</v>
      </c>
    </row>
    <row r="665" spans="1:31" x14ac:dyDescent="0.3">
      <c r="A665">
        <v>10219</v>
      </c>
      <c r="B665">
        <v>43</v>
      </c>
      <c r="C665">
        <v>100</v>
      </c>
      <c r="D665">
        <v>1</v>
      </c>
      <c r="E665" s="4" t="str">
        <f t="shared" si="60"/>
        <v>high sales</v>
      </c>
      <c r="F665">
        <v>8448.64</v>
      </c>
      <c r="G665" t="s">
        <v>1337</v>
      </c>
      <c r="H665" s="1" t="str">
        <f t="shared" si="61"/>
        <v>Shipped</v>
      </c>
      <c r="I665" s="4" t="str">
        <f t="shared" si="62"/>
        <v>completed</v>
      </c>
      <c r="J665" t="s">
        <v>25</v>
      </c>
      <c r="K665">
        <v>1</v>
      </c>
      <c r="L665">
        <v>2</v>
      </c>
      <c r="M665">
        <v>2004</v>
      </c>
      <c r="N665" t="s">
        <v>181</v>
      </c>
      <c r="O665">
        <v>163</v>
      </c>
      <c r="P665" t="s">
        <v>587</v>
      </c>
      <c r="Q665" t="s">
        <v>526</v>
      </c>
      <c r="R665">
        <v>4155554312</v>
      </c>
      <c r="S665" t="s">
        <v>527</v>
      </c>
      <c r="U665" s="1" t="str">
        <f t="shared" si="63"/>
        <v>Brisbane</v>
      </c>
      <c r="V665" t="s">
        <v>528</v>
      </c>
      <c r="W665" t="s">
        <v>55</v>
      </c>
      <c r="X665">
        <v>94217</v>
      </c>
      <c r="Y665" s="1" t="str">
        <f t="shared" si="64"/>
        <v>USA</v>
      </c>
      <c r="Z665" s="4" t="str">
        <f t="shared" si="65"/>
        <v>Usa</v>
      </c>
      <c r="AA665" t="s">
        <v>32</v>
      </c>
      <c r="AB665" t="s">
        <v>33</v>
      </c>
      <c r="AC665" t="s">
        <v>529</v>
      </c>
      <c r="AD665" t="s">
        <v>400</v>
      </c>
      <c r="AE665" t="s">
        <v>151</v>
      </c>
    </row>
    <row r="666" spans="1:31" x14ac:dyDescent="0.3">
      <c r="A666">
        <v>10230</v>
      </c>
      <c r="B666">
        <v>49</v>
      </c>
      <c r="C666">
        <v>100</v>
      </c>
      <c r="D666">
        <v>8</v>
      </c>
      <c r="E666" s="4" t="str">
        <f t="shared" si="60"/>
        <v>high sales</v>
      </c>
      <c r="F666">
        <v>7300.51</v>
      </c>
      <c r="G666" t="s">
        <v>1338</v>
      </c>
      <c r="H666" s="1" t="str">
        <f t="shared" si="61"/>
        <v>Shipped</v>
      </c>
      <c r="I666" s="4" t="str">
        <f t="shared" si="62"/>
        <v>completed</v>
      </c>
      <c r="J666" t="s">
        <v>25</v>
      </c>
      <c r="K666">
        <v>1</v>
      </c>
      <c r="L666">
        <v>3</v>
      </c>
      <c r="M666">
        <v>2004</v>
      </c>
      <c r="N666" t="s">
        <v>181</v>
      </c>
      <c r="O666">
        <v>163</v>
      </c>
      <c r="P666" t="s">
        <v>587</v>
      </c>
      <c r="Q666" t="s">
        <v>462</v>
      </c>
      <c r="R666" t="s">
        <v>463</v>
      </c>
      <c r="S666" t="s">
        <v>464</v>
      </c>
      <c r="U666" s="1" t="str">
        <f t="shared" si="63"/>
        <v>Frankfurt</v>
      </c>
      <c r="V666" t="s">
        <v>465</v>
      </c>
      <c r="X666">
        <v>60528</v>
      </c>
      <c r="Y666" s="1" t="str">
        <f t="shared" si="64"/>
        <v>GERMANY</v>
      </c>
      <c r="Z666" s="4" t="str">
        <f t="shared" si="65"/>
        <v>Germany</v>
      </c>
      <c r="AA666" t="s">
        <v>443</v>
      </c>
      <c r="AB666" t="s">
        <v>42</v>
      </c>
      <c r="AC666" t="s">
        <v>466</v>
      </c>
      <c r="AD666" t="s">
        <v>414</v>
      </c>
      <c r="AE666" t="s">
        <v>151</v>
      </c>
    </row>
    <row r="667" spans="1:31" x14ac:dyDescent="0.3">
      <c r="A667">
        <v>10246</v>
      </c>
      <c r="B667">
        <v>40</v>
      </c>
      <c r="C667">
        <v>100</v>
      </c>
      <c r="D667">
        <v>4</v>
      </c>
      <c r="E667" s="4" t="str">
        <f t="shared" si="60"/>
        <v>high sales</v>
      </c>
      <c r="F667">
        <v>6549.2</v>
      </c>
      <c r="G667" t="s">
        <v>1339</v>
      </c>
      <c r="H667" s="1" t="str">
        <f t="shared" si="61"/>
        <v>Shipped</v>
      </c>
      <c r="I667" s="4" t="str">
        <f t="shared" si="62"/>
        <v>completed</v>
      </c>
      <c r="J667" t="s">
        <v>25</v>
      </c>
      <c r="K667">
        <v>2</v>
      </c>
      <c r="L667">
        <v>5</v>
      </c>
      <c r="M667">
        <v>2004</v>
      </c>
      <c r="N667" t="s">
        <v>181</v>
      </c>
      <c r="O667">
        <v>163</v>
      </c>
      <c r="P667" t="s">
        <v>587</v>
      </c>
      <c r="Q667" t="s">
        <v>174</v>
      </c>
      <c r="R667" t="s">
        <v>175</v>
      </c>
      <c r="S667" t="s">
        <v>176</v>
      </c>
      <c r="U667" s="1" t="str">
        <f t="shared" si="63"/>
        <v>Madrid</v>
      </c>
      <c r="V667" t="s">
        <v>177</v>
      </c>
      <c r="X667">
        <v>28034</v>
      </c>
      <c r="Y667" s="1" t="str">
        <f t="shared" si="64"/>
        <v>SPAIN</v>
      </c>
      <c r="Z667" s="4" t="str">
        <f t="shared" si="65"/>
        <v>Spain</v>
      </c>
      <c r="AA667" t="s">
        <v>178</v>
      </c>
      <c r="AB667" t="s">
        <v>42</v>
      </c>
      <c r="AC667" t="s">
        <v>179</v>
      </c>
      <c r="AD667" t="s">
        <v>180</v>
      </c>
      <c r="AE667" t="s">
        <v>51</v>
      </c>
    </row>
    <row r="668" spans="1:31" x14ac:dyDescent="0.3">
      <c r="A668">
        <v>10259</v>
      </c>
      <c r="B668">
        <v>30</v>
      </c>
      <c r="C668">
        <v>100</v>
      </c>
      <c r="D668">
        <v>3</v>
      </c>
      <c r="E668" s="4" t="str">
        <f t="shared" si="60"/>
        <v>high sales</v>
      </c>
      <c r="F668">
        <v>5697.9</v>
      </c>
      <c r="G668" t="s">
        <v>1340</v>
      </c>
      <c r="H668" s="1" t="str">
        <f t="shared" si="61"/>
        <v>Shipped</v>
      </c>
      <c r="I668" s="4" t="str">
        <f t="shared" si="62"/>
        <v>completed</v>
      </c>
      <c r="J668" t="s">
        <v>25</v>
      </c>
      <c r="K668">
        <v>2</v>
      </c>
      <c r="L668">
        <v>6</v>
      </c>
      <c r="M668">
        <v>2004</v>
      </c>
      <c r="N668" t="s">
        <v>181</v>
      </c>
      <c r="O668">
        <v>163</v>
      </c>
      <c r="P668" t="s">
        <v>587</v>
      </c>
      <c r="Q668" t="s">
        <v>418</v>
      </c>
      <c r="R668" t="s">
        <v>419</v>
      </c>
      <c r="S668" t="s">
        <v>420</v>
      </c>
      <c r="T668" t="s">
        <v>421</v>
      </c>
      <c r="U668" s="1" t="str">
        <f t="shared" si="63"/>
        <v>Singapore</v>
      </c>
      <c r="V668" t="s">
        <v>199</v>
      </c>
      <c r="X668">
        <v>69045</v>
      </c>
      <c r="Y668" s="1" t="str">
        <f t="shared" si="64"/>
        <v>SINGAPORE</v>
      </c>
      <c r="Z668" s="4" t="str">
        <f t="shared" si="65"/>
        <v>Singapore</v>
      </c>
      <c r="AA668" t="s">
        <v>199</v>
      </c>
      <c r="AB668" t="s">
        <v>96</v>
      </c>
      <c r="AC668" t="s">
        <v>422</v>
      </c>
      <c r="AD668" t="s">
        <v>423</v>
      </c>
      <c r="AE668" t="s">
        <v>51</v>
      </c>
    </row>
    <row r="669" spans="1:31" x14ac:dyDescent="0.3">
      <c r="A669">
        <v>10271</v>
      </c>
      <c r="B669">
        <v>50</v>
      </c>
      <c r="C669">
        <v>100</v>
      </c>
      <c r="D669">
        <v>4</v>
      </c>
      <c r="E669" s="4" t="str">
        <f t="shared" si="60"/>
        <v>high sales</v>
      </c>
      <c r="F669">
        <v>9169</v>
      </c>
      <c r="G669" t="s">
        <v>1341</v>
      </c>
      <c r="H669" s="1" t="str">
        <f t="shared" si="61"/>
        <v>Shipped</v>
      </c>
      <c r="I669" s="4" t="str">
        <f t="shared" si="62"/>
        <v>completed</v>
      </c>
      <c r="J669" t="s">
        <v>25</v>
      </c>
      <c r="K669">
        <v>3</v>
      </c>
      <c r="L669">
        <v>7</v>
      </c>
      <c r="M669">
        <v>2004</v>
      </c>
      <c r="N669" t="s">
        <v>181</v>
      </c>
      <c r="O669">
        <v>163</v>
      </c>
      <c r="P669" t="s">
        <v>587</v>
      </c>
      <c r="Q669" t="s">
        <v>272</v>
      </c>
      <c r="R669">
        <v>4155551450</v>
      </c>
      <c r="S669" t="s">
        <v>273</v>
      </c>
      <c r="U669" s="1" t="str">
        <f t="shared" si="63"/>
        <v>San Rafael</v>
      </c>
      <c r="V669" t="s">
        <v>274</v>
      </c>
      <c r="W669" t="s">
        <v>55</v>
      </c>
      <c r="X669">
        <v>97562</v>
      </c>
      <c r="Y669" s="1" t="str">
        <f t="shared" si="64"/>
        <v>USA</v>
      </c>
      <c r="Z669" s="4" t="str">
        <f t="shared" si="65"/>
        <v>Usa</v>
      </c>
      <c r="AA669" t="s">
        <v>32</v>
      </c>
      <c r="AB669" t="s">
        <v>33</v>
      </c>
      <c r="AC669" t="s">
        <v>275</v>
      </c>
      <c r="AD669" t="s">
        <v>276</v>
      </c>
      <c r="AE669" t="s">
        <v>151</v>
      </c>
    </row>
    <row r="670" spans="1:31" x14ac:dyDescent="0.3">
      <c r="A670">
        <v>10282</v>
      </c>
      <c r="B670">
        <v>23</v>
      </c>
      <c r="C670">
        <v>100</v>
      </c>
      <c r="D670">
        <v>13</v>
      </c>
      <c r="E670" s="4" t="str">
        <f t="shared" si="60"/>
        <v>low sales</v>
      </c>
      <c r="F670">
        <v>3238.63</v>
      </c>
      <c r="G670" t="s">
        <v>1342</v>
      </c>
      <c r="H670" s="1" t="str">
        <f t="shared" si="61"/>
        <v>Shipped</v>
      </c>
      <c r="I670" s="4" t="str">
        <f t="shared" si="62"/>
        <v>completed</v>
      </c>
      <c r="J670" t="s">
        <v>25</v>
      </c>
      <c r="K670">
        <v>3</v>
      </c>
      <c r="L670">
        <v>8</v>
      </c>
      <c r="M670">
        <v>2004</v>
      </c>
      <c r="N670" t="s">
        <v>181</v>
      </c>
      <c r="O670">
        <v>163</v>
      </c>
      <c r="P670" t="s">
        <v>587</v>
      </c>
      <c r="Q670" t="s">
        <v>272</v>
      </c>
      <c r="R670">
        <v>4155551450</v>
      </c>
      <c r="S670" t="s">
        <v>273</v>
      </c>
      <c r="U670" s="1" t="str">
        <f t="shared" si="63"/>
        <v>San Rafael</v>
      </c>
      <c r="V670" t="s">
        <v>274</v>
      </c>
      <c r="W670" t="s">
        <v>55</v>
      </c>
      <c r="X670">
        <v>97562</v>
      </c>
      <c r="Y670" s="1" t="str">
        <f t="shared" si="64"/>
        <v>USA</v>
      </c>
      <c r="Z670" s="4" t="str">
        <f t="shared" si="65"/>
        <v>Usa</v>
      </c>
      <c r="AA670" t="s">
        <v>32</v>
      </c>
      <c r="AB670" t="s">
        <v>33</v>
      </c>
      <c r="AC670" t="s">
        <v>275</v>
      </c>
      <c r="AD670" t="s">
        <v>276</v>
      </c>
      <c r="AE670" t="s">
        <v>51</v>
      </c>
    </row>
    <row r="671" spans="1:31" x14ac:dyDescent="0.3">
      <c r="A671">
        <v>10292</v>
      </c>
      <c r="B671">
        <v>26</v>
      </c>
      <c r="C671">
        <v>100</v>
      </c>
      <c r="D671">
        <v>7</v>
      </c>
      <c r="E671" s="4" t="str">
        <f t="shared" si="60"/>
        <v>high sales</v>
      </c>
      <c r="F671">
        <v>4554.9399999999996</v>
      </c>
      <c r="G671" t="s">
        <v>1343</v>
      </c>
      <c r="H671" s="1" t="str">
        <f t="shared" si="61"/>
        <v>Shipped</v>
      </c>
      <c r="I671" s="4" t="str">
        <f t="shared" si="62"/>
        <v>completed</v>
      </c>
      <c r="J671" t="s">
        <v>25</v>
      </c>
      <c r="K671">
        <v>3</v>
      </c>
      <c r="L671">
        <v>9</v>
      </c>
      <c r="M671">
        <v>2004</v>
      </c>
      <c r="N671" t="s">
        <v>181</v>
      </c>
      <c r="O671">
        <v>163</v>
      </c>
      <c r="P671" t="s">
        <v>587</v>
      </c>
      <c r="Q671" t="s">
        <v>28</v>
      </c>
      <c r="R671">
        <v>2125557818</v>
      </c>
      <c r="S671" t="s">
        <v>29</v>
      </c>
      <c r="U671" s="1" t="str">
        <f t="shared" si="63"/>
        <v>Nyc</v>
      </c>
      <c r="V671" t="s">
        <v>30</v>
      </c>
      <c r="W671" t="s">
        <v>31</v>
      </c>
      <c r="X671">
        <v>10022</v>
      </c>
      <c r="Y671" s="1" t="str">
        <f t="shared" si="64"/>
        <v>USA</v>
      </c>
      <c r="Z671" s="4" t="str">
        <f t="shared" si="65"/>
        <v>Usa</v>
      </c>
      <c r="AA671" t="s">
        <v>32</v>
      </c>
      <c r="AB671" t="s">
        <v>33</v>
      </c>
      <c r="AC671" t="s">
        <v>34</v>
      </c>
      <c r="AD671" t="s">
        <v>35</v>
      </c>
      <c r="AE671" t="s">
        <v>51</v>
      </c>
    </row>
    <row r="672" spans="1:31" x14ac:dyDescent="0.3">
      <c r="A672">
        <v>10305</v>
      </c>
      <c r="B672">
        <v>27</v>
      </c>
      <c r="C672">
        <v>100</v>
      </c>
      <c r="D672">
        <v>4</v>
      </c>
      <c r="E672" s="4" t="str">
        <f t="shared" si="60"/>
        <v>low sales</v>
      </c>
      <c r="F672">
        <v>3934.44</v>
      </c>
      <c r="G672" t="s">
        <v>1344</v>
      </c>
      <c r="H672" s="1" t="str">
        <f t="shared" si="61"/>
        <v>Shipped</v>
      </c>
      <c r="I672" s="4" t="str">
        <f t="shared" si="62"/>
        <v>completed</v>
      </c>
      <c r="J672" t="s">
        <v>25</v>
      </c>
      <c r="K672">
        <v>4</v>
      </c>
      <c r="L672">
        <v>10</v>
      </c>
      <c r="M672">
        <v>2004</v>
      </c>
      <c r="N672" t="s">
        <v>181</v>
      </c>
      <c r="O672">
        <v>163</v>
      </c>
      <c r="P672" t="s">
        <v>587</v>
      </c>
      <c r="Q672" t="s">
        <v>120</v>
      </c>
      <c r="R672">
        <v>6175558555</v>
      </c>
      <c r="S672" t="s">
        <v>121</v>
      </c>
      <c r="U672" s="1" t="str">
        <f t="shared" si="63"/>
        <v>Cambridge</v>
      </c>
      <c r="V672" t="s">
        <v>122</v>
      </c>
      <c r="W672" t="s">
        <v>123</v>
      </c>
      <c r="X672">
        <v>51247</v>
      </c>
      <c r="Y672" s="1" t="str">
        <f t="shared" si="64"/>
        <v>USA</v>
      </c>
      <c r="Z672" s="4" t="str">
        <f t="shared" si="65"/>
        <v>Usa</v>
      </c>
      <c r="AA672" t="s">
        <v>32</v>
      </c>
      <c r="AB672" t="s">
        <v>33</v>
      </c>
      <c r="AC672" t="s">
        <v>124</v>
      </c>
      <c r="AD672" t="s">
        <v>125</v>
      </c>
      <c r="AE672" t="s">
        <v>51</v>
      </c>
    </row>
    <row r="673" spans="1:31" x14ac:dyDescent="0.3">
      <c r="A673">
        <v>10314</v>
      </c>
      <c r="B673">
        <v>42</v>
      </c>
      <c r="C673">
        <v>100</v>
      </c>
      <c r="D673">
        <v>13</v>
      </c>
      <c r="E673" s="4" t="str">
        <f t="shared" si="60"/>
        <v>high sales</v>
      </c>
      <c r="F673">
        <v>5776.26</v>
      </c>
      <c r="G673" t="s">
        <v>1345</v>
      </c>
      <c r="H673" s="1" t="str">
        <f t="shared" si="61"/>
        <v>Shipped</v>
      </c>
      <c r="I673" s="4" t="str">
        <f t="shared" si="62"/>
        <v>completed</v>
      </c>
      <c r="J673" t="s">
        <v>25</v>
      </c>
      <c r="K673">
        <v>4</v>
      </c>
      <c r="L673">
        <v>10</v>
      </c>
      <c r="M673">
        <v>2004</v>
      </c>
      <c r="N673" t="s">
        <v>181</v>
      </c>
      <c r="O673">
        <v>163</v>
      </c>
      <c r="P673" t="s">
        <v>587</v>
      </c>
      <c r="Q673" t="s">
        <v>498</v>
      </c>
      <c r="R673" t="s">
        <v>499</v>
      </c>
      <c r="S673" t="s">
        <v>500</v>
      </c>
      <c r="U673" s="1" t="str">
        <f t="shared" si="63"/>
        <v>Aaarhus</v>
      </c>
      <c r="V673" t="s">
        <v>501</v>
      </c>
      <c r="X673">
        <v>8200</v>
      </c>
      <c r="Y673" s="1" t="str">
        <f t="shared" si="64"/>
        <v>DENMARK</v>
      </c>
      <c r="Z673" s="4" t="str">
        <f t="shared" si="65"/>
        <v>Denmark</v>
      </c>
      <c r="AA673" t="s">
        <v>326</v>
      </c>
      <c r="AB673" t="s">
        <v>42</v>
      </c>
      <c r="AC673" t="s">
        <v>502</v>
      </c>
      <c r="AD673" t="s">
        <v>503</v>
      </c>
      <c r="AE673" t="s">
        <v>51</v>
      </c>
    </row>
    <row r="674" spans="1:31" x14ac:dyDescent="0.3">
      <c r="A674">
        <v>10324</v>
      </c>
      <c r="B674">
        <v>47</v>
      </c>
      <c r="C674">
        <v>100</v>
      </c>
      <c r="D674">
        <v>8</v>
      </c>
      <c r="E674" s="4" t="str">
        <f t="shared" si="60"/>
        <v>high sales</v>
      </c>
      <c r="F674">
        <v>7207.45</v>
      </c>
      <c r="G674" t="s">
        <v>1346</v>
      </c>
      <c r="H674" s="1" t="str">
        <f t="shared" si="61"/>
        <v>Shipped</v>
      </c>
      <c r="I674" s="4" t="str">
        <f t="shared" si="62"/>
        <v>completed</v>
      </c>
      <c r="J674" t="s">
        <v>25</v>
      </c>
      <c r="K674">
        <v>4</v>
      </c>
      <c r="L674">
        <v>11</v>
      </c>
      <c r="M674">
        <v>2004</v>
      </c>
      <c r="N674" t="s">
        <v>181</v>
      </c>
      <c r="O674">
        <v>163</v>
      </c>
      <c r="P674" t="s">
        <v>587</v>
      </c>
      <c r="Q674" t="s">
        <v>99</v>
      </c>
      <c r="R674">
        <v>2125551500</v>
      </c>
      <c r="S674" t="s">
        <v>100</v>
      </c>
      <c r="T674" t="s">
        <v>101</v>
      </c>
      <c r="U674" s="1" t="str">
        <f t="shared" si="63"/>
        <v>Nyc</v>
      </c>
      <c r="V674" t="s">
        <v>30</v>
      </c>
      <c r="W674" t="s">
        <v>31</v>
      </c>
      <c r="X674">
        <v>10022</v>
      </c>
      <c r="Y674" s="1" t="str">
        <f t="shared" si="64"/>
        <v>USA</v>
      </c>
      <c r="Z674" s="4" t="str">
        <f t="shared" si="65"/>
        <v>Usa</v>
      </c>
      <c r="AA674" t="s">
        <v>32</v>
      </c>
      <c r="AB674" t="s">
        <v>33</v>
      </c>
      <c r="AC674" t="s">
        <v>102</v>
      </c>
      <c r="AD674" t="s">
        <v>103</v>
      </c>
      <c r="AE674" t="s">
        <v>151</v>
      </c>
    </row>
    <row r="675" spans="1:31" x14ac:dyDescent="0.3">
      <c r="A675">
        <v>10336</v>
      </c>
      <c r="B675">
        <v>49</v>
      </c>
      <c r="C675">
        <v>100</v>
      </c>
      <c r="D675">
        <v>6</v>
      </c>
      <c r="E675" s="4" t="str">
        <f t="shared" si="60"/>
        <v>high sales</v>
      </c>
      <c r="F675">
        <v>7460.74</v>
      </c>
      <c r="G675" t="s">
        <v>1347</v>
      </c>
      <c r="H675" s="1" t="str">
        <f t="shared" si="61"/>
        <v>Shipped</v>
      </c>
      <c r="I675" s="4" t="str">
        <f t="shared" si="62"/>
        <v>completed</v>
      </c>
      <c r="J675" t="s">
        <v>25</v>
      </c>
      <c r="K675">
        <v>4</v>
      </c>
      <c r="L675">
        <v>11</v>
      </c>
      <c r="M675">
        <v>2004</v>
      </c>
      <c r="N675" t="s">
        <v>181</v>
      </c>
      <c r="O675">
        <v>163</v>
      </c>
      <c r="P675" t="s">
        <v>587</v>
      </c>
      <c r="Q675" t="s">
        <v>403</v>
      </c>
      <c r="R675" t="s">
        <v>404</v>
      </c>
      <c r="S675" t="s">
        <v>405</v>
      </c>
      <c r="U675" s="1" t="str">
        <f t="shared" si="63"/>
        <v>Paris</v>
      </c>
      <c r="V675" t="s">
        <v>48</v>
      </c>
      <c r="X675">
        <v>75012</v>
      </c>
      <c r="Y675" s="1" t="str">
        <f t="shared" si="64"/>
        <v>FRANCE</v>
      </c>
      <c r="Z675" s="4" t="str">
        <f t="shared" si="65"/>
        <v>France</v>
      </c>
      <c r="AA675" t="s">
        <v>41</v>
      </c>
      <c r="AB675" t="s">
        <v>42</v>
      </c>
      <c r="AC675" t="s">
        <v>406</v>
      </c>
      <c r="AD675" t="s">
        <v>407</v>
      </c>
      <c r="AE675" t="s">
        <v>151</v>
      </c>
    </row>
    <row r="676" spans="1:31" x14ac:dyDescent="0.3">
      <c r="A676">
        <v>10349</v>
      </c>
      <c r="B676">
        <v>38</v>
      </c>
      <c r="C676">
        <v>100</v>
      </c>
      <c r="D676">
        <v>8</v>
      </c>
      <c r="E676" s="4" t="str">
        <f t="shared" si="60"/>
        <v>high sales</v>
      </c>
      <c r="F676">
        <v>6719.54</v>
      </c>
      <c r="G676" t="s">
        <v>1348</v>
      </c>
      <c r="H676" s="1" t="str">
        <f t="shared" si="61"/>
        <v>Shipped</v>
      </c>
      <c r="I676" s="4" t="str">
        <f t="shared" si="62"/>
        <v>completed</v>
      </c>
      <c r="J676" t="s">
        <v>25</v>
      </c>
      <c r="K676">
        <v>4</v>
      </c>
      <c r="L676">
        <v>12</v>
      </c>
      <c r="M676">
        <v>2004</v>
      </c>
      <c r="N676" t="s">
        <v>181</v>
      </c>
      <c r="O676">
        <v>163</v>
      </c>
      <c r="P676" t="s">
        <v>587</v>
      </c>
      <c r="Q676" t="s">
        <v>475</v>
      </c>
      <c r="R676">
        <v>2125557413</v>
      </c>
      <c r="S676" t="s">
        <v>476</v>
      </c>
      <c r="T676" t="s">
        <v>477</v>
      </c>
      <c r="U676" s="1" t="str">
        <f t="shared" si="63"/>
        <v>Nyc</v>
      </c>
      <c r="V676" t="s">
        <v>30</v>
      </c>
      <c r="W676" t="s">
        <v>31</v>
      </c>
      <c r="X676">
        <v>10022</v>
      </c>
      <c r="Y676" s="1" t="str">
        <f t="shared" si="64"/>
        <v>USA</v>
      </c>
      <c r="Z676" s="4" t="str">
        <f t="shared" si="65"/>
        <v>Usa</v>
      </c>
      <c r="AA676" t="s">
        <v>32</v>
      </c>
      <c r="AB676" t="s">
        <v>33</v>
      </c>
      <c r="AC676" t="s">
        <v>56</v>
      </c>
      <c r="AD676" t="s">
        <v>478</v>
      </c>
      <c r="AE676" t="s">
        <v>51</v>
      </c>
    </row>
    <row r="677" spans="1:31" x14ac:dyDescent="0.3">
      <c r="A677">
        <v>10358</v>
      </c>
      <c r="B677">
        <v>20</v>
      </c>
      <c r="C677">
        <v>100</v>
      </c>
      <c r="D677">
        <v>10</v>
      </c>
      <c r="E677" s="4" t="str">
        <f t="shared" si="60"/>
        <v>low sales</v>
      </c>
      <c r="F677">
        <v>2428</v>
      </c>
      <c r="G677" t="s">
        <v>1349</v>
      </c>
      <c r="H677" s="1" t="str">
        <f t="shared" si="61"/>
        <v>Shipped</v>
      </c>
      <c r="I677" s="4" t="str">
        <f t="shared" si="62"/>
        <v>completed</v>
      </c>
      <c r="J677" t="s">
        <v>25</v>
      </c>
      <c r="K677">
        <v>4</v>
      </c>
      <c r="L677">
        <v>12</v>
      </c>
      <c r="M677">
        <v>2004</v>
      </c>
      <c r="N677" t="s">
        <v>181</v>
      </c>
      <c r="O677">
        <v>163</v>
      </c>
      <c r="P677" t="s">
        <v>587</v>
      </c>
      <c r="Q677" t="s">
        <v>174</v>
      </c>
      <c r="R677" t="s">
        <v>175</v>
      </c>
      <c r="S677" t="s">
        <v>176</v>
      </c>
      <c r="U677" s="1" t="str">
        <f t="shared" si="63"/>
        <v>Madrid</v>
      </c>
      <c r="V677" t="s">
        <v>177</v>
      </c>
      <c r="X677">
        <v>28034</v>
      </c>
      <c r="Y677" s="1" t="str">
        <f t="shared" si="64"/>
        <v>SPAIN</v>
      </c>
      <c r="Z677" s="4" t="str">
        <f t="shared" si="65"/>
        <v>Spain</v>
      </c>
      <c r="AA677" t="s">
        <v>178</v>
      </c>
      <c r="AB677" t="s">
        <v>42</v>
      </c>
      <c r="AC677" t="s">
        <v>179</v>
      </c>
      <c r="AD677" t="s">
        <v>180</v>
      </c>
      <c r="AE677" t="s">
        <v>36</v>
      </c>
    </row>
    <row r="678" spans="1:31" x14ac:dyDescent="0.3">
      <c r="A678">
        <v>10371</v>
      </c>
      <c r="B678">
        <v>25</v>
      </c>
      <c r="C678">
        <v>100</v>
      </c>
      <c r="D678">
        <v>7</v>
      </c>
      <c r="E678" s="4" t="str">
        <f t="shared" si="60"/>
        <v>low sales</v>
      </c>
      <c r="F678">
        <v>2602.25</v>
      </c>
      <c r="G678" t="s">
        <v>1350</v>
      </c>
      <c r="H678" s="1" t="str">
        <f t="shared" si="61"/>
        <v>Shipped</v>
      </c>
      <c r="I678" s="4" t="str">
        <f t="shared" si="62"/>
        <v>completed</v>
      </c>
      <c r="J678" t="s">
        <v>25</v>
      </c>
      <c r="K678">
        <v>1</v>
      </c>
      <c r="L678">
        <v>1</v>
      </c>
      <c r="M678">
        <v>2005</v>
      </c>
      <c r="N678" t="s">
        <v>181</v>
      </c>
      <c r="O678">
        <v>163</v>
      </c>
      <c r="P678" t="s">
        <v>587</v>
      </c>
      <c r="Q678" t="s">
        <v>272</v>
      </c>
      <c r="R678">
        <v>4155551450</v>
      </c>
      <c r="S678" t="s">
        <v>273</v>
      </c>
      <c r="U678" s="1" t="str">
        <f t="shared" si="63"/>
        <v>San Rafael</v>
      </c>
      <c r="V678" t="s">
        <v>274</v>
      </c>
      <c r="W678" t="s">
        <v>55</v>
      </c>
      <c r="X678">
        <v>97562</v>
      </c>
      <c r="Y678" s="1" t="str">
        <f t="shared" si="64"/>
        <v>USA</v>
      </c>
      <c r="Z678" s="4" t="str">
        <f t="shared" si="65"/>
        <v>Usa</v>
      </c>
      <c r="AA678" t="s">
        <v>32</v>
      </c>
      <c r="AB678" t="s">
        <v>33</v>
      </c>
      <c r="AC678" t="s">
        <v>275</v>
      </c>
      <c r="AD678" t="s">
        <v>276</v>
      </c>
      <c r="AE678" t="s">
        <v>36</v>
      </c>
    </row>
    <row r="679" spans="1:31" x14ac:dyDescent="0.3">
      <c r="A679">
        <v>10382</v>
      </c>
      <c r="B679">
        <v>25</v>
      </c>
      <c r="C679">
        <v>88</v>
      </c>
      <c r="D679">
        <v>5</v>
      </c>
      <c r="E679" s="4" t="str">
        <f t="shared" si="60"/>
        <v>low sales</v>
      </c>
      <c r="F679">
        <v>2200</v>
      </c>
      <c r="G679" t="s">
        <v>1351</v>
      </c>
      <c r="H679" s="1" t="str">
        <f t="shared" si="61"/>
        <v>Shipped</v>
      </c>
      <c r="I679" s="4" t="str">
        <f t="shared" si="62"/>
        <v>completed</v>
      </c>
      <c r="J679" t="s">
        <v>25</v>
      </c>
      <c r="K679">
        <v>1</v>
      </c>
      <c r="L679">
        <v>2</v>
      </c>
      <c r="M679">
        <v>2005</v>
      </c>
      <c r="N679" t="s">
        <v>181</v>
      </c>
      <c r="O679">
        <v>163</v>
      </c>
      <c r="P679" t="s">
        <v>587</v>
      </c>
      <c r="Q679" t="s">
        <v>272</v>
      </c>
      <c r="R679">
        <v>4155551450</v>
      </c>
      <c r="S679" t="s">
        <v>273</v>
      </c>
      <c r="U679" s="1" t="str">
        <f t="shared" si="63"/>
        <v>San Rafael</v>
      </c>
      <c r="V679" t="s">
        <v>274</v>
      </c>
      <c r="W679" t="s">
        <v>55</v>
      </c>
      <c r="X679">
        <v>97562</v>
      </c>
      <c r="Y679" s="1" t="str">
        <f t="shared" si="64"/>
        <v>USA</v>
      </c>
      <c r="Z679" s="4" t="str">
        <f t="shared" si="65"/>
        <v>Usa</v>
      </c>
      <c r="AA679" t="s">
        <v>32</v>
      </c>
      <c r="AB679" t="s">
        <v>33</v>
      </c>
      <c r="AC679" t="s">
        <v>275</v>
      </c>
      <c r="AD679" t="s">
        <v>276</v>
      </c>
      <c r="AE679" t="s">
        <v>36</v>
      </c>
    </row>
    <row r="680" spans="1:31" x14ac:dyDescent="0.3">
      <c r="A680">
        <v>10412</v>
      </c>
      <c r="B680">
        <v>41</v>
      </c>
      <c r="C680">
        <v>100</v>
      </c>
      <c r="D680">
        <v>4</v>
      </c>
      <c r="E680" s="4" t="str">
        <f t="shared" si="60"/>
        <v>high sales</v>
      </c>
      <c r="F680">
        <v>6712.93</v>
      </c>
      <c r="G680" t="s">
        <v>1352</v>
      </c>
      <c r="H680" s="1" t="str">
        <f t="shared" si="61"/>
        <v>Shipped</v>
      </c>
      <c r="I680" s="4" t="str">
        <f t="shared" si="62"/>
        <v>completed</v>
      </c>
      <c r="J680" t="s">
        <v>25</v>
      </c>
      <c r="K680">
        <v>2</v>
      </c>
      <c r="L680">
        <v>5</v>
      </c>
      <c r="M680">
        <v>2005</v>
      </c>
      <c r="N680" t="s">
        <v>181</v>
      </c>
      <c r="O680">
        <v>163</v>
      </c>
      <c r="P680" t="s">
        <v>587</v>
      </c>
      <c r="Q680" t="s">
        <v>174</v>
      </c>
      <c r="R680" t="s">
        <v>175</v>
      </c>
      <c r="S680" t="s">
        <v>176</v>
      </c>
      <c r="U680" s="1" t="str">
        <f t="shared" si="63"/>
        <v>Madrid</v>
      </c>
      <c r="V680" t="s">
        <v>177</v>
      </c>
      <c r="X680">
        <v>28034</v>
      </c>
      <c r="Y680" s="1" t="str">
        <f t="shared" si="64"/>
        <v>SPAIN</v>
      </c>
      <c r="Z680" s="4" t="str">
        <f t="shared" si="65"/>
        <v>Spain</v>
      </c>
      <c r="AA680" t="s">
        <v>178</v>
      </c>
      <c r="AB680" t="s">
        <v>42</v>
      </c>
      <c r="AC680" t="s">
        <v>179</v>
      </c>
      <c r="AD680" t="s">
        <v>180</v>
      </c>
      <c r="AE680" t="s">
        <v>51</v>
      </c>
    </row>
    <row r="681" spans="1:31" x14ac:dyDescent="0.3">
      <c r="A681">
        <v>10425</v>
      </c>
      <c r="B681">
        <v>28</v>
      </c>
      <c r="C681">
        <v>100</v>
      </c>
      <c r="D681">
        <v>3</v>
      </c>
      <c r="E681" s="4" t="str">
        <f t="shared" si="60"/>
        <v>high sales</v>
      </c>
      <c r="F681">
        <v>5318.04</v>
      </c>
      <c r="G681" t="s">
        <v>1353</v>
      </c>
      <c r="H681" s="1" t="str">
        <f t="shared" si="61"/>
        <v>In Process</v>
      </c>
      <c r="I681" s="4" t="str">
        <f t="shared" si="62"/>
        <v>not completed</v>
      </c>
      <c r="J681" t="s">
        <v>300</v>
      </c>
      <c r="K681">
        <v>2</v>
      </c>
      <c r="L681">
        <v>5</v>
      </c>
      <c r="M681">
        <v>2005</v>
      </c>
      <c r="N681" t="s">
        <v>181</v>
      </c>
      <c r="O681">
        <v>163</v>
      </c>
      <c r="P681" t="s">
        <v>587</v>
      </c>
      <c r="Q681" t="s">
        <v>114</v>
      </c>
      <c r="R681" t="s">
        <v>115</v>
      </c>
      <c r="S681" t="s">
        <v>116</v>
      </c>
      <c r="U681" s="1" t="str">
        <f t="shared" si="63"/>
        <v>Nantes</v>
      </c>
      <c r="V681" t="s">
        <v>117</v>
      </c>
      <c r="X681">
        <v>44000</v>
      </c>
      <c r="Y681" s="1" t="str">
        <f t="shared" si="64"/>
        <v>FRANCE</v>
      </c>
      <c r="Z681" s="4" t="str">
        <f t="shared" si="65"/>
        <v>France</v>
      </c>
      <c r="AA681" t="s">
        <v>41</v>
      </c>
      <c r="AB681" t="s">
        <v>42</v>
      </c>
      <c r="AC681" t="s">
        <v>118</v>
      </c>
      <c r="AD681" t="s">
        <v>119</v>
      </c>
      <c r="AE681" t="s">
        <v>51</v>
      </c>
    </row>
    <row r="682" spans="1:31" x14ac:dyDescent="0.3">
      <c r="A682">
        <v>10100</v>
      </c>
      <c r="B682">
        <v>50</v>
      </c>
      <c r="C682">
        <v>67.8</v>
      </c>
      <c r="D682">
        <v>2</v>
      </c>
      <c r="E682" s="4" t="str">
        <f t="shared" si="60"/>
        <v>low sales</v>
      </c>
      <c r="F682">
        <v>3390</v>
      </c>
      <c r="G682" t="s">
        <v>1354</v>
      </c>
      <c r="H682" s="1" t="str">
        <f t="shared" si="61"/>
        <v>Shipped</v>
      </c>
      <c r="I682" s="4" t="str">
        <f t="shared" si="62"/>
        <v>completed</v>
      </c>
      <c r="J682" t="s">
        <v>25</v>
      </c>
      <c r="K682">
        <v>1</v>
      </c>
      <c r="L682">
        <v>1</v>
      </c>
      <c r="M682">
        <v>2003</v>
      </c>
      <c r="N682" t="s">
        <v>550</v>
      </c>
      <c r="O682">
        <v>60</v>
      </c>
      <c r="P682" t="s">
        <v>588</v>
      </c>
      <c r="Q682" t="s">
        <v>277</v>
      </c>
      <c r="R682">
        <v>6035558647</v>
      </c>
      <c r="S682" t="s">
        <v>278</v>
      </c>
      <c r="U682" s="1" t="str">
        <f t="shared" si="63"/>
        <v>Nashua</v>
      </c>
      <c r="V682" t="s">
        <v>279</v>
      </c>
      <c r="W682" t="s">
        <v>280</v>
      </c>
      <c r="X682">
        <v>62005</v>
      </c>
      <c r="Y682" s="1" t="str">
        <f t="shared" si="64"/>
        <v>USA</v>
      </c>
      <c r="Z682" s="4" t="str">
        <f t="shared" si="65"/>
        <v>Usa</v>
      </c>
      <c r="AA682" t="s">
        <v>32</v>
      </c>
      <c r="AB682" t="s">
        <v>33</v>
      </c>
      <c r="AC682" t="s">
        <v>56</v>
      </c>
      <c r="AD682" t="s">
        <v>276</v>
      </c>
      <c r="AE682" t="s">
        <v>51</v>
      </c>
    </row>
    <row r="683" spans="1:31" x14ac:dyDescent="0.3">
      <c r="A683">
        <v>10110</v>
      </c>
      <c r="B683">
        <v>32</v>
      </c>
      <c r="C683">
        <v>50.25</v>
      </c>
      <c r="D683">
        <v>6</v>
      </c>
      <c r="E683" s="4" t="str">
        <f t="shared" si="60"/>
        <v>low sales</v>
      </c>
      <c r="F683">
        <v>1608</v>
      </c>
      <c r="G683" t="s">
        <v>1355</v>
      </c>
      <c r="H683" s="1" t="str">
        <f t="shared" si="61"/>
        <v>Shipped</v>
      </c>
      <c r="I683" s="4" t="str">
        <f t="shared" si="62"/>
        <v>completed</v>
      </c>
      <c r="J683" t="s">
        <v>25</v>
      </c>
      <c r="K683">
        <v>1</v>
      </c>
      <c r="L683">
        <v>3</v>
      </c>
      <c r="M683">
        <v>2003</v>
      </c>
      <c r="N683" t="s">
        <v>550</v>
      </c>
      <c r="O683">
        <v>60</v>
      </c>
      <c r="P683" t="s">
        <v>588</v>
      </c>
      <c r="Q683" t="s">
        <v>492</v>
      </c>
      <c r="R683" t="s">
        <v>493</v>
      </c>
      <c r="S683" t="s">
        <v>494</v>
      </c>
      <c r="U683" s="1" t="str">
        <f t="shared" si="63"/>
        <v>Manchester</v>
      </c>
      <c r="V683" t="s">
        <v>495</v>
      </c>
      <c r="X683" t="s">
        <v>496</v>
      </c>
      <c r="Y683" s="1" t="str">
        <f t="shared" si="64"/>
        <v>UK</v>
      </c>
      <c r="Z683" s="4" t="str">
        <f t="shared" si="65"/>
        <v>Uk</v>
      </c>
      <c r="AA683" t="s">
        <v>170</v>
      </c>
      <c r="AB683" t="s">
        <v>42</v>
      </c>
      <c r="AC683" t="s">
        <v>497</v>
      </c>
      <c r="AD683" t="s">
        <v>94</v>
      </c>
      <c r="AE683" t="s">
        <v>36</v>
      </c>
    </row>
    <row r="684" spans="1:31" x14ac:dyDescent="0.3">
      <c r="A684">
        <v>10124</v>
      </c>
      <c r="B684">
        <v>42</v>
      </c>
      <c r="C684">
        <v>53.88</v>
      </c>
      <c r="D684">
        <v>5</v>
      </c>
      <c r="E684" s="4" t="str">
        <f t="shared" si="60"/>
        <v>low sales</v>
      </c>
      <c r="F684">
        <v>2262.96</v>
      </c>
      <c r="G684" t="s">
        <v>1356</v>
      </c>
      <c r="H684" s="1" t="str">
        <f t="shared" si="61"/>
        <v>Shipped</v>
      </c>
      <c r="I684" s="4" t="str">
        <f t="shared" si="62"/>
        <v>completed</v>
      </c>
      <c r="J684" t="s">
        <v>25</v>
      </c>
      <c r="K684">
        <v>2</v>
      </c>
      <c r="L684">
        <v>5</v>
      </c>
      <c r="M684">
        <v>2003</v>
      </c>
      <c r="N684" t="s">
        <v>550</v>
      </c>
      <c r="O684">
        <v>60</v>
      </c>
      <c r="P684" t="s">
        <v>588</v>
      </c>
      <c r="Q684" t="s">
        <v>539</v>
      </c>
      <c r="R684">
        <v>7025551838</v>
      </c>
      <c r="S684" t="s">
        <v>540</v>
      </c>
      <c r="U684" s="1" t="str">
        <f t="shared" si="63"/>
        <v>Las Vegas</v>
      </c>
      <c r="V684" t="s">
        <v>541</v>
      </c>
      <c r="W684" t="s">
        <v>542</v>
      </c>
      <c r="X684">
        <v>83030</v>
      </c>
      <c r="Y684" s="1" t="str">
        <f t="shared" si="64"/>
        <v>USA</v>
      </c>
      <c r="Z684" s="4" t="str">
        <f t="shared" si="65"/>
        <v>Usa</v>
      </c>
      <c r="AA684" t="s">
        <v>32</v>
      </c>
      <c r="AB684" t="s">
        <v>33</v>
      </c>
      <c r="AC684" t="s">
        <v>113</v>
      </c>
      <c r="AD684" t="s">
        <v>400</v>
      </c>
      <c r="AE684" t="s">
        <v>36</v>
      </c>
    </row>
    <row r="685" spans="1:31" x14ac:dyDescent="0.3">
      <c r="A685">
        <v>10149</v>
      </c>
      <c r="B685">
        <v>24</v>
      </c>
      <c r="C685">
        <v>62.36</v>
      </c>
      <c r="D685">
        <v>10</v>
      </c>
      <c r="E685" s="4" t="str">
        <f t="shared" si="60"/>
        <v>low sales</v>
      </c>
      <c r="F685">
        <v>1496.64</v>
      </c>
      <c r="G685" t="s">
        <v>1357</v>
      </c>
      <c r="H685" s="1" t="str">
        <f t="shared" si="61"/>
        <v>Shipped</v>
      </c>
      <c r="I685" s="4" t="str">
        <f t="shared" si="62"/>
        <v>completed</v>
      </c>
      <c r="J685" t="s">
        <v>25</v>
      </c>
      <c r="K685">
        <v>3</v>
      </c>
      <c r="L685">
        <v>9</v>
      </c>
      <c r="M685">
        <v>2003</v>
      </c>
      <c r="N685" t="s">
        <v>550</v>
      </c>
      <c r="O685">
        <v>60</v>
      </c>
      <c r="P685" t="s">
        <v>588</v>
      </c>
      <c r="Q685" t="s">
        <v>526</v>
      </c>
      <c r="R685">
        <v>4155554312</v>
      </c>
      <c r="S685" t="s">
        <v>527</v>
      </c>
      <c r="U685" s="1" t="str">
        <f t="shared" si="63"/>
        <v>Brisbane</v>
      </c>
      <c r="V685" t="s">
        <v>528</v>
      </c>
      <c r="W685" t="s">
        <v>55</v>
      </c>
      <c r="X685">
        <v>94217</v>
      </c>
      <c r="Y685" s="1" t="str">
        <f t="shared" si="64"/>
        <v>USA</v>
      </c>
      <c r="Z685" s="4" t="str">
        <f t="shared" si="65"/>
        <v>Usa</v>
      </c>
      <c r="AA685" t="s">
        <v>32</v>
      </c>
      <c r="AB685" t="s">
        <v>33</v>
      </c>
      <c r="AC685" t="s">
        <v>529</v>
      </c>
      <c r="AD685" t="s">
        <v>400</v>
      </c>
      <c r="AE685" t="s">
        <v>36</v>
      </c>
    </row>
    <row r="686" spans="1:31" x14ac:dyDescent="0.3">
      <c r="A686">
        <v>10162</v>
      </c>
      <c r="B686">
        <v>27</v>
      </c>
      <c r="C686">
        <v>69.62</v>
      </c>
      <c r="D686">
        <v>8</v>
      </c>
      <c r="E686" s="4" t="str">
        <f t="shared" si="60"/>
        <v>low sales</v>
      </c>
      <c r="F686">
        <v>1879.74</v>
      </c>
      <c r="G686" t="s">
        <v>1358</v>
      </c>
      <c r="H686" s="1" t="str">
        <f t="shared" si="61"/>
        <v>Shipped</v>
      </c>
      <c r="I686" s="4" t="str">
        <f t="shared" si="62"/>
        <v>completed</v>
      </c>
      <c r="J686" t="s">
        <v>25</v>
      </c>
      <c r="K686">
        <v>4</v>
      </c>
      <c r="L686">
        <v>10</v>
      </c>
      <c r="M686">
        <v>2003</v>
      </c>
      <c r="N686" t="s">
        <v>550</v>
      </c>
      <c r="O686">
        <v>60</v>
      </c>
      <c r="P686" t="s">
        <v>588</v>
      </c>
      <c r="Q686" t="s">
        <v>58</v>
      </c>
      <c r="R686">
        <v>6505551386</v>
      </c>
      <c r="S686" t="s">
        <v>59</v>
      </c>
      <c r="U686" s="1" t="str">
        <f t="shared" si="63"/>
        <v>San Francisco</v>
      </c>
      <c r="V686" t="s">
        <v>60</v>
      </c>
      <c r="W686" t="s">
        <v>55</v>
      </c>
      <c r="Y686" s="1" t="str">
        <f t="shared" si="64"/>
        <v>USA</v>
      </c>
      <c r="Z686" s="4" t="str">
        <f t="shared" si="65"/>
        <v>Usa</v>
      </c>
      <c r="AA686" t="s">
        <v>32</v>
      </c>
      <c r="AB686" t="s">
        <v>33</v>
      </c>
      <c r="AC686" t="s">
        <v>61</v>
      </c>
      <c r="AD686" t="s">
        <v>57</v>
      </c>
      <c r="AE686" t="s">
        <v>36</v>
      </c>
    </row>
    <row r="687" spans="1:31" x14ac:dyDescent="0.3">
      <c r="A687">
        <v>10173</v>
      </c>
      <c r="B687">
        <v>26</v>
      </c>
      <c r="C687">
        <v>57.51</v>
      </c>
      <c r="D687">
        <v>12</v>
      </c>
      <c r="E687" s="4" t="str">
        <f t="shared" si="60"/>
        <v>low sales</v>
      </c>
      <c r="F687">
        <v>1495.26</v>
      </c>
      <c r="G687" t="s">
        <v>1359</v>
      </c>
      <c r="H687" s="1" t="str">
        <f t="shared" si="61"/>
        <v>Shipped</v>
      </c>
      <c r="I687" s="4" t="str">
        <f t="shared" si="62"/>
        <v>completed</v>
      </c>
      <c r="J687" t="s">
        <v>25</v>
      </c>
      <c r="K687">
        <v>4</v>
      </c>
      <c r="L687">
        <v>11</v>
      </c>
      <c r="M687">
        <v>2003</v>
      </c>
      <c r="N687" t="s">
        <v>550</v>
      </c>
      <c r="O687">
        <v>60</v>
      </c>
      <c r="P687" t="s">
        <v>588</v>
      </c>
      <c r="Q687" t="s">
        <v>552</v>
      </c>
      <c r="R687" t="s">
        <v>553</v>
      </c>
      <c r="S687" t="s">
        <v>554</v>
      </c>
      <c r="U687" s="1" t="str">
        <f t="shared" si="63"/>
        <v>Bergamo</v>
      </c>
      <c r="V687" t="s">
        <v>555</v>
      </c>
      <c r="X687">
        <v>24100</v>
      </c>
      <c r="Y687" s="1" t="str">
        <f t="shared" si="64"/>
        <v>ITALY</v>
      </c>
      <c r="Z687" s="4" t="str">
        <f t="shared" si="65"/>
        <v>Italy</v>
      </c>
      <c r="AA687" t="s">
        <v>258</v>
      </c>
      <c r="AB687" t="s">
        <v>42</v>
      </c>
      <c r="AC687" t="s">
        <v>556</v>
      </c>
      <c r="AD687" t="s">
        <v>557</v>
      </c>
      <c r="AE687" t="s">
        <v>36</v>
      </c>
    </row>
    <row r="688" spans="1:31" x14ac:dyDescent="0.3">
      <c r="A688">
        <v>10182</v>
      </c>
      <c r="B688">
        <v>38</v>
      </c>
      <c r="C688">
        <v>61.15</v>
      </c>
      <c r="D688">
        <v>9</v>
      </c>
      <c r="E688" s="4" t="str">
        <f t="shared" si="60"/>
        <v>low sales</v>
      </c>
      <c r="F688">
        <v>2323.6999999999998</v>
      </c>
      <c r="G688" t="s">
        <v>1360</v>
      </c>
      <c r="H688" s="1" t="str">
        <f t="shared" si="61"/>
        <v>Shipped</v>
      </c>
      <c r="I688" s="4" t="str">
        <f t="shared" si="62"/>
        <v>completed</v>
      </c>
      <c r="J688" t="s">
        <v>25</v>
      </c>
      <c r="K688">
        <v>4</v>
      </c>
      <c r="L688">
        <v>11</v>
      </c>
      <c r="M688">
        <v>2003</v>
      </c>
      <c r="N688" t="s">
        <v>550</v>
      </c>
      <c r="O688">
        <v>60</v>
      </c>
      <c r="P688" t="s">
        <v>588</v>
      </c>
      <c r="Q688" t="s">
        <v>272</v>
      </c>
      <c r="R688">
        <v>4155551450</v>
      </c>
      <c r="S688" t="s">
        <v>273</v>
      </c>
      <c r="U688" s="1" t="str">
        <f t="shared" si="63"/>
        <v>San Rafael</v>
      </c>
      <c r="V688" t="s">
        <v>274</v>
      </c>
      <c r="W688" t="s">
        <v>55</v>
      </c>
      <c r="X688">
        <v>97562</v>
      </c>
      <c r="Y688" s="1" t="str">
        <f t="shared" si="64"/>
        <v>USA</v>
      </c>
      <c r="Z688" s="4" t="str">
        <f t="shared" si="65"/>
        <v>Usa</v>
      </c>
      <c r="AA688" t="s">
        <v>32</v>
      </c>
      <c r="AB688" t="s">
        <v>33</v>
      </c>
      <c r="AC688" t="s">
        <v>275</v>
      </c>
      <c r="AD688" t="s">
        <v>276</v>
      </c>
      <c r="AE688" t="s">
        <v>36</v>
      </c>
    </row>
    <row r="689" spans="1:31" x14ac:dyDescent="0.3">
      <c r="A689">
        <v>10193</v>
      </c>
      <c r="B689">
        <v>42</v>
      </c>
      <c r="C689">
        <v>59.33</v>
      </c>
      <c r="D689">
        <v>13</v>
      </c>
      <c r="E689" s="4" t="str">
        <f t="shared" si="60"/>
        <v>low sales</v>
      </c>
      <c r="F689">
        <v>2491.86</v>
      </c>
      <c r="G689" t="s">
        <v>1361</v>
      </c>
      <c r="H689" s="1" t="str">
        <f t="shared" si="61"/>
        <v>Shipped</v>
      </c>
      <c r="I689" s="4" t="str">
        <f t="shared" si="62"/>
        <v>completed</v>
      </c>
      <c r="J689" t="s">
        <v>25</v>
      </c>
      <c r="K689">
        <v>4</v>
      </c>
      <c r="L689">
        <v>11</v>
      </c>
      <c r="M689">
        <v>2003</v>
      </c>
      <c r="N689" t="s">
        <v>550</v>
      </c>
      <c r="O689">
        <v>60</v>
      </c>
      <c r="P689" t="s">
        <v>588</v>
      </c>
      <c r="Q689" t="s">
        <v>558</v>
      </c>
      <c r="R689" t="s">
        <v>559</v>
      </c>
      <c r="S689" t="s">
        <v>560</v>
      </c>
      <c r="U689" s="1" t="str">
        <f t="shared" si="63"/>
        <v>Glen Waverly</v>
      </c>
      <c r="V689" t="s">
        <v>561</v>
      </c>
      <c r="W689" t="s">
        <v>94</v>
      </c>
      <c r="X689">
        <v>3150</v>
      </c>
      <c r="Y689" s="1" t="str">
        <f t="shared" si="64"/>
        <v>AUSTRALIA</v>
      </c>
      <c r="Z689" s="4" t="str">
        <f t="shared" si="65"/>
        <v>Australia</v>
      </c>
      <c r="AA689" t="s">
        <v>95</v>
      </c>
      <c r="AB689" t="s">
        <v>96</v>
      </c>
      <c r="AC689" t="s">
        <v>562</v>
      </c>
      <c r="AD689" t="s">
        <v>563</v>
      </c>
      <c r="AE689" t="s">
        <v>36</v>
      </c>
    </row>
    <row r="690" spans="1:31" x14ac:dyDescent="0.3">
      <c r="A690">
        <v>10204</v>
      </c>
      <c r="B690">
        <v>23</v>
      </c>
      <c r="C690">
        <v>71.44</v>
      </c>
      <c r="D690">
        <v>3</v>
      </c>
      <c r="E690" s="4" t="str">
        <f t="shared" si="60"/>
        <v>low sales</v>
      </c>
      <c r="F690">
        <v>1643.12</v>
      </c>
      <c r="G690" t="s">
        <v>1362</v>
      </c>
      <c r="H690" s="1" t="str">
        <f t="shared" si="61"/>
        <v>Shipped</v>
      </c>
      <c r="I690" s="4" t="str">
        <f t="shared" si="62"/>
        <v>completed</v>
      </c>
      <c r="J690" t="s">
        <v>25</v>
      </c>
      <c r="K690">
        <v>4</v>
      </c>
      <c r="L690">
        <v>12</v>
      </c>
      <c r="M690">
        <v>2003</v>
      </c>
      <c r="N690" t="s">
        <v>550</v>
      </c>
      <c r="O690">
        <v>60</v>
      </c>
      <c r="P690" t="s">
        <v>588</v>
      </c>
      <c r="Q690" t="s">
        <v>475</v>
      </c>
      <c r="R690">
        <v>2125557413</v>
      </c>
      <c r="S690" t="s">
        <v>476</v>
      </c>
      <c r="T690" t="s">
        <v>477</v>
      </c>
      <c r="U690" s="1" t="str">
        <f t="shared" si="63"/>
        <v>Nyc</v>
      </c>
      <c r="V690" t="s">
        <v>30</v>
      </c>
      <c r="W690" t="s">
        <v>31</v>
      </c>
      <c r="X690">
        <v>10022</v>
      </c>
      <c r="Y690" s="1" t="str">
        <f t="shared" si="64"/>
        <v>USA</v>
      </c>
      <c r="Z690" s="4" t="str">
        <f t="shared" si="65"/>
        <v>Usa</v>
      </c>
      <c r="AA690" t="s">
        <v>32</v>
      </c>
      <c r="AB690" t="s">
        <v>33</v>
      </c>
      <c r="AC690" t="s">
        <v>56</v>
      </c>
      <c r="AD690" t="s">
        <v>478</v>
      </c>
      <c r="AE690" t="s">
        <v>36</v>
      </c>
    </row>
    <row r="691" spans="1:31" x14ac:dyDescent="0.3">
      <c r="A691">
        <v>10214</v>
      </c>
      <c r="B691">
        <v>21</v>
      </c>
      <c r="C691">
        <v>62.96</v>
      </c>
      <c r="D691">
        <v>6</v>
      </c>
      <c r="E691" s="4" t="str">
        <f t="shared" si="60"/>
        <v>low sales</v>
      </c>
      <c r="F691">
        <v>1322.16</v>
      </c>
      <c r="G691" t="s">
        <v>1363</v>
      </c>
      <c r="H691" s="1" t="str">
        <f t="shared" si="61"/>
        <v>Shipped</v>
      </c>
      <c r="I691" s="4" t="str">
        <f t="shared" si="62"/>
        <v>completed</v>
      </c>
      <c r="J691" t="s">
        <v>25</v>
      </c>
      <c r="K691">
        <v>1</v>
      </c>
      <c r="L691">
        <v>1</v>
      </c>
      <c r="M691">
        <v>2004</v>
      </c>
      <c r="N691" t="s">
        <v>550</v>
      </c>
      <c r="O691">
        <v>60</v>
      </c>
      <c r="P691" t="s">
        <v>588</v>
      </c>
      <c r="Q691" t="s">
        <v>191</v>
      </c>
      <c r="R691" t="s">
        <v>192</v>
      </c>
      <c r="S691" t="s">
        <v>193</v>
      </c>
      <c r="U691" s="1" t="str">
        <f t="shared" si="63"/>
        <v>Madrid</v>
      </c>
      <c r="V691" t="s">
        <v>177</v>
      </c>
      <c r="X691">
        <v>28023</v>
      </c>
      <c r="Y691" s="1" t="str">
        <f t="shared" si="64"/>
        <v>SPAIN</v>
      </c>
      <c r="Z691" s="4" t="str">
        <f t="shared" si="65"/>
        <v>Spain</v>
      </c>
      <c r="AA691" t="s">
        <v>178</v>
      </c>
      <c r="AB691" t="s">
        <v>42</v>
      </c>
      <c r="AC691" t="s">
        <v>194</v>
      </c>
      <c r="AD691" t="s">
        <v>195</v>
      </c>
      <c r="AE691" t="s">
        <v>36</v>
      </c>
    </row>
    <row r="692" spans="1:31" x14ac:dyDescent="0.3">
      <c r="A692">
        <v>10227</v>
      </c>
      <c r="B692">
        <v>28</v>
      </c>
      <c r="C692">
        <v>50.85</v>
      </c>
      <c r="D692">
        <v>9</v>
      </c>
      <c r="E692" s="4" t="str">
        <f t="shared" si="60"/>
        <v>low sales</v>
      </c>
      <c r="F692">
        <v>1423.8</v>
      </c>
      <c r="G692" t="s">
        <v>1364</v>
      </c>
      <c r="H692" s="1" t="str">
        <f t="shared" si="61"/>
        <v>Shipped</v>
      </c>
      <c r="I692" s="4" t="str">
        <f t="shared" si="62"/>
        <v>completed</v>
      </c>
      <c r="J692" t="s">
        <v>25</v>
      </c>
      <c r="K692">
        <v>1</v>
      </c>
      <c r="L692">
        <v>3</v>
      </c>
      <c r="M692">
        <v>2004</v>
      </c>
      <c r="N692" t="s">
        <v>550</v>
      </c>
      <c r="O692">
        <v>60</v>
      </c>
      <c r="P692" t="s">
        <v>588</v>
      </c>
      <c r="Q692" t="s">
        <v>219</v>
      </c>
      <c r="R692" t="s">
        <v>220</v>
      </c>
      <c r="S692" t="s">
        <v>221</v>
      </c>
      <c r="U692" s="1" t="str">
        <f t="shared" si="63"/>
        <v>Lyon</v>
      </c>
      <c r="V692" t="s">
        <v>222</v>
      </c>
      <c r="X692">
        <v>69004</v>
      </c>
      <c r="Y692" s="1" t="str">
        <f t="shared" si="64"/>
        <v>FRANCE</v>
      </c>
      <c r="Z692" s="4" t="str">
        <f t="shared" si="65"/>
        <v>France</v>
      </c>
      <c r="AA692" t="s">
        <v>41</v>
      </c>
      <c r="AB692" t="s">
        <v>42</v>
      </c>
      <c r="AC692" t="s">
        <v>223</v>
      </c>
      <c r="AD692" t="s">
        <v>224</v>
      </c>
      <c r="AE692" t="s">
        <v>36</v>
      </c>
    </row>
    <row r="693" spans="1:31" x14ac:dyDescent="0.3">
      <c r="A693">
        <v>10241</v>
      </c>
      <c r="B693">
        <v>33</v>
      </c>
      <c r="C693">
        <v>72.650000000000006</v>
      </c>
      <c r="D693">
        <v>1</v>
      </c>
      <c r="E693" s="4" t="str">
        <f t="shared" si="60"/>
        <v>low sales</v>
      </c>
      <c r="F693">
        <v>2397.4499999999998</v>
      </c>
      <c r="G693" t="s">
        <v>1365</v>
      </c>
      <c r="H693" s="1" t="str">
        <f t="shared" si="61"/>
        <v>Shipped</v>
      </c>
      <c r="I693" s="4" t="str">
        <f t="shared" si="62"/>
        <v>completed</v>
      </c>
      <c r="J693" t="s">
        <v>25</v>
      </c>
      <c r="K693">
        <v>2</v>
      </c>
      <c r="L693">
        <v>4</v>
      </c>
      <c r="M693">
        <v>2004</v>
      </c>
      <c r="N693" t="s">
        <v>550</v>
      </c>
      <c r="O693">
        <v>60</v>
      </c>
      <c r="P693" t="s">
        <v>588</v>
      </c>
      <c r="Q693" t="s">
        <v>531</v>
      </c>
      <c r="R693" t="s">
        <v>532</v>
      </c>
      <c r="S693" t="s">
        <v>533</v>
      </c>
      <c r="U693" s="1" t="str">
        <f t="shared" si="63"/>
        <v>Strasbourg</v>
      </c>
      <c r="V693" t="s">
        <v>534</v>
      </c>
      <c r="X693">
        <v>67000</v>
      </c>
      <c r="Y693" s="1" t="str">
        <f t="shared" si="64"/>
        <v>FRANCE</v>
      </c>
      <c r="Z693" s="4" t="str">
        <f t="shared" si="65"/>
        <v>France</v>
      </c>
      <c r="AA693" t="s">
        <v>41</v>
      </c>
      <c r="AB693" t="s">
        <v>42</v>
      </c>
      <c r="AC693" t="s">
        <v>535</v>
      </c>
      <c r="AD693" t="s">
        <v>536</v>
      </c>
      <c r="AE693" t="s">
        <v>36</v>
      </c>
    </row>
    <row r="694" spans="1:31" x14ac:dyDescent="0.3">
      <c r="A694">
        <v>10280</v>
      </c>
      <c r="B694">
        <v>25</v>
      </c>
      <c r="C694">
        <v>62.96</v>
      </c>
      <c r="D694">
        <v>15</v>
      </c>
      <c r="E694" s="4" t="str">
        <f t="shared" si="60"/>
        <v>low sales</v>
      </c>
      <c r="F694">
        <v>1574</v>
      </c>
      <c r="G694" t="s">
        <v>1366</v>
      </c>
      <c r="H694" s="1" t="str">
        <f t="shared" si="61"/>
        <v>Shipped</v>
      </c>
      <c r="I694" s="4" t="str">
        <f t="shared" si="62"/>
        <v>completed</v>
      </c>
      <c r="J694" t="s">
        <v>25</v>
      </c>
      <c r="K694">
        <v>3</v>
      </c>
      <c r="L694">
        <v>8</v>
      </c>
      <c r="M694">
        <v>2004</v>
      </c>
      <c r="N694" t="s">
        <v>550</v>
      </c>
      <c r="O694">
        <v>60</v>
      </c>
      <c r="P694" t="s">
        <v>588</v>
      </c>
      <c r="Q694" t="s">
        <v>254</v>
      </c>
      <c r="R694" t="s">
        <v>255</v>
      </c>
      <c r="S694" t="s">
        <v>256</v>
      </c>
      <c r="U694" s="1" t="str">
        <f t="shared" si="63"/>
        <v>Torino</v>
      </c>
      <c r="V694" t="s">
        <v>257</v>
      </c>
      <c r="X694">
        <v>10100</v>
      </c>
      <c r="Y694" s="1" t="str">
        <f t="shared" si="64"/>
        <v>ITALY</v>
      </c>
      <c r="Z694" s="4" t="str">
        <f t="shared" si="65"/>
        <v>Italy</v>
      </c>
      <c r="AA694" t="s">
        <v>258</v>
      </c>
      <c r="AB694" t="s">
        <v>42</v>
      </c>
      <c r="AC694" t="s">
        <v>259</v>
      </c>
      <c r="AD694" t="s">
        <v>260</v>
      </c>
      <c r="AE694" t="s">
        <v>36</v>
      </c>
    </row>
    <row r="695" spans="1:31" x14ac:dyDescent="0.3">
      <c r="A695">
        <v>10288</v>
      </c>
      <c r="B695">
        <v>28</v>
      </c>
      <c r="C695">
        <v>61.75</v>
      </c>
      <c r="D695">
        <v>4</v>
      </c>
      <c r="E695" s="4" t="str">
        <f t="shared" si="60"/>
        <v>low sales</v>
      </c>
      <c r="F695">
        <v>1729</v>
      </c>
      <c r="G695" t="s">
        <v>1367</v>
      </c>
      <c r="H695" s="1" t="str">
        <f t="shared" si="61"/>
        <v>Shipped</v>
      </c>
      <c r="I695" s="4" t="str">
        <f t="shared" si="62"/>
        <v>completed</v>
      </c>
      <c r="J695" t="s">
        <v>25</v>
      </c>
      <c r="K695">
        <v>3</v>
      </c>
      <c r="L695">
        <v>9</v>
      </c>
      <c r="M695">
        <v>2004</v>
      </c>
      <c r="N695" t="s">
        <v>550</v>
      </c>
      <c r="O695">
        <v>60</v>
      </c>
      <c r="P695" t="s">
        <v>588</v>
      </c>
      <c r="Q695" t="s">
        <v>418</v>
      </c>
      <c r="R695" t="s">
        <v>419</v>
      </c>
      <c r="S695" t="s">
        <v>420</v>
      </c>
      <c r="T695" t="s">
        <v>421</v>
      </c>
      <c r="U695" s="1" t="str">
        <f t="shared" si="63"/>
        <v>Singapore</v>
      </c>
      <c r="V695" t="s">
        <v>199</v>
      </c>
      <c r="X695">
        <v>69045</v>
      </c>
      <c r="Y695" s="1" t="str">
        <f t="shared" si="64"/>
        <v>SINGAPORE</v>
      </c>
      <c r="Z695" s="4" t="str">
        <f t="shared" si="65"/>
        <v>Singapore</v>
      </c>
      <c r="AA695" t="s">
        <v>199</v>
      </c>
      <c r="AB695" t="s">
        <v>96</v>
      </c>
      <c r="AC695" t="s">
        <v>422</v>
      </c>
      <c r="AD695" t="s">
        <v>423</v>
      </c>
      <c r="AE695" t="s">
        <v>36</v>
      </c>
    </row>
    <row r="696" spans="1:31" x14ac:dyDescent="0.3">
      <c r="A696">
        <v>10303</v>
      </c>
      <c r="B696">
        <v>46</v>
      </c>
      <c r="C696">
        <v>49.04</v>
      </c>
      <c r="D696">
        <v>2</v>
      </c>
      <c r="E696" s="4" t="str">
        <f t="shared" si="60"/>
        <v>low sales</v>
      </c>
      <c r="F696">
        <v>2255.84</v>
      </c>
      <c r="G696" t="s">
        <v>1368</v>
      </c>
      <c r="H696" s="1" t="str">
        <f t="shared" si="61"/>
        <v>Shipped</v>
      </c>
      <c r="I696" s="4" t="str">
        <f t="shared" si="62"/>
        <v>completed</v>
      </c>
      <c r="J696" t="s">
        <v>25</v>
      </c>
      <c r="K696">
        <v>4</v>
      </c>
      <c r="L696">
        <v>10</v>
      </c>
      <c r="M696">
        <v>2004</v>
      </c>
      <c r="N696" t="s">
        <v>550</v>
      </c>
      <c r="O696">
        <v>60</v>
      </c>
      <c r="P696" t="s">
        <v>588</v>
      </c>
      <c r="Q696" t="s">
        <v>520</v>
      </c>
      <c r="R696" t="s">
        <v>521</v>
      </c>
      <c r="S696" t="s">
        <v>522</v>
      </c>
      <c r="U696" s="1" t="str">
        <f t="shared" si="63"/>
        <v>Sevilla</v>
      </c>
      <c r="V696" t="s">
        <v>523</v>
      </c>
      <c r="X696">
        <v>41101</v>
      </c>
      <c r="Y696" s="1" t="str">
        <f t="shared" si="64"/>
        <v>SPAIN</v>
      </c>
      <c r="Z696" s="4" t="str">
        <f t="shared" si="65"/>
        <v>Spain</v>
      </c>
      <c r="AA696" t="s">
        <v>178</v>
      </c>
      <c r="AB696" t="s">
        <v>42</v>
      </c>
      <c r="AC696" t="s">
        <v>524</v>
      </c>
      <c r="AD696" t="s">
        <v>525</v>
      </c>
      <c r="AE696" t="s">
        <v>36</v>
      </c>
    </row>
    <row r="697" spans="1:31" x14ac:dyDescent="0.3">
      <c r="A697">
        <v>10312</v>
      </c>
      <c r="B697">
        <v>30</v>
      </c>
      <c r="C697">
        <v>61.15</v>
      </c>
      <c r="D697">
        <v>16</v>
      </c>
      <c r="E697" s="4" t="str">
        <f t="shared" si="60"/>
        <v>low sales</v>
      </c>
      <c r="F697">
        <v>1834.5</v>
      </c>
      <c r="G697" t="s">
        <v>1369</v>
      </c>
      <c r="H697" s="1" t="str">
        <f t="shared" si="61"/>
        <v>Shipped</v>
      </c>
      <c r="I697" s="4" t="str">
        <f t="shared" si="62"/>
        <v>completed</v>
      </c>
      <c r="J697" t="s">
        <v>25</v>
      </c>
      <c r="K697">
        <v>4</v>
      </c>
      <c r="L697">
        <v>10</v>
      </c>
      <c r="M697">
        <v>2004</v>
      </c>
      <c r="N697" t="s">
        <v>550</v>
      </c>
      <c r="O697">
        <v>60</v>
      </c>
      <c r="P697" t="s">
        <v>588</v>
      </c>
      <c r="Q697" t="s">
        <v>272</v>
      </c>
      <c r="R697">
        <v>4155551450</v>
      </c>
      <c r="S697" t="s">
        <v>273</v>
      </c>
      <c r="U697" s="1" t="str">
        <f t="shared" si="63"/>
        <v>San Rafael</v>
      </c>
      <c r="V697" t="s">
        <v>274</v>
      </c>
      <c r="W697" t="s">
        <v>55</v>
      </c>
      <c r="X697">
        <v>97562</v>
      </c>
      <c r="Y697" s="1" t="str">
        <f t="shared" si="64"/>
        <v>USA</v>
      </c>
      <c r="Z697" s="4" t="str">
        <f t="shared" si="65"/>
        <v>Usa</v>
      </c>
      <c r="AA697" t="s">
        <v>32</v>
      </c>
      <c r="AB697" t="s">
        <v>33</v>
      </c>
      <c r="AC697" t="s">
        <v>275</v>
      </c>
      <c r="AD697" t="s">
        <v>276</v>
      </c>
      <c r="AE697" t="s">
        <v>36</v>
      </c>
    </row>
    <row r="698" spans="1:31" x14ac:dyDescent="0.3">
      <c r="A698">
        <v>10332</v>
      </c>
      <c r="B698">
        <v>38</v>
      </c>
      <c r="C698">
        <v>84.25</v>
      </c>
      <c r="D698">
        <v>9</v>
      </c>
      <c r="E698" s="4" t="str">
        <f t="shared" si="60"/>
        <v>low sales</v>
      </c>
      <c r="F698">
        <v>3201.5</v>
      </c>
      <c r="G698" t="s">
        <v>1370</v>
      </c>
      <c r="H698" s="1" t="str">
        <f t="shared" si="61"/>
        <v>Shipped</v>
      </c>
      <c r="I698" s="4" t="str">
        <f t="shared" si="62"/>
        <v>completed</v>
      </c>
      <c r="J698" t="s">
        <v>25</v>
      </c>
      <c r="K698">
        <v>4</v>
      </c>
      <c r="L698">
        <v>11</v>
      </c>
      <c r="M698">
        <v>2004</v>
      </c>
      <c r="N698" t="s">
        <v>550</v>
      </c>
      <c r="O698">
        <v>60</v>
      </c>
      <c r="P698" t="s">
        <v>588</v>
      </c>
      <c r="Q698" t="s">
        <v>492</v>
      </c>
      <c r="R698" t="s">
        <v>493</v>
      </c>
      <c r="S698" t="s">
        <v>494</v>
      </c>
      <c r="U698" s="1" t="str">
        <f t="shared" si="63"/>
        <v>Manchester</v>
      </c>
      <c r="V698" t="s">
        <v>495</v>
      </c>
      <c r="X698" t="s">
        <v>496</v>
      </c>
      <c r="Y698" s="1" t="str">
        <f t="shared" si="64"/>
        <v>UK</v>
      </c>
      <c r="Z698" s="4" t="str">
        <f t="shared" si="65"/>
        <v>Uk</v>
      </c>
      <c r="AA698" t="s">
        <v>170</v>
      </c>
      <c r="AB698" t="s">
        <v>42</v>
      </c>
      <c r="AC698" t="s">
        <v>497</v>
      </c>
      <c r="AD698" t="s">
        <v>94</v>
      </c>
      <c r="AE698" t="s">
        <v>51</v>
      </c>
    </row>
    <row r="699" spans="1:31" x14ac:dyDescent="0.3">
      <c r="A699">
        <v>10344</v>
      </c>
      <c r="B699">
        <v>40</v>
      </c>
      <c r="C699">
        <v>56.91</v>
      </c>
      <c r="D699">
        <v>2</v>
      </c>
      <c r="E699" s="4" t="str">
        <f t="shared" si="60"/>
        <v>low sales</v>
      </c>
      <c r="F699">
        <v>2276.4</v>
      </c>
      <c r="G699" t="s">
        <v>1371</v>
      </c>
      <c r="H699" s="1" t="str">
        <f t="shared" si="61"/>
        <v>Shipped</v>
      </c>
      <c r="I699" s="4" t="str">
        <f t="shared" si="62"/>
        <v>completed</v>
      </c>
      <c r="J699" t="s">
        <v>25</v>
      </c>
      <c r="K699">
        <v>4</v>
      </c>
      <c r="L699">
        <v>11</v>
      </c>
      <c r="M699">
        <v>2004</v>
      </c>
      <c r="N699" t="s">
        <v>550</v>
      </c>
      <c r="O699">
        <v>60</v>
      </c>
      <c r="P699" t="s">
        <v>588</v>
      </c>
      <c r="Q699" t="s">
        <v>433</v>
      </c>
      <c r="R699" t="s">
        <v>434</v>
      </c>
      <c r="S699" t="s">
        <v>435</v>
      </c>
      <c r="U699" s="1" t="str">
        <f t="shared" si="63"/>
        <v>Marseille</v>
      </c>
      <c r="V699" t="s">
        <v>436</v>
      </c>
      <c r="X699">
        <v>13008</v>
      </c>
      <c r="Y699" s="1" t="str">
        <f t="shared" si="64"/>
        <v>FRANCE</v>
      </c>
      <c r="Z699" s="4" t="str">
        <f t="shared" si="65"/>
        <v>France</v>
      </c>
      <c r="AA699" t="s">
        <v>41</v>
      </c>
      <c r="AB699" t="s">
        <v>42</v>
      </c>
      <c r="AC699" t="s">
        <v>437</v>
      </c>
      <c r="AD699" t="s">
        <v>438</v>
      </c>
      <c r="AE699" t="s">
        <v>36</v>
      </c>
    </row>
    <row r="700" spans="1:31" x14ac:dyDescent="0.3">
      <c r="A700">
        <v>10367</v>
      </c>
      <c r="B700">
        <v>45</v>
      </c>
      <c r="C700">
        <v>100</v>
      </c>
      <c r="D700">
        <v>4</v>
      </c>
      <c r="E700" s="4" t="str">
        <f t="shared" si="60"/>
        <v>high sales</v>
      </c>
      <c r="F700">
        <v>8884.7999999999993</v>
      </c>
      <c r="G700" t="s">
        <v>1372</v>
      </c>
      <c r="H700" s="1" t="str">
        <f t="shared" si="61"/>
        <v>Resolved</v>
      </c>
      <c r="I700" s="4" t="str">
        <f t="shared" si="62"/>
        <v>not completed</v>
      </c>
      <c r="J700" t="s">
        <v>408</v>
      </c>
      <c r="K700">
        <v>1</v>
      </c>
      <c r="L700">
        <v>1</v>
      </c>
      <c r="M700">
        <v>2005</v>
      </c>
      <c r="N700" t="s">
        <v>550</v>
      </c>
      <c r="O700">
        <v>60</v>
      </c>
      <c r="P700" t="s">
        <v>588</v>
      </c>
      <c r="Q700" t="s">
        <v>52</v>
      </c>
      <c r="R700">
        <v>6265557265</v>
      </c>
      <c r="S700" t="s">
        <v>53</v>
      </c>
      <c r="U700" s="1" t="str">
        <f t="shared" si="63"/>
        <v>Pasadena</v>
      </c>
      <c r="V700" t="s">
        <v>54</v>
      </c>
      <c r="W700" t="s">
        <v>55</v>
      </c>
      <c r="X700">
        <v>90003</v>
      </c>
      <c r="Y700" s="1" t="str">
        <f t="shared" si="64"/>
        <v>USA</v>
      </c>
      <c r="Z700" s="4" t="str">
        <f t="shared" si="65"/>
        <v>Usa</v>
      </c>
      <c r="AA700" t="s">
        <v>32</v>
      </c>
      <c r="AB700" t="s">
        <v>33</v>
      </c>
      <c r="AC700" t="s">
        <v>56</v>
      </c>
      <c r="AD700" t="s">
        <v>57</v>
      </c>
      <c r="AE700" t="s">
        <v>151</v>
      </c>
    </row>
    <row r="701" spans="1:31" x14ac:dyDescent="0.3">
      <c r="A701">
        <v>10379</v>
      </c>
      <c r="B701">
        <v>27</v>
      </c>
      <c r="C701">
        <v>49.3</v>
      </c>
      <c r="D701">
        <v>1</v>
      </c>
      <c r="E701" s="4" t="str">
        <f t="shared" si="60"/>
        <v>low sales</v>
      </c>
      <c r="F701">
        <v>1331.1</v>
      </c>
      <c r="G701" t="s">
        <v>1373</v>
      </c>
      <c r="H701" s="1" t="str">
        <f t="shared" si="61"/>
        <v>Shipped</v>
      </c>
      <c r="I701" s="4" t="str">
        <f t="shared" si="62"/>
        <v>completed</v>
      </c>
      <c r="J701" t="s">
        <v>25</v>
      </c>
      <c r="K701">
        <v>1</v>
      </c>
      <c r="L701">
        <v>2</v>
      </c>
      <c r="M701">
        <v>2005</v>
      </c>
      <c r="N701" t="s">
        <v>550</v>
      </c>
      <c r="O701">
        <v>60</v>
      </c>
      <c r="P701" t="s">
        <v>588</v>
      </c>
      <c r="Q701" t="s">
        <v>174</v>
      </c>
      <c r="R701" t="s">
        <v>175</v>
      </c>
      <c r="S701" t="s">
        <v>176</v>
      </c>
      <c r="U701" s="1" t="str">
        <f t="shared" si="63"/>
        <v>Madrid</v>
      </c>
      <c r="V701" t="s">
        <v>177</v>
      </c>
      <c r="X701">
        <v>28034</v>
      </c>
      <c r="Y701" s="1" t="str">
        <f t="shared" si="64"/>
        <v>SPAIN</v>
      </c>
      <c r="Z701" s="4" t="str">
        <f t="shared" si="65"/>
        <v>Spain</v>
      </c>
      <c r="AA701" t="s">
        <v>178</v>
      </c>
      <c r="AB701" t="s">
        <v>42</v>
      </c>
      <c r="AC701" t="s">
        <v>179</v>
      </c>
      <c r="AD701" t="s">
        <v>180</v>
      </c>
      <c r="AE701" t="s">
        <v>36</v>
      </c>
    </row>
    <row r="702" spans="1:31" x14ac:dyDescent="0.3">
      <c r="A702">
        <v>10407</v>
      </c>
      <c r="B702">
        <v>42</v>
      </c>
      <c r="C702">
        <v>72.650000000000006</v>
      </c>
      <c r="D702">
        <v>1</v>
      </c>
      <c r="E702" s="4" t="str">
        <f t="shared" si="60"/>
        <v>low sales</v>
      </c>
      <c r="F702">
        <v>3051.3</v>
      </c>
      <c r="G702" t="s">
        <v>1374</v>
      </c>
      <c r="H702" s="1" t="str">
        <f t="shared" si="61"/>
        <v>On Hold</v>
      </c>
      <c r="I702" s="4" t="str">
        <f t="shared" si="62"/>
        <v>not completed</v>
      </c>
      <c r="J702" t="s">
        <v>401</v>
      </c>
      <c r="K702">
        <v>2</v>
      </c>
      <c r="L702">
        <v>4</v>
      </c>
      <c r="M702">
        <v>2005</v>
      </c>
      <c r="N702" t="s">
        <v>550</v>
      </c>
      <c r="O702">
        <v>60</v>
      </c>
      <c r="P702" t="s">
        <v>588</v>
      </c>
      <c r="Q702" t="s">
        <v>397</v>
      </c>
      <c r="R702">
        <v>4085553659</v>
      </c>
      <c r="S702" t="s">
        <v>398</v>
      </c>
      <c r="U702" s="1" t="str">
        <f t="shared" si="63"/>
        <v>San Jose</v>
      </c>
      <c r="V702" t="s">
        <v>399</v>
      </c>
      <c r="W702" t="s">
        <v>55</v>
      </c>
      <c r="X702">
        <v>94217</v>
      </c>
      <c r="Y702" s="1" t="str">
        <f t="shared" si="64"/>
        <v>USA</v>
      </c>
      <c r="Z702" s="4" t="str">
        <f t="shared" si="65"/>
        <v>Usa</v>
      </c>
      <c r="AA702" t="s">
        <v>32</v>
      </c>
      <c r="AB702" t="s">
        <v>33</v>
      </c>
      <c r="AC702" t="s">
        <v>102</v>
      </c>
      <c r="AD702" t="s">
        <v>400</v>
      </c>
      <c r="AE702" t="s">
        <v>51</v>
      </c>
    </row>
    <row r="703" spans="1:31" x14ac:dyDescent="0.3">
      <c r="A703">
        <v>10420</v>
      </c>
      <c r="B703">
        <v>36</v>
      </c>
      <c r="C703">
        <v>63.57</v>
      </c>
      <c r="D703">
        <v>4</v>
      </c>
      <c r="E703" s="4" t="str">
        <f t="shared" si="60"/>
        <v>low sales</v>
      </c>
      <c r="F703">
        <v>2288.52</v>
      </c>
      <c r="G703" t="s">
        <v>1375</v>
      </c>
      <c r="H703" s="1" t="str">
        <f t="shared" si="61"/>
        <v>In Process</v>
      </c>
      <c r="I703" s="4" t="str">
        <f t="shared" si="62"/>
        <v>not completed</v>
      </c>
      <c r="J703" t="s">
        <v>300</v>
      </c>
      <c r="K703">
        <v>2</v>
      </c>
      <c r="L703">
        <v>5</v>
      </c>
      <c r="M703">
        <v>2005</v>
      </c>
      <c r="N703" t="s">
        <v>550</v>
      </c>
      <c r="O703">
        <v>60</v>
      </c>
      <c r="P703" t="s">
        <v>588</v>
      </c>
      <c r="Q703" t="s">
        <v>152</v>
      </c>
      <c r="R703" t="s">
        <v>153</v>
      </c>
      <c r="S703" t="s">
        <v>154</v>
      </c>
      <c r="T703" t="s">
        <v>155</v>
      </c>
      <c r="U703" s="1" t="str">
        <f t="shared" si="63"/>
        <v>Chatswood</v>
      </c>
      <c r="V703" t="s">
        <v>156</v>
      </c>
      <c r="W703" t="s">
        <v>157</v>
      </c>
      <c r="X703">
        <v>2067</v>
      </c>
      <c r="Y703" s="1" t="str">
        <f t="shared" si="64"/>
        <v>AUSTRALIA</v>
      </c>
      <c r="Z703" s="4" t="str">
        <f t="shared" si="65"/>
        <v>Australia</v>
      </c>
      <c r="AA703" t="s">
        <v>95</v>
      </c>
      <c r="AB703" t="s">
        <v>96</v>
      </c>
      <c r="AC703" t="s">
        <v>158</v>
      </c>
      <c r="AD703" t="s">
        <v>159</v>
      </c>
      <c r="AE703" t="s">
        <v>36</v>
      </c>
    </row>
    <row r="704" spans="1:31" x14ac:dyDescent="0.3">
      <c r="A704">
        <v>10104</v>
      </c>
      <c r="B704">
        <v>29</v>
      </c>
      <c r="C704">
        <v>100</v>
      </c>
      <c r="D704">
        <v>12</v>
      </c>
      <c r="E704" s="4" t="str">
        <f t="shared" si="60"/>
        <v>low sales</v>
      </c>
      <c r="F704">
        <v>3772.61</v>
      </c>
      <c r="G704" t="s">
        <v>1376</v>
      </c>
      <c r="H704" s="1" t="str">
        <f t="shared" si="61"/>
        <v>Shipped</v>
      </c>
      <c r="I704" s="4" t="str">
        <f t="shared" si="62"/>
        <v>completed</v>
      </c>
      <c r="J704" t="s">
        <v>25</v>
      </c>
      <c r="K704">
        <v>1</v>
      </c>
      <c r="L704">
        <v>1</v>
      </c>
      <c r="M704">
        <v>2003</v>
      </c>
      <c r="N704" t="s">
        <v>504</v>
      </c>
      <c r="O704">
        <v>122</v>
      </c>
      <c r="P704" t="s">
        <v>589</v>
      </c>
      <c r="Q704" t="s">
        <v>174</v>
      </c>
      <c r="R704" t="s">
        <v>175</v>
      </c>
      <c r="S704" t="s">
        <v>176</v>
      </c>
      <c r="U704" s="1" t="str">
        <f t="shared" si="63"/>
        <v>Madrid</v>
      </c>
      <c r="V704" t="s">
        <v>177</v>
      </c>
      <c r="X704">
        <v>28034</v>
      </c>
      <c r="Y704" s="1" t="str">
        <f t="shared" si="64"/>
        <v>SPAIN</v>
      </c>
      <c r="Z704" s="4" t="str">
        <f t="shared" si="65"/>
        <v>Spain</v>
      </c>
      <c r="AA704" t="s">
        <v>178</v>
      </c>
      <c r="AB704" t="s">
        <v>42</v>
      </c>
      <c r="AC704" t="s">
        <v>179</v>
      </c>
      <c r="AD704" t="s">
        <v>180</v>
      </c>
      <c r="AE704" t="s">
        <v>51</v>
      </c>
    </row>
    <row r="705" spans="1:31" x14ac:dyDescent="0.3">
      <c r="A705">
        <v>10114</v>
      </c>
      <c r="B705">
        <v>39</v>
      </c>
      <c r="C705">
        <v>100</v>
      </c>
      <c r="D705">
        <v>3</v>
      </c>
      <c r="E705" s="4" t="str">
        <f t="shared" si="60"/>
        <v>high sales</v>
      </c>
      <c r="F705">
        <v>4164.42</v>
      </c>
      <c r="G705" t="s">
        <v>1377</v>
      </c>
      <c r="H705" s="1" t="str">
        <f t="shared" si="61"/>
        <v>Shipped</v>
      </c>
      <c r="I705" s="4" t="str">
        <f t="shared" si="62"/>
        <v>completed</v>
      </c>
      <c r="J705" t="s">
        <v>25</v>
      </c>
      <c r="K705">
        <v>2</v>
      </c>
      <c r="L705">
        <v>4</v>
      </c>
      <c r="M705">
        <v>2003</v>
      </c>
      <c r="N705" t="s">
        <v>504</v>
      </c>
      <c r="O705">
        <v>122</v>
      </c>
      <c r="P705" t="s">
        <v>589</v>
      </c>
      <c r="Q705" t="s">
        <v>403</v>
      </c>
      <c r="R705" t="s">
        <v>404</v>
      </c>
      <c r="S705" t="s">
        <v>405</v>
      </c>
      <c r="U705" s="1" t="str">
        <f t="shared" si="63"/>
        <v>Paris</v>
      </c>
      <c r="V705" t="s">
        <v>48</v>
      </c>
      <c r="X705">
        <v>75012</v>
      </c>
      <c r="Y705" s="1" t="str">
        <f t="shared" si="64"/>
        <v>FRANCE</v>
      </c>
      <c r="Z705" s="4" t="str">
        <f t="shared" si="65"/>
        <v>France</v>
      </c>
      <c r="AA705" t="s">
        <v>41</v>
      </c>
      <c r="AB705" t="s">
        <v>42</v>
      </c>
      <c r="AC705" t="s">
        <v>406</v>
      </c>
      <c r="AD705" t="s">
        <v>407</v>
      </c>
      <c r="AE705" t="s">
        <v>51</v>
      </c>
    </row>
    <row r="706" spans="1:31" x14ac:dyDescent="0.3">
      <c r="A706">
        <v>10127</v>
      </c>
      <c r="B706">
        <v>45</v>
      </c>
      <c r="C706">
        <v>100</v>
      </c>
      <c r="D706">
        <v>14</v>
      </c>
      <c r="E706" s="4" t="str">
        <f t="shared" si="60"/>
        <v>high sales</v>
      </c>
      <c r="F706">
        <v>6295.95</v>
      </c>
      <c r="G706" t="s">
        <v>1378</v>
      </c>
      <c r="H706" s="1" t="str">
        <f t="shared" si="61"/>
        <v>Shipped</v>
      </c>
      <c r="I706" s="4" t="str">
        <f t="shared" si="62"/>
        <v>completed</v>
      </c>
      <c r="J706" t="s">
        <v>25</v>
      </c>
      <c r="K706">
        <v>2</v>
      </c>
      <c r="L706">
        <v>6</v>
      </c>
      <c r="M706">
        <v>2003</v>
      </c>
      <c r="N706" t="s">
        <v>504</v>
      </c>
      <c r="O706">
        <v>122</v>
      </c>
      <c r="P706" t="s">
        <v>589</v>
      </c>
      <c r="Q706" t="s">
        <v>475</v>
      </c>
      <c r="R706">
        <v>2125557413</v>
      </c>
      <c r="S706" t="s">
        <v>476</v>
      </c>
      <c r="T706" t="s">
        <v>477</v>
      </c>
      <c r="U706" s="1" t="str">
        <f t="shared" si="63"/>
        <v>Nyc</v>
      </c>
      <c r="V706" t="s">
        <v>30</v>
      </c>
      <c r="W706" t="s">
        <v>31</v>
      </c>
      <c r="X706">
        <v>10022</v>
      </c>
      <c r="Y706" s="1" t="str">
        <f t="shared" si="64"/>
        <v>USA</v>
      </c>
      <c r="Z706" s="4" t="str">
        <f t="shared" si="65"/>
        <v>Usa</v>
      </c>
      <c r="AA706" t="s">
        <v>32</v>
      </c>
      <c r="AB706" t="s">
        <v>33</v>
      </c>
      <c r="AC706" t="s">
        <v>56</v>
      </c>
      <c r="AD706" t="s">
        <v>478</v>
      </c>
      <c r="AE706" t="s">
        <v>51</v>
      </c>
    </row>
    <row r="707" spans="1:31" x14ac:dyDescent="0.3">
      <c r="A707">
        <v>10141</v>
      </c>
      <c r="B707">
        <v>47</v>
      </c>
      <c r="C707">
        <v>100</v>
      </c>
      <c r="D707">
        <v>8</v>
      </c>
      <c r="E707" s="4" t="str">
        <f t="shared" ref="E707:E770" si="66">IF(F707&gt;4000,"high sales","low sales")</f>
        <v>high sales</v>
      </c>
      <c r="F707">
        <v>6287.66</v>
      </c>
      <c r="G707" t="s">
        <v>1379</v>
      </c>
      <c r="H707" s="1" t="str">
        <f t="shared" ref="H707:H770" si="67">PROPER(TRIM(J707))</f>
        <v>Shipped</v>
      </c>
      <c r="I707" s="4" t="str">
        <f t="shared" ref="I707:I770" si="68">IF(J707="shipped","completed","not completed")</f>
        <v>completed</v>
      </c>
      <c r="J707" t="s">
        <v>25</v>
      </c>
      <c r="K707">
        <v>3</v>
      </c>
      <c r="L707">
        <v>8</v>
      </c>
      <c r="M707">
        <v>2003</v>
      </c>
      <c r="N707" t="s">
        <v>504</v>
      </c>
      <c r="O707">
        <v>122</v>
      </c>
      <c r="P707" t="s">
        <v>589</v>
      </c>
      <c r="Q707" t="s">
        <v>467</v>
      </c>
      <c r="R707" t="s">
        <v>468</v>
      </c>
      <c r="S707" t="s">
        <v>469</v>
      </c>
      <c r="U707" s="1" t="str">
        <f t="shared" ref="U707:U770" si="69">PROPER(TRIM(V707))</f>
        <v>Espoo</v>
      </c>
      <c r="V707" t="s">
        <v>470</v>
      </c>
      <c r="X707" t="s">
        <v>471</v>
      </c>
      <c r="Y707" s="1" t="str">
        <f t="shared" ref="Y707:Y770" si="70">UPPER(TRIM(AA707))</f>
        <v>FINLAND</v>
      </c>
      <c r="Z707" s="4" t="str">
        <f t="shared" ref="Z707:Z770" si="71">PROPER(TRIM(AA707))</f>
        <v>Finland</v>
      </c>
      <c r="AA707" t="s">
        <v>130</v>
      </c>
      <c r="AB707" t="s">
        <v>42</v>
      </c>
      <c r="AC707" t="s">
        <v>472</v>
      </c>
      <c r="AD707" t="s">
        <v>473</v>
      </c>
      <c r="AE707" t="s">
        <v>51</v>
      </c>
    </row>
    <row r="708" spans="1:31" x14ac:dyDescent="0.3">
      <c r="A708">
        <v>10151</v>
      </c>
      <c r="B708">
        <v>49</v>
      </c>
      <c r="C708">
        <v>100</v>
      </c>
      <c r="D708">
        <v>6</v>
      </c>
      <c r="E708" s="4" t="str">
        <f t="shared" si="66"/>
        <v>high sales</v>
      </c>
      <c r="F708">
        <v>5412.54</v>
      </c>
      <c r="G708" t="s">
        <v>1380</v>
      </c>
      <c r="H708" s="1" t="str">
        <f t="shared" si="67"/>
        <v>Shipped</v>
      </c>
      <c r="I708" s="4" t="str">
        <f t="shared" si="68"/>
        <v>completed</v>
      </c>
      <c r="J708" t="s">
        <v>25</v>
      </c>
      <c r="K708">
        <v>3</v>
      </c>
      <c r="L708">
        <v>9</v>
      </c>
      <c r="M708">
        <v>2003</v>
      </c>
      <c r="N708" t="s">
        <v>504</v>
      </c>
      <c r="O708">
        <v>122</v>
      </c>
      <c r="P708" t="s">
        <v>589</v>
      </c>
      <c r="Q708" t="s">
        <v>391</v>
      </c>
      <c r="R708" t="s">
        <v>392</v>
      </c>
      <c r="S708" t="s">
        <v>393</v>
      </c>
      <c r="U708" s="1" t="str">
        <f t="shared" si="69"/>
        <v>Oulu</v>
      </c>
      <c r="V708" t="s">
        <v>394</v>
      </c>
      <c r="X708">
        <v>90110</v>
      </c>
      <c r="Y708" s="1" t="str">
        <f t="shared" si="70"/>
        <v>FINLAND</v>
      </c>
      <c r="Z708" s="4" t="str">
        <f t="shared" si="71"/>
        <v>Finland</v>
      </c>
      <c r="AA708" t="s">
        <v>130</v>
      </c>
      <c r="AB708" t="s">
        <v>42</v>
      </c>
      <c r="AC708" t="s">
        <v>395</v>
      </c>
      <c r="AD708" t="s">
        <v>396</v>
      </c>
      <c r="AE708" t="s">
        <v>51</v>
      </c>
    </row>
    <row r="709" spans="1:31" x14ac:dyDescent="0.3">
      <c r="A709">
        <v>10165</v>
      </c>
      <c r="B709">
        <v>46</v>
      </c>
      <c r="C709">
        <v>100</v>
      </c>
      <c r="D709">
        <v>15</v>
      </c>
      <c r="E709" s="4" t="str">
        <f t="shared" si="66"/>
        <v>high sales</v>
      </c>
      <c r="F709">
        <v>5984.14</v>
      </c>
      <c r="G709" t="s">
        <v>1381</v>
      </c>
      <c r="H709" s="1" t="str">
        <f t="shared" si="67"/>
        <v>Shipped</v>
      </c>
      <c r="I709" s="4" t="str">
        <f t="shared" si="68"/>
        <v>completed</v>
      </c>
      <c r="J709" t="s">
        <v>25</v>
      </c>
      <c r="K709">
        <v>4</v>
      </c>
      <c r="L709">
        <v>10</v>
      </c>
      <c r="M709">
        <v>2003</v>
      </c>
      <c r="N709" t="s">
        <v>504</v>
      </c>
      <c r="O709">
        <v>122</v>
      </c>
      <c r="P709" t="s">
        <v>589</v>
      </c>
      <c r="Q709" t="s">
        <v>196</v>
      </c>
      <c r="R709" t="s">
        <v>197</v>
      </c>
      <c r="S709" t="s">
        <v>198</v>
      </c>
      <c r="U709" s="1" t="str">
        <f t="shared" si="69"/>
        <v>Singapore</v>
      </c>
      <c r="V709" t="s">
        <v>199</v>
      </c>
      <c r="X709">
        <v>79903</v>
      </c>
      <c r="Y709" s="1" t="str">
        <f t="shared" si="70"/>
        <v>SINGAPORE</v>
      </c>
      <c r="Z709" s="4" t="str">
        <f t="shared" si="71"/>
        <v>Singapore</v>
      </c>
      <c r="AA709" t="s">
        <v>199</v>
      </c>
      <c r="AB709" t="s">
        <v>200</v>
      </c>
      <c r="AC709" t="s">
        <v>201</v>
      </c>
      <c r="AD709" t="s">
        <v>202</v>
      </c>
      <c r="AE709" t="s">
        <v>51</v>
      </c>
    </row>
    <row r="710" spans="1:31" x14ac:dyDescent="0.3">
      <c r="A710">
        <v>10175</v>
      </c>
      <c r="B710">
        <v>48</v>
      </c>
      <c r="C710">
        <v>100</v>
      </c>
      <c r="D710">
        <v>4</v>
      </c>
      <c r="E710" s="4" t="str">
        <f t="shared" si="66"/>
        <v>high sales</v>
      </c>
      <c r="F710">
        <v>5891.04</v>
      </c>
      <c r="G710" t="s">
        <v>1382</v>
      </c>
      <c r="H710" s="1" t="str">
        <f t="shared" si="67"/>
        <v>Shipped</v>
      </c>
      <c r="I710" s="4" t="str">
        <f t="shared" si="68"/>
        <v>completed</v>
      </c>
      <c r="J710" t="s">
        <v>25</v>
      </c>
      <c r="K710">
        <v>4</v>
      </c>
      <c r="L710">
        <v>11</v>
      </c>
      <c r="M710">
        <v>2003</v>
      </c>
      <c r="N710" t="s">
        <v>504</v>
      </c>
      <c r="O710">
        <v>122</v>
      </c>
      <c r="P710" t="s">
        <v>589</v>
      </c>
      <c r="Q710" t="s">
        <v>329</v>
      </c>
      <c r="R710" t="s">
        <v>330</v>
      </c>
      <c r="S710" t="s">
        <v>331</v>
      </c>
      <c r="U710" s="1" t="str">
        <f t="shared" si="69"/>
        <v>London</v>
      </c>
      <c r="V710" t="s">
        <v>332</v>
      </c>
      <c r="X710" t="s">
        <v>333</v>
      </c>
      <c r="Y710" s="1" t="str">
        <f t="shared" si="70"/>
        <v>UK</v>
      </c>
      <c r="Z710" s="4" t="str">
        <f t="shared" si="71"/>
        <v>Uk</v>
      </c>
      <c r="AA710" t="s">
        <v>170</v>
      </c>
      <c r="AB710" t="s">
        <v>42</v>
      </c>
      <c r="AC710" t="s">
        <v>61</v>
      </c>
      <c r="AD710" t="s">
        <v>334</v>
      </c>
      <c r="AE710" t="s">
        <v>51</v>
      </c>
    </row>
    <row r="711" spans="1:31" x14ac:dyDescent="0.3">
      <c r="A711">
        <v>10184</v>
      </c>
      <c r="B711">
        <v>46</v>
      </c>
      <c r="C711">
        <v>100</v>
      </c>
      <c r="D711">
        <v>9</v>
      </c>
      <c r="E711" s="4" t="str">
        <f t="shared" si="66"/>
        <v>high sales</v>
      </c>
      <c r="F711">
        <v>5984.14</v>
      </c>
      <c r="G711" t="s">
        <v>1383</v>
      </c>
      <c r="H711" s="1" t="str">
        <f t="shared" si="67"/>
        <v>Shipped</v>
      </c>
      <c r="I711" s="4" t="str">
        <f t="shared" si="68"/>
        <v>completed</v>
      </c>
      <c r="J711" t="s">
        <v>25</v>
      </c>
      <c r="K711">
        <v>4</v>
      </c>
      <c r="L711">
        <v>11</v>
      </c>
      <c r="M711">
        <v>2003</v>
      </c>
      <c r="N711" t="s">
        <v>504</v>
      </c>
      <c r="O711">
        <v>122</v>
      </c>
      <c r="P711" t="s">
        <v>589</v>
      </c>
      <c r="Q711" t="s">
        <v>520</v>
      </c>
      <c r="R711" t="s">
        <v>521</v>
      </c>
      <c r="S711" t="s">
        <v>522</v>
      </c>
      <c r="U711" s="1" t="str">
        <f t="shared" si="69"/>
        <v>Sevilla</v>
      </c>
      <c r="V711" t="s">
        <v>523</v>
      </c>
      <c r="X711">
        <v>41101</v>
      </c>
      <c r="Y711" s="1" t="str">
        <f t="shared" si="70"/>
        <v>SPAIN</v>
      </c>
      <c r="Z711" s="4" t="str">
        <f t="shared" si="71"/>
        <v>Spain</v>
      </c>
      <c r="AA711" t="s">
        <v>178</v>
      </c>
      <c r="AB711" t="s">
        <v>42</v>
      </c>
      <c r="AC711" t="s">
        <v>524</v>
      </c>
      <c r="AD711" t="s">
        <v>525</v>
      </c>
      <c r="AE711" t="s">
        <v>51</v>
      </c>
    </row>
    <row r="712" spans="1:31" x14ac:dyDescent="0.3">
      <c r="A712">
        <v>10195</v>
      </c>
      <c r="B712">
        <v>35</v>
      </c>
      <c r="C712">
        <v>100</v>
      </c>
      <c r="D712">
        <v>9</v>
      </c>
      <c r="E712" s="4" t="str">
        <f t="shared" si="66"/>
        <v>low sales</v>
      </c>
      <c r="F712">
        <v>3608.15</v>
      </c>
      <c r="G712" t="s">
        <v>1384</v>
      </c>
      <c r="H712" s="1" t="str">
        <f t="shared" si="67"/>
        <v>Shipped</v>
      </c>
      <c r="I712" s="4" t="str">
        <f t="shared" si="68"/>
        <v>completed</v>
      </c>
      <c r="J712" t="s">
        <v>25</v>
      </c>
      <c r="K712">
        <v>4</v>
      </c>
      <c r="L712">
        <v>11</v>
      </c>
      <c r="M712">
        <v>2003</v>
      </c>
      <c r="N712" t="s">
        <v>504</v>
      </c>
      <c r="O712">
        <v>122</v>
      </c>
      <c r="P712" t="s">
        <v>589</v>
      </c>
      <c r="Q712" t="s">
        <v>317</v>
      </c>
      <c r="R712">
        <v>9145554562</v>
      </c>
      <c r="S712" t="s">
        <v>318</v>
      </c>
      <c r="U712" s="1" t="str">
        <f t="shared" si="69"/>
        <v>White Plains</v>
      </c>
      <c r="V712" t="s">
        <v>319</v>
      </c>
      <c r="W712" t="s">
        <v>31</v>
      </c>
      <c r="X712">
        <v>24067</v>
      </c>
      <c r="Y712" s="1" t="str">
        <f t="shared" si="70"/>
        <v>USA</v>
      </c>
      <c r="Z712" s="4" t="str">
        <f t="shared" si="71"/>
        <v>Usa</v>
      </c>
      <c r="AA712" t="s">
        <v>32</v>
      </c>
      <c r="AB712" t="s">
        <v>33</v>
      </c>
      <c r="AC712" t="s">
        <v>102</v>
      </c>
      <c r="AD712" t="s">
        <v>238</v>
      </c>
      <c r="AE712" t="s">
        <v>51</v>
      </c>
    </row>
    <row r="713" spans="1:31" x14ac:dyDescent="0.3">
      <c r="A713">
        <v>10207</v>
      </c>
      <c r="B713">
        <v>43</v>
      </c>
      <c r="C713">
        <v>100</v>
      </c>
      <c r="D713">
        <v>10</v>
      </c>
      <c r="E713" s="4" t="str">
        <f t="shared" si="66"/>
        <v>high sales</v>
      </c>
      <c r="F713">
        <v>5752.54</v>
      </c>
      <c r="G713" t="s">
        <v>1385</v>
      </c>
      <c r="H713" s="1" t="str">
        <f t="shared" si="67"/>
        <v>Shipped</v>
      </c>
      <c r="I713" s="4" t="str">
        <f t="shared" si="68"/>
        <v>completed</v>
      </c>
      <c r="J713" t="s">
        <v>25</v>
      </c>
      <c r="K713">
        <v>4</v>
      </c>
      <c r="L713">
        <v>12</v>
      </c>
      <c r="M713">
        <v>2003</v>
      </c>
      <c r="N713" t="s">
        <v>504</v>
      </c>
      <c r="O713">
        <v>122</v>
      </c>
      <c r="P713" t="s">
        <v>589</v>
      </c>
      <c r="Q713" t="s">
        <v>415</v>
      </c>
      <c r="R713">
        <v>6175552555</v>
      </c>
      <c r="S713" t="s">
        <v>416</v>
      </c>
      <c r="U713" s="1" t="str">
        <f t="shared" si="69"/>
        <v>Boston</v>
      </c>
      <c r="V713" t="s">
        <v>381</v>
      </c>
      <c r="W713" t="s">
        <v>123</v>
      </c>
      <c r="X713">
        <v>51003</v>
      </c>
      <c r="Y713" s="1" t="str">
        <f t="shared" si="70"/>
        <v>USA</v>
      </c>
      <c r="Z713" s="4" t="str">
        <f t="shared" si="71"/>
        <v>Usa</v>
      </c>
      <c r="AA713" t="s">
        <v>32</v>
      </c>
      <c r="AB713" t="s">
        <v>33</v>
      </c>
      <c r="AC713" t="s">
        <v>417</v>
      </c>
      <c r="AD713" t="s">
        <v>276</v>
      </c>
      <c r="AE713" t="s">
        <v>51</v>
      </c>
    </row>
    <row r="714" spans="1:31" x14ac:dyDescent="0.3">
      <c r="A714">
        <v>10229</v>
      </c>
      <c r="B714">
        <v>26</v>
      </c>
      <c r="C714">
        <v>100</v>
      </c>
      <c r="D714">
        <v>4</v>
      </c>
      <c r="E714" s="4" t="str">
        <f t="shared" si="66"/>
        <v>low sales</v>
      </c>
      <c r="F714">
        <v>3765.32</v>
      </c>
      <c r="G714" t="s">
        <v>1386</v>
      </c>
      <c r="H714" s="1" t="str">
        <f t="shared" si="67"/>
        <v>Shipped</v>
      </c>
      <c r="I714" s="4" t="str">
        <f t="shared" si="68"/>
        <v>completed</v>
      </c>
      <c r="J714" t="s">
        <v>25</v>
      </c>
      <c r="K714">
        <v>1</v>
      </c>
      <c r="L714">
        <v>3</v>
      </c>
      <c r="M714">
        <v>2004</v>
      </c>
      <c r="N714" t="s">
        <v>504</v>
      </c>
      <c r="O714">
        <v>122</v>
      </c>
      <c r="P714" t="s">
        <v>589</v>
      </c>
      <c r="Q714" t="s">
        <v>272</v>
      </c>
      <c r="R714">
        <v>4155551450</v>
      </c>
      <c r="S714" t="s">
        <v>273</v>
      </c>
      <c r="U714" s="1" t="str">
        <f t="shared" si="69"/>
        <v>San Rafael</v>
      </c>
      <c r="V714" t="s">
        <v>274</v>
      </c>
      <c r="W714" t="s">
        <v>55</v>
      </c>
      <c r="X714">
        <v>97562</v>
      </c>
      <c r="Y714" s="1" t="str">
        <f t="shared" si="70"/>
        <v>USA</v>
      </c>
      <c r="Z714" s="4" t="str">
        <f t="shared" si="71"/>
        <v>Usa</v>
      </c>
      <c r="AA714" t="s">
        <v>32</v>
      </c>
      <c r="AB714" t="s">
        <v>33</v>
      </c>
      <c r="AC714" t="s">
        <v>275</v>
      </c>
      <c r="AD714" t="s">
        <v>276</v>
      </c>
      <c r="AE714" t="s">
        <v>51</v>
      </c>
    </row>
    <row r="715" spans="1:31" x14ac:dyDescent="0.3">
      <c r="A715">
        <v>10246</v>
      </c>
      <c r="B715">
        <v>22</v>
      </c>
      <c r="C715">
        <v>98.18</v>
      </c>
      <c r="D715">
        <v>8</v>
      </c>
      <c r="E715" s="4" t="str">
        <f t="shared" si="66"/>
        <v>low sales</v>
      </c>
      <c r="F715">
        <v>2159.96</v>
      </c>
      <c r="G715" t="s">
        <v>1387</v>
      </c>
      <c r="H715" s="1" t="str">
        <f t="shared" si="67"/>
        <v>Shipped</v>
      </c>
      <c r="I715" s="4" t="str">
        <f t="shared" si="68"/>
        <v>completed</v>
      </c>
      <c r="J715" t="s">
        <v>25</v>
      </c>
      <c r="K715">
        <v>2</v>
      </c>
      <c r="L715">
        <v>5</v>
      </c>
      <c r="M715">
        <v>2004</v>
      </c>
      <c r="N715" t="s">
        <v>504</v>
      </c>
      <c r="O715">
        <v>122</v>
      </c>
      <c r="P715" t="s">
        <v>589</v>
      </c>
      <c r="Q715" t="s">
        <v>174</v>
      </c>
      <c r="R715" t="s">
        <v>175</v>
      </c>
      <c r="S715" t="s">
        <v>176</v>
      </c>
      <c r="U715" s="1" t="str">
        <f t="shared" si="69"/>
        <v>Madrid</v>
      </c>
      <c r="V715" t="s">
        <v>177</v>
      </c>
      <c r="X715">
        <v>28034</v>
      </c>
      <c r="Y715" s="1" t="str">
        <f t="shared" si="70"/>
        <v>SPAIN</v>
      </c>
      <c r="Z715" s="4" t="str">
        <f t="shared" si="71"/>
        <v>Spain</v>
      </c>
      <c r="AA715" t="s">
        <v>178</v>
      </c>
      <c r="AB715" t="s">
        <v>42</v>
      </c>
      <c r="AC715" t="s">
        <v>179</v>
      </c>
      <c r="AD715" t="s">
        <v>180</v>
      </c>
      <c r="AE715" t="s">
        <v>36</v>
      </c>
    </row>
    <row r="716" spans="1:31" x14ac:dyDescent="0.3">
      <c r="A716">
        <v>10259</v>
      </c>
      <c r="B716">
        <v>34</v>
      </c>
      <c r="C716">
        <v>99.41</v>
      </c>
      <c r="D716">
        <v>7</v>
      </c>
      <c r="E716" s="4" t="str">
        <f t="shared" si="66"/>
        <v>low sales</v>
      </c>
      <c r="F716">
        <v>3379.94</v>
      </c>
      <c r="G716" t="s">
        <v>1388</v>
      </c>
      <c r="H716" s="1" t="str">
        <f t="shared" si="67"/>
        <v>Shipped</v>
      </c>
      <c r="I716" s="4" t="str">
        <f t="shared" si="68"/>
        <v>completed</v>
      </c>
      <c r="J716" t="s">
        <v>25</v>
      </c>
      <c r="K716">
        <v>2</v>
      </c>
      <c r="L716">
        <v>6</v>
      </c>
      <c r="M716">
        <v>2004</v>
      </c>
      <c r="N716" t="s">
        <v>504</v>
      </c>
      <c r="O716">
        <v>122</v>
      </c>
      <c r="P716" t="s">
        <v>589</v>
      </c>
      <c r="Q716" t="s">
        <v>418</v>
      </c>
      <c r="R716" t="s">
        <v>419</v>
      </c>
      <c r="S716" t="s">
        <v>420</v>
      </c>
      <c r="T716" t="s">
        <v>421</v>
      </c>
      <c r="U716" s="1" t="str">
        <f t="shared" si="69"/>
        <v>Singapore</v>
      </c>
      <c r="V716" t="s">
        <v>199</v>
      </c>
      <c r="X716">
        <v>69045</v>
      </c>
      <c r="Y716" s="1" t="str">
        <f t="shared" si="70"/>
        <v>SINGAPORE</v>
      </c>
      <c r="Z716" s="4" t="str">
        <f t="shared" si="71"/>
        <v>Singapore</v>
      </c>
      <c r="AA716" t="s">
        <v>199</v>
      </c>
      <c r="AB716" t="s">
        <v>96</v>
      </c>
      <c r="AC716" t="s">
        <v>422</v>
      </c>
      <c r="AD716" t="s">
        <v>423</v>
      </c>
      <c r="AE716" t="s">
        <v>51</v>
      </c>
    </row>
    <row r="717" spans="1:31" x14ac:dyDescent="0.3">
      <c r="A717">
        <v>10271</v>
      </c>
      <c r="B717">
        <v>50</v>
      </c>
      <c r="C717">
        <v>100</v>
      </c>
      <c r="D717">
        <v>8</v>
      </c>
      <c r="E717" s="4" t="str">
        <f t="shared" si="66"/>
        <v>high sales</v>
      </c>
      <c r="F717">
        <v>5093.5</v>
      </c>
      <c r="G717" t="s">
        <v>1389</v>
      </c>
      <c r="H717" s="1" t="str">
        <f t="shared" si="67"/>
        <v>Shipped</v>
      </c>
      <c r="I717" s="4" t="str">
        <f t="shared" si="68"/>
        <v>completed</v>
      </c>
      <c r="J717" t="s">
        <v>25</v>
      </c>
      <c r="K717">
        <v>3</v>
      </c>
      <c r="L717">
        <v>7</v>
      </c>
      <c r="M717">
        <v>2004</v>
      </c>
      <c r="N717" t="s">
        <v>504</v>
      </c>
      <c r="O717">
        <v>122</v>
      </c>
      <c r="P717" t="s">
        <v>589</v>
      </c>
      <c r="Q717" t="s">
        <v>272</v>
      </c>
      <c r="R717">
        <v>4155551450</v>
      </c>
      <c r="S717" t="s">
        <v>273</v>
      </c>
      <c r="U717" s="1" t="str">
        <f t="shared" si="69"/>
        <v>San Rafael</v>
      </c>
      <c r="V717" t="s">
        <v>274</v>
      </c>
      <c r="W717" t="s">
        <v>55</v>
      </c>
      <c r="X717">
        <v>97562</v>
      </c>
      <c r="Y717" s="1" t="str">
        <f t="shared" si="70"/>
        <v>USA</v>
      </c>
      <c r="Z717" s="4" t="str">
        <f t="shared" si="71"/>
        <v>Usa</v>
      </c>
      <c r="AA717" t="s">
        <v>32</v>
      </c>
      <c r="AB717" t="s">
        <v>33</v>
      </c>
      <c r="AC717" t="s">
        <v>275</v>
      </c>
      <c r="AD717" t="s">
        <v>276</v>
      </c>
      <c r="AE717" t="s">
        <v>51</v>
      </c>
    </row>
    <row r="718" spans="1:31" x14ac:dyDescent="0.3">
      <c r="A718">
        <v>10281</v>
      </c>
      <c r="B718">
        <v>48</v>
      </c>
      <c r="C718">
        <v>100</v>
      </c>
      <c r="D718">
        <v>4</v>
      </c>
      <c r="E718" s="4" t="str">
        <f t="shared" si="66"/>
        <v>high sales</v>
      </c>
      <c r="F718">
        <v>5773.44</v>
      </c>
      <c r="G718" t="s">
        <v>1390</v>
      </c>
      <c r="H718" s="1" t="str">
        <f t="shared" si="67"/>
        <v>Shipped</v>
      </c>
      <c r="I718" s="4" t="str">
        <f t="shared" si="68"/>
        <v>completed</v>
      </c>
      <c r="J718" t="s">
        <v>25</v>
      </c>
      <c r="K718">
        <v>3</v>
      </c>
      <c r="L718">
        <v>8</v>
      </c>
      <c r="M718">
        <v>2004</v>
      </c>
      <c r="N718" t="s">
        <v>504</v>
      </c>
      <c r="O718">
        <v>122</v>
      </c>
      <c r="P718" t="s">
        <v>589</v>
      </c>
      <c r="Q718" t="s">
        <v>139</v>
      </c>
      <c r="R718">
        <v>2155551555</v>
      </c>
      <c r="S718" t="s">
        <v>140</v>
      </c>
      <c r="U718" s="1" t="str">
        <f t="shared" si="69"/>
        <v>Allentown</v>
      </c>
      <c r="V718" t="s">
        <v>141</v>
      </c>
      <c r="W718" t="s">
        <v>142</v>
      </c>
      <c r="X718">
        <v>70267</v>
      </c>
      <c r="Y718" s="1" t="str">
        <f t="shared" si="70"/>
        <v>USA</v>
      </c>
      <c r="Z718" s="4" t="str">
        <f t="shared" si="71"/>
        <v>Usa</v>
      </c>
      <c r="AA718" t="s">
        <v>32</v>
      </c>
      <c r="AB718" t="s">
        <v>33</v>
      </c>
      <c r="AC718" t="s">
        <v>34</v>
      </c>
      <c r="AD718" t="s">
        <v>143</v>
      </c>
      <c r="AE718" t="s">
        <v>51</v>
      </c>
    </row>
    <row r="719" spans="1:31" x14ac:dyDescent="0.3">
      <c r="A719">
        <v>10292</v>
      </c>
      <c r="B719">
        <v>41</v>
      </c>
      <c r="C719">
        <v>100</v>
      </c>
      <c r="D719">
        <v>11</v>
      </c>
      <c r="E719" s="4" t="str">
        <f t="shared" si="66"/>
        <v>high sales</v>
      </c>
      <c r="F719">
        <v>4528.8599999999997</v>
      </c>
      <c r="G719" t="s">
        <v>1391</v>
      </c>
      <c r="H719" s="1" t="str">
        <f t="shared" si="67"/>
        <v>Shipped</v>
      </c>
      <c r="I719" s="4" t="str">
        <f t="shared" si="68"/>
        <v>completed</v>
      </c>
      <c r="J719" t="s">
        <v>25</v>
      </c>
      <c r="K719">
        <v>3</v>
      </c>
      <c r="L719">
        <v>9</v>
      </c>
      <c r="M719">
        <v>2004</v>
      </c>
      <c r="N719" t="s">
        <v>504</v>
      </c>
      <c r="O719">
        <v>122</v>
      </c>
      <c r="P719" t="s">
        <v>589</v>
      </c>
      <c r="Q719" t="s">
        <v>28</v>
      </c>
      <c r="R719">
        <v>2125557818</v>
      </c>
      <c r="S719" t="s">
        <v>29</v>
      </c>
      <c r="U719" s="1" t="str">
        <f t="shared" si="69"/>
        <v>Nyc</v>
      </c>
      <c r="V719" t="s">
        <v>30</v>
      </c>
      <c r="W719" t="s">
        <v>31</v>
      </c>
      <c r="X719">
        <v>10022</v>
      </c>
      <c r="Y719" s="1" t="str">
        <f t="shared" si="70"/>
        <v>USA</v>
      </c>
      <c r="Z719" s="4" t="str">
        <f t="shared" si="71"/>
        <v>Usa</v>
      </c>
      <c r="AA719" t="s">
        <v>32</v>
      </c>
      <c r="AB719" t="s">
        <v>33</v>
      </c>
      <c r="AC719" t="s">
        <v>34</v>
      </c>
      <c r="AD719" t="s">
        <v>35</v>
      </c>
      <c r="AE719" t="s">
        <v>51</v>
      </c>
    </row>
    <row r="720" spans="1:31" x14ac:dyDescent="0.3">
      <c r="A720">
        <v>10305</v>
      </c>
      <c r="B720">
        <v>36</v>
      </c>
      <c r="C720">
        <v>100</v>
      </c>
      <c r="D720">
        <v>8</v>
      </c>
      <c r="E720" s="4" t="str">
        <f t="shared" si="66"/>
        <v>high sales</v>
      </c>
      <c r="F720">
        <v>4816.08</v>
      </c>
      <c r="G720" t="s">
        <v>1392</v>
      </c>
      <c r="H720" s="1" t="str">
        <f t="shared" si="67"/>
        <v>Shipped</v>
      </c>
      <c r="I720" s="4" t="str">
        <f t="shared" si="68"/>
        <v>completed</v>
      </c>
      <c r="J720" t="s">
        <v>25</v>
      </c>
      <c r="K720">
        <v>4</v>
      </c>
      <c r="L720">
        <v>10</v>
      </c>
      <c r="M720">
        <v>2004</v>
      </c>
      <c r="N720" t="s">
        <v>504</v>
      </c>
      <c r="O720">
        <v>122</v>
      </c>
      <c r="P720" t="s">
        <v>589</v>
      </c>
      <c r="Q720" t="s">
        <v>120</v>
      </c>
      <c r="R720">
        <v>6175558555</v>
      </c>
      <c r="S720" t="s">
        <v>121</v>
      </c>
      <c r="U720" s="1" t="str">
        <f t="shared" si="69"/>
        <v>Cambridge</v>
      </c>
      <c r="V720" t="s">
        <v>122</v>
      </c>
      <c r="W720" t="s">
        <v>123</v>
      </c>
      <c r="X720">
        <v>51247</v>
      </c>
      <c r="Y720" s="1" t="str">
        <f t="shared" si="70"/>
        <v>USA</v>
      </c>
      <c r="Z720" s="4" t="str">
        <f t="shared" si="71"/>
        <v>Usa</v>
      </c>
      <c r="AA720" t="s">
        <v>32</v>
      </c>
      <c r="AB720" t="s">
        <v>33</v>
      </c>
      <c r="AC720" t="s">
        <v>124</v>
      </c>
      <c r="AD720" t="s">
        <v>125</v>
      </c>
      <c r="AE720" t="s">
        <v>51</v>
      </c>
    </row>
    <row r="721" spans="1:31" x14ac:dyDescent="0.3">
      <c r="A721">
        <v>10313</v>
      </c>
      <c r="B721">
        <v>29</v>
      </c>
      <c r="C721">
        <v>100</v>
      </c>
      <c r="D721">
        <v>2</v>
      </c>
      <c r="E721" s="4" t="str">
        <f t="shared" si="66"/>
        <v>low sales</v>
      </c>
      <c r="F721">
        <v>3416.78</v>
      </c>
      <c r="G721" t="s">
        <v>1393</v>
      </c>
      <c r="H721" s="1" t="str">
        <f t="shared" si="67"/>
        <v>Shipped</v>
      </c>
      <c r="I721" s="4" t="str">
        <f t="shared" si="68"/>
        <v>completed</v>
      </c>
      <c r="J721" t="s">
        <v>25</v>
      </c>
      <c r="K721">
        <v>4</v>
      </c>
      <c r="L721">
        <v>10</v>
      </c>
      <c r="M721">
        <v>2004</v>
      </c>
      <c r="N721" t="s">
        <v>504</v>
      </c>
      <c r="O721">
        <v>122</v>
      </c>
      <c r="P721" t="s">
        <v>589</v>
      </c>
      <c r="Q721" t="s">
        <v>225</v>
      </c>
      <c r="R721" t="s">
        <v>226</v>
      </c>
      <c r="S721" t="s">
        <v>227</v>
      </c>
      <c r="U721" s="1" t="str">
        <f t="shared" si="69"/>
        <v>Vancouver</v>
      </c>
      <c r="V721" t="s">
        <v>228</v>
      </c>
      <c r="W721" t="s">
        <v>229</v>
      </c>
      <c r="X721" t="s">
        <v>230</v>
      </c>
      <c r="Y721" s="1" t="str">
        <f t="shared" si="70"/>
        <v>CANADA</v>
      </c>
      <c r="Z721" s="4" t="str">
        <f t="shared" si="71"/>
        <v>Canada</v>
      </c>
      <c r="AA721" t="s">
        <v>231</v>
      </c>
      <c r="AB721" t="s">
        <v>33</v>
      </c>
      <c r="AC721" t="s">
        <v>232</v>
      </c>
      <c r="AD721" t="s">
        <v>233</v>
      </c>
      <c r="AE721" t="s">
        <v>51</v>
      </c>
    </row>
    <row r="722" spans="1:31" x14ac:dyDescent="0.3">
      <c r="A722">
        <v>10324</v>
      </c>
      <c r="B722">
        <v>33</v>
      </c>
      <c r="C722">
        <v>37.479999999999997</v>
      </c>
      <c r="D722">
        <v>10</v>
      </c>
      <c r="E722" s="4" t="str">
        <f t="shared" si="66"/>
        <v>low sales</v>
      </c>
      <c r="F722">
        <v>1236.8399999999999</v>
      </c>
      <c r="G722" t="s">
        <v>1394</v>
      </c>
      <c r="H722" s="1" t="str">
        <f t="shared" si="67"/>
        <v>Shipped</v>
      </c>
      <c r="I722" s="4" t="str">
        <f t="shared" si="68"/>
        <v>completed</v>
      </c>
      <c r="J722" t="s">
        <v>25</v>
      </c>
      <c r="K722">
        <v>4</v>
      </c>
      <c r="L722">
        <v>11</v>
      </c>
      <c r="M722">
        <v>2004</v>
      </c>
      <c r="N722" t="s">
        <v>504</v>
      </c>
      <c r="O722">
        <v>122</v>
      </c>
      <c r="P722" t="s">
        <v>589</v>
      </c>
      <c r="Q722" t="s">
        <v>99</v>
      </c>
      <c r="R722">
        <v>2125551500</v>
      </c>
      <c r="S722" t="s">
        <v>100</v>
      </c>
      <c r="T722" t="s">
        <v>101</v>
      </c>
      <c r="U722" s="1" t="str">
        <f t="shared" si="69"/>
        <v>Nyc</v>
      </c>
      <c r="V722" t="s">
        <v>30</v>
      </c>
      <c r="W722" t="s">
        <v>31</v>
      </c>
      <c r="X722">
        <v>10022</v>
      </c>
      <c r="Y722" s="1" t="str">
        <f t="shared" si="70"/>
        <v>USA</v>
      </c>
      <c r="Z722" s="4" t="str">
        <f t="shared" si="71"/>
        <v>Usa</v>
      </c>
      <c r="AA722" t="s">
        <v>32</v>
      </c>
      <c r="AB722" t="s">
        <v>33</v>
      </c>
      <c r="AC722" t="s">
        <v>102</v>
      </c>
      <c r="AD722" t="s">
        <v>103</v>
      </c>
      <c r="AE722" t="s">
        <v>36</v>
      </c>
    </row>
    <row r="723" spans="1:31" x14ac:dyDescent="0.3">
      <c r="A723">
        <v>10334</v>
      </c>
      <c r="B723">
        <v>46</v>
      </c>
      <c r="C723">
        <v>100</v>
      </c>
      <c r="D723">
        <v>6</v>
      </c>
      <c r="E723" s="4" t="str">
        <f t="shared" si="66"/>
        <v>high sales</v>
      </c>
      <c r="F723">
        <v>5814.86</v>
      </c>
      <c r="G723" t="s">
        <v>1395</v>
      </c>
      <c r="H723" s="1" t="str">
        <f t="shared" si="67"/>
        <v>On Hold</v>
      </c>
      <c r="I723" s="4" t="str">
        <f t="shared" si="68"/>
        <v>not completed</v>
      </c>
      <c r="J723" t="s">
        <v>401</v>
      </c>
      <c r="K723">
        <v>4</v>
      </c>
      <c r="L723">
        <v>11</v>
      </c>
      <c r="M723">
        <v>2004</v>
      </c>
      <c r="N723" t="s">
        <v>504</v>
      </c>
      <c r="O723">
        <v>122</v>
      </c>
      <c r="P723" t="s">
        <v>589</v>
      </c>
      <c r="Q723" t="s">
        <v>183</v>
      </c>
      <c r="R723" t="s">
        <v>184</v>
      </c>
      <c r="S723" t="s">
        <v>185</v>
      </c>
      <c r="U723" s="1" t="str">
        <f t="shared" si="69"/>
        <v>Lule</v>
      </c>
      <c r="V723" t="s">
        <v>186</v>
      </c>
      <c r="X723" t="s">
        <v>187</v>
      </c>
      <c r="Y723" s="1" t="str">
        <f t="shared" si="70"/>
        <v>SWEDEN</v>
      </c>
      <c r="Z723" s="4" t="str">
        <f t="shared" si="71"/>
        <v>Sweden</v>
      </c>
      <c r="AA723" t="s">
        <v>188</v>
      </c>
      <c r="AB723" t="s">
        <v>42</v>
      </c>
      <c r="AC723" t="s">
        <v>189</v>
      </c>
      <c r="AD723" t="s">
        <v>190</v>
      </c>
      <c r="AE723" t="s">
        <v>51</v>
      </c>
    </row>
    <row r="724" spans="1:31" x14ac:dyDescent="0.3">
      <c r="A724">
        <v>10349</v>
      </c>
      <c r="B724">
        <v>38</v>
      </c>
      <c r="C724">
        <v>100</v>
      </c>
      <c r="D724">
        <v>7</v>
      </c>
      <c r="E724" s="4" t="str">
        <f t="shared" si="66"/>
        <v>high sales</v>
      </c>
      <c r="F724">
        <v>5223.4799999999996</v>
      </c>
      <c r="G724" t="s">
        <v>1396</v>
      </c>
      <c r="H724" s="1" t="str">
        <f t="shared" si="67"/>
        <v>Shipped</v>
      </c>
      <c r="I724" s="4" t="str">
        <f t="shared" si="68"/>
        <v>completed</v>
      </c>
      <c r="J724" t="s">
        <v>25</v>
      </c>
      <c r="K724">
        <v>4</v>
      </c>
      <c r="L724">
        <v>12</v>
      </c>
      <c r="M724">
        <v>2004</v>
      </c>
      <c r="N724" t="s">
        <v>504</v>
      </c>
      <c r="O724">
        <v>122</v>
      </c>
      <c r="P724" t="s">
        <v>589</v>
      </c>
      <c r="Q724" t="s">
        <v>475</v>
      </c>
      <c r="R724">
        <v>2125557413</v>
      </c>
      <c r="S724" t="s">
        <v>476</v>
      </c>
      <c r="T724" t="s">
        <v>477</v>
      </c>
      <c r="U724" s="1" t="str">
        <f t="shared" si="69"/>
        <v>Nyc</v>
      </c>
      <c r="V724" t="s">
        <v>30</v>
      </c>
      <c r="W724" t="s">
        <v>31</v>
      </c>
      <c r="X724">
        <v>10022</v>
      </c>
      <c r="Y724" s="1" t="str">
        <f t="shared" si="70"/>
        <v>USA</v>
      </c>
      <c r="Z724" s="4" t="str">
        <f t="shared" si="71"/>
        <v>Usa</v>
      </c>
      <c r="AA724" t="s">
        <v>32</v>
      </c>
      <c r="AB724" t="s">
        <v>33</v>
      </c>
      <c r="AC724" t="s">
        <v>56</v>
      </c>
      <c r="AD724" t="s">
        <v>478</v>
      </c>
      <c r="AE724" t="s">
        <v>51</v>
      </c>
    </row>
    <row r="725" spans="1:31" x14ac:dyDescent="0.3">
      <c r="A725">
        <v>10358</v>
      </c>
      <c r="B725">
        <v>20</v>
      </c>
      <c r="C725">
        <v>36.42</v>
      </c>
      <c r="D725">
        <v>11</v>
      </c>
      <c r="E725" s="4" t="str">
        <f t="shared" si="66"/>
        <v>low sales</v>
      </c>
      <c r="F725">
        <v>728.4</v>
      </c>
      <c r="G725" t="s">
        <v>1397</v>
      </c>
      <c r="H725" s="1" t="str">
        <f t="shared" si="67"/>
        <v>Shipped</v>
      </c>
      <c r="I725" s="4" t="str">
        <f t="shared" si="68"/>
        <v>completed</v>
      </c>
      <c r="J725" t="s">
        <v>25</v>
      </c>
      <c r="K725">
        <v>4</v>
      </c>
      <c r="L725">
        <v>12</v>
      </c>
      <c r="M725">
        <v>2004</v>
      </c>
      <c r="N725" t="s">
        <v>504</v>
      </c>
      <c r="O725">
        <v>122</v>
      </c>
      <c r="P725" t="s">
        <v>589</v>
      </c>
      <c r="Q725" t="s">
        <v>174</v>
      </c>
      <c r="R725" t="s">
        <v>175</v>
      </c>
      <c r="S725" t="s">
        <v>176</v>
      </c>
      <c r="U725" s="1" t="str">
        <f t="shared" si="69"/>
        <v>Madrid</v>
      </c>
      <c r="V725" t="s">
        <v>177</v>
      </c>
      <c r="X725">
        <v>28034</v>
      </c>
      <c r="Y725" s="1" t="str">
        <f t="shared" si="70"/>
        <v>SPAIN</v>
      </c>
      <c r="Z725" s="4" t="str">
        <f t="shared" si="71"/>
        <v>Spain</v>
      </c>
      <c r="AA725" t="s">
        <v>178</v>
      </c>
      <c r="AB725" t="s">
        <v>42</v>
      </c>
      <c r="AC725" t="s">
        <v>179</v>
      </c>
      <c r="AD725" t="s">
        <v>180</v>
      </c>
      <c r="AE725" t="s">
        <v>36</v>
      </c>
    </row>
    <row r="726" spans="1:31" x14ac:dyDescent="0.3">
      <c r="A726">
        <v>10370</v>
      </c>
      <c r="B726">
        <v>22</v>
      </c>
      <c r="C726">
        <v>100</v>
      </c>
      <c r="D726">
        <v>5</v>
      </c>
      <c r="E726" s="4" t="str">
        <f t="shared" si="66"/>
        <v>low sales</v>
      </c>
      <c r="F726">
        <v>3949</v>
      </c>
      <c r="G726" t="s">
        <v>1398</v>
      </c>
      <c r="H726" s="1" t="str">
        <f t="shared" si="67"/>
        <v>Shipped</v>
      </c>
      <c r="I726" s="4" t="str">
        <f t="shared" si="68"/>
        <v>completed</v>
      </c>
      <c r="J726" t="s">
        <v>25</v>
      </c>
      <c r="K726">
        <v>1</v>
      </c>
      <c r="L726">
        <v>1</v>
      </c>
      <c r="M726">
        <v>2005</v>
      </c>
      <c r="N726" t="s">
        <v>504</v>
      </c>
      <c r="O726">
        <v>122</v>
      </c>
      <c r="P726" t="s">
        <v>589</v>
      </c>
      <c r="Q726" t="s">
        <v>285</v>
      </c>
      <c r="R726" t="s">
        <v>286</v>
      </c>
      <c r="S726" t="s">
        <v>287</v>
      </c>
      <c r="T726" t="s">
        <v>288</v>
      </c>
      <c r="U726" s="1" t="str">
        <f t="shared" si="69"/>
        <v>North Sydney</v>
      </c>
      <c r="V726" t="s">
        <v>289</v>
      </c>
      <c r="W726" t="s">
        <v>157</v>
      </c>
      <c r="X726">
        <v>2060</v>
      </c>
      <c r="Y726" s="1" t="str">
        <f t="shared" si="70"/>
        <v>AUSTRALIA</v>
      </c>
      <c r="Z726" s="4" t="str">
        <f t="shared" si="71"/>
        <v>Australia</v>
      </c>
      <c r="AA726" t="s">
        <v>95</v>
      </c>
      <c r="AB726" t="s">
        <v>96</v>
      </c>
      <c r="AC726" t="s">
        <v>290</v>
      </c>
      <c r="AD726" t="s">
        <v>291</v>
      </c>
      <c r="AE726" t="s">
        <v>51</v>
      </c>
    </row>
    <row r="727" spans="1:31" x14ac:dyDescent="0.3">
      <c r="A727">
        <v>10383</v>
      </c>
      <c r="B727">
        <v>27</v>
      </c>
      <c r="C727">
        <v>100</v>
      </c>
      <c r="D727">
        <v>11</v>
      </c>
      <c r="E727" s="4" t="str">
        <f t="shared" si="66"/>
        <v>low sales</v>
      </c>
      <c r="F727">
        <v>3843.99</v>
      </c>
      <c r="G727" t="s">
        <v>1399</v>
      </c>
      <c r="H727" s="1" t="str">
        <f t="shared" si="67"/>
        <v>Shipped</v>
      </c>
      <c r="I727" s="4" t="str">
        <f t="shared" si="68"/>
        <v>completed</v>
      </c>
      <c r="J727" t="s">
        <v>25</v>
      </c>
      <c r="K727">
        <v>1</v>
      </c>
      <c r="L727">
        <v>2</v>
      </c>
      <c r="M727">
        <v>2005</v>
      </c>
      <c r="N727" t="s">
        <v>504</v>
      </c>
      <c r="O727">
        <v>122</v>
      </c>
      <c r="P727" t="s">
        <v>589</v>
      </c>
      <c r="Q727" t="s">
        <v>174</v>
      </c>
      <c r="R727" t="s">
        <v>175</v>
      </c>
      <c r="S727" t="s">
        <v>176</v>
      </c>
      <c r="U727" s="1" t="str">
        <f t="shared" si="69"/>
        <v>Madrid</v>
      </c>
      <c r="V727" t="s">
        <v>177</v>
      </c>
      <c r="X727">
        <v>28034</v>
      </c>
      <c r="Y727" s="1" t="str">
        <f t="shared" si="70"/>
        <v>SPAIN</v>
      </c>
      <c r="Z727" s="4" t="str">
        <f t="shared" si="71"/>
        <v>Spain</v>
      </c>
      <c r="AA727" t="s">
        <v>178</v>
      </c>
      <c r="AB727" t="s">
        <v>42</v>
      </c>
      <c r="AC727" t="s">
        <v>179</v>
      </c>
      <c r="AD727" t="s">
        <v>180</v>
      </c>
      <c r="AE727" t="s">
        <v>51</v>
      </c>
    </row>
    <row r="728" spans="1:31" x14ac:dyDescent="0.3">
      <c r="A728">
        <v>10412</v>
      </c>
      <c r="B728">
        <v>56</v>
      </c>
      <c r="C728">
        <v>98.18</v>
      </c>
      <c r="D728">
        <v>8</v>
      </c>
      <c r="E728" s="4" t="str">
        <f t="shared" si="66"/>
        <v>high sales</v>
      </c>
      <c r="F728">
        <v>5498.08</v>
      </c>
      <c r="G728" t="s">
        <v>1400</v>
      </c>
      <c r="H728" s="1" t="str">
        <f t="shared" si="67"/>
        <v>Shipped</v>
      </c>
      <c r="I728" s="4" t="str">
        <f t="shared" si="68"/>
        <v>completed</v>
      </c>
      <c r="J728" t="s">
        <v>25</v>
      </c>
      <c r="K728">
        <v>2</v>
      </c>
      <c r="L728">
        <v>5</v>
      </c>
      <c r="M728">
        <v>2005</v>
      </c>
      <c r="N728" t="s">
        <v>504</v>
      </c>
      <c r="O728">
        <v>122</v>
      </c>
      <c r="P728" t="s">
        <v>589</v>
      </c>
      <c r="Q728" t="s">
        <v>174</v>
      </c>
      <c r="R728" t="s">
        <v>175</v>
      </c>
      <c r="S728" t="s">
        <v>176</v>
      </c>
      <c r="U728" s="1" t="str">
        <f t="shared" si="69"/>
        <v>Madrid</v>
      </c>
      <c r="V728" t="s">
        <v>177</v>
      </c>
      <c r="X728">
        <v>28034</v>
      </c>
      <c r="Y728" s="1" t="str">
        <f t="shared" si="70"/>
        <v>SPAIN</v>
      </c>
      <c r="Z728" s="4" t="str">
        <f t="shared" si="71"/>
        <v>Spain</v>
      </c>
      <c r="AA728" t="s">
        <v>178</v>
      </c>
      <c r="AB728" t="s">
        <v>42</v>
      </c>
      <c r="AC728" t="s">
        <v>179</v>
      </c>
      <c r="AD728" t="s">
        <v>180</v>
      </c>
      <c r="AE728" t="s">
        <v>51</v>
      </c>
    </row>
    <row r="729" spans="1:31" x14ac:dyDescent="0.3">
      <c r="A729">
        <v>10425</v>
      </c>
      <c r="B729">
        <v>38</v>
      </c>
      <c r="C729">
        <v>99.41</v>
      </c>
      <c r="D729">
        <v>7</v>
      </c>
      <c r="E729" s="4" t="str">
        <f t="shared" si="66"/>
        <v>low sales</v>
      </c>
      <c r="F729">
        <v>3777.58</v>
      </c>
      <c r="G729" t="s">
        <v>1401</v>
      </c>
      <c r="H729" s="1" t="str">
        <f t="shared" si="67"/>
        <v>In Process</v>
      </c>
      <c r="I729" s="4" t="str">
        <f t="shared" si="68"/>
        <v>not completed</v>
      </c>
      <c r="J729" t="s">
        <v>300</v>
      </c>
      <c r="K729">
        <v>2</v>
      </c>
      <c r="L729">
        <v>5</v>
      </c>
      <c r="M729">
        <v>2005</v>
      </c>
      <c r="N729" t="s">
        <v>504</v>
      </c>
      <c r="O729">
        <v>122</v>
      </c>
      <c r="P729" t="s">
        <v>589</v>
      </c>
      <c r="Q729" t="s">
        <v>114</v>
      </c>
      <c r="R729" t="s">
        <v>115</v>
      </c>
      <c r="S729" t="s">
        <v>116</v>
      </c>
      <c r="U729" s="1" t="str">
        <f t="shared" si="69"/>
        <v>Nantes</v>
      </c>
      <c r="V729" t="s">
        <v>117</v>
      </c>
      <c r="X729">
        <v>44000</v>
      </c>
      <c r="Y729" s="1" t="str">
        <f t="shared" si="70"/>
        <v>FRANCE</v>
      </c>
      <c r="Z729" s="4" t="str">
        <f t="shared" si="71"/>
        <v>France</v>
      </c>
      <c r="AA729" t="s">
        <v>41</v>
      </c>
      <c r="AB729" t="s">
        <v>42</v>
      </c>
      <c r="AC729" t="s">
        <v>118</v>
      </c>
      <c r="AD729" t="s">
        <v>119</v>
      </c>
      <c r="AE729" t="s">
        <v>51</v>
      </c>
    </row>
    <row r="730" spans="1:31" x14ac:dyDescent="0.3">
      <c r="A730">
        <v>10101</v>
      </c>
      <c r="B730">
        <v>25</v>
      </c>
      <c r="C730">
        <v>100</v>
      </c>
      <c r="D730">
        <v>4</v>
      </c>
      <c r="E730" s="4" t="str">
        <f t="shared" si="66"/>
        <v>low sales</v>
      </c>
      <c r="F730">
        <v>3782</v>
      </c>
      <c r="G730" t="s">
        <v>1402</v>
      </c>
      <c r="H730" s="1" t="str">
        <f t="shared" si="67"/>
        <v>Shipped</v>
      </c>
      <c r="I730" s="4" t="str">
        <f t="shared" si="68"/>
        <v>completed</v>
      </c>
      <c r="J730" t="s">
        <v>25</v>
      </c>
      <c r="K730">
        <v>1</v>
      </c>
      <c r="L730">
        <v>1</v>
      </c>
      <c r="M730">
        <v>2003</v>
      </c>
      <c r="N730" t="s">
        <v>550</v>
      </c>
      <c r="O730">
        <v>127</v>
      </c>
      <c r="P730" t="s">
        <v>590</v>
      </c>
      <c r="Q730" t="s">
        <v>462</v>
      </c>
      <c r="R730" t="s">
        <v>463</v>
      </c>
      <c r="S730" t="s">
        <v>464</v>
      </c>
      <c r="U730" s="1" t="str">
        <f t="shared" si="69"/>
        <v>Frankfurt</v>
      </c>
      <c r="V730" t="s">
        <v>465</v>
      </c>
      <c r="X730">
        <v>60528</v>
      </c>
      <c r="Y730" s="1" t="str">
        <f t="shared" si="70"/>
        <v>GERMANY</v>
      </c>
      <c r="Z730" s="4" t="str">
        <f t="shared" si="71"/>
        <v>Germany</v>
      </c>
      <c r="AA730" t="s">
        <v>443</v>
      </c>
      <c r="AB730" t="s">
        <v>42</v>
      </c>
      <c r="AC730" t="s">
        <v>466</v>
      </c>
      <c r="AD730" t="s">
        <v>414</v>
      </c>
      <c r="AE730" t="s">
        <v>51</v>
      </c>
    </row>
    <row r="731" spans="1:31" x14ac:dyDescent="0.3">
      <c r="A731">
        <v>10110</v>
      </c>
      <c r="B731">
        <v>33</v>
      </c>
      <c r="C731">
        <v>100</v>
      </c>
      <c r="D731">
        <v>4</v>
      </c>
      <c r="E731" s="4" t="str">
        <f t="shared" si="66"/>
        <v>low sales</v>
      </c>
      <c r="F731">
        <v>3859.68</v>
      </c>
      <c r="G731" t="s">
        <v>1403</v>
      </c>
      <c r="H731" s="1" t="str">
        <f t="shared" si="67"/>
        <v>Shipped</v>
      </c>
      <c r="I731" s="4" t="str">
        <f t="shared" si="68"/>
        <v>completed</v>
      </c>
      <c r="J731" t="s">
        <v>25</v>
      </c>
      <c r="K731">
        <v>1</v>
      </c>
      <c r="L731">
        <v>3</v>
      </c>
      <c r="M731">
        <v>2003</v>
      </c>
      <c r="N731" t="s">
        <v>550</v>
      </c>
      <c r="O731">
        <v>127</v>
      </c>
      <c r="P731" t="s">
        <v>590</v>
      </c>
      <c r="Q731" t="s">
        <v>492</v>
      </c>
      <c r="R731" t="s">
        <v>493</v>
      </c>
      <c r="S731" t="s">
        <v>494</v>
      </c>
      <c r="U731" s="1" t="str">
        <f t="shared" si="69"/>
        <v>Manchester</v>
      </c>
      <c r="V731" t="s">
        <v>495</v>
      </c>
      <c r="X731" t="s">
        <v>496</v>
      </c>
      <c r="Y731" s="1" t="str">
        <f t="shared" si="70"/>
        <v>UK</v>
      </c>
      <c r="Z731" s="4" t="str">
        <f t="shared" si="71"/>
        <v>Uk</v>
      </c>
      <c r="AA731" t="s">
        <v>170</v>
      </c>
      <c r="AB731" t="s">
        <v>42</v>
      </c>
      <c r="AC731" t="s">
        <v>497</v>
      </c>
      <c r="AD731" t="s">
        <v>94</v>
      </c>
      <c r="AE731" t="s">
        <v>51</v>
      </c>
    </row>
    <row r="732" spans="1:31" x14ac:dyDescent="0.3">
      <c r="A732">
        <v>10124</v>
      </c>
      <c r="B732">
        <v>42</v>
      </c>
      <c r="C732">
        <v>100</v>
      </c>
      <c r="D732">
        <v>3</v>
      </c>
      <c r="E732" s="4" t="str">
        <f t="shared" si="66"/>
        <v>high sales</v>
      </c>
      <c r="F732">
        <v>4431.84</v>
      </c>
      <c r="G732" t="s">
        <v>1404</v>
      </c>
      <c r="H732" s="1" t="str">
        <f t="shared" si="67"/>
        <v>Shipped</v>
      </c>
      <c r="I732" s="4" t="str">
        <f t="shared" si="68"/>
        <v>completed</v>
      </c>
      <c r="J732" t="s">
        <v>25</v>
      </c>
      <c r="K732">
        <v>2</v>
      </c>
      <c r="L732">
        <v>5</v>
      </c>
      <c r="M732">
        <v>2003</v>
      </c>
      <c r="N732" t="s">
        <v>550</v>
      </c>
      <c r="O732">
        <v>127</v>
      </c>
      <c r="P732" t="s">
        <v>590</v>
      </c>
      <c r="Q732" t="s">
        <v>539</v>
      </c>
      <c r="R732">
        <v>7025551838</v>
      </c>
      <c r="S732" t="s">
        <v>540</v>
      </c>
      <c r="U732" s="1" t="str">
        <f t="shared" si="69"/>
        <v>Las Vegas</v>
      </c>
      <c r="V732" t="s">
        <v>541</v>
      </c>
      <c r="W732" t="s">
        <v>542</v>
      </c>
      <c r="X732">
        <v>83030</v>
      </c>
      <c r="Y732" s="1" t="str">
        <f t="shared" si="70"/>
        <v>USA</v>
      </c>
      <c r="Z732" s="4" t="str">
        <f t="shared" si="71"/>
        <v>Usa</v>
      </c>
      <c r="AA732" t="s">
        <v>32</v>
      </c>
      <c r="AB732" t="s">
        <v>33</v>
      </c>
      <c r="AC732" t="s">
        <v>113</v>
      </c>
      <c r="AD732" t="s">
        <v>400</v>
      </c>
      <c r="AE732" t="s">
        <v>51</v>
      </c>
    </row>
    <row r="733" spans="1:31" x14ac:dyDescent="0.3">
      <c r="A733">
        <v>10149</v>
      </c>
      <c r="B733">
        <v>33</v>
      </c>
      <c r="C733">
        <v>100</v>
      </c>
      <c r="D733">
        <v>8</v>
      </c>
      <c r="E733" s="4" t="str">
        <f t="shared" si="66"/>
        <v>high sales</v>
      </c>
      <c r="F733">
        <v>4950.33</v>
      </c>
      <c r="G733" t="s">
        <v>1405</v>
      </c>
      <c r="H733" s="1" t="str">
        <f t="shared" si="67"/>
        <v>Shipped</v>
      </c>
      <c r="I733" s="4" t="str">
        <f t="shared" si="68"/>
        <v>completed</v>
      </c>
      <c r="J733" t="s">
        <v>25</v>
      </c>
      <c r="K733">
        <v>3</v>
      </c>
      <c r="L733">
        <v>9</v>
      </c>
      <c r="M733">
        <v>2003</v>
      </c>
      <c r="N733" t="s">
        <v>550</v>
      </c>
      <c r="O733">
        <v>127</v>
      </c>
      <c r="P733" t="s">
        <v>590</v>
      </c>
      <c r="Q733" t="s">
        <v>526</v>
      </c>
      <c r="R733">
        <v>4155554312</v>
      </c>
      <c r="S733" t="s">
        <v>527</v>
      </c>
      <c r="U733" s="1" t="str">
        <f t="shared" si="69"/>
        <v>Brisbane</v>
      </c>
      <c r="V733" t="s">
        <v>528</v>
      </c>
      <c r="W733" t="s">
        <v>55</v>
      </c>
      <c r="X733">
        <v>94217</v>
      </c>
      <c r="Y733" s="1" t="str">
        <f t="shared" si="70"/>
        <v>USA</v>
      </c>
      <c r="Z733" s="4" t="str">
        <f t="shared" si="71"/>
        <v>Usa</v>
      </c>
      <c r="AA733" t="s">
        <v>32</v>
      </c>
      <c r="AB733" t="s">
        <v>33</v>
      </c>
      <c r="AC733" t="s">
        <v>529</v>
      </c>
      <c r="AD733" t="s">
        <v>400</v>
      </c>
      <c r="AE733" t="s">
        <v>51</v>
      </c>
    </row>
    <row r="734" spans="1:31" x14ac:dyDescent="0.3">
      <c r="A734">
        <v>10162</v>
      </c>
      <c r="B734">
        <v>38</v>
      </c>
      <c r="C734">
        <v>100</v>
      </c>
      <c r="D734">
        <v>6</v>
      </c>
      <c r="E734" s="4" t="str">
        <f t="shared" si="66"/>
        <v>high sales</v>
      </c>
      <c r="F734">
        <v>4299.7</v>
      </c>
      <c r="G734" t="s">
        <v>1406</v>
      </c>
      <c r="H734" s="1" t="str">
        <f t="shared" si="67"/>
        <v>Shipped</v>
      </c>
      <c r="I734" s="4" t="str">
        <f t="shared" si="68"/>
        <v>completed</v>
      </c>
      <c r="J734" t="s">
        <v>25</v>
      </c>
      <c r="K734">
        <v>4</v>
      </c>
      <c r="L734">
        <v>10</v>
      </c>
      <c r="M734">
        <v>2003</v>
      </c>
      <c r="N734" t="s">
        <v>550</v>
      </c>
      <c r="O734">
        <v>127</v>
      </c>
      <c r="P734" t="s">
        <v>590</v>
      </c>
      <c r="Q734" t="s">
        <v>58</v>
      </c>
      <c r="R734">
        <v>6505551386</v>
      </c>
      <c r="S734" t="s">
        <v>59</v>
      </c>
      <c r="U734" s="1" t="str">
        <f t="shared" si="69"/>
        <v>San Francisco</v>
      </c>
      <c r="V734" t="s">
        <v>60</v>
      </c>
      <c r="W734" t="s">
        <v>55</v>
      </c>
      <c r="Y734" s="1" t="str">
        <f t="shared" si="70"/>
        <v>USA</v>
      </c>
      <c r="Z734" s="4" t="str">
        <f t="shared" si="71"/>
        <v>Usa</v>
      </c>
      <c r="AA734" t="s">
        <v>32</v>
      </c>
      <c r="AB734" t="s">
        <v>33</v>
      </c>
      <c r="AC734" t="s">
        <v>61</v>
      </c>
      <c r="AD734" t="s">
        <v>57</v>
      </c>
      <c r="AE734" t="s">
        <v>51</v>
      </c>
    </row>
    <row r="735" spans="1:31" x14ac:dyDescent="0.3">
      <c r="A735">
        <v>10173</v>
      </c>
      <c r="B735">
        <v>31</v>
      </c>
      <c r="C735">
        <v>100</v>
      </c>
      <c r="D735">
        <v>10</v>
      </c>
      <c r="E735" s="4" t="str">
        <f t="shared" si="66"/>
        <v>high sales</v>
      </c>
      <c r="F735">
        <v>4492.83</v>
      </c>
      <c r="G735" t="s">
        <v>1407</v>
      </c>
      <c r="H735" s="1" t="str">
        <f t="shared" si="67"/>
        <v>Shipped</v>
      </c>
      <c r="I735" s="4" t="str">
        <f t="shared" si="68"/>
        <v>completed</v>
      </c>
      <c r="J735" t="s">
        <v>25</v>
      </c>
      <c r="K735">
        <v>4</v>
      </c>
      <c r="L735">
        <v>11</v>
      </c>
      <c r="M735">
        <v>2003</v>
      </c>
      <c r="N735" t="s">
        <v>550</v>
      </c>
      <c r="O735">
        <v>127</v>
      </c>
      <c r="P735" t="s">
        <v>590</v>
      </c>
      <c r="Q735" t="s">
        <v>552</v>
      </c>
      <c r="R735" t="s">
        <v>553</v>
      </c>
      <c r="S735" t="s">
        <v>554</v>
      </c>
      <c r="U735" s="1" t="str">
        <f t="shared" si="69"/>
        <v>Bergamo</v>
      </c>
      <c r="V735" t="s">
        <v>555</v>
      </c>
      <c r="X735">
        <v>24100</v>
      </c>
      <c r="Y735" s="1" t="str">
        <f t="shared" si="70"/>
        <v>ITALY</v>
      </c>
      <c r="Z735" s="4" t="str">
        <f t="shared" si="71"/>
        <v>Italy</v>
      </c>
      <c r="AA735" t="s">
        <v>258</v>
      </c>
      <c r="AB735" t="s">
        <v>42</v>
      </c>
      <c r="AC735" t="s">
        <v>556</v>
      </c>
      <c r="AD735" t="s">
        <v>557</v>
      </c>
      <c r="AE735" t="s">
        <v>51</v>
      </c>
    </row>
    <row r="736" spans="1:31" x14ac:dyDescent="0.3">
      <c r="A736">
        <v>10182</v>
      </c>
      <c r="B736">
        <v>20</v>
      </c>
      <c r="C736">
        <v>100</v>
      </c>
      <c r="D736">
        <v>7</v>
      </c>
      <c r="E736" s="4" t="str">
        <f t="shared" si="66"/>
        <v>low sales</v>
      </c>
      <c r="F736">
        <v>2212</v>
      </c>
      <c r="G736" t="s">
        <v>1408</v>
      </c>
      <c r="H736" s="1" t="str">
        <f t="shared" si="67"/>
        <v>Shipped</v>
      </c>
      <c r="I736" s="4" t="str">
        <f t="shared" si="68"/>
        <v>completed</v>
      </c>
      <c r="J736" t="s">
        <v>25</v>
      </c>
      <c r="K736">
        <v>4</v>
      </c>
      <c r="L736">
        <v>11</v>
      </c>
      <c r="M736">
        <v>2003</v>
      </c>
      <c r="N736" t="s">
        <v>550</v>
      </c>
      <c r="O736">
        <v>127</v>
      </c>
      <c r="P736" t="s">
        <v>590</v>
      </c>
      <c r="Q736" t="s">
        <v>272</v>
      </c>
      <c r="R736">
        <v>4155551450</v>
      </c>
      <c r="S736" t="s">
        <v>273</v>
      </c>
      <c r="U736" s="1" t="str">
        <f t="shared" si="69"/>
        <v>San Rafael</v>
      </c>
      <c r="V736" t="s">
        <v>274</v>
      </c>
      <c r="W736" t="s">
        <v>55</v>
      </c>
      <c r="X736">
        <v>97562</v>
      </c>
      <c r="Y736" s="1" t="str">
        <f t="shared" si="70"/>
        <v>USA</v>
      </c>
      <c r="Z736" s="4" t="str">
        <f t="shared" si="71"/>
        <v>Usa</v>
      </c>
      <c r="AA736" t="s">
        <v>32</v>
      </c>
      <c r="AB736" t="s">
        <v>33</v>
      </c>
      <c r="AC736" t="s">
        <v>275</v>
      </c>
      <c r="AD736" t="s">
        <v>276</v>
      </c>
      <c r="AE736" t="s">
        <v>36</v>
      </c>
    </row>
    <row r="737" spans="1:31" x14ac:dyDescent="0.3">
      <c r="A737">
        <v>10193</v>
      </c>
      <c r="B737">
        <v>44</v>
      </c>
      <c r="C737">
        <v>100</v>
      </c>
      <c r="D737">
        <v>11</v>
      </c>
      <c r="E737" s="4" t="str">
        <f t="shared" si="66"/>
        <v>high sales</v>
      </c>
      <c r="F737">
        <v>4642.88</v>
      </c>
      <c r="G737" t="s">
        <v>1409</v>
      </c>
      <c r="H737" s="1" t="str">
        <f t="shared" si="67"/>
        <v>Shipped</v>
      </c>
      <c r="I737" s="4" t="str">
        <f t="shared" si="68"/>
        <v>completed</v>
      </c>
      <c r="J737" t="s">
        <v>25</v>
      </c>
      <c r="K737">
        <v>4</v>
      </c>
      <c r="L737">
        <v>11</v>
      </c>
      <c r="M737">
        <v>2003</v>
      </c>
      <c r="N737" t="s">
        <v>550</v>
      </c>
      <c r="O737">
        <v>127</v>
      </c>
      <c r="P737" t="s">
        <v>590</v>
      </c>
      <c r="Q737" t="s">
        <v>558</v>
      </c>
      <c r="R737" t="s">
        <v>559</v>
      </c>
      <c r="S737" t="s">
        <v>560</v>
      </c>
      <c r="U737" s="1" t="str">
        <f t="shared" si="69"/>
        <v>Glen Waverly</v>
      </c>
      <c r="V737" t="s">
        <v>561</v>
      </c>
      <c r="W737" t="s">
        <v>94</v>
      </c>
      <c r="X737">
        <v>3150</v>
      </c>
      <c r="Y737" s="1" t="str">
        <f t="shared" si="70"/>
        <v>AUSTRALIA</v>
      </c>
      <c r="Z737" s="4" t="str">
        <f t="shared" si="71"/>
        <v>Australia</v>
      </c>
      <c r="AA737" t="s">
        <v>95</v>
      </c>
      <c r="AB737" t="s">
        <v>96</v>
      </c>
      <c r="AC737" t="s">
        <v>562</v>
      </c>
      <c r="AD737" t="s">
        <v>563</v>
      </c>
      <c r="AE737" t="s">
        <v>51</v>
      </c>
    </row>
    <row r="738" spans="1:31" x14ac:dyDescent="0.3">
      <c r="A738">
        <v>10204</v>
      </c>
      <c r="B738">
        <v>26</v>
      </c>
      <c r="C738">
        <v>100</v>
      </c>
      <c r="D738">
        <v>1</v>
      </c>
      <c r="E738" s="4" t="str">
        <f t="shared" si="66"/>
        <v>low sales</v>
      </c>
      <c r="F738">
        <v>3206.32</v>
      </c>
      <c r="G738" t="s">
        <v>1410</v>
      </c>
      <c r="H738" s="1" t="str">
        <f t="shared" si="67"/>
        <v>Shipped</v>
      </c>
      <c r="I738" s="4" t="str">
        <f t="shared" si="68"/>
        <v>completed</v>
      </c>
      <c r="J738" t="s">
        <v>25</v>
      </c>
      <c r="K738">
        <v>4</v>
      </c>
      <c r="L738">
        <v>12</v>
      </c>
      <c r="M738">
        <v>2003</v>
      </c>
      <c r="N738" t="s">
        <v>550</v>
      </c>
      <c r="O738">
        <v>127</v>
      </c>
      <c r="P738" t="s">
        <v>590</v>
      </c>
      <c r="Q738" t="s">
        <v>475</v>
      </c>
      <c r="R738">
        <v>2125557413</v>
      </c>
      <c r="S738" t="s">
        <v>476</v>
      </c>
      <c r="T738" t="s">
        <v>477</v>
      </c>
      <c r="U738" s="1" t="str">
        <f t="shared" si="69"/>
        <v>Nyc</v>
      </c>
      <c r="V738" t="s">
        <v>30</v>
      </c>
      <c r="W738" t="s">
        <v>31</v>
      </c>
      <c r="X738">
        <v>10022</v>
      </c>
      <c r="Y738" s="1" t="str">
        <f t="shared" si="70"/>
        <v>USA</v>
      </c>
      <c r="Z738" s="4" t="str">
        <f t="shared" si="71"/>
        <v>Usa</v>
      </c>
      <c r="AA738" t="s">
        <v>32</v>
      </c>
      <c r="AB738" t="s">
        <v>33</v>
      </c>
      <c r="AC738" t="s">
        <v>56</v>
      </c>
      <c r="AD738" t="s">
        <v>478</v>
      </c>
      <c r="AE738" t="s">
        <v>51</v>
      </c>
    </row>
    <row r="739" spans="1:31" x14ac:dyDescent="0.3">
      <c r="A739">
        <v>10214</v>
      </c>
      <c r="B739">
        <v>27</v>
      </c>
      <c r="C739">
        <v>100</v>
      </c>
      <c r="D739">
        <v>4</v>
      </c>
      <c r="E739" s="4" t="str">
        <f t="shared" si="66"/>
        <v>low sales</v>
      </c>
      <c r="F739">
        <v>3604.23</v>
      </c>
      <c r="G739" t="s">
        <v>1411</v>
      </c>
      <c r="H739" s="1" t="str">
        <f t="shared" si="67"/>
        <v>Shipped</v>
      </c>
      <c r="I739" s="4" t="str">
        <f t="shared" si="68"/>
        <v>completed</v>
      </c>
      <c r="J739" t="s">
        <v>25</v>
      </c>
      <c r="K739">
        <v>1</v>
      </c>
      <c r="L739">
        <v>1</v>
      </c>
      <c r="M739">
        <v>2004</v>
      </c>
      <c r="N739" t="s">
        <v>550</v>
      </c>
      <c r="O739">
        <v>127</v>
      </c>
      <c r="P739" t="s">
        <v>590</v>
      </c>
      <c r="Q739" t="s">
        <v>191</v>
      </c>
      <c r="R739" t="s">
        <v>192</v>
      </c>
      <c r="S739" t="s">
        <v>193</v>
      </c>
      <c r="U739" s="1" t="str">
        <f t="shared" si="69"/>
        <v>Madrid</v>
      </c>
      <c r="V739" t="s">
        <v>177</v>
      </c>
      <c r="X739">
        <v>28023</v>
      </c>
      <c r="Y739" s="1" t="str">
        <f t="shared" si="70"/>
        <v>SPAIN</v>
      </c>
      <c r="Z739" s="4" t="str">
        <f t="shared" si="71"/>
        <v>Spain</v>
      </c>
      <c r="AA739" t="s">
        <v>178</v>
      </c>
      <c r="AB739" t="s">
        <v>42</v>
      </c>
      <c r="AC739" t="s">
        <v>194</v>
      </c>
      <c r="AD739" t="s">
        <v>195</v>
      </c>
      <c r="AE739" t="s">
        <v>51</v>
      </c>
    </row>
    <row r="740" spans="1:31" x14ac:dyDescent="0.3">
      <c r="A740">
        <v>10227</v>
      </c>
      <c r="B740">
        <v>46</v>
      </c>
      <c r="C740">
        <v>100</v>
      </c>
      <c r="D740">
        <v>7</v>
      </c>
      <c r="E740" s="4" t="str">
        <f t="shared" si="66"/>
        <v>high sales</v>
      </c>
      <c r="F740">
        <v>7017.76</v>
      </c>
      <c r="G740" t="s">
        <v>1412</v>
      </c>
      <c r="H740" s="1" t="str">
        <f t="shared" si="67"/>
        <v>Shipped</v>
      </c>
      <c r="I740" s="4" t="str">
        <f t="shared" si="68"/>
        <v>completed</v>
      </c>
      <c r="J740" t="s">
        <v>25</v>
      </c>
      <c r="K740">
        <v>1</v>
      </c>
      <c r="L740">
        <v>3</v>
      </c>
      <c r="M740">
        <v>2004</v>
      </c>
      <c r="N740" t="s">
        <v>550</v>
      </c>
      <c r="O740">
        <v>127</v>
      </c>
      <c r="P740" t="s">
        <v>590</v>
      </c>
      <c r="Q740" t="s">
        <v>219</v>
      </c>
      <c r="R740" t="s">
        <v>220</v>
      </c>
      <c r="S740" t="s">
        <v>221</v>
      </c>
      <c r="U740" s="1" t="str">
        <f t="shared" si="69"/>
        <v>Lyon</v>
      </c>
      <c r="V740" t="s">
        <v>222</v>
      </c>
      <c r="X740">
        <v>69004</v>
      </c>
      <c r="Y740" s="1" t="str">
        <f t="shared" si="70"/>
        <v>FRANCE</v>
      </c>
      <c r="Z740" s="4" t="str">
        <f t="shared" si="71"/>
        <v>France</v>
      </c>
      <c r="AA740" t="s">
        <v>41</v>
      </c>
      <c r="AB740" t="s">
        <v>42</v>
      </c>
      <c r="AC740" t="s">
        <v>223</v>
      </c>
      <c r="AD740" t="s">
        <v>224</v>
      </c>
      <c r="AE740" t="s">
        <v>151</v>
      </c>
    </row>
    <row r="741" spans="1:31" x14ac:dyDescent="0.3">
      <c r="A741">
        <v>10243</v>
      </c>
      <c r="B741">
        <v>47</v>
      </c>
      <c r="C741">
        <v>100</v>
      </c>
      <c r="D741">
        <v>2</v>
      </c>
      <c r="E741" s="4" t="str">
        <f t="shared" si="66"/>
        <v>high sales</v>
      </c>
      <c r="F741">
        <v>6154.18</v>
      </c>
      <c r="G741" t="s">
        <v>1413</v>
      </c>
      <c r="H741" s="1" t="str">
        <f t="shared" si="67"/>
        <v>Shipped</v>
      </c>
      <c r="I741" s="4" t="str">
        <f t="shared" si="68"/>
        <v>completed</v>
      </c>
      <c r="J741" t="s">
        <v>25</v>
      </c>
      <c r="K741">
        <v>2</v>
      </c>
      <c r="L741">
        <v>4</v>
      </c>
      <c r="M741">
        <v>2004</v>
      </c>
      <c r="N741" t="s">
        <v>550</v>
      </c>
      <c r="O741">
        <v>127</v>
      </c>
      <c r="P741" t="s">
        <v>590</v>
      </c>
      <c r="Q741" t="s">
        <v>415</v>
      </c>
      <c r="R741">
        <v>6175552555</v>
      </c>
      <c r="S741" t="s">
        <v>416</v>
      </c>
      <c r="U741" s="1" t="str">
        <f t="shared" si="69"/>
        <v>Boston</v>
      </c>
      <c r="V741" t="s">
        <v>381</v>
      </c>
      <c r="W741" t="s">
        <v>123</v>
      </c>
      <c r="X741">
        <v>51003</v>
      </c>
      <c r="Y741" s="1" t="str">
        <f t="shared" si="70"/>
        <v>USA</v>
      </c>
      <c r="Z741" s="4" t="str">
        <f t="shared" si="71"/>
        <v>Usa</v>
      </c>
      <c r="AA741" t="s">
        <v>32</v>
      </c>
      <c r="AB741" t="s">
        <v>33</v>
      </c>
      <c r="AC741" t="s">
        <v>417</v>
      </c>
      <c r="AD741" t="s">
        <v>276</v>
      </c>
      <c r="AE741" t="s">
        <v>51</v>
      </c>
    </row>
    <row r="742" spans="1:31" x14ac:dyDescent="0.3">
      <c r="A742">
        <v>10280</v>
      </c>
      <c r="B742">
        <v>37</v>
      </c>
      <c r="C742">
        <v>100</v>
      </c>
      <c r="D742">
        <v>13</v>
      </c>
      <c r="E742" s="4" t="str">
        <f t="shared" si="66"/>
        <v>high sales</v>
      </c>
      <c r="F742">
        <v>4750.8</v>
      </c>
      <c r="G742" t="s">
        <v>1414</v>
      </c>
      <c r="H742" s="1" t="str">
        <f t="shared" si="67"/>
        <v>Shipped</v>
      </c>
      <c r="I742" s="4" t="str">
        <f t="shared" si="68"/>
        <v>completed</v>
      </c>
      <c r="J742" t="s">
        <v>25</v>
      </c>
      <c r="K742">
        <v>3</v>
      </c>
      <c r="L742">
        <v>8</v>
      </c>
      <c r="M742">
        <v>2004</v>
      </c>
      <c r="N742" t="s">
        <v>550</v>
      </c>
      <c r="O742">
        <v>127</v>
      </c>
      <c r="P742" t="s">
        <v>590</v>
      </c>
      <c r="Q742" t="s">
        <v>254</v>
      </c>
      <c r="R742" t="s">
        <v>255</v>
      </c>
      <c r="S742" t="s">
        <v>256</v>
      </c>
      <c r="U742" s="1" t="str">
        <f t="shared" si="69"/>
        <v>Torino</v>
      </c>
      <c r="V742" t="s">
        <v>257</v>
      </c>
      <c r="X742">
        <v>10100</v>
      </c>
      <c r="Y742" s="1" t="str">
        <f t="shared" si="70"/>
        <v>ITALY</v>
      </c>
      <c r="Z742" s="4" t="str">
        <f t="shared" si="71"/>
        <v>Italy</v>
      </c>
      <c r="AA742" t="s">
        <v>258</v>
      </c>
      <c r="AB742" t="s">
        <v>42</v>
      </c>
      <c r="AC742" t="s">
        <v>259</v>
      </c>
      <c r="AD742" t="s">
        <v>260</v>
      </c>
      <c r="AE742" t="s">
        <v>51</v>
      </c>
    </row>
    <row r="743" spans="1:31" x14ac:dyDescent="0.3">
      <c r="A743">
        <v>10288</v>
      </c>
      <c r="B743">
        <v>31</v>
      </c>
      <c r="C743">
        <v>100</v>
      </c>
      <c r="D743">
        <v>2</v>
      </c>
      <c r="E743" s="4" t="str">
        <f t="shared" si="66"/>
        <v>low sales</v>
      </c>
      <c r="F743">
        <v>3822.92</v>
      </c>
      <c r="G743" t="s">
        <v>1415</v>
      </c>
      <c r="H743" s="1" t="str">
        <f t="shared" si="67"/>
        <v>Shipped</v>
      </c>
      <c r="I743" s="4" t="str">
        <f t="shared" si="68"/>
        <v>completed</v>
      </c>
      <c r="J743" t="s">
        <v>25</v>
      </c>
      <c r="K743">
        <v>3</v>
      </c>
      <c r="L743">
        <v>9</v>
      </c>
      <c r="M743">
        <v>2004</v>
      </c>
      <c r="N743" t="s">
        <v>550</v>
      </c>
      <c r="O743">
        <v>127</v>
      </c>
      <c r="P743" t="s">
        <v>590</v>
      </c>
      <c r="Q743" t="s">
        <v>418</v>
      </c>
      <c r="R743" t="s">
        <v>419</v>
      </c>
      <c r="S743" t="s">
        <v>420</v>
      </c>
      <c r="T743" t="s">
        <v>421</v>
      </c>
      <c r="U743" s="1" t="str">
        <f t="shared" si="69"/>
        <v>Singapore</v>
      </c>
      <c r="V743" t="s">
        <v>199</v>
      </c>
      <c r="X743">
        <v>69045</v>
      </c>
      <c r="Y743" s="1" t="str">
        <f t="shared" si="70"/>
        <v>SINGAPORE</v>
      </c>
      <c r="Z743" s="4" t="str">
        <f t="shared" si="71"/>
        <v>Singapore</v>
      </c>
      <c r="AA743" t="s">
        <v>199</v>
      </c>
      <c r="AB743" t="s">
        <v>96</v>
      </c>
      <c r="AC743" t="s">
        <v>422</v>
      </c>
      <c r="AD743" t="s">
        <v>423</v>
      </c>
      <c r="AE743" t="s">
        <v>51</v>
      </c>
    </row>
    <row r="744" spans="1:31" x14ac:dyDescent="0.3">
      <c r="A744">
        <v>10304</v>
      </c>
      <c r="B744">
        <v>24</v>
      </c>
      <c r="C744">
        <v>100</v>
      </c>
      <c r="D744">
        <v>17</v>
      </c>
      <c r="E744" s="4" t="str">
        <f t="shared" si="66"/>
        <v>low sales</v>
      </c>
      <c r="F744">
        <v>2440.8000000000002</v>
      </c>
      <c r="G744" t="s">
        <v>1416</v>
      </c>
      <c r="H744" s="1" t="str">
        <f t="shared" si="67"/>
        <v>Shipped</v>
      </c>
      <c r="I744" s="4" t="str">
        <f t="shared" si="68"/>
        <v>completed</v>
      </c>
      <c r="J744" t="s">
        <v>25</v>
      </c>
      <c r="K744">
        <v>4</v>
      </c>
      <c r="L744">
        <v>10</v>
      </c>
      <c r="M744">
        <v>2004</v>
      </c>
      <c r="N744" t="s">
        <v>550</v>
      </c>
      <c r="O744">
        <v>127</v>
      </c>
      <c r="P744" t="s">
        <v>590</v>
      </c>
      <c r="Q744" t="s">
        <v>267</v>
      </c>
      <c r="R744" t="s">
        <v>268</v>
      </c>
      <c r="S744" t="s">
        <v>269</v>
      </c>
      <c r="U744" s="1" t="str">
        <f t="shared" si="69"/>
        <v>Versailles</v>
      </c>
      <c r="V744" t="s">
        <v>270</v>
      </c>
      <c r="X744">
        <v>78000</v>
      </c>
      <c r="Y744" s="1" t="str">
        <f t="shared" si="70"/>
        <v>FRANCE</v>
      </c>
      <c r="Z744" s="4" t="str">
        <f t="shared" si="71"/>
        <v>France</v>
      </c>
      <c r="AA744" t="s">
        <v>41</v>
      </c>
      <c r="AB744" t="s">
        <v>42</v>
      </c>
      <c r="AC744" t="s">
        <v>271</v>
      </c>
      <c r="AD744" t="s">
        <v>50</v>
      </c>
      <c r="AE744" t="s">
        <v>36</v>
      </c>
    </row>
    <row r="745" spans="1:31" x14ac:dyDescent="0.3">
      <c r="A745">
        <v>10312</v>
      </c>
      <c r="B745">
        <v>31</v>
      </c>
      <c r="C745">
        <v>100</v>
      </c>
      <c r="D745">
        <v>14</v>
      </c>
      <c r="E745" s="4" t="str">
        <f t="shared" si="66"/>
        <v>high sales</v>
      </c>
      <c r="F745">
        <v>4729.3599999999997</v>
      </c>
      <c r="G745" t="s">
        <v>1417</v>
      </c>
      <c r="H745" s="1" t="str">
        <f t="shared" si="67"/>
        <v>Shipped</v>
      </c>
      <c r="I745" s="4" t="str">
        <f t="shared" si="68"/>
        <v>completed</v>
      </c>
      <c r="J745" t="s">
        <v>25</v>
      </c>
      <c r="K745">
        <v>4</v>
      </c>
      <c r="L745">
        <v>10</v>
      </c>
      <c r="M745">
        <v>2004</v>
      </c>
      <c r="N745" t="s">
        <v>550</v>
      </c>
      <c r="O745">
        <v>127</v>
      </c>
      <c r="P745" t="s">
        <v>590</v>
      </c>
      <c r="Q745" t="s">
        <v>272</v>
      </c>
      <c r="R745">
        <v>4155551450</v>
      </c>
      <c r="S745" t="s">
        <v>273</v>
      </c>
      <c r="U745" s="1" t="str">
        <f t="shared" si="69"/>
        <v>San Rafael</v>
      </c>
      <c r="V745" t="s">
        <v>274</v>
      </c>
      <c r="W745" t="s">
        <v>55</v>
      </c>
      <c r="X745">
        <v>97562</v>
      </c>
      <c r="Y745" s="1" t="str">
        <f t="shared" si="70"/>
        <v>USA</v>
      </c>
      <c r="Z745" s="4" t="str">
        <f t="shared" si="71"/>
        <v>Usa</v>
      </c>
      <c r="AA745" t="s">
        <v>32</v>
      </c>
      <c r="AB745" t="s">
        <v>33</v>
      </c>
      <c r="AC745" t="s">
        <v>275</v>
      </c>
      <c r="AD745" t="s">
        <v>276</v>
      </c>
      <c r="AE745" t="s">
        <v>51</v>
      </c>
    </row>
    <row r="746" spans="1:31" x14ac:dyDescent="0.3">
      <c r="A746">
        <v>10322</v>
      </c>
      <c r="B746">
        <v>50</v>
      </c>
      <c r="C746">
        <v>100</v>
      </c>
      <c r="D746">
        <v>6</v>
      </c>
      <c r="E746" s="4" t="str">
        <f t="shared" si="66"/>
        <v>high sales</v>
      </c>
      <c r="F746">
        <v>12536.5</v>
      </c>
      <c r="G746" t="s">
        <v>1418</v>
      </c>
      <c r="H746" s="1" t="str">
        <f t="shared" si="67"/>
        <v>Shipped</v>
      </c>
      <c r="I746" s="4" t="str">
        <f t="shared" si="68"/>
        <v>completed</v>
      </c>
      <c r="J746" t="s">
        <v>25</v>
      </c>
      <c r="K746">
        <v>4</v>
      </c>
      <c r="L746">
        <v>11</v>
      </c>
      <c r="M746">
        <v>2004</v>
      </c>
      <c r="N746" t="s">
        <v>550</v>
      </c>
      <c r="O746">
        <v>127</v>
      </c>
      <c r="P746" t="s">
        <v>590</v>
      </c>
      <c r="Q746" t="s">
        <v>277</v>
      </c>
      <c r="R746">
        <v>6035558647</v>
      </c>
      <c r="S746" t="s">
        <v>278</v>
      </c>
      <c r="U746" s="1" t="str">
        <f t="shared" si="69"/>
        <v>Nashua</v>
      </c>
      <c r="V746" t="s">
        <v>279</v>
      </c>
      <c r="W746" t="s">
        <v>280</v>
      </c>
      <c r="X746">
        <v>62005</v>
      </c>
      <c r="Y746" s="1" t="str">
        <f t="shared" si="70"/>
        <v>USA</v>
      </c>
      <c r="Z746" s="4" t="str">
        <f t="shared" si="71"/>
        <v>Usa</v>
      </c>
      <c r="AA746" t="s">
        <v>32</v>
      </c>
      <c r="AB746" t="s">
        <v>33</v>
      </c>
      <c r="AC746" t="s">
        <v>56</v>
      </c>
      <c r="AD746" t="s">
        <v>276</v>
      </c>
      <c r="AE746" t="s">
        <v>151</v>
      </c>
    </row>
    <row r="747" spans="1:31" x14ac:dyDescent="0.3">
      <c r="A747">
        <v>10332</v>
      </c>
      <c r="B747">
        <v>35</v>
      </c>
      <c r="C747">
        <v>64.69</v>
      </c>
      <c r="D747">
        <v>8</v>
      </c>
      <c r="E747" s="4" t="str">
        <f t="shared" si="66"/>
        <v>low sales</v>
      </c>
      <c r="F747">
        <v>2264.15</v>
      </c>
      <c r="G747" t="s">
        <v>1419</v>
      </c>
      <c r="H747" s="1" t="str">
        <f t="shared" si="67"/>
        <v>Shipped</v>
      </c>
      <c r="I747" s="4" t="str">
        <f t="shared" si="68"/>
        <v>completed</v>
      </c>
      <c r="J747" t="s">
        <v>25</v>
      </c>
      <c r="K747">
        <v>4</v>
      </c>
      <c r="L747">
        <v>11</v>
      </c>
      <c r="M747">
        <v>2004</v>
      </c>
      <c r="N747" t="s">
        <v>550</v>
      </c>
      <c r="O747">
        <v>127</v>
      </c>
      <c r="P747" t="s">
        <v>590</v>
      </c>
      <c r="Q747" t="s">
        <v>492</v>
      </c>
      <c r="R747" t="s">
        <v>493</v>
      </c>
      <c r="S747" t="s">
        <v>494</v>
      </c>
      <c r="U747" s="1" t="str">
        <f t="shared" si="69"/>
        <v>Manchester</v>
      </c>
      <c r="V747" t="s">
        <v>495</v>
      </c>
      <c r="X747" t="s">
        <v>496</v>
      </c>
      <c r="Y747" s="1" t="str">
        <f t="shared" si="70"/>
        <v>UK</v>
      </c>
      <c r="Z747" s="4" t="str">
        <f t="shared" si="71"/>
        <v>Uk</v>
      </c>
      <c r="AA747" t="s">
        <v>170</v>
      </c>
      <c r="AB747" t="s">
        <v>42</v>
      </c>
      <c r="AC747" t="s">
        <v>497</v>
      </c>
      <c r="AD747" t="s">
        <v>94</v>
      </c>
      <c r="AE747" t="s">
        <v>36</v>
      </c>
    </row>
    <row r="748" spans="1:31" x14ac:dyDescent="0.3">
      <c r="A748">
        <v>10344</v>
      </c>
      <c r="B748">
        <v>30</v>
      </c>
      <c r="C748">
        <v>100</v>
      </c>
      <c r="D748">
        <v>3</v>
      </c>
      <c r="E748" s="4" t="str">
        <f t="shared" si="66"/>
        <v>low sales</v>
      </c>
      <c r="F748">
        <v>3928.2</v>
      </c>
      <c r="G748" t="s">
        <v>1420</v>
      </c>
      <c r="H748" s="1" t="str">
        <f t="shared" si="67"/>
        <v>Shipped</v>
      </c>
      <c r="I748" s="4" t="str">
        <f t="shared" si="68"/>
        <v>completed</v>
      </c>
      <c r="J748" t="s">
        <v>25</v>
      </c>
      <c r="K748">
        <v>4</v>
      </c>
      <c r="L748">
        <v>11</v>
      </c>
      <c r="M748">
        <v>2004</v>
      </c>
      <c r="N748" t="s">
        <v>550</v>
      </c>
      <c r="O748">
        <v>127</v>
      </c>
      <c r="P748" t="s">
        <v>590</v>
      </c>
      <c r="Q748" t="s">
        <v>433</v>
      </c>
      <c r="R748" t="s">
        <v>434</v>
      </c>
      <c r="S748" t="s">
        <v>435</v>
      </c>
      <c r="U748" s="1" t="str">
        <f t="shared" si="69"/>
        <v>Marseille</v>
      </c>
      <c r="V748" t="s">
        <v>436</v>
      </c>
      <c r="X748">
        <v>13008</v>
      </c>
      <c r="Y748" s="1" t="str">
        <f t="shared" si="70"/>
        <v>FRANCE</v>
      </c>
      <c r="Z748" s="4" t="str">
        <f t="shared" si="71"/>
        <v>France</v>
      </c>
      <c r="AA748" t="s">
        <v>41</v>
      </c>
      <c r="AB748" t="s">
        <v>42</v>
      </c>
      <c r="AC748" t="s">
        <v>437</v>
      </c>
      <c r="AD748" t="s">
        <v>438</v>
      </c>
      <c r="AE748" t="s">
        <v>51</v>
      </c>
    </row>
    <row r="749" spans="1:31" x14ac:dyDescent="0.3">
      <c r="A749">
        <v>10356</v>
      </c>
      <c r="B749">
        <v>29</v>
      </c>
      <c r="C749">
        <v>100</v>
      </c>
      <c r="D749">
        <v>3</v>
      </c>
      <c r="E749" s="4" t="str">
        <f t="shared" si="66"/>
        <v>low sales</v>
      </c>
      <c r="F749">
        <v>3630.22</v>
      </c>
      <c r="G749" t="s">
        <v>1421</v>
      </c>
      <c r="H749" s="1" t="str">
        <f t="shared" si="67"/>
        <v>Shipped</v>
      </c>
      <c r="I749" s="4" t="str">
        <f t="shared" si="68"/>
        <v>completed</v>
      </c>
      <c r="J749" t="s">
        <v>25</v>
      </c>
      <c r="K749">
        <v>4</v>
      </c>
      <c r="L749">
        <v>12</v>
      </c>
      <c r="M749">
        <v>2004</v>
      </c>
      <c r="N749" t="s">
        <v>550</v>
      </c>
      <c r="O749">
        <v>127</v>
      </c>
      <c r="P749" t="s">
        <v>590</v>
      </c>
      <c r="Q749" t="s">
        <v>45</v>
      </c>
      <c r="R749" t="s">
        <v>46</v>
      </c>
      <c r="S749" t="s">
        <v>47</v>
      </c>
      <c r="U749" s="1" t="str">
        <f t="shared" si="69"/>
        <v>Paris</v>
      </c>
      <c r="V749" t="s">
        <v>48</v>
      </c>
      <c r="X749">
        <v>75508</v>
      </c>
      <c r="Y749" s="1" t="str">
        <f t="shared" si="70"/>
        <v>FRANCE</v>
      </c>
      <c r="Z749" s="4" t="str">
        <f t="shared" si="71"/>
        <v>France</v>
      </c>
      <c r="AA749" t="s">
        <v>41</v>
      </c>
      <c r="AB749" t="s">
        <v>42</v>
      </c>
      <c r="AC749" t="s">
        <v>49</v>
      </c>
      <c r="AD749" t="s">
        <v>50</v>
      </c>
      <c r="AE749" t="s">
        <v>51</v>
      </c>
    </row>
    <row r="750" spans="1:31" x14ac:dyDescent="0.3">
      <c r="A750">
        <v>10367</v>
      </c>
      <c r="B750">
        <v>27</v>
      </c>
      <c r="C750">
        <v>100</v>
      </c>
      <c r="D750">
        <v>5</v>
      </c>
      <c r="E750" s="4" t="str">
        <f t="shared" si="66"/>
        <v>high sales</v>
      </c>
      <c r="F750">
        <v>4196.07</v>
      </c>
      <c r="G750" t="s">
        <v>1422</v>
      </c>
      <c r="H750" s="1" t="str">
        <f t="shared" si="67"/>
        <v>Resolved</v>
      </c>
      <c r="I750" s="4" t="str">
        <f t="shared" si="68"/>
        <v>not completed</v>
      </c>
      <c r="J750" t="s">
        <v>408</v>
      </c>
      <c r="K750">
        <v>1</v>
      </c>
      <c r="L750">
        <v>1</v>
      </c>
      <c r="M750">
        <v>2005</v>
      </c>
      <c r="N750" t="s">
        <v>550</v>
      </c>
      <c r="O750">
        <v>127</v>
      </c>
      <c r="P750" t="s">
        <v>590</v>
      </c>
      <c r="Q750" t="s">
        <v>52</v>
      </c>
      <c r="R750">
        <v>6265557265</v>
      </c>
      <c r="S750" t="s">
        <v>53</v>
      </c>
      <c r="U750" s="1" t="str">
        <f t="shared" si="69"/>
        <v>Pasadena</v>
      </c>
      <c r="V750" t="s">
        <v>54</v>
      </c>
      <c r="W750" t="s">
        <v>55</v>
      </c>
      <c r="X750">
        <v>90003</v>
      </c>
      <c r="Y750" s="1" t="str">
        <f t="shared" si="70"/>
        <v>USA</v>
      </c>
      <c r="Z750" s="4" t="str">
        <f t="shared" si="71"/>
        <v>Usa</v>
      </c>
      <c r="AA750" t="s">
        <v>32</v>
      </c>
      <c r="AB750" t="s">
        <v>33</v>
      </c>
      <c r="AC750" t="s">
        <v>56</v>
      </c>
      <c r="AD750" t="s">
        <v>57</v>
      </c>
      <c r="AE750" t="s">
        <v>51</v>
      </c>
    </row>
    <row r="751" spans="1:31" x14ac:dyDescent="0.3">
      <c r="A751">
        <v>10380</v>
      </c>
      <c r="B751">
        <v>40</v>
      </c>
      <c r="C751">
        <v>100</v>
      </c>
      <c r="D751">
        <v>10</v>
      </c>
      <c r="E751" s="4" t="str">
        <f t="shared" si="66"/>
        <v>high sales</v>
      </c>
      <c r="F751">
        <v>4931.6000000000004</v>
      </c>
      <c r="G751" t="s">
        <v>1423</v>
      </c>
      <c r="H751" s="1" t="str">
        <f t="shared" si="67"/>
        <v>Shipped</v>
      </c>
      <c r="I751" s="4" t="str">
        <f t="shared" si="68"/>
        <v>completed</v>
      </c>
      <c r="J751" t="s">
        <v>25</v>
      </c>
      <c r="K751">
        <v>1</v>
      </c>
      <c r="L751">
        <v>2</v>
      </c>
      <c r="M751">
        <v>2005</v>
      </c>
      <c r="N751" t="s">
        <v>550</v>
      </c>
      <c r="O751">
        <v>127</v>
      </c>
      <c r="P751" t="s">
        <v>590</v>
      </c>
      <c r="Q751" t="s">
        <v>174</v>
      </c>
      <c r="R751" t="s">
        <v>175</v>
      </c>
      <c r="S751" t="s">
        <v>176</v>
      </c>
      <c r="U751" s="1" t="str">
        <f t="shared" si="69"/>
        <v>Madrid</v>
      </c>
      <c r="V751" t="s">
        <v>177</v>
      </c>
      <c r="X751">
        <v>28034</v>
      </c>
      <c r="Y751" s="1" t="str">
        <f t="shared" si="70"/>
        <v>SPAIN</v>
      </c>
      <c r="Z751" s="4" t="str">
        <f t="shared" si="71"/>
        <v>Spain</v>
      </c>
      <c r="AA751" t="s">
        <v>178</v>
      </c>
      <c r="AB751" t="s">
        <v>42</v>
      </c>
      <c r="AC751" t="s">
        <v>179</v>
      </c>
      <c r="AD751" t="s">
        <v>180</v>
      </c>
      <c r="AE751" t="s">
        <v>51</v>
      </c>
    </row>
    <row r="752" spans="1:31" x14ac:dyDescent="0.3">
      <c r="A752">
        <v>10390</v>
      </c>
      <c r="B752">
        <v>31</v>
      </c>
      <c r="C752">
        <v>98.99</v>
      </c>
      <c r="D752">
        <v>16</v>
      </c>
      <c r="E752" s="4" t="str">
        <f t="shared" si="66"/>
        <v>low sales</v>
      </c>
      <c r="F752">
        <v>3068.69</v>
      </c>
      <c r="G752" t="s">
        <v>1424</v>
      </c>
      <c r="H752" s="1" t="str">
        <f t="shared" si="67"/>
        <v>Shipped</v>
      </c>
      <c r="I752" s="4" t="str">
        <f t="shared" si="68"/>
        <v>completed</v>
      </c>
      <c r="J752" t="s">
        <v>25</v>
      </c>
      <c r="K752">
        <v>1</v>
      </c>
      <c r="L752">
        <v>3</v>
      </c>
      <c r="M752">
        <v>2005</v>
      </c>
      <c r="N752" t="s">
        <v>550</v>
      </c>
      <c r="O752">
        <v>127</v>
      </c>
      <c r="P752" t="s">
        <v>590</v>
      </c>
      <c r="Q752" t="s">
        <v>272</v>
      </c>
      <c r="R752">
        <v>4155551450</v>
      </c>
      <c r="S752" t="s">
        <v>273</v>
      </c>
      <c r="U752" s="1" t="str">
        <f t="shared" si="69"/>
        <v>San Rafael</v>
      </c>
      <c r="V752" t="s">
        <v>274</v>
      </c>
      <c r="W752" t="s">
        <v>55</v>
      </c>
      <c r="X752">
        <v>97562</v>
      </c>
      <c r="Y752" s="1" t="str">
        <f t="shared" si="70"/>
        <v>USA</v>
      </c>
      <c r="Z752" s="4" t="str">
        <f t="shared" si="71"/>
        <v>Usa</v>
      </c>
      <c r="AA752" t="s">
        <v>32</v>
      </c>
      <c r="AB752" t="s">
        <v>33</v>
      </c>
      <c r="AC752" t="s">
        <v>275</v>
      </c>
      <c r="AD752" t="s">
        <v>276</v>
      </c>
      <c r="AE752" t="s">
        <v>51</v>
      </c>
    </row>
    <row r="753" spans="1:31" x14ac:dyDescent="0.3">
      <c r="A753">
        <v>10409</v>
      </c>
      <c r="B753">
        <v>6</v>
      </c>
      <c r="C753">
        <v>100</v>
      </c>
      <c r="D753">
        <v>2</v>
      </c>
      <c r="E753" s="4" t="str">
        <f t="shared" si="66"/>
        <v>low sales</v>
      </c>
      <c r="F753">
        <v>785.64</v>
      </c>
      <c r="G753" t="s">
        <v>1425</v>
      </c>
      <c r="H753" s="1" t="str">
        <f t="shared" si="67"/>
        <v>Shipped</v>
      </c>
      <c r="I753" s="4" t="str">
        <f t="shared" si="68"/>
        <v>completed</v>
      </c>
      <c r="J753" t="s">
        <v>25</v>
      </c>
      <c r="K753">
        <v>2</v>
      </c>
      <c r="L753">
        <v>4</v>
      </c>
      <c r="M753">
        <v>2005</v>
      </c>
      <c r="N753" t="s">
        <v>550</v>
      </c>
      <c r="O753">
        <v>127</v>
      </c>
      <c r="P753" t="s">
        <v>590</v>
      </c>
      <c r="Q753" t="s">
        <v>418</v>
      </c>
      <c r="R753" t="s">
        <v>419</v>
      </c>
      <c r="S753" t="s">
        <v>420</v>
      </c>
      <c r="T753" t="s">
        <v>421</v>
      </c>
      <c r="U753" s="1" t="str">
        <f t="shared" si="69"/>
        <v>Singapore</v>
      </c>
      <c r="V753" t="s">
        <v>199</v>
      </c>
      <c r="X753">
        <v>69045</v>
      </c>
      <c r="Y753" s="1" t="str">
        <f t="shared" si="70"/>
        <v>SINGAPORE</v>
      </c>
      <c r="Z753" s="4" t="str">
        <f t="shared" si="71"/>
        <v>Singapore</v>
      </c>
      <c r="AA753" t="s">
        <v>199</v>
      </c>
      <c r="AB753" t="s">
        <v>96</v>
      </c>
      <c r="AC753" t="s">
        <v>422</v>
      </c>
      <c r="AD753" t="s">
        <v>423</v>
      </c>
      <c r="AE753" t="s">
        <v>36</v>
      </c>
    </row>
    <row r="754" spans="1:31" x14ac:dyDescent="0.3">
      <c r="A754">
        <v>10420</v>
      </c>
      <c r="B754">
        <v>45</v>
      </c>
      <c r="C754">
        <v>100</v>
      </c>
      <c r="D754">
        <v>2</v>
      </c>
      <c r="E754" s="4" t="str">
        <f t="shared" si="66"/>
        <v>high sales</v>
      </c>
      <c r="F754">
        <v>4977</v>
      </c>
      <c r="G754" t="s">
        <v>1426</v>
      </c>
      <c r="H754" s="1" t="str">
        <f t="shared" si="67"/>
        <v>In Process</v>
      </c>
      <c r="I754" s="4" t="str">
        <f t="shared" si="68"/>
        <v>not completed</v>
      </c>
      <c r="J754" t="s">
        <v>300</v>
      </c>
      <c r="K754">
        <v>2</v>
      </c>
      <c r="L754">
        <v>5</v>
      </c>
      <c r="M754">
        <v>2005</v>
      </c>
      <c r="N754" t="s">
        <v>550</v>
      </c>
      <c r="O754">
        <v>127</v>
      </c>
      <c r="P754" t="s">
        <v>590</v>
      </c>
      <c r="Q754" t="s">
        <v>152</v>
      </c>
      <c r="R754" t="s">
        <v>153</v>
      </c>
      <c r="S754" t="s">
        <v>154</v>
      </c>
      <c r="T754" t="s">
        <v>155</v>
      </c>
      <c r="U754" s="1" t="str">
        <f t="shared" si="69"/>
        <v>Chatswood</v>
      </c>
      <c r="V754" t="s">
        <v>156</v>
      </c>
      <c r="W754" t="s">
        <v>157</v>
      </c>
      <c r="X754">
        <v>2067</v>
      </c>
      <c r="Y754" s="1" t="str">
        <f t="shared" si="70"/>
        <v>AUSTRALIA</v>
      </c>
      <c r="Z754" s="4" t="str">
        <f t="shared" si="71"/>
        <v>Australia</v>
      </c>
      <c r="AA754" t="s">
        <v>95</v>
      </c>
      <c r="AB754" t="s">
        <v>96</v>
      </c>
      <c r="AC754" t="s">
        <v>158</v>
      </c>
      <c r="AD754" t="s">
        <v>159</v>
      </c>
      <c r="AE754" t="s">
        <v>51</v>
      </c>
    </row>
    <row r="755" spans="1:31" x14ac:dyDescent="0.3">
      <c r="A755">
        <v>10103</v>
      </c>
      <c r="B755">
        <v>22</v>
      </c>
      <c r="C755">
        <v>54.09</v>
      </c>
      <c r="D755">
        <v>2</v>
      </c>
      <c r="E755" s="4" t="str">
        <f t="shared" si="66"/>
        <v>low sales</v>
      </c>
      <c r="F755">
        <v>1189.98</v>
      </c>
      <c r="G755" t="s">
        <v>1427</v>
      </c>
      <c r="H755" s="1" t="str">
        <f t="shared" si="67"/>
        <v>Shipped</v>
      </c>
      <c r="I755" s="4" t="str">
        <f t="shared" si="68"/>
        <v>completed</v>
      </c>
      <c r="J755" t="s">
        <v>25</v>
      </c>
      <c r="K755">
        <v>1</v>
      </c>
      <c r="L755">
        <v>1</v>
      </c>
      <c r="M755">
        <v>2003</v>
      </c>
      <c r="N755" t="s">
        <v>504</v>
      </c>
      <c r="O755">
        <v>60</v>
      </c>
      <c r="P755" t="s">
        <v>591</v>
      </c>
      <c r="Q755" t="s">
        <v>133</v>
      </c>
      <c r="R755" t="s">
        <v>134</v>
      </c>
      <c r="S755" t="s">
        <v>135</v>
      </c>
      <c r="U755" s="1" t="str">
        <f t="shared" si="69"/>
        <v>Stavern</v>
      </c>
      <c r="V755" t="s">
        <v>136</v>
      </c>
      <c r="X755">
        <v>4110</v>
      </c>
      <c r="Y755" s="1" t="str">
        <f t="shared" si="70"/>
        <v>NORWAY</v>
      </c>
      <c r="Z755" s="4" t="str">
        <f t="shared" si="71"/>
        <v>Norway</v>
      </c>
      <c r="AA755" t="s">
        <v>78</v>
      </c>
      <c r="AB755" t="s">
        <v>42</v>
      </c>
      <c r="AC755" t="s">
        <v>137</v>
      </c>
      <c r="AD755" t="s">
        <v>138</v>
      </c>
      <c r="AE755" t="s">
        <v>36</v>
      </c>
    </row>
    <row r="756" spans="1:31" x14ac:dyDescent="0.3">
      <c r="A756">
        <v>10114</v>
      </c>
      <c r="B756">
        <v>45</v>
      </c>
      <c r="C756">
        <v>68.67</v>
      </c>
      <c r="D756">
        <v>6</v>
      </c>
      <c r="E756" s="4" t="str">
        <f t="shared" si="66"/>
        <v>low sales</v>
      </c>
      <c r="F756">
        <v>3090.15</v>
      </c>
      <c r="G756" t="s">
        <v>1428</v>
      </c>
      <c r="H756" s="1" t="str">
        <f t="shared" si="67"/>
        <v>Shipped</v>
      </c>
      <c r="I756" s="4" t="str">
        <f t="shared" si="68"/>
        <v>completed</v>
      </c>
      <c r="J756" t="s">
        <v>25</v>
      </c>
      <c r="K756">
        <v>2</v>
      </c>
      <c r="L756">
        <v>4</v>
      </c>
      <c r="M756">
        <v>2003</v>
      </c>
      <c r="N756" t="s">
        <v>504</v>
      </c>
      <c r="O756">
        <v>60</v>
      </c>
      <c r="P756" t="s">
        <v>591</v>
      </c>
      <c r="Q756" t="s">
        <v>403</v>
      </c>
      <c r="R756" t="s">
        <v>404</v>
      </c>
      <c r="S756" t="s">
        <v>405</v>
      </c>
      <c r="U756" s="1" t="str">
        <f t="shared" si="69"/>
        <v>Paris</v>
      </c>
      <c r="V756" t="s">
        <v>48</v>
      </c>
      <c r="X756">
        <v>75012</v>
      </c>
      <c r="Y756" s="1" t="str">
        <f t="shared" si="70"/>
        <v>FRANCE</v>
      </c>
      <c r="Z756" s="4" t="str">
        <f t="shared" si="71"/>
        <v>France</v>
      </c>
      <c r="AA756" t="s">
        <v>41</v>
      </c>
      <c r="AB756" t="s">
        <v>42</v>
      </c>
      <c r="AC756" t="s">
        <v>406</v>
      </c>
      <c r="AD756" t="s">
        <v>407</v>
      </c>
      <c r="AE756" t="s">
        <v>51</v>
      </c>
    </row>
    <row r="757" spans="1:31" x14ac:dyDescent="0.3">
      <c r="A757">
        <v>10126</v>
      </c>
      <c r="B757">
        <v>43</v>
      </c>
      <c r="C757">
        <v>65.02</v>
      </c>
      <c r="D757">
        <v>2</v>
      </c>
      <c r="E757" s="4" t="str">
        <f t="shared" si="66"/>
        <v>low sales</v>
      </c>
      <c r="F757">
        <v>2795.86</v>
      </c>
      <c r="G757" t="s">
        <v>1429</v>
      </c>
      <c r="H757" s="1" t="str">
        <f t="shared" si="67"/>
        <v>Shipped</v>
      </c>
      <c r="I757" s="4" t="str">
        <f t="shared" si="68"/>
        <v>completed</v>
      </c>
      <c r="J757" t="s">
        <v>25</v>
      </c>
      <c r="K757">
        <v>2</v>
      </c>
      <c r="L757">
        <v>5</v>
      </c>
      <c r="M757">
        <v>2003</v>
      </c>
      <c r="N757" t="s">
        <v>504</v>
      </c>
      <c r="O757">
        <v>60</v>
      </c>
      <c r="P757" t="s">
        <v>591</v>
      </c>
      <c r="Q757" t="s">
        <v>191</v>
      </c>
      <c r="R757" t="s">
        <v>192</v>
      </c>
      <c r="S757" t="s">
        <v>193</v>
      </c>
      <c r="U757" s="1" t="str">
        <f t="shared" si="69"/>
        <v>Madrid</v>
      </c>
      <c r="V757" t="s">
        <v>177</v>
      </c>
      <c r="X757">
        <v>28023</v>
      </c>
      <c r="Y757" s="1" t="str">
        <f t="shared" si="70"/>
        <v>SPAIN</v>
      </c>
      <c r="Z757" s="4" t="str">
        <f t="shared" si="71"/>
        <v>Spain</v>
      </c>
      <c r="AA757" t="s">
        <v>178</v>
      </c>
      <c r="AB757" t="s">
        <v>42</v>
      </c>
      <c r="AC757" t="s">
        <v>194</v>
      </c>
      <c r="AD757" t="s">
        <v>195</v>
      </c>
      <c r="AE757" t="s">
        <v>36</v>
      </c>
    </row>
    <row r="758" spans="1:31" x14ac:dyDescent="0.3">
      <c r="A758">
        <v>10140</v>
      </c>
      <c r="B758">
        <v>46</v>
      </c>
      <c r="C758">
        <v>61.99</v>
      </c>
      <c r="D758">
        <v>2</v>
      </c>
      <c r="E758" s="4" t="str">
        <f t="shared" si="66"/>
        <v>low sales</v>
      </c>
      <c r="F758">
        <v>2851.54</v>
      </c>
      <c r="G758" t="s">
        <v>1430</v>
      </c>
      <c r="H758" s="1" t="str">
        <f t="shared" si="67"/>
        <v>Shipped</v>
      </c>
      <c r="I758" s="4" t="str">
        <f t="shared" si="68"/>
        <v>completed</v>
      </c>
      <c r="J758" t="s">
        <v>25</v>
      </c>
      <c r="K758">
        <v>3</v>
      </c>
      <c r="L758">
        <v>7</v>
      </c>
      <c r="M758">
        <v>2003</v>
      </c>
      <c r="N758" t="s">
        <v>504</v>
      </c>
      <c r="O758">
        <v>60</v>
      </c>
      <c r="P758" t="s">
        <v>591</v>
      </c>
      <c r="Q758" t="s">
        <v>62</v>
      </c>
      <c r="R758">
        <v>6505556809</v>
      </c>
      <c r="S758" t="s">
        <v>63</v>
      </c>
      <c r="U758" s="1" t="str">
        <f t="shared" si="69"/>
        <v>Burlingame</v>
      </c>
      <c r="V758" t="s">
        <v>64</v>
      </c>
      <c r="W758" t="s">
        <v>55</v>
      </c>
      <c r="X758">
        <v>94217</v>
      </c>
      <c r="Y758" s="1" t="str">
        <f t="shared" si="70"/>
        <v>USA</v>
      </c>
      <c r="Z758" s="4" t="str">
        <f t="shared" si="71"/>
        <v>Usa</v>
      </c>
      <c r="AA758" t="s">
        <v>32</v>
      </c>
      <c r="AB758" t="s">
        <v>33</v>
      </c>
      <c r="AC758" t="s">
        <v>65</v>
      </c>
      <c r="AD758" t="s">
        <v>66</v>
      </c>
      <c r="AE758" t="s">
        <v>36</v>
      </c>
    </row>
    <row r="759" spans="1:31" x14ac:dyDescent="0.3">
      <c r="A759">
        <v>10151</v>
      </c>
      <c r="B759">
        <v>39</v>
      </c>
      <c r="C759">
        <v>69.28</v>
      </c>
      <c r="D759">
        <v>9</v>
      </c>
      <c r="E759" s="4" t="str">
        <f t="shared" si="66"/>
        <v>low sales</v>
      </c>
      <c r="F759">
        <v>2701.92</v>
      </c>
      <c r="G759" t="s">
        <v>1431</v>
      </c>
      <c r="H759" s="1" t="str">
        <f t="shared" si="67"/>
        <v>Shipped</v>
      </c>
      <c r="I759" s="4" t="str">
        <f t="shared" si="68"/>
        <v>completed</v>
      </c>
      <c r="J759" t="s">
        <v>25</v>
      </c>
      <c r="K759">
        <v>3</v>
      </c>
      <c r="L759">
        <v>9</v>
      </c>
      <c r="M759">
        <v>2003</v>
      </c>
      <c r="N759" t="s">
        <v>504</v>
      </c>
      <c r="O759">
        <v>60</v>
      </c>
      <c r="P759" t="s">
        <v>591</v>
      </c>
      <c r="Q759" t="s">
        <v>391</v>
      </c>
      <c r="R759" t="s">
        <v>392</v>
      </c>
      <c r="S759" t="s">
        <v>393</v>
      </c>
      <c r="U759" s="1" t="str">
        <f t="shared" si="69"/>
        <v>Oulu</v>
      </c>
      <c r="V759" t="s">
        <v>394</v>
      </c>
      <c r="X759">
        <v>90110</v>
      </c>
      <c r="Y759" s="1" t="str">
        <f t="shared" si="70"/>
        <v>FINLAND</v>
      </c>
      <c r="Z759" s="4" t="str">
        <f t="shared" si="71"/>
        <v>Finland</v>
      </c>
      <c r="AA759" t="s">
        <v>130</v>
      </c>
      <c r="AB759" t="s">
        <v>42</v>
      </c>
      <c r="AC759" t="s">
        <v>395</v>
      </c>
      <c r="AD759" t="s">
        <v>396</v>
      </c>
      <c r="AE759" t="s">
        <v>36</v>
      </c>
    </row>
    <row r="760" spans="1:31" x14ac:dyDescent="0.3">
      <c r="A760">
        <v>10165</v>
      </c>
      <c r="B760">
        <v>31</v>
      </c>
      <c r="C760">
        <v>71.099999999999994</v>
      </c>
      <c r="D760">
        <v>18</v>
      </c>
      <c r="E760" s="4" t="str">
        <f t="shared" si="66"/>
        <v>low sales</v>
      </c>
      <c r="F760">
        <v>2204.1</v>
      </c>
      <c r="G760" t="s">
        <v>1432</v>
      </c>
      <c r="H760" s="1" t="str">
        <f t="shared" si="67"/>
        <v>Shipped</v>
      </c>
      <c r="I760" s="4" t="str">
        <f t="shared" si="68"/>
        <v>completed</v>
      </c>
      <c r="J760" t="s">
        <v>25</v>
      </c>
      <c r="K760">
        <v>4</v>
      </c>
      <c r="L760">
        <v>10</v>
      </c>
      <c r="M760">
        <v>2003</v>
      </c>
      <c r="N760" t="s">
        <v>504</v>
      </c>
      <c r="O760">
        <v>60</v>
      </c>
      <c r="P760" t="s">
        <v>591</v>
      </c>
      <c r="Q760" t="s">
        <v>196</v>
      </c>
      <c r="R760" t="s">
        <v>197</v>
      </c>
      <c r="S760" t="s">
        <v>198</v>
      </c>
      <c r="U760" s="1" t="str">
        <f t="shared" si="69"/>
        <v>Singapore</v>
      </c>
      <c r="V760" t="s">
        <v>199</v>
      </c>
      <c r="X760">
        <v>79903</v>
      </c>
      <c r="Y760" s="1" t="str">
        <f t="shared" si="70"/>
        <v>SINGAPORE</v>
      </c>
      <c r="Z760" s="4" t="str">
        <f t="shared" si="71"/>
        <v>Singapore</v>
      </c>
      <c r="AA760" t="s">
        <v>199</v>
      </c>
      <c r="AB760" t="s">
        <v>200</v>
      </c>
      <c r="AC760" t="s">
        <v>201</v>
      </c>
      <c r="AD760" t="s">
        <v>202</v>
      </c>
      <c r="AE760" t="s">
        <v>36</v>
      </c>
    </row>
    <row r="761" spans="1:31" x14ac:dyDescent="0.3">
      <c r="A761">
        <v>10175</v>
      </c>
      <c r="B761">
        <v>41</v>
      </c>
      <c r="C761">
        <v>69.28</v>
      </c>
      <c r="D761">
        <v>7</v>
      </c>
      <c r="E761" s="4" t="str">
        <f t="shared" si="66"/>
        <v>low sales</v>
      </c>
      <c r="F761">
        <v>2840.48</v>
      </c>
      <c r="G761" t="s">
        <v>1433</v>
      </c>
      <c r="H761" s="1" t="str">
        <f t="shared" si="67"/>
        <v>Shipped</v>
      </c>
      <c r="I761" s="4" t="str">
        <f t="shared" si="68"/>
        <v>completed</v>
      </c>
      <c r="J761" t="s">
        <v>25</v>
      </c>
      <c r="K761">
        <v>4</v>
      </c>
      <c r="L761">
        <v>11</v>
      </c>
      <c r="M761">
        <v>2003</v>
      </c>
      <c r="N761" t="s">
        <v>504</v>
      </c>
      <c r="O761">
        <v>60</v>
      </c>
      <c r="P761" t="s">
        <v>591</v>
      </c>
      <c r="Q761" t="s">
        <v>329</v>
      </c>
      <c r="R761" t="s">
        <v>330</v>
      </c>
      <c r="S761" t="s">
        <v>331</v>
      </c>
      <c r="U761" s="1" t="str">
        <f t="shared" si="69"/>
        <v>London</v>
      </c>
      <c r="V761" t="s">
        <v>332</v>
      </c>
      <c r="X761" t="s">
        <v>333</v>
      </c>
      <c r="Y761" s="1" t="str">
        <f t="shared" si="70"/>
        <v>UK</v>
      </c>
      <c r="Z761" s="4" t="str">
        <f t="shared" si="71"/>
        <v>Uk</v>
      </c>
      <c r="AA761" t="s">
        <v>170</v>
      </c>
      <c r="AB761" t="s">
        <v>42</v>
      </c>
      <c r="AC761" t="s">
        <v>61</v>
      </c>
      <c r="AD761" t="s">
        <v>334</v>
      </c>
      <c r="AE761" t="s">
        <v>36</v>
      </c>
    </row>
    <row r="762" spans="1:31" x14ac:dyDescent="0.3">
      <c r="A762">
        <v>10184</v>
      </c>
      <c r="B762">
        <v>44</v>
      </c>
      <c r="C762">
        <v>60.16</v>
      </c>
      <c r="D762">
        <v>12</v>
      </c>
      <c r="E762" s="4" t="str">
        <f t="shared" si="66"/>
        <v>low sales</v>
      </c>
      <c r="F762">
        <v>2647.04</v>
      </c>
      <c r="G762" t="s">
        <v>1434</v>
      </c>
      <c r="H762" s="1" t="str">
        <f t="shared" si="67"/>
        <v>Shipped</v>
      </c>
      <c r="I762" s="4" t="str">
        <f t="shared" si="68"/>
        <v>completed</v>
      </c>
      <c r="J762" t="s">
        <v>25</v>
      </c>
      <c r="K762">
        <v>4</v>
      </c>
      <c r="L762">
        <v>11</v>
      </c>
      <c r="M762">
        <v>2003</v>
      </c>
      <c r="N762" t="s">
        <v>504</v>
      </c>
      <c r="O762">
        <v>60</v>
      </c>
      <c r="P762" t="s">
        <v>591</v>
      </c>
      <c r="Q762" t="s">
        <v>520</v>
      </c>
      <c r="R762" t="s">
        <v>521</v>
      </c>
      <c r="S762" t="s">
        <v>522</v>
      </c>
      <c r="U762" s="1" t="str">
        <f t="shared" si="69"/>
        <v>Sevilla</v>
      </c>
      <c r="V762" t="s">
        <v>523</v>
      </c>
      <c r="X762">
        <v>41101</v>
      </c>
      <c r="Y762" s="1" t="str">
        <f t="shared" si="70"/>
        <v>SPAIN</v>
      </c>
      <c r="Z762" s="4" t="str">
        <f t="shared" si="71"/>
        <v>Spain</v>
      </c>
      <c r="AA762" t="s">
        <v>178</v>
      </c>
      <c r="AB762" t="s">
        <v>42</v>
      </c>
      <c r="AC762" t="s">
        <v>524</v>
      </c>
      <c r="AD762" t="s">
        <v>525</v>
      </c>
      <c r="AE762" t="s">
        <v>36</v>
      </c>
    </row>
    <row r="763" spans="1:31" x14ac:dyDescent="0.3">
      <c r="A763">
        <v>10194</v>
      </c>
      <c r="B763">
        <v>45</v>
      </c>
      <c r="C763">
        <v>70.489999999999995</v>
      </c>
      <c r="D763">
        <v>2</v>
      </c>
      <c r="E763" s="4" t="str">
        <f t="shared" si="66"/>
        <v>low sales</v>
      </c>
      <c r="F763">
        <v>3172.05</v>
      </c>
      <c r="G763" t="s">
        <v>1435</v>
      </c>
      <c r="H763" s="1" t="str">
        <f t="shared" si="67"/>
        <v>Shipped</v>
      </c>
      <c r="I763" s="4" t="str">
        <f t="shared" si="68"/>
        <v>completed</v>
      </c>
      <c r="J763" t="s">
        <v>25</v>
      </c>
      <c r="K763">
        <v>4</v>
      </c>
      <c r="L763">
        <v>11</v>
      </c>
      <c r="M763">
        <v>2003</v>
      </c>
      <c r="N763" t="s">
        <v>504</v>
      </c>
      <c r="O763">
        <v>60</v>
      </c>
      <c r="P763" t="s">
        <v>591</v>
      </c>
      <c r="Q763" t="s">
        <v>219</v>
      </c>
      <c r="R763" t="s">
        <v>220</v>
      </c>
      <c r="S763" t="s">
        <v>221</v>
      </c>
      <c r="U763" s="1" t="str">
        <f t="shared" si="69"/>
        <v>Lyon</v>
      </c>
      <c r="V763" t="s">
        <v>222</v>
      </c>
      <c r="X763">
        <v>69004</v>
      </c>
      <c r="Y763" s="1" t="str">
        <f t="shared" si="70"/>
        <v>FRANCE</v>
      </c>
      <c r="Z763" s="4" t="str">
        <f t="shared" si="71"/>
        <v>France</v>
      </c>
      <c r="AA763" t="s">
        <v>41</v>
      </c>
      <c r="AB763" t="s">
        <v>42</v>
      </c>
      <c r="AC763" t="s">
        <v>223</v>
      </c>
      <c r="AD763" t="s">
        <v>224</v>
      </c>
      <c r="AE763" t="s">
        <v>51</v>
      </c>
    </row>
    <row r="764" spans="1:31" x14ac:dyDescent="0.3">
      <c r="A764">
        <v>10207</v>
      </c>
      <c r="B764">
        <v>37</v>
      </c>
      <c r="C764">
        <v>69.89</v>
      </c>
      <c r="D764">
        <v>13</v>
      </c>
      <c r="E764" s="4" t="str">
        <f t="shared" si="66"/>
        <v>low sales</v>
      </c>
      <c r="F764">
        <v>2585.9299999999998</v>
      </c>
      <c r="G764" t="s">
        <v>1436</v>
      </c>
      <c r="H764" s="1" t="str">
        <f t="shared" si="67"/>
        <v>Shipped</v>
      </c>
      <c r="I764" s="4" t="str">
        <f t="shared" si="68"/>
        <v>completed</v>
      </c>
      <c r="J764" t="s">
        <v>25</v>
      </c>
      <c r="K764">
        <v>4</v>
      </c>
      <c r="L764">
        <v>12</v>
      </c>
      <c r="M764">
        <v>2003</v>
      </c>
      <c r="N764" t="s">
        <v>504</v>
      </c>
      <c r="O764">
        <v>60</v>
      </c>
      <c r="P764" t="s">
        <v>591</v>
      </c>
      <c r="Q764" t="s">
        <v>415</v>
      </c>
      <c r="R764">
        <v>6175552555</v>
      </c>
      <c r="S764" t="s">
        <v>416</v>
      </c>
      <c r="U764" s="1" t="str">
        <f t="shared" si="69"/>
        <v>Boston</v>
      </c>
      <c r="V764" t="s">
        <v>381</v>
      </c>
      <c r="W764" t="s">
        <v>123</v>
      </c>
      <c r="X764">
        <v>51003</v>
      </c>
      <c r="Y764" s="1" t="str">
        <f t="shared" si="70"/>
        <v>USA</v>
      </c>
      <c r="Z764" s="4" t="str">
        <f t="shared" si="71"/>
        <v>Usa</v>
      </c>
      <c r="AA764" t="s">
        <v>32</v>
      </c>
      <c r="AB764" t="s">
        <v>33</v>
      </c>
      <c r="AC764" t="s">
        <v>417</v>
      </c>
      <c r="AD764" t="s">
        <v>276</v>
      </c>
      <c r="AE764" t="s">
        <v>36</v>
      </c>
    </row>
    <row r="765" spans="1:31" x14ac:dyDescent="0.3">
      <c r="A765">
        <v>10217</v>
      </c>
      <c r="B765">
        <v>35</v>
      </c>
      <c r="C765">
        <v>61.38</v>
      </c>
      <c r="D765">
        <v>2</v>
      </c>
      <c r="E765" s="4" t="str">
        <f t="shared" si="66"/>
        <v>low sales</v>
      </c>
      <c r="F765">
        <v>2148.3000000000002</v>
      </c>
      <c r="G765" t="s">
        <v>1437</v>
      </c>
      <c r="H765" s="1" t="str">
        <f t="shared" si="67"/>
        <v>Shipped</v>
      </c>
      <c r="I765" s="4" t="str">
        <f t="shared" si="68"/>
        <v>completed</v>
      </c>
      <c r="J765" t="s">
        <v>25</v>
      </c>
      <c r="K765">
        <v>1</v>
      </c>
      <c r="L765">
        <v>2</v>
      </c>
      <c r="M765">
        <v>2004</v>
      </c>
      <c r="N765" t="s">
        <v>504</v>
      </c>
      <c r="O765">
        <v>60</v>
      </c>
      <c r="P765" t="s">
        <v>591</v>
      </c>
      <c r="Q765" t="s">
        <v>418</v>
      </c>
      <c r="R765" t="s">
        <v>419</v>
      </c>
      <c r="S765" t="s">
        <v>420</v>
      </c>
      <c r="T765" t="s">
        <v>421</v>
      </c>
      <c r="U765" s="1" t="str">
        <f t="shared" si="69"/>
        <v>Singapore</v>
      </c>
      <c r="V765" t="s">
        <v>199</v>
      </c>
      <c r="X765">
        <v>69045</v>
      </c>
      <c r="Y765" s="1" t="str">
        <f t="shared" si="70"/>
        <v>SINGAPORE</v>
      </c>
      <c r="Z765" s="4" t="str">
        <f t="shared" si="71"/>
        <v>Singapore</v>
      </c>
      <c r="AA765" t="s">
        <v>199</v>
      </c>
      <c r="AB765" t="s">
        <v>96</v>
      </c>
      <c r="AC765" t="s">
        <v>422</v>
      </c>
      <c r="AD765" t="s">
        <v>423</v>
      </c>
      <c r="AE765" t="s">
        <v>36</v>
      </c>
    </row>
    <row r="766" spans="1:31" x14ac:dyDescent="0.3">
      <c r="A766">
        <v>10229</v>
      </c>
      <c r="B766">
        <v>28</v>
      </c>
      <c r="C766">
        <v>59.55</v>
      </c>
      <c r="D766">
        <v>7</v>
      </c>
      <c r="E766" s="4" t="str">
        <f t="shared" si="66"/>
        <v>low sales</v>
      </c>
      <c r="F766">
        <v>1667.4</v>
      </c>
      <c r="G766" t="s">
        <v>1438</v>
      </c>
      <c r="H766" s="1" t="str">
        <f t="shared" si="67"/>
        <v>Shipped</v>
      </c>
      <c r="I766" s="4" t="str">
        <f t="shared" si="68"/>
        <v>completed</v>
      </c>
      <c r="J766" t="s">
        <v>25</v>
      </c>
      <c r="K766">
        <v>1</v>
      </c>
      <c r="L766">
        <v>3</v>
      </c>
      <c r="M766">
        <v>2004</v>
      </c>
      <c r="N766" t="s">
        <v>504</v>
      </c>
      <c r="O766">
        <v>60</v>
      </c>
      <c r="P766" t="s">
        <v>591</v>
      </c>
      <c r="Q766" t="s">
        <v>272</v>
      </c>
      <c r="R766">
        <v>4155551450</v>
      </c>
      <c r="S766" t="s">
        <v>273</v>
      </c>
      <c r="U766" s="1" t="str">
        <f t="shared" si="69"/>
        <v>San Rafael</v>
      </c>
      <c r="V766" t="s">
        <v>274</v>
      </c>
      <c r="W766" t="s">
        <v>55</v>
      </c>
      <c r="X766">
        <v>97562</v>
      </c>
      <c r="Y766" s="1" t="str">
        <f t="shared" si="70"/>
        <v>USA</v>
      </c>
      <c r="Z766" s="4" t="str">
        <f t="shared" si="71"/>
        <v>Usa</v>
      </c>
      <c r="AA766" t="s">
        <v>32</v>
      </c>
      <c r="AB766" t="s">
        <v>33</v>
      </c>
      <c r="AC766" t="s">
        <v>275</v>
      </c>
      <c r="AD766" t="s">
        <v>276</v>
      </c>
      <c r="AE766" t="s">
        <v>36</v>
      </c>
    </row>
    <row r="767" spans="1:31" x14ac:dyDescent="0.3">
      <c r="A767">
        <v>10246</v>
      </c>
      <c r="B767">
        <v>30</v>
      </c>
      <c r="C767">
        <v>61.99</v>
      </c>
      <c r="D767">
        <v>11</v>
      </c>
      <c r="E767" s="4" t="str">
        <f t="shared" si="66"/>
        <v>low sales</v>
      </c>
      <c r="F767">
        <v>1859.7</v>
      </c>
      <c r="G767" t="s">
        <v>1439</v>
      </c>
      <c r="H767" s="1" t="str">
        <f t="shared" si="67"/>
        <v>Shipped</v>
      </c>
      <c r="I767" s="4" t="str">
        <f t="shared" si="68"/>
        <v>completed</v>
      </c>
      <c r="J767" t="s">
        <v>25</v>
      </c>
      <c r="K767">
        <v>2</v>
      </c>
      <c r="L767">
        <v>5</v>
      </c>
      <c r="M767">
        <v>2004</v>
      </c>
      <c r="N767" t="s">
        <v>504</v>
      </c>
      <c r="O767">
        <v>60</v>
      </c>
      <c r="P767" t="s">
        <v>591</v>
      </c>
      <c r="Q767" t="s">
        <v>174</v>
      </c>
      <c r="R767" t="s">
        <v>175</v>
      </c>
      <c r="S767" t="s">
        <v>176</v>
      </c>
      <c r="U767" s="1" t="str">
        <f t="shared" si="69"/>
        <v>Madrid</v>
      </c>
      <c r="V767" t="s">
        <v>177</v>
      </c>
      <c r="X767">
        <v>28034</v>
      </c>
      <c r="Y767" s="1" t="str">
        <f t="shared" si="70"/>
        <v>SPAIN</v>
      </c>
      <c r="Z767" s="4" t="str">
        <f t="shared" si="71"/>
        <v>Spain</v>
      </c>
      <c r="AA767" t="s">
        <v>178</v>
      </c>
      <c r="AB767" t="s">
        <v>42</v>
      </c>
      <c r="AC767" t="s">
        <v>179</v>
      </c>
      <c r="AD767" t="s">
        <v>180</v>
      </c>
      <c r="AE767" t="s">
        <v>36</v>
      </c>
    </row>
    <row r="768" spans="1:31" x14ac:dyDescent="0.3">
      <c r="A768">
        <v>10259</v>
      </c>
      <c r="B768">
        <v>30</v>
      </c>
      <c r="C768">
        <v>49.22</v>
      </c>
      <c r="D768">
        <v>10</v>
      </c>
      <c r="E768" s="4" t="str">
        <f t="shared" si="66"/>
        <v>low sales</v>
      </c>
      <c r="F768">
        <v>1476.6</v>
      </c>
      <c r="G768" t="s">
        <v>1440</v>
      </c>
      <c r="H768" s="1" t="str">
        <f t="shared" si="67"/>
        <v>Shipped</v>
      </c>
      <c r="I768" s="4" t="str">
        <f t="shared" si="68"/>
        <v>completed</v>
      </c>
      <c r="J768" t="s">
        <v>25</v>
      </c>
      <c r="K768">
        <v>2</v>
      </c>
      <c r="L768">
        <v>6</v>
      </c>
      <c r="M768">
        <v>2004</v>
      </c>
      <c r="N768" t="s">
        <v>504</v>
      </c>
      <c r="O768">
        <v>60</v>
      </c>
      <c r="P768" t="s">
        <v>591</v>
      </c>
      <c r="Q768" t="s">
        <v>418</v>
      </c>
      <c r="R768" t="s">
        <v>419</v>
      </c>
      <c r="S768" t="s">
        <v>420</v>
      </c>
      <c r="T768" t="s">
        <v>421</v>
      </c>
      <c r="U768" s="1" t="str">
        <f t="shared" si="69"/>
        <v>Singapore</v>
      </c>
      <c r="V768" t="s">
        <v>199</v>
      </c>
      <c r="X768">
        <v>69045</v>
      </c>
      <c r="Y768" s="1" t="str">
        <f t="shared" si="70"/>
        <v>SINGAPORE</v>
      </c>
      <c r="Z768" s="4" t="str">
        <f t="shared" si="71"/>
        <v>Singapore</v>
      </c>
      <c r="AA768" t="s">
        <v>199</v>
      </c>
      <c r="AB768" t="s">
        <v>96</v>
      </c>
      <c r="AC768" t="s">
        <v>422</v>
      </c>
      <c r="AD768" t="s">
        <v>423</v>
      </c>
      <c r="AE768" t="s">
        <v>36</v>
      </c>
    </row>
    <row r="769" spans="1:31" x14ac:dyDescent="0.3">
      <c r="A769">
        <v>10271</v>
      </c>
      <c r="B769">
        <v>25</v>
      </c>
      <c r="C769">
        <v>69.28</v>
      </c>
      <c r="D769">
        <v>11</v>
      </c>
      <c r="E769" s="4" t="str">
        <f t="shared" si="66"/>
        <v>low sales</v>
      </c>
      <c r="F769">
        <v>1732</v>
      </c>
      <c r="G769" t="s">
        <v>1441</v>
      </c>
      <c r="H769" s="1" t="str">
        <f t="shared" si="67"/>
        <v>Shipped</v>
      </c>
      <c r="I769" s="4" t="str">
        <f t="shared" si="68"/>
        <v>completed</v>
      </c>
      <c r="J769" t="s">
        <v>25</v>
      </c>
      <c r="K769">
        <v>3</v>
      </c>
      <c r="L769">
        <v>7</v>
      </c>
      <c r="M769">
        <v>2004</v>
      </c>
      <c r="N769" t="s">
        <v>504</v>
      </c>
      <c r="O769">
        <v>60</v>
      </c>
      <c r="P769" t="s">
        <v>591</v>
      </c>
      <c r="Q769" t="s">
        <v>272</v>
      </c>
      <c r="R769">
        <v>4155551450</v>
      </c>
      <c r="S769" t="s">
        <v>273</v>
      </c>
      <c r="U769" s="1" t="str">
        <f t="shared" si="69"/>
        <v>San Rafael</v>
      </c>
      <c r="V769" t="s">
        <v>274</v>
      </c>
      <c r="W769" t="s">
        <v>55</v>
      </c>
      <c r="X769">
        <v>97562</v>
      </c>
      <c r="Y769" s="1" t="str">
        <f t="shared" si="70"/>
        <v>USA</v>
      </c>
      <c r="Z769" s="4" t="str">
        <f t="shared" si="71"/>
        <v>Usa</v>
      </c>
      <c r="AA769" t="s">
        <v>32</v>
      </c>
      <c r="AB769" t="s">
        <v>33</v>
      </c>
      <c r="AC769" t="s">
        <v>275</v>
      </c>
      <c r="AD769" t="s">
        <v>276</v>
      </c>
      <c r="AE769" t="s">
        <v>36</v>
      </c>
    </row>
    <row r="770" spans="1:31" x14ac:dyDescent="0.3">
      <c r="A770">
        <v>10281</v>
      </c>
      <c r="B770">
        <v>29</v>
      </c>
      <c r="C770">
        <v>57.73</v>
      </c>
      <c r="D770">
        <v>7</v>
      </c>
      <c r="E770" s="4" t="str">
        <f t="shared" si="66"/>
        <v>low sales</v>
      </c>
      <c r="F770">
        <v>1674.17</v>
      </c>
      <c r="G770" t="s">
        <v>1442</v>
      </c>
      <c r="H770" s="1" t="str">
        <f t="shared" si="67"/>
        <v>Shipped</v>
      </c>
      <c r="I770" s="4" t="str">
        <f t="shared" si="68"/>
        <v>completed</v>
      </c>
      <c r="J770" t="s">
        <v>25</v>
      </c>
      <c r="K770">
        <v>3</v>
      </c>
      <c r="L770">
        <v>8</v>
      </c>
      <c r="M770">
        <v>2004</v>
      </c>
      <c r="N770" t="s">
        <v>504</v>
      </c>
      <c r="O770">
        <v>60</v>
      </c>
      <c r="P770" t="s">
        <v>591</v>
      </c>
      <c r="Q770" t="s">
        <v>139</v>
      </c>
      <c r="R770">
        <v>2155551555</v>
      </c>
      <c r="S770" t="s">
        <v>140</v>
      </c>
      <c r="U770" s="1" t="str">
        <f t="shared" si="69"/>
        <v>Allentown</v>
      </c>
      <c r="V770" t="s">
        <v>141</v>
      </c>
      <c r="W770" t="s">
        <v>142</v>
      </c>
      <c r="X770">
        <v>70267</v>
      </c>
      <c r="Y770" s="1" t="str">
        <f t="shared" si="70"/>
        <v>USA</v>
      </c>
      <c r="Z770" s="4" t="str">
        <f t="shared" si="71"/>
        <v>Usa</v>
      </c>
      <c r="AA770" t="s">
        <v>32</v>
      </c>
      <c r="AB770" t="s">
        <v>33</v>
      </c>
      <c r="AC770" t="s">
        <v>34</v>
      </c>
      <c r="AD770" t="s">
        <v>143</v>
      </c>
      <c r="AE770" t="s">
        <v>36</v>
      </c>
    </row>
    <row r="771" spans="1:31" x14ac:dyDescent="0.3">
      <c r="A771">
        <v>10291</v>
      </c>
      <c r="B771">
        <v>26</v>
      </c>
      <c r="C771">
        <v>57.73</v>
      </c>
      <c r="D771">
        <v>2</v>
      </c>
      <c r="E771" s="4" t="str">
        <f t="shared" ref="E771:E834" si="72">IF(F771&gt;4000,"high sales","low sales")</f>
        <v>low sales</v>
      </c>
      <c r="F771">
        <v>1500.98</v>
      </c>
      <c r="G771" t="s">
        <v>1443</v>
      </c>
      <c r="H771" s="1" t="str">
        <f t="shared" ref="H771:H834" si="73">PROPER(TRIM(J771))</f>
        <v>Shipped</v>
      </c>
      <c r="I771" s="4" t="str">
        <f t="shared" ref="I771:I834" si="74">IF(J771="shipped","completed","not completed")</f>
        <v>completed</v>
      </c>
      <c r="J771" t="s">
        <v>25</v>
      </c>
      <c r="K771">
        <v>3</v>
      </c>
      <c r="L771">
        <v>9</v>
      </c>
      <c r="M771">
        <v>2004</v>
      </c>
      <c r="N771" t="s">
        <v>504</v>
      </c>
      <c r="O771">
        <v>60</v>
      </c>
      <c r="P771" t="s">
        <v>591</v>
      </c>
      <c r="Q771" t="s">
        <v>261</v>
      </c>
      <c r="R771" t="s">
        <v>262</v>
      </c>
      <c r="S771" t="s">
        <v>263</v>
      </c>
      <c r="U771" s="1" t="str">
        <f t="shared" ref="U771:U834" si="75">PROPER(TRIM(V771))</f>
        <v>Boras</v>
      </c>
      <c r="V771" t="s">
        <v>264</v>
      </c>
      <c r="X771" t="s">
        <v>265</v>
      </c>
      <c r="Y771" s="1" t="str">
        <f t="shared" ref="Y771:Y834" si="76">UPPER(TRIM(AA771))</f>
        <v>SWEDEN</v>
      </c>
      <c r="Z771" s="4" t="str">
        <f t="shared" ref="Z771:Z834" si="77">PROPER(TRIM(AA771))</f>
        <v>Sweden</v>
      </c>
      <c r="AA771" t="s">
        <v>188</v>
      </c>
      <c r="AB771" t="s">
        <v>42</v>
      </c>
      <c r="AC771" t="s">
        <v>266</v>
      </c>
      <c r="AD771" t="s">
        <v>206</v>
      </c>
      <c r="AE771" t="s">
        <v>36</v>
      </c>
    </row>
    <row r="772" spans="1:31" x14ac:dyDescent="0.3">
      <c r="A772">
        <v>10305</v>
      </c>
      <c r="B772">
        <v>41</v>
      </c>
      <c r="C772">
        <v>53.48</v>
      </c>
      <c r="D772">
        <v>11</v>
      </c>
      <c r="E772" s="4" t="str">
        <f t="shared" si="72"/>
        <v>low sales</v>
      </c>
      <c r="F772">
        <v>2192.6799999999998</v>
      </c>
      <c r="G772" t="s">
        <v>1444</v>
      </c>
      <c r="H772" s="1" t="str">
        <f t="shared" si="73"/>
        <v>Shipped</v>
      </c>
      <c r="I772" s="4" t="str">
        <f t="shared" si="74"/>
        <v>completed</v>
      </c>
      <c r="J772" t="s">
        <v>25</v>
      </c>
      <c r="K772">
        <v>4</v>
      </c>
      <c r="L772">
        <v>10</v>
      </c>
      <c r="M772">
        <v>2004</v>
      </c>
      <c r="N772" t="s">
        <v>504</v>
      </c>
      <c r="O772">
        <v>60</v>
      </c>
      <c r="P772" t="s">
        <v>591</v>
      </c>
      <c r="Q772" t="s">
        <v>120</v>
      </c>
      <c r="R772">
        <v>6175558555</v>
      </c>
      <c r="S772" t="s">
        <v>121</v>
      </c>
      <c r="U772" s="1" t="str">
        <f t="shared" si="75"/>
        <v>Cambridge</v>
      </c>
      <c r="V772" t="s">
        <v>122</v>
      </c>
      <c r="W772" t="s">
        <v>123</v>
      </c>
      <c r="X772">
        <v>51247</v>
      </c>
      <c r="Y772" s="1" t="str">
        <f t="shared" si="76"/>
        <v>USA</v>
      </c>
      <c r="Z772" s="4" t="str">
        <f t="shared" si="77"/>
        <v>Usa</v>
      </c>
      <c r="AA772" t="s">
        <v>32</v>
      </c>
      <c r="AB772" t="s">
        <v>33</v>
      </c>
      <c r="AC772" t="s">
        <v>124</v>
      </c>
      <c r="AD772" t="s">
        <v>125</v>
      </c>
      <c r="AE772" t="s">
        <v>36</v>
      </c>
    </row>
    <row r="773" spans="1:31" x14ac:dyDescent="0.3">
      <c r="A773">
        <v>10313</v>
      </c>
      <c r="B773">
        <v>34</v>
      </c>
      <c r="C773">
        <v>52.87</v>
      </c>
      <c r="D773">
        <v>5</v>
      </c>
      <c r="E773" s="4" t="str">
        <f t="shared" si="72"/>
        <v>low sales</v>
      </c>
      <c r="F773">
        <v>1797.58</v>
      </c>
      <c r="G773" t="s">
        <v>1445</v>
      </c>
      <c r="H773" s="1" t="str">
        <f t="shared" si="73"/>
        <v>Shipped</v>
      </c>
      <c r="I773" s="4" t="str">
        <f t="shared" si="74"/>
        <v>completed</v>
      </c>
      <c r="J773" t="s">
        <v>25</v>
      </c>
      <c r="K773">
        <v>4</v>
      </c>
      <c r="L773">
        <v>10</v>
      </c>
      <c r="M773">
        <v>2004</v>
      </c>
      <c r="N773" t="s">
        <v>504</v>
      </c>
      <c r="O773">
        <v>60</v>
      </c>
      <c r="P773" t="s">
        <v>591</v>
      </c>
      <c r="Q773" t="s">
        <v>225</v>
      </c>
      <c r="R773" t="s">
        <v>226</v>
      </c>
      <c r="S773" t="s">
        <v>227</v>
      </c>
      <c r="U773" s="1" t="str">
        <f t="shared" si="75"/>
        <v>Vancouver</v>
      </c>
      <c r="V773" t="s">
        <v>228</v>
      </c>
      <c r="W773" t="s">
        <v>229</v>
      </c>
      <c r="X773" t="s">
        <v>230</v>
      </c>
      <c r="Y773" s="1" t="str">
        <f t="shared" si="76"/>
        <v>CANADA</v>
      </c>
      <c r="Z773" s="4" t="str">
        <f t="shared" si="77"/>
        <v>Canada</v>
      </c>
      <c r="AA773" t="s">
        <v>231</v>
      </c>
      <c r="AB773" t="s">
        <v>33</v>
      </c>
      <c r="AC773" t="s">
        <v>232</v>
      </c>
      <c r="AD773" t="s">
        <v>233</v>
      </c>
      <c r="AE773" t="s">
        <v>36</v>
      </c>
    </row>
    <row r="774" spans="1:31" x14ac:dyDescent="0.3">
      <c r="A774">
        <v>10322</v>
      </c>
      <c r="B774">
        <v>35</v>
      </c>
      <c r="C774">
        <v>61.21</v>
      </c>
      <c r="D774">
        <v>11</v>
      </c>
      <c r="E774" s="4" t="str">
        <f t="shared" si="72"/>
        <v>low sales</v>
      </c>
      <c r="F774">
        <v>2142.35</v>
      </c>
      <c r="G774" t="s">
        <v>1446</v>
      </c>
      <c r="H774" s="1" t="str">
        <f t="shared" si="73"/>
        <v>Shipped</v>
      </c>
      <c r="I774" s="4" t="str">
        <f t="shared" si="74"/>
        <v>completed</v>
      </c>
      <c r="J774" t="s">
        <v>25</v>
      </c>
      <c r="K774">
        <v>4</v>
      </c>
      <c r="L774">
        <v>11</v>
      </c>
      <c r="M774">
        <v>2004</v>
      </c>
      <c r="N774" t="s">
        <v>504</v>
      </c>
      <c r="O774">
        <v>60</v>
      </c>
      <c r="P774" t="s">
        <v>591</v>
      </c>
      <c r="Q774" t="s">
        <v>277</v>
      </c>
      <c r="R774">
        <v>6035558647</v>
      </c>
      <c r="S774" t="s">
        <v>278</v>
      </c>
      <c r="U774" s="1" t="str">
        <f t="shared" si="75"/>
        <v>Nashua</v>
      </c>
      <c r="V774" t="s">
        <v>279</v>
      </c>
      <c r="W774" t="s">
        <v>280</v>
      </c>
      <c r="X774">
        <v>62005</v>
      </c>
      <c r="Y774" s="1" t="str">
        <f t="shared" si="76"/>
        <v>USA</v>
      </c>
      <c r="Z774" s="4" t="str">
        <f t="shared" si="77"/>
        <v>Usa</v>
      </c>
      <c r="AA774" t="s">
        <v>32</v>
      </c>
      <c r="AB774" t="s">
        <v>33</v>
      </c>
      <c r="AC774" t="s">
        <v>56</v>
      </c>
      <c r="AD774" t="s">
        <v>276</v>
      </c>
      <c r="AE774" t="s">
        <v>36</v>
      </c>
    </row>
    <row r="775" spans="1:31" x14ac:dyDescent="0.3">
      <c r="A775">
        <v>10334</v>
      </c>
      <c r="B775">
        <v>34</v>
      </c>
      <c r="C775">
        <v>61.38</v>
      </c>
      <c r="D775">
        <v>1</v>
      </c>
      <c r="E775" s="4" t="str">
        <f t="shared" si="72"/>
        <v>low sales</v>
      </c>
      <c r="F775">
        <v>2086.92</v>
      </c>
      <c r="G775" t="s">
        <v>1447</v>
      </c>
      <c r="H775" s="1" t="str">
        <f t="shared" si="73"/>
        <v>On Hold</v>
      </c>
      <c r="I775" s="4" t="str">
        <f t="shared" si="74"/>
        <v>not completed</v>
      </c>
      <c r="J775" t="s">
        <v>401</v>
      </c>
      <c r="K775">
        <v>4</v>
      </c>
      <c r="L775">
        <v>11</v>
      </c>
      <c r="M775">
        <v>2004</v>
      </c>
      <c r="N775" t="s">
        <v>504</v>
      </c>
      <c r="O775">
        <v>60</v>
      </c>
      <c r="P775" t="s">
        <v>591</v>
      </c>
      <c r="Q775" t="s">
        <v>183</v>
      </c>
      <c r="R775" t="s">
        <v>184</v>
      </c>
      <c r="S775" t="s">
        <v>185</v>
      </c>
      <c r="U775" s="1" t="str">
        <f t="shared" si="75"/>
        <v>Lule</v>
      </c>
      <c r="V775" t="s">
        <v>186</v>
      </c>
      <c r="X775" t="s">
        <v>187</v>
      </c>
      <c r="Y775" s="1" t="str">
        <f t="shared" si="76"/>
        <v>SWEDEN</v>
      </c>
      <c r="Z775" s="4" t="str">
        <f t="shared" si="77"/>
        <v>Sweden</v>
      </c>
      <c r="AA775" t="s">
        <v>188</v>
      </c>
      <c r="AB775" t="s">
        <v>42</v>
      </c>
      <c r="AC775" t="s">
        <v>189</v>
      </c>
      <c r="AD775" t="s">
        <v>190</v>
      </c>
      <c r="AE775" t="s">
        <v>36</v>
      </c>
    </row>
    <row r="776" spans="1:31" x14ac:dyDescent="0.3">
      <c r="A776">
        <v>10347</v>
      </c>
      <c r="B776">
        <v>50</v>
      </c>
      <c r="C776">
        <v>100</v>
      </c>
      <c r="D776">
        <v>8</v>
      </c>
      <c r="E776" s="4" t="str">
        <f t="shared" si="72"/>
        <v>high sales</v>
      </c>
      <c r="F776">
        <v>6834.5</v>
      </c>
      <c r="G776" t="s">
        <v>1448</v>
      </c>
      <c r="H776" s="1" t="str">
        <f t="shared" si="73"/>
        <v>Shipped</v>
      </c>
      <c r="I776" s="4" t="str">
        <f t="shared" si="74"/>
        <v>completed</v>
      </c>
      <c r="J776" t="s">
        <v>25</v>
      </c>
      <c r="K776">
        <v>4</v>
      </c>
      <c r="L776">
        <v>11</v>
      </c>
      <c r="M776">
        <v>2004</v>
      </c>
      <c r="N776" t="s">
        <v>504</v>
      </c>
      <c r="O776">
        <v>60</v>
      </c>
      <c r="P776" t="s">
        <v>591</v>
      </c>
      <c r="Q776" t="s">
        <v>89</v>
      </c>
      <c r="R776" t="s">
        <v>90</v>
      </c>
      <c r="S776" t="s">
        <v>91</v>
      </c>
      <c r="T776" t="s">
        <v>92</v>
      </c>
      <c r="U776" s="1" t="str">
        <f t="shared" si="75"/>
        <v>Melbourne</v>
      </c>
      <c r="V776" t="s">
        <v>93</v>
      </c>
      <c r="W776" t="s">
        <v>94</v>
      </c>
      <c r="X776">
        <v>3004</v>
      </c>
      <c r="Y776" s="1" t="str">
        <f t="shared" si="76"/>
        <v>AUSTRALIA</v>
      </c>
      <c r="Z776" s="4" t="str">
        <f t="shared" si="77"/>
        <v>Australia</v>
      </c>
      <c r="AA776" t="s">
        <v>95</v>
      </c>
      <c r="AB776" t="s">
        <v>96</v>
      </c>
      <c r="AC776" t="s">
        <v>97</v>
      </c>
      <c r="AD776" t="s">
        <v>98</v>
      </c>
      <c r="AE776" t="s">
        <v>51</v>
      </c>
    </row>
    <row r="777" spans="1:31" x14ac:dyDescent="0.3">
      <c r="A777">
        <v>10357</v>
      </c>
      <c r="B777">
        <v>41</v>
      </c>
      <c r="C777">
        <v>61.99</v>
      </c>
      <c r="D777">
        <v>7</v>
      </c>
      <c r="E777" s="4" t="str">
        <f t="shared" si="72"/>
        <v>low sales</v>
      </c>
      <c r="F777">
        <v>2541.59</v>
      </c>
      <c r="G777" t="s">
        <v>1449</v>
      </c>
      <c r="H777" s="1" t="str">
        <f t="shared" si="73"/>
        <v>Shipped</v>
      </c>
      <c r="I777" s="4" t="str">
        <f t="shared" si="74"/>
        <v>completed</v>
      </c>
      <c r="J777" t="s">
        <v>25</v>
      </c>
      <c r="K777">
        <v>4</v>
      </c>
      <c r="L777">
        <v>12</v>
      </c>
      <c r="M777">
        <v>2004</v>
      </c>
      <c r="N777" t="s">
        <v>504</v>
      </c>
      <c r="O777">
        <v>60</v>
      </c>
      <c r="P777" t="s">
        <v>591</v>
      </c>
      <c r="Q777" t="s">
        <v>272</v>
      </c>
      <c r="R777">
        <v>4155551450</v>
      </c>
      <c r="S777" t="s">
        <v>273</v>
      </c>
      <c r="U777" s="1" t="str">
        <f t="shared" si="75"/>
        <v>San Rafael</v>
      </c>
      <c r="V777" t="s">
        <v>274</v>
      </c>
      <c r="W777" t="s">
        <v>55</v>
      </c>
      <c r="X777">
        <v>97562</v>
      </c>
      <c r="Y777" s="1" t="str">
        <f t="shared" si="76"/>
        <v>USA</v>
      </c>
      <c r="Z777" s="4" t="str">
        <f t="shared" si="77"/>
        <v>Usa</v>
      </c>
      <c r="AA777" t="s">
        <v>32</v>
      </c>
      <c r="AB777" t="s">
        <v>33</v>
      </c>
      <c r="AC777" t="s">
        <v>275</v>
      </c>
      <c r="AD777" t="s">
        <v>276</v>
      </c>
      <c r="AE777" t="s">
        <v>36</v>
      </c>
    </row>
    <row r="778" spans="1:31" x14ac:dyDescent="0.3">
      <c r="A778">
        <v>10370</v>
      </c>
      <c r="B778">
        <v>22</v>
      </c>
      <c r="C778">
        <v>96.86</v>
      </c>
      <c r="D778">
        <v>7</v>
      </c>
      <c r="E778" s="4" t="str">
        <f t="shared" si="72"/>
        <v>low sales</v>
      </c>
      <c r="F778">
        <v>2130.92</v>
      </c>
      <c r="G778" t="s">
        <v>1450</v>
      </c>
      <c r="H778" s="1" t="str">
        <f t="shared" si="73"/>
        <v>Shipped</v>
      </c>
      <c r="I778" s="4" t="str">
        <f t="shared" si="74"/>
        <v>completed</v>
      </c>
      <c r="J778" t="s">
        <v>25</v>
      </c>
      <c r="K778">
        <v>1</v>
      </c>
      <c r="L778">
        <v>1</v>
      </c>
      <c r="M778">
        <v>2005</v>
      </c>
      <c r="N778" t="s">
        <v>504</v>
      </c>
      <c r="O778">
        <v>60</v>
      </c>
      <c r="P778" t="s">
        <v>591</v>
      </c>
      <c r="Q778" t="s">
        <v>285</v>
      </c>
      <c r="R778" t="s">
        <v>286</v>
      </c>
      <c r="S778" t="s">
        <v>287</v>
      </c>
      <c r="T778" t="s">
        <v>288</v>
      </c>
      <c r="U778" s="1" t="str">
        <f t="shared" si="75"/>
        <v>North Sydney</v>
      </c>
      <c r="V778" t="s">
        <v>289</v>
      </c>
      <c r="W778" t="s">
        <v>157</v>
      </c>
      <c r="X778">
        <v>2060</v>
      </c>
      <c r="Y778" s="1" t="str">
        <f t="shared" si="76"/>
        <v>AUSTRALIA</v>
      </c>
      <c r="Z778" s="4" t="str">
        <f t="shared" si="77"/>
        <v>Australia</v>
      </c>
      <c r="AA778" t="s">
        <v>95</v>
      </c>
      <c r="AB778" t="s">
        <v>96</v>
      </c>
      <c r="AC778" t="s">
        <v>290</v>
      </c>
      <c r="AD778" t="s">
        <v>291</v>
      </c>
      <c r="AE778" t="s">
        <v>36</v>
      </c>
    </row>
    <row r="779" spans="1:31" x14ac:dyDescent="0.3">
      <c r="A779">
        <v>10381</v>
      </c>
      <c r="B779">
        <v>35</v>
      </c>
      <c r="C779">
        <v>48.62</v>
      </c>
      <c r="D779">
        <v>7</v>
      </c>
      <c r="E779" s="4" t="str">
        <f t="shared" si="72"/>
        <v>low sales</v>
      </c>
      <c r="F779">
        <v>1701.7</v>
      </c>
      <c r="G779" t="s">
        <v>1451</v>
      </c>
      <c r="H779" s="1" t="str">
        <f t="shared" si="73"/>
        <v>Shipped</v>
      </c>
      <c r="I779" s="4" t="str">
        <f t="shared" si="74"/>
        <v>completed</v>
      </c>
      <c r="J779" t="s">
        <v>25</v>
      </c>
      <c r="K779">
        <v>1</v>
      </c>
      <c r="L779">
        <v>2</v>
      </c>
      <c r="M779">
        <v>2005</v>
      </c>
      <c r="N779" t="s">
        <v>504</v>
      </c>
      <c r="O779">
        <v>60</v>
      </c>
      <c r="P779" t="s">
        <v>591</v>
      </c>
      <c r="Q779" t="s">
        <v>58</v>
      </c>
      <c r="R779">
        <v>6505551386</v>
      </c>
      <c r="S779" t="s">
        <v>59</v>
      </c>
      <c r="U779" s="1" t="str">
        <f t="shared" si="75"/>
        <v>San Francisco</v>
      </c>
      <c r="V779" t="s">
        <v>60</v>
      </c>
      <c r="W779" t="s">
        <v>55</v>
      </c>
      <c r="Y779" s="1" t="str">
        <f t="shared" si="76"/>
        <v>USA</v>
      </c>
      <c r="Z779" s="4" t="str">
        <f t="shared" si="77"/>
        <v>Usa</v>
      </c>
      <c r="AA779" t="s">
        <v>32</v>
      </c>
      <c r="AB779" t="s">
        <v>33</v>
      </c>
      <c r="AC779" t="s">
        <v>61</v>
      </c>
      <c r="AD779" t="s">
        <v>57</v>
      </c>
      <c r="AE779" t="s">
        <v>36</v>
      </c>
    </row>
    <row r="780" spans="1:31" x14ac:dyDescent="0.3">
      <c r="A780">
        <v>10391</v>
      </c>
      <c r="B780">
        <v>44</v>
      </c>
      <c r="C780">
        <v>38.5</v>
      </c>
      <c r="D780">
        <v>5</v>
      </c>
      <c r="E780" s="4" t="str">
        <f t="shared" si="72"/>
        <v>low sales</v>
      </c>
      <c r="F780">
        <v>1694</v>
      </c>
      <c r="G780" t="s">
        <v>1452</v>
      </c>
      <c r="H780" s="1" t="str">
        <f t="shared" si="73"/>
        <v>Shipped</v>
      </c>
      <c r="I780" s="4" t="str">
        <f t="shared" si="74"/>
        <v>completed</v>
      </c>
      <c r="J780" t="s">
        <v>25</v>
      </c>
      <c r="K780">
        <v>1</v>
      </c>
      <c r="L780">
        <v>3</v>
      </c>
      <c r="M780">
        <v>2005</v>
      </c>
      <c r="N780" t="s">
        <v>504</v>
      </c>
      <c r="O780">
        <v>60</v>
      </c>
      <c r="P780" t="s">
        <v>591</v>
      </c>
      <c r="Q780" t="s">
        <v>285</v>
      </c>
      <c r="R780" t="s">
        <v>286</v>
      </c>
      <c r="S780" t="s">
        <v>287</v>
      </c>
      <c r="T780" t="s">
        <v>288</v>
      </c>
      <c r="U780" s="1" t="str">
        <f t="shared" si="75"/>
        <v>North Sydney</v>
      </c>
      <c r="V780" t="s">
        <v>289</v>
      </c>
      <c r="W780" t="s">
        <v>157</v>
      </c>
      <c r="X780">
        <v>2060</v>
      </c>
      <c r="Y780" s="1" t="str">
        <f t="shared" si="76"/>
        <v>AUSTRALIA</v>
      </c>
      <c r="Z780" s="4" t="str">
        <f t="shared" si="77"/>
        <v>Australia</v>
      </c>
      <c r="AA780" t="s">
        <v>95</v>
      </c>
      <c r="AB780" t="s">
        <v>96</v>
      </c>
      <c r="AC780" t="s">
        <v>290</v>
      </c>
      <c r="AD780" t="s">
        <v>291</v>
      </c>
      <c r="AE780" t="s">
        <v>36</v>
      </c>
    </row>
    <row r="781" spans="1:31" x14ac:dyDescent="0.3">
      <c r="A781">
        <v>10412</v>
      </c>
      <c r="B781">
        <v>47</v>
      </c>
      <c r="C781">
        <v>61.99</v>
      </c>
      <c r="D781">
        <v>11</v>
      </c>
      <c r="E781" s="4" t="str">
        <f t="shared" si="72"/>
        <v>low sales</v>
      </c>
      <c r="F781">
        <v>2913.53</v>
      </c>
      <c r="G781" t="s">
        <v>1453</v>
      </c>
      <c r="H781" s="1" t="str">
        <f t="shared" si="73"/>
        <v>Shipped</v>
      </c>
      <c r="I781" s="4" t="str">
        <f t="shared" si="74"/>
        <v>completed</v>
      </c>
      <c r="J781" t="s">
        <v>25</v>
      </c>
      <c r="K781">
        <v>2</v>
      </c>
      <c r="L781">
        <v>5</v>
      </c>
      <c r="M781">
        <v>2005</v>
      </c>
      <c r="N781" t="s">
        <v>504</v>
      </c>
      <c r="O781">
        <v>60</v>
      </c>
      <c r="P781" t="s">
        <v>591</v>
      </c>
      <c r="Q781" t="s">
        <v>174</v>
      </c>
      <c r="R781" t="s">
        <v>175</v>
      </c>
      <c r="S781" t="s">
        <v>176</v>
      </c>
      <c r="U781" s="1" t="str">
        <f t="shared" si="75"/>
        <v>Madrid</v>
      </c>
      <c r="V781" t="s">
        <v>177</v>
      </c>
      <c r="X781">
        <v>28034</v>
      </c>
      <c r="Y781" s="1" t="str">
        <f t="shared" si="76"/>
        <v>SPAIN</v>
      </c>
      <c r="Z781" s="4" t="str">
        <f t="shared" si="77"/>
        <v>Spain</v>
      </c>
      <c r="AA781" t="s">
        <v>178</v>
      </c>
      <c r="AB781" t="s">
        <v>42</v>
      </c>
      <c r="AC781" t="s">
        <v>179</v>
      </c>
      <c r="AD781" t="s">
        <v>180</v>
      </c>
      <c r="AE781" t="s">
        <v>36</v>
      </c>
    </row>
    <row r="782" spans="1:31" x14ac:dyDescent="0.3">
      <c r="A782">
        <v>10425</v>
      </c>
      <c r="B782">
        <v>19</v>
      </c>
      <c r="C782">
        <v>49.22</v>
      </c>
      <c r="D782">
        <v>10</v>
      </c>
      <c r="E782" s="4" t="str">
        <f t="shared" si="72"/>
        <v>low sales</v>
      </c>
      <c r="F782">
        <v>935.18</v>
      </c>
      <c r="G782" t="s">
        <v>1454</v>
      </c>
      <c r="H782" s="1" t="str">
        <f t="shared" si="73"/>
        <v>In Process</v>
      </c>
      <c r="I782" s="4" t="str">
        <f t="shared" si="74"/>
        <v>not completed</v>
      </c>
      <c r="J782" t="s">
        <v>300</v>
      </c>
      <c r="K782">
        <v>2</v>
      </c>
      <c r="L782">
        <v>5</v>
      </c>
      <c r="M782">
        <v>2005</v>
      </c>
      <c r="N782" t="s">
        <v>504</v>
      </c>
      <c r="O782">
        <v>60</v>
      </c>
      <c r="P782" t="s">
        <v>591</v>
      </c>
      <c r="Q782" t="s">
        <v>114</v>
      </c>
      <c r="R782" t="s">
        <v>115</v>
      </c>
      <c r="S782" t="s">
        <v>116</v>
      </c>
      <c r="U782" s="1" t="str">
        <f t="shared" si="75"/>
        <v>Nantes</v>
      </c>
      <c r="V782" t="s">
        <v>117</v>
      </c>
      <c r="X782">
        <v>44000</v>
      </c>
      <c r="Y782" s="1" t="str">
        <f t="shared" si="76"/>
        <v>FRANCE</v>
      </c>
      <c r="Z782" s="4" t="str">
        <f t="shared" si="77"/>
        <v>France</v>
      </c>
      <c r="AA782" t="s">
        <v>41</v>
      </c>
      <c r="AB782" t="s">
        <v>42</v>
      </c>
      <c r="AC782" t="s">
        <v>118</v>
      </c>
      <c r="AD782" t="s">
        <v>119</v>
      </c>
      <c r="AE782" t="s">
        <v>36</v>
      </c>
    </row>
    <row r="783" spans="1:31" x14ac:dyDescent="0.3">
      <c r="A783">
        <v>10106</v>
      </c>
      <c r="B783">
        <v>34</v>
      </c>
      <c r="C783">
        <v>90.39</v>
      </c>
      <c r="D783">
        <v>2</v>
      </c>
      <c r="E783" s="4" t="str">
        <f t="shared" si="72"/>
        <v>low sales</v>
      </c>
      <c r="F783">
        <v>3073.26</v>
      </c>
      <c r="G783" t="s">
        <v>1455</v>
      </c>
      <c r="H783" s="1" t="str">
        <f t="shared" si="73"/>
        <v>Shipped</v>
      </c>
      <c r="I783" s="4" t="str">
        <f t="shared" si="74"/>
        <v>completed</v>
      </c>
      <c r="J783" t="s">
        <v>25</v>
      </c>
      <c r="K783">
        <v>1</v>
      </c>
      <c r="L783">
        <v>2</v>
      </c>
      <c r="M783">
        <v>2003</v>
      </c>
      <c r="N783" t="s">
        <v>566</v>
      </c>
      <c r="O783">
        <v>84</v>
      </c>
      <c r="P783" t="s">
        <v>592</v>
      </c>
      <c r="Q783" t="s">
        <v>552</v>
      </c>
      <c r="R783" t="s">
        <v>553</v>
      </c>
      <c r="S783" t="s">
        <v>554</v>
      </c>
      <c r="U783" s="1" t="str">
        <f t="shared" si="75"/>
        <v>Bergamo</v>
      </c>
      <c r="V783" t="s">
        <v>555</v>
      </c>
      <c r="X783">
        <v>24100</v>
      </c>
      <c r="Y783" s="1" t="str">
        <f t="shared" si="76"/>
        <v>ITALY</v>
      </c>
      <c r="Z783" s="4" t="str">
        <f t="shared" si="77"/>
        <v>Italy</v>
      </c>
      <c r="AA783" t="s">
        <v>258</v>
      </c>
      <c r="AB783" t="s">
        <v>42</v>
      </c>
      <c r="AC783" t="s">
        <v>556</v>
      </c>
      <c r="AD783" t="s">
        <v>557</v>
      </c>
      <c r="AE783" t="s">
        <v>51</v>
      </c>
    </row>
    <row r="784" spans="1:31" x14ac:dyDescent="0.3">
      <c r="A784">
        <v>10120</v>
      </c>
      <c r="B784">
        <v>29</v>
      </c>
      <c r="C784">
        <v>71.81</v>
      </c>
      <c r="D784">
        <v>8</v>
      </c>
      <c r="E784" s="4" t="str">
        <f t="shared" si="72"/>
        <v>low sales</v>
      </c>
      <c r="F784">
        <v>2082.4899999999998</v>
      </c>
      <c r="G784" t="s">
        <v>1456</v>
      </c>
      <c r="H784" s="1" t="str">
        <f t="shared" si="73"/>
        <v>Shipped</v>
      </c>
      <c r="I784" s="4" t="str">
        <f t="shared" si="74"/>
        <v>completed</v>
      </c>
      <c r="J784" t="s">
        <v>25</v>
      </c>
      <c r="K784">
        <v>2</v>
      </c>
      <c r="L784">
        <v>4</v>
      </c>
      <c r="M784">
        <v>2003</v>
      </c>
      <c r="N784" t="s">
        <v>566</v>
      </c>
      <c r="O784">
        <v>84</v>
      </c>
      <c r="P784" t="s">
        <v>592</v>
      </c>
      <c r="Q784" t="s">
        <v>89</v>
      </c>
      <c r="R784" t="s">
        <v>90</v>
      </c>
      <c r="S784" t="s">
        <v>91</v>
      </c>
      <c r="T784" t="s">
        <v>92</v>
      </c>
      <c r="U784" s="1" t="str">
        <f t="shared" si="75"/>
        <v>Melbourne</v>
      </c>
      <c r="V784" t="s">
        <v>93</v>
      </c>
      <c r="W784" t="s">
        <v>94</v>
      </c>
      <c r="X784">
        <v>3004</v>
      </c>
      <c r="Y784" s="1" t="str">
        <f t="shared" si="76"/>
        <v>AUSTRALIA</v>
      </c>
      <c r="Z784" s="4" t="str">
        <f t="shared" si="77"/>
        <v>Australia</v>
      </c>
      <c r="AA784" t="s">
        <v>95</v>
      </c>
      <c r="AB784" t="s">
        <v>96</v>
      </c>
      <c r="AC784" t="s">
        <v>97</v>
      </c>
      <c r="AD784" t="s">
        <v>98</v>
      </c>
      <c r="AE784" t="s">
        <v>36</v>
      </c>
    </row>
    <row r="785" spans="1:31" x14ac:dyDescent="0.3">
      <c r="A785">
        <v>10133</v>
      </c>
      <c r="B785">
        <v>49</v>
      </c>
      <c r="C785">
        <v>69.27</v>
      </c>
      <c r="D785">
        <v>3</v>
      </c>
      <c r="E785" s="4" t="str">
        <f t="shared" si="72"/>
        <v>low sales</v>
      </c>
      <c r="F785">
        <v>3394.23</v>
      </c>
      <c r="G785" t="s">
        <v>1457</v>
      </c>
      <c r="H785" s="1" t="str">
        <f t="shared" si="73"/>
        <v>Shipped</v>
      </c>
      <c r="I785" s="4" t="str">
        <f t="shared" si="74"/>
        <v>completed</v>
      </c>
      <c r="J785" t="s">
        <v>25</v>
      </c>
      <c r="K785">
        <v>2</v>
      </c>
      <c r="L785">
        <v>6</v>
      </c>
      <c r="M785">
        <v>2003</v>
      </c>
      <c r="N785" t="s">
        <v>566</v>
      </c>
      <c r="O785">
        <v>84</v>
      </c>
      <c r="P785" t="s">
        <v>592</v>
      </c>
      <c r="Q785" t="s">
        <v>174</v>
      </c>
      <c r="R785" t="s">
        <v>175</v>
      </c>
      <c r="S785" t="s">
        <v>176</v>
      </c>
      <c r="U785" s="1" t="str">
        <f t="shared" si="75"/>
        <v>Madrid</v>
      </c>
      <c r="V785" t="s">
        <v>177</v>
      </c>
      <c r="X785">
        <v>28034</v>
      </c>
      <c r="Y785" s="1" t="str">
        <f t="shared" si="76"/>
        <v>SPAIN</v>
      </c>
      <c r="Z785" s="4" t="str">
        <f t="shared" si="77"/>
        <v>Spain</v>
      </c>
      <c r="AA785" t="s">
        <v>178</v>
      </c>
      <c r="AB785" t="s">
        <v>42</v>
      </c>
      <c r="AC785" t="s">
        <v>179</v>
      </c>
      <c r="AD785" t="s">
        <v>180</v>
      </c>
      <c r="AE785" t="s">
        <v>51</v>
      </c>
    </row>
    <row r="786" spans="1:31" x14ac:dyDescent="0.3">
      <c r="A786">
        <v>10145</v>
      </c>
      <c r="B786">
        <v>30</v>
      </c>
      <c r="C786">
        <v>85.32</v>
      </c>
      <c r="D786">
        <v>14</v>
      </c>
      <c r="E786" s="4" t="str">
        <f t="shared" si="72"/>
        <v>low sales</v>
      </c>
      <c r="F786">
        <v>2559.6</v>
      </c>
      <c r="G786" t="s">
        <v>1458</v>
      </c>
      <c r="H786" s="1" t="str">
        <f t="shared" si="73"/>
        <v>Shipped</v>
      </c>
      <c r="I786" s="4" t="str">
        <f t="shared" si="74"/>
        <v>completed</v>
      </c>
      <c r="J786" t="s">
        <v>25</v>
      </c>
      <c r="K786">
        <v>3</v>
      </c>
      <c r="L786">
        <v>8</v>
      </c>
      <c r="M786">
        <v>2003</v>
      </c>
      <c r="N786" t="s">
        <v>566</v>
      </c>
      <c r="O786">
        <v>84</v>
      </c>
      <c r="P786" t="s">
        <v>592</v>
      </c>
      <c r="Q786" t="s">
        <v>52</v>
      </c>
      <c r="R786">
        <v>6265557265</v>
      </c>
      <c r="S786" t="s">
        <v>53</v>
      </c>
      <c r="U786" s="1" t="str">
        <f t="shared" si="75"/>
        <v>Pasadena</v>
      </c>
      <c r="V786" t="s">
        <v>54</v>
      </c>
      <c r="W786" t="s">
        <v>55</v>
      </c>
      <c r="X786">
        <v>90003</v>
      </c>
      <c r="Y786" s="1" t="str">
        <f t="shared" si="76"/>
        <v>USA</v>
      </c>
      <c r="Z786" s="4" t="str">
        <f t="shared" si="77"/>
        <v>Usa</v>
      </c>
      <c r="AA786" t="s">
        <v>32</v>
      </c>
      <c r="AB786" t="s">
        <v>33</v>
      </c>
      <c r="AC786" t="s">
        <v>56</v>
      </c>
      <c r="AD786" t="s">
        <v>57</v>
      </c>
      <c r="AE786" t="s">
        <v>36</v>
      </c>
    </row>
    <row r="787" spans="1:31" x14ac:dyDescent="0.3">
      <c r="A787">
        <v>10168</v>
      </c>
      <c r="B787">
        <v>21</v>
      </c>
      <c r="C787">
        <v>70.959999999999994</v>
      </c>
      <c r="D787">
        <v>9</v>
      </c>
      <c r="E787" s="4" t="str">
        <f t="shared" si="72"/>
        <v>low sales</v>
      </c>
      <c r="F787">
        <v>1490.16</v>
      </c>
      <c r="G787" t="s">
        <v>1459</v>
      </c>
      <c r="H787" s="1" t="str">
        <f t="shared" si="73"/>
        <v>Shipped</v>
      </c>
      <c r="I787" s="4" t="str">
        <f t="shared" si="74"/>
        <v>completed</v>
      </c>
      <c r="J787" t="s">
        <v>25</v>
      </c>
      <c r="K787">
        <v>4</v>
      </c>
      <c r="L787">
        <v>10</v>
      </c>
      <c r="M787">
        <v>2003</v>
      </c>
      <c r="N787" t="s">
        <v>566</v>
      </c>
      <c r="O787">
        <v>84</v>
      </c>
      <c r="P787" t="s">
        <v>592</v>
      </c>
      <c r="Q787" t="s">
        <v>62</v>
      </c>
      <c r="R787">
        <v>6505556809</v>
      </c>
      <c r="S787" t="s">
        <v>63</v>
      </c>
      <c r="U787" s="1" t="str">
        <f t="shared" si="75"/>
        <v>Burlingame</v>
      </c>
      <c r="V787" t="s">
        <v>64</v>
      </c>
      <c r="W787" t="s">
        <v>55</v>
      </c>
      <c r="X787">
        <v>94217</v>
      </c>
      <c r="Y787" s="1" t="str">
        <f t="shared" si="76"/>
        <v>USA</v>
      </c>
      <c r="Z787" s="4" t="str">
        <f t="shared" si="77"/>
        <v>Usa</v>
      </c>
      <c r="AA787" t="s">
        <v>32</v>
      </c>
      <c r="AB787" t="s">
        <v>33</v>
      </c>
      <c r="AC787" t="s">
        <v>65</v>
      </c>
      <c r="AD787" t="s">
        <v>66</v>
      </c>
      <c r="AE787" t="s">
        <v>36</v>
      </c>
    </row>
    <row r="788" spans="1:31" x14ac:dyDescent="0.3">
      <c r="A788">
        <v>10210</v>
      </c>
      <c r="B788">
        <v>50</v>
      </c>
      <c r="C788">
        <v>76.88</v>
      </c>
      <c r="D788">
        <v>7</v>
      </c>
      <c r="E788" s="4" t="str">
        <f t="shared" si="72"/>
        <v>low sales</v>
      </c>
      <c r="F788">
        <v>3844</v>
      </c>
      <c r="G788" t="s">
        <v>1460</v>
      </c>
      <c r="H788" s="1" t="str">
        <f t="shared" si="73"/>
        <v>Shipped</v>
      </c>
      <c r="I788" s="4" t="str">
        <f t="shared" si="74"/>
        <v>completed</v>
      </c>
      <c r="J788" t="s">
        <v>25</v>
      </c>
      <c r="K788">
        <v>1</v>
      </c>
      <c r="L788">
        <v>1</v>
      </c>
      <c r="M788">
        <v>2004</v>
      </c>
      <c r="N788" t="s">
        <v>566</v>
      </c>
      <c r="O788">
        <v>84</v>
      </c>
      <c r="P788" t="s">
        <v>592</v>
      </c>
      <c r="Q788" t="s">
        <v>302</v>
      </c>
      <c r="R788" t="s">
        <v>303</v>
      </c>
      <c r="S788" t="s">
        <v>304</v>
      </c>
      <c r="U788" s="1" t="str">
        <f t="shared" si="75"/>
        <v>Osaka</v>
      </c>
      <c r="V788" t="s">
        <v>305</v>
      </c>
      <c r="W788" t="s">
        <v>305</v>
      </c>
      <c r="X788" t="s">
        <v>306</v>
      </c>
      <c r="Y788" s="1" t="str">
        <f t="shared" si="76"/>
        <v>JAPAN</v>
      </c>
      <c r="Z788" s="4" t="str">
        <f t="shared" si="77"/>
        <v>Japan</v>
      </c>
      <c r="AA788" t="s">
        <v>200</v>
      </c>
      <c r="AB788" t="s">
        <v>200</v>
      </c>
      <c r="AC788" t="s">
        <v>307</v>
      </c>
      <c r="AD788" t="s">
        <v>308</v>
      </c>
      <c r="AE788" t="s">
        <v>51</v>
      </c>
    </row>
    <row r="789" spans="1:31" x14ac:dyDescent="0.3">
      <c r="A789">
        <v>10223</v>
      </c>
      <c r="B789">
        <v>47</v>
      </c>
      <c r="C789">
        <v>100</v>
      </c>
      <c r="D789">
        <v>9</v>
      </c>
      <c r="E789" s="4" t="str">
        <f t="shared" si="72"/>
        <v>high sales</v>
      </c>
      <c r="F789">
        <v>4724.91</v>
      </c>
      <c r="G789" t="s">
        <v>1461</v>
      </c>
      <c r="H789" s="1" t="str">
        <f t="shared" si="73"/>
        <v>Shipped</v>
      </c>
      <c r="I789" s="4" t="str">
        <f t="shared" si="74"/>
        <v>completed</v>
      </c>
      <c r="J789" t="s">
        <v>25</v>
      </c>
      <c r="K789">
        <v>1</v>
      </c>
      <c r="L789">
        <v>2</v>
      </c>
      <c r="M789">
        <v>2004</v>
      </c>
      <c r="N789" t="s">
        <v>566</v>
      </c>
      <c r="O789">
        <v>84</v>
      </c>
      <c r="P789" t="s">
        <v>592</v>
      </c>
      <c r="Q789" t="s">
        <v>89</v>
      </c>
      <c r="R789" t="s">
        <v>90</v>
      </c>
      <c r="S789" t="s">
        <v>91</v>
      </c>
      <c r="T789" t="s">
        <v>92</v>
      </c>
      <c r="U789" s="1" t="str">
        <f t="shared" si="75"/>
        <v>Melbourne</v>
      </c>
      <c r="V789" t="s">
        <v>93</v>
      </c>
      <c r="W789" t="s">
        <v>94</v>
      </c>
      <c r="X789">
        <v>3004</v>
      </c>
      <c r="Y789" s="1" t="str">
        <f t="shared" si="76"/>
        <v>AUSTRALIA</v>
      </c>
      <c r="Z789" s="4" t="str">
        <f t="shared" si="77"/>
        <v>Australia</v>
      </c>
      <c r="AA789" t="s">
        <v>95</v>
      </c>
      <c r="AB789" t="s">
        <v>96</v>
      </c>
      <c r="AC789" t="s">
        <v>97</v>
      </c>
      <c r="AD789" t="s">
        <v>98</v>
      </c>
      <c r="AE789" t="s">
        <v>51</v>
      </c>
    </row>
    <row r="790" spans="1:31" x14ac:dyDescent="0.3">
      <c r="A790">
        <v>10235</v>
      </c>
      <c r="B790">
        <v>24</v>
      </c>
      <c r="C790">
        <v>76.03</v>
      </c>
      <c r="D790">
        <v>3</v>
      </c>
      <c r="E790" s="4" t="str">
        <f t="shared" si="72"/>
        <v>low sales</v>
      </c>
      <c r="F790">
        <v>1824.72</v>
      </c>
      <c r="G790" t="s">
        <v>1462</v>
      </c>
      <c r="H790" s="1" t="str">
        <f t="shared" si="73"/>
        <v>Shipped</v>
      </c>
      <c r="I790" s="4" t="str">
        <f t="shared" si="74"/>
        <v>completed</v>
      </c>
      <c r="J790" t="s">
        <v>25</v>
      </c>
      <c r="K790">
        <v>2</v>
      </c>
      <c r="L790">
        <v>4</v>
      </c>
      <c r="M790">
        <v>2004</v>
      </c>
      <c r="N790" t="s">
        <v>566</v>
      </c>
      <c r="O790">
        <v>84</v>
      </c>
      <c r="P790" t="s">
        <v>592</v>
      </c>
      <c r="Q790" t="s">
        <v>373</v>
      </c>
      <c r="R790" t="s">
        <v>374</v>
      </c>
      <c r="S790" t="s">
        <v>375</v>
      </c>
      <c r="U790" s="1" t="str">
        <f t="shared" si="75"/>
        <v>Tsawassen</v>
      </c>
      <c r="V790" t="s">
        <v>376</v>
      </c>
      <c r="W790" t="s">
        <v>229</v>
      </c>
      <c r="X790" t="s">
        <v>377</v>
      </c>
      <c r="Y790" s="1" t="str">
        <f t="shared" si="76"/>
        <v>CANADA</v>
      </c>
      <c r="Z790" s="4" t="str">
        <f t="shared" si="77"/>
        <v>Canada</v>
      </c>
      <c r="AA790" t="s">
        <v>231</v>
      </c>
      <c r="AB790" t="s">
        <v>33</v>
      </c>
      <c r="AC790" t="s">
        <v>378</v>
      </c>
      <c r="AD790" t="s">
        <v>172</v>
      </c>
      <c r="AE790" t="s">
        <v>36</v>
      </c>
    </row>
    <row r="791" spans="1:31" x14ac:dyDescent="0.3">
      <c r="A791">
        <v>10250</v>
      </c>
      <c r="B791">
        <v>27</v>
      </c>
      <c r="C791">
        <v>98.84</v>
      </c>
      <c r="D791">
        <v>4</v>
      </c>
      <c r="E791" s="4" t="str">
        <f t="shared" si="72"/>
        <v>low sales</v>
      </c>
      <c r="F791">
        <v>2668.68</v>
      </c>
      <c r="G791" t="s">
        <v>1463</v>
      </c>
      <c r="H791" s="1" t="str">
        <f t="shared" si="73"/>
        <v>Shipped</v>
      </c>
      <c r="I791" s="4" t="str">
        <f t="shared" si="74"/>
        <v>completed</v>
      </c>
      <c r="J791" t="s">
        <v>25</v>
      </c>
      <c r="K791">
        <v>2</v>
      </c>
      <c r="L791">
        <v>5</v>
      </c>
      <c r="M791">
        <v>2004</v>
      </c>
      <c r="N791" t="s">
        <v>566</v>
      </c>
      <c r="O791">
        <v>84</v>
      </c>
      <c r="P791" t="s">
        <v>592</v>
      </c>
      <c r="Q791" t="s">
        <v>397</v>
      </c>
      <c r="R791">
        <v>4085553659</v>
      </c>
      <c r="S791" t="s">
        <v>398</v>
      </c>
      <c r="U791" s="1" t="str">
        <f t="shared" si="75"/>
        <v>San Jose</v>
      </c>
      <c r="V791" t="s">
        <v>399</v>
      </c>
      <c r="W791" t="s">
        <v>55</v>
      </c>
      <c r="X791">
        <v>94217</v>
      </c>
      <c r="Y791" s="1" t="str">
        <f t="shared" si="76"/>
        <v>USA</v>
      </c>
      <c r="Z791" s="4" t="str">
        <f t="shared" si="77"/>
        <v>Usa</v>
      </c>
      <c r="AA791" t="s">
        <v>32</v>
      </c>
      <c r="AB791" t="s">
        <v>33</v>
      </c>
      <c r="AC791" t="s">
        <v>102</v>
      </c>
      <c r="AD791" t="s">
        <v>400</v>
      </c>
      <c r="AE791" t="s">
        <v>36</v>
      </c>
    </row>
    <row r="792" spans="1:31" x14ac:dyDescent="0.3">
      <c r="A792">
        <v>10263</v>
      </c>
      <c r="B792">
        <v>33</v>
      </c>
      <c r="C792">
        <v>86.17</v>
      </c>
      <c r="D792">
        <v>10</v>
      </c>
      <c r="E792" s="4" t="str">
        <f t="shared" si="72"/>
        <v>low sales</v>
      </c>
      <c r="F792">
        <v>2843.61</v>
      </c>
      <c r="G792" t="s">
        <v>1464</v>
      </c>
      <c r="H792" s="1" t="str">
        <f t="shared" si="73"/>
        <v>Shipped</v>
      </c>
      <c r="I792" s="4" t="str">
        <f t="shared" si="74"/>
        <v>completed</v>
      </c>
      <c r="J792" t="s">
        <v>25</v>
      </c>
      <c r="K792">
        <v>2</v>
      </c>
      <c r="L792">
        <v>6</v>
      </c>
      <c r="M792">
        <v>2004</v>
      </c>
      <c r="N792" t="s">
        <v>566</v>
      </c>
      <c r="O792">
        <v>84</v>
      </c>
      <c r="P792" t="s">
        <v>592</v>
      </c>
      <c r="Q792" t="s">
        <v>109</v>
      </c>
      <c r="R792">
        <v>2035552570</v>
      </c>
      <c r="S792" t="s">
        <v>110</v>
      </c>
      <c r="U792" s="1" t="str">
        <f t="shared" si="75"/>
        <v>Bridgewater</v>
      </c>
      <c r="V792" t="s">
        <v>111</v>
      </c>
      <c r="W792" t="s">
        <v>112</v>
      </c>
      <c r="X792">
        <v>97562</v>
      </c>
      <c r="Y792" s="1" t="str">
        <f t="shared" si="76"/>
        <v>USA</v>
      </c>
      <c r="Z792" s="4" t="str">
        <f t="shared" si="77"/>
        <v>Usa</v>
      </c>
      <c r="AA792" t="s">
        <v>32</v>
      </c>
      <c r="AB792" t="s">
        <v>33</v>
      </c>
      <c r="AC792" t="s">
        <v>113</v>
      </c>
      <c r="AD792" t="s">
        <v>57</v>
      </c>
      <c r="AE792" t="s">
        <v>36</v>
      </c>
    </row>
    <row r="793" spans="1:31" x14ac:dyDescent="0.3">
      <c r="A793">
        <v>10275</v>
      </c>
      <c r="B793">
        <v>35</v>
      </c>
      <c r="C793">
        <v>90.39</v>
      </c>
      <c r="D793">
        <v>9</v>
      </c>
      <c r="E793" s="4" t="str">
        <f t="shared" si="72"/>
        <v>low sales</v>
      </c>
      <c r="F793">
        <v>3163.65</v>
      </c>
      <c r="G793" t="s">
        <v>1465</v>
      </c>
      <c r="H793" s="1" t="str">
        <f t="shared" si="73"/>
        <v>Shipped</v>
      </c>
      <c r="I793" s="4" t="str">
        <f t="shared" si="74"/>
        <v>completed</v>
      </c>
      <c r="J793" t="s">
        <v>25</v>
      </c>
      <c r="K793">
        <v>3</v>
      </c>
      <c r="L793">
        <v>7</v>
      </c>
      <c r="M793">
        <v>2004</v>
      </c>
      <c r="N793" t="s">
        <v>566</v>
      </c>
      <c r="O793">
        <v>84</v>
      </c>
      <c r="P793" t="s">
        <v>592</v>
      </c>
      <c r="Q793" t="s">
        <v>114</v>
      </c>
      <c r="R793" t="s">
        <v>115</v>
      </c>
      <c r="S793" t="s">
        <v>116</v>
      </c>
      <c r="U793" s="1" t="str">
        <f t="shared" si="75"/>
        <v>Nantes</v>
      </c>
      <c r="V793" t="s">
        <v>117</v>
      </c>
      <c r="X793">
        <v>44000</v>
      </c>
      <c r="Y793" s="1" t="str">
        <f t="shared" si="76"/>
        <v>FRANCE</v>
      </c>
      <c r="Z793" s="4" t="str">
        <f t="shared" si="77"/>
        <v>France</v>
      </c>
      <c r="AA793" t="s">
        <v>41</v>
      </c>
      <c r="AB793" t="s">
        <v>42</v>
      </c>
      <c r="AC793" t="s">
        <v>118</v>
      </c>
      <c r="AD793" t="s">
        <v>119</v>
      </c>
      <c r="AE793" t="s">
        <v>51</v>
      </c>
    </row>
    <row r="794" spans="1:31" x14ac:dyDescent="0.3">
      <c r="A794">
        <v>10284</v>
      </c>
      <c r="B794">
        <v>31</v>
      </c>
      <c r="C794">
        <v>71.81</v>
      </c>
      <c r="D794">
        <v>1</v>
      </c>
      <c r="E794" s="4" t="str">
        <f t="shared" si="72"/>
        <v>low sales</v>
      </c>
      <c r="F794">
        <v>2226.11</v>
      </c>
      <c r="G794" t="s">
        <v>1466</v>
      </c>
      <c r="H794" s="1" t="str">
        <f t="shared" si="73"/>
        <v>Shipped</v>
      </c>
      <c r="I794" s="4" t="str">
        <f t="shared" si="74"/>
        <v>completed</v>
      </c>
      <c r="J794" t="s">
        <v>25</v>
      </c>
      <c r="K794">
        <v>3</v>
      </c>
      <c r="L794">
        <v>8</v>
      </c>
      <c r="M794">
        <v>2004</v>
      </c>
      <c r="N794" t="s">
        <v>566</v>
      </c>
      <c r="O794">
        <v>84</v>
      </c>
      <c r="P794" t="s">
        <v>592</v>
      </c>
      <c r="Q794" t="s">
        <v>543</v>
      </c>
      <c r="R794" t="s">
        <v>544</v>
      </c>
      <c r="S794" t="s">
        <v>545</v>
      </c>
      <c r="U794" s="1" t="str">
        <f t="shared" si="75"/>
        <v>Oslo</v>
      </c>
      <c r="V794" t="s">
        <v>546</v>
      </c>
      <c r="X794" t="s">
        <v>547</v>
      </c>
      <c r="Y794" s="1" t="str">
        <f t="shared" si="76"/>
        <v>NORWAY</v>
      </c>
      <c r="Z794" s="4" t="str">
        <f t="shared" si="77"/>
        <v>Norway</v>
      </c>
      <c r="AA794" t="s">
        <v>78</v>
      </c>
      <c r="AB794" t="s">
        <v>42</v>
      </c>
      <c r="AC794" t="s">
        <v>548</v>
      </c>
      <c r="AD794" t="s">
        <v>549</v>
      </c>
      <c r="AE794" t="s">
        <v>36</v>
      </c>
    </row>
    <row r="795" spans="1:31" x14ac:dyDescent="0.3">
      <c r="A795">
        <v>10297</v>
      </c>
      <c r="B795">
        <v>25</v>
      </c>
      <c r="C795">
        <v>82.79</v>
      </c>
      <c r="D795">
        <v>4</v>
      </c>
      <c r="E795" s="4" t="str">
        <f t="shared" si="72"/>
        <v>low sales</v>
      </c>
      <c r="F795">
        <v>2069.75</v>
      </c>
      <c r="G795" t="s">
        <v>1467</v>
      </c>
      <c r="H795" s="1" t="str">
        <f t="shared" si="73"/>
        <v>Shipped</v>
      </c>
      <c r="I795" s="4" t="str">
        <f t="shared" si="74"/>
        <v>completed</v>
      </c>
      <c r="J795" t="s">
        <v>25</v>
      </c>
      <c r="K795">
        <v>3</v>
      </c>
      <c r="L795">
        <v>9</v>
      </c>
      <c r="M795">
        <v>2004</v>
      </c>
      <c r="N795" t="s">
        <v>566</v>
      </c>
      <c r="O795">
        <v>84</v>
      </c>
      <c r="P795" t="s">
        <v>592</v>
      </c>
      <c r="Q795" t="s">
        <v>479</v>
      </c>
      <c r="R795" t="s">
        <v>480</v>
      </c>
      <c r="S795" t="s">
        <v>481</v>
      </c>
      <c r="T795" t="s">
        <v>482</v>
      </c>
      <c r="U795" s="1" t="str">
        <f t="shared" si="75"/>
        <v>Dublin</v>
      </c>
      <c r="V795" t="s">
        <v>483</v>
      </c>
      <c r="X795">
        <v>2</v>
      </c>
      <c r="Y795" s="1" t="str">
        <f t="shared" si="76"/>
        <v>IRELAND</v>
      </c>
      <c r="Z795" s="4" t="str">
        <f t="shared" si="77"/>
        <v>Ireland</v>
      </c>
      <c r="AA795" t="s">
        <v>484</v>
      </c>
      <c r="AB795" t="s">
        <v>42</v>
      </c>
      <c r="AC795" t="s">
        <v>485</v>
      </c>
      <c r="AD795" t="s">
        <v>486</v>
      </c>
      <c r="AE795" t="s">
        <v>36</v>
      </c>
    </row>
    <row r="796" spans="1:31" x14ac:dyDescent="0.3">
      <c r="A796">
        <v>10308</v>
      </c>
      <c r="B796">
        <v>27</v>
      </c>
      <c r="C796">
        <v>82.79</v>
      </c>
      <c r="D796">
        <v>7</v>
      </c>
      <c r="E796" s="4" t="str">
        <f t="shared" si="72"/>
        <v>low sales</v>
      </c>
      <c r="F796">
        <v>2235.33</v>
      </c>
      <c r="G796" t="s">
        <v>1468</v>
      </c>
      <c r="H796" s="1" t="str">
        <f t="shared" si="73"/>
        <v>Shipped</v>
      </c>
      <c r="I796" s="4" t="str">
        <f t="shared" si="74"/>
        <v>completed</v>
      </c>
      <c r="J796" t="s">
        <v>25</v>
      </c>
      <c r="K796">
        <v>4</v>
      </c>
      <c r="L796">
        <v>10</v>
      </c>
      <c r="M796">
        <v>2004</v>
      </c>
      <c r="N796" t="s">
        <v>566</v>
      </c>
      <c r="O796">
        <v>84</v>
      </c>
      <c r="P796" t="s">
        <v>592</v>
      </c>
      <c r="Q796" t="s">
        <v>317</v>
      </c>
      <c r="R796">
        <v>9145554562</v>
      </c>
      <c r="S796" t="s">
        <v>318</v>
      </c>
      <c r="U796" s="1" t="str">
        <f t="shared" si="75"/>
        <v>White Plains</v>
      </c>
      <c r="V796" t="s">
        <v>319</v>
      </c>
      <c r="W796" t="s">
        <v>31</v>
      </c>
      <c r="X796">
        <v>24067</v>
      </c>
      <c r="Y796" s="1" t="str">
        <f t="shared" si="76"/>
        <v>USA</v>
      </c>
      <c r="Z796" s="4" t="str">
        <f t="shared" si="77"/>
        <v>Usa</v>
      </c>
      <c r="AA796" t="s">
        <v>32</v>
      </c>
      <c r="AB796" t="s">
        <v>33</v>
      </c>
      <c r="AC796" t="s">
        <v>102</v>
      </c>
      <c r="AD796" t="s">
        <v>238</v>
      </c>
      <c r="AE796" t="s">
        <v>36</v>
      </c>
    </row>
    <row r="797" spans="1:31" x14ac:dyDescent="0.3">
      <c r="A797">
        <v>10318</v>
      </c>
      <c r="B797">
        <v>31</v>
      </c>
      <c r="C797">
        <v>100</v>
      </c>
      <c r="D797">
        <v>9</v>
      </c>
      <c r="E797" s="4" t="str">
        <f t="shared" si="72"/>
        <v>low sales</v>
      </c>
      <c r="F797">
        <v>3116.43</v>
      </c>
      <c r="G797" t="s">
        <v>1469</v>
      </c>
      <c r="H797" s="1" t="str">
        <f t="shared" si="73"/>
        <v>Shipped</v>
      </c>
      <c r="I797" s="4" t="str">
        <f t="shared" si="74"/>
        <v>completed</v>
      </c>
      <c r="J797" t="s">
        <v>25</v>
      </c>
      <c r="K797">
        <v>4</v>
      </c>
      <c r="L797">
        <v>11</v>
      </c>
      <c r="M797">
        <v>2004</v>
      </c>
      <c r="N797" t="s">
        <v>566</v>
      </c>
      <c r="O797">
        <v>84</v>
      </c>
      <c r="P797" t="s">
        <v>592</v>
      </c>
      <c r="Q797" t="s">
        <v>139</v>
      </c>
      <c r="R797">
        <v>2155551555</v>
      </c>
      <c r="S797" t="s">
        <v>140</v>
      </c>
      <c r="U797" s="1" t="str">
        <f t="shared" si="75"/>
        <v>Allentown</v>
      </c>
      <c r="V797" t="s">
        <v>141</v>
      </c>
      <c r="W797" t="s">
        <v>142</v>
      </c>
      <c r="X797">
        <v>70267</v>
      </c>
      <c r="Y797" s="1" t="str">
        <f t="shared" si="76"/>
        <v>USA</v>
      </c>
      <c r="Z797" s="4" t="str">
        <f t="shared" si="77"/>
        <v>Usa</v>
      </c>
      <c r="AA797" t="s">
        <v>32</v>
      </c>
      <c r="AB797" t="s">
        <v>33</v>
      </c>
      <c r="AC797" t="s">
        <v>34</v>
      </c>
      <c r="AD797" t="s">
        <v>143</v>
      </c>
      <c r="AE797" t="s">
        <v>51</v>
      </c>
    </row>
    <row r="798" spans="1:31" x14ac:dyDescent="0.3">
      <c r="A798">
        <v>10327</v>
      </c>
      <c r="B798">
        <v>45</v>
      </c>
      <c r="C798">
        <v>100</v>
      </c>
      <c r="D798">
        <v>8</v>
      </c>
      <c r="E798" s="4" t="str">
        <f t="shared" si="72"/>
        <v>high sales</v>
      </c>
      <c r="F798">
        <v>4781.7</v>
      </c>
      <c r="G798" t="s">
        <v>1470</v>
      </c>
      <c r="H798" s="1" t="str">
        <f t="shared" si="73"/>
        <v>Resolved</v>
      </c>
      <c r="I798" s="4" t="str">
        <f t="shared" si="74"/>
        <v>not completed</v>
      </c>
      <c r="J798" t="s">
        <v>408</v>
      </c>
      <c r="K798">
        <v>4</v>
      </c>
      <c r="L798">
        <v>11</v>
      </c>
      <c r="M798">
        <v>2004</v>
      </c>
      <c r="N798" t="s">
        <v>566</v>
      </c>
      <c r="O798">
        <v>84</v>
      </c>
      <c r="P798" t="s">
        <v>592</v>
      </c>
      <c r="Q798" t="s">
        <v>322</v>
      </c>
      <c r="R798" t="s">
        <v>323</v>
      </c>
      <c r="S798" t="s">
        <v>324</v>
      </c>
      <c r="U798" s="1" t="str">
        <f t="shared" si="75"/>
        <v>Kobenhavn</v>
      </c>
      <c r="V798" t="s">
        <v>325</v>
      </c>
      <c r="X798">
        <v>1734</v>
      </c>
      <c r="Y798" s="1" t="str">
        <f t="shared" si="76"/>
        <v>DENMARK</v>
      </c>
      <c r="Z798" s="4" t="str">
        <f t="shared" si="77"/>
        <v>Denmark</v>
      </c>
      <c r="AA798" t="s">
        <v>326</v>
      </c>
      <c r="AB798" t="s">
        <v>42</v>
      </c>
      <c r="AC798" t="s">
        <v>327</v>
      </c>
      <c r="AD798" t="s">
        <v>328</v>
      </c>
      <c r="AE798" t="s">
        <v>51</v>
      </c>
    </row>
    <row r="799" spans="1:31" x14ac:dyDescent="0.3">
      <c r="A799">
        <v>10339</v>
      </c>
      <c r="B799">
        <v>27</v>
      </c>
      <c r="C799">
        <v>100</v>
      </c>
      <c r="D799">
        <v>2</v>
      </c>
      <c r="E799" s="4" t="str">
        <f t="shared" si="72"/>
        <v>low sales</v>
      </c>
      <c r="F799">
        <v>2810.7</v>
      </c>
      <c r="G799" t="s">
        <v>1471</v>
      </c>
      <c r="H799" s="1" t="str">
        <f t="shared" si="73"/>
        <v>Shipped</v>
      </c>
      <c r="I799" s="4" t="str">
        <f t="shared" si="74"/>
        <v>completed</v>
      </c>
      <c r="J799" t="s">
        <v>25</v>
      </c>
      <c r="K799">
        <v>4</v>
      </c>
      <c r="L799">
        <v>11</v>
      </c>
      <c r="M799">
        <v>2004</v>
      </c>
      <c r="N799" t="s">
        <v>566</v>
      </c>
      <c r="O799">
        <v>84</v>
      </c>
      <c r="P799" t="s">
        <v>592</v>
      </c>
      <c r="Q799" t="s">
        <v>246</v>
      </c>
      <c r="R799" t="s">
        <v>247</v>
      </c>
      <c r="S799" t="s">
        <v>248</v>
      </c>
      <c r="U799" s="1" t="str">
        <f t="shared" si="75"/>
        <v>Minato-Ku</v>
      </c>
      <c r="V799" t="s">
        <v>249</v>
      </c>
      <c r="W799" t="s">
        <v>250</v>
      </c>
      <c r="X799" t="s">
        <v>251</v>
      </c>
      <c r="Y799" s="1" t="str">
        <f t="shared" si="76"/>
        <v>JAPAN</v>
      </c>
      <c r="Z799" s="4" t="str">
        <f t="shared" si="77"/>
        <v>Japan</v>
      </c>
      <c r="AA799" t="s">
        <v>200</v>
      </c>
      <c r="AB799" t="s">
        <v>200</v>
      </c>
      <c r="AC799" t="s">
        <v>252</v>
      </c>
      <c r="AD799" t="s">
        <v>253</v>
      </c>
      <c r="AE799" t="s">
        <v>36</v>
      </c>
    </row>
    <row r="800" spans="1:31" x14ac:dyDescent="0.3">
      <c r="A800">
        <v>10353</v>
      </c>
      <c r="B800">
        <v>27</v>
      </c>
      <c r="C800">
        <v>100</v>
      </c>
      <c r="D800">
        <v>1</v>
      </c>
      <c r="E800" s="4" t="str">
        <f t="shared" si="72"/>
        <v>low sales</v>
      </c>
      <c r="F800">
        <v>3515.67</v>
      </c>
      <c r="G800" t="s">
        <v>1472</v>
      </c>
      <c r="H800" s="1" t="str">
        <f t="shared" si="73"/>
        <v>Shipped</v>
      </c>
      <c r="I800" s="4" t="str">
        <f t="shared" si="74"/>
        <v>completed</v>
      </c>
      <c r="J800" t="s">
        <v>25</v>
      </c>
      <c r="K800">
        <v>4</v>
      </c>
      <c r="L800">
        <v>12</v>
      </c>
      <c r="M800">
        <v>2004</v>
      </c>
      <c r="N800" t="s">
        <v>566</v>
      </c>
      <c r="O800">
        <v>84</v>
      </c>
      <c r="P800" t="s">
        <v>592</v>
      </c>
      <c r="Q800" t="s">
        <v>568</v>
      </c>
      <c r="R800">
        <v>2035554407</v>
      </c>
      <c r="S800" t="s">
        <v>569</v>
      </c>
      <c r="U800" s="1" t="str">
        <f t="shared" si="75"/>
        <v>Glendale</v>
      </c>
      <c r="V800" t="s">
        <v>516</v>
      </c>
      <c r="W800" t="s">
        <v>112</v>
      </c>
      <c r="X800">
        <v>97561</v>
      </c>
      <c r="Y800" s="1" t="str">
        <f t="shared" si="76"/>
        <v>USA</v>
      </c>
      <c r="Z800" s="4" t="str">
        <f t="shared" si="77"/>
        <v>Usa</v>
      </c>
      <c r="AA800" t="s">
        <v>32</v>
      </c>
      <c r="AB800" t="s">
        <v>33</v>
      </c>
      <c r="AC800" t="s">
        <v>570</v>
      </c>
      <c r="AD800" t="s">
        <v>571</v>
      </c>
      <c r="AE800" t="s">
        <v>51</v>
      </c>
    </row>
    <row r="801" spans="1:31" x14ac:dyDescent="0.3">
      <c r="A801">
        <v>10374</v>
      </c>
      <c r="B801">
        <v>42</v>
      </c>
      <c r="C801">
        <v>69.27</v>
      </c>
      <c r="D801">
        <v>2</v>
      </c>
      <c r="E801" s="4" t="str">
        <f t="shared" si="72"/>
        <v>low sales</v>
      </c>
      <c r="F801">
        <v>2909.34</v>
      </c>
      <c r="G801" t="s">
        <v>1473</v>
      </c>
      <c r="H801" s="1" t="str">
        <f t="shared" si="73"/>
        <v>Shipped</v>
      </c>
      <c r="I801" s="4" t="str">
        <f t="shared" si="74"/>
        <v>completed</v>
      </c>
      <c r="J801" t="s">
        <v>25</v>
      </c>
      <c r="K801">
        <v>1</v>
      </c>
      <c r="L801">
        <v>2</v>
      </c>
      <c r="M801">
        <v>2005</v>
      </c>
      <c r="N801" t="s">
        <v>566</v>
      </c>
      <c r="O801">
        <v>84</v>
      </c>
      <c r="P801" t="s">
        <v>592</v>
      </c>
      <c r="Q801" t="s">
        <v>207</v>
      </c>
      <c r="R801" t="s">
        <v>208</v>
      </c>
      <c r="S801" t="s">
        <v>209</v>
      </c>
      <c r="U801" s="1" t="str">
        <f t="shared" si="75"/>
        <v>South Brisbane</v>
      </c>
      <c r="V801" t="s">
        <v>210</v>
      </c>
      <c r="W801" t="s">
        <v>211</v>
      </c>
      <c r="X801">
        <v>4101</v>
      </c>
      <c r="Y801" s="1" t="str">
        <f t="shared" si="76"/>
        <v>AUSTRALIA</v>
      </c>
      <c r="Z801" s="4" t="str">
        <f t="shared" si="77"/>
        <v>Australia</v>
      </c>
      <c r="AA801" t="s">
        <v>95</v>
      </c>
      <c r="AB801" t="s">
        <v>96</v>
      </c>
      <c r="AC801" t="s">
        <v>212</v>
      </c>
      <c r="AD801" t="s">
        <v>213</v>
      </c>
      <c r="AE801" t="s">
        <v>36</v>
      </c>
    </row>
    <row r="802" spans="1:31" x14ac:dyDescent="0.3">
      <c r="A802">
        <v>10386</v>
      </c>
      <c r="B802">
        <v>21</v>
      </c>
      <c r="C802">
        <v>74.77</v>
      </c>
      <c r="D802">
        <v>18</v>
      </c>
      <c r="E802" s="4" t="str">
        <f t="shared" si="72"/>
        <v>low sales</v>
      </c>
      <c r="F802">
        <v>1570.17</v>
      </c>
      <c r="G802" t="s">
        <v>1474</v>
      </c>
      <c r="H802" s="1" t="str">
        <f t="shared" si="73"/>
        <v>Resolved</v>
      </c>
      <c r="I802" s="4" t="str">
        <f t="shared" si="74"/>
        <v>not completed</v>
      </c>
      <c r="J802" t="s">
        <v>408</v>
      </c>
      <c r="K802">
        <v>1</v>
      </c>
      <c r="L802">
        <v>3</v>
      </c>
      <c r="M802">
        <v>2005</v>
      </c>
      <c r="N802" t="s">
        <v>566</v>
      </c>
      <c r="O802">
        <v>84</v>
      </c>
      <c r="P802" t="s">
        <v>592</v>
      </c>
      <c r="Q802" t="s">
        <v>174</v>
      </c>
      <c r="R802" t="s">
        <v>175</v>
      </c>
      <c r="S802" t="s">
        <v>176</v>
      </c>
      <c r="U802" s="1" t="str">
        <f t="shared" si="75"/>
        <v>Madrid</v>
      </c>
      <c r="V802" t="s">
        <v>177</v>
      </c>
      <c r="X802">
        <v>28034</v>
      </c>
      <c r="Y802" s="1" t="str">
        <f t="shared" si="76"/>
        <v>SPAIN</v>
      </c>
      <c r="Z802" s="4" t="str">
        <f t="shared" si="77"/>
        <v>Spain</v>
      </c>
      <c r="AA802" t="s">
        <v>178</v>
      </c>
      <c r="AB802" t="s">
        <v>42</v>
      </c>
      <c r="AC802" t="s">
        <v>179</v>
      </c>
      <c r="AD802" t="s">
        <v>180</v>
      </c>
      <c r="AE802" t="s">
        <v>36</v>
      </c>
    </row>
    <row r="803" spans="1:31" x14ac:dyDescent="0.3">
      <c r="A803">
        <v>10398</v>
      </c>
      <c r="B803">
        <v>34</v>
      </c>
      <c r="C803">
        <v>76.88</v>
      </c>
      <c r="D803">
        <v>15</v>
      </c>
      <c r="E803" s="4" t="str">
        <f t="shared" si="72"/>
        <v>low sales</v>
      </c>
      <c r="F803">
        <v>2613.92</v>
      </c>
      <c r="G803" t="s">
        <v>1475</v>
      </c>
      <c r="H803" s="1" t="str">
        <f t="shared" si="73"/>
        <v>Shipped</v>
      </c>
      <c r="I803" s="4" t="str">
        <f t="shared" si="74"/>
        <v>completed</v>
      </c>
      <c r="J803" t="s">
        <v>25</v>
      </c>
      <c r="K803">
        <v>1</v>
      </c>
      <c r="L803">
        <v>3</v>
      </c>
      <c r="M803">
        <v>2005</v>
      </c>
      <c r="N803" t="s">
        <v>566</v>
      </c>
      <c r="O803">
        <v>84</v>
      </c>
      <c r="P803" t="s">
        <v>592</v>
      </c>
      <c r="Q803" t="s">
        <v>37</v>
      </c>
      <c r="R803" t="s">
        <v>38</v>
      </c>
      <c r="S803" t="s">
        <v>39</v>
      </c>
      <c r="U803" s="1" t="str">
        <f t="shared" si="75"/>
        <v>Reims</v>
      </c>
      <c r="V803" t="s">
        <v>40</v>
      </c>
      <c r="X803">
        <v>51100</v>
      </c>
      <c r="Y803" s="1" t="str">
        <f t="shared" si="76"/>
        <v>FRANCE</v>
      </c>
      <c r="Z803" s="4" t="str">
        <f t="shared" si="77"/>
        <v>France</v>
      </c>
      <c r="AA803" t="s">
        <v>41</v>
      </c>
      <c r="AB803" t="s">
        <v>42</v>
      </c>
      <c r="AC803" t="s">
        <v>43</v>
      </c>
      <c r="AD803" t="s">
        <v>44</v>
      </c>
      <c r="AE803" t="s">
        <v>36</v>
      </c>
    </row>
    <row r="804" spans="1:31" x14ac:dyDescent="0.3">
      <c r="A804">
        <v>10401</v>
      </c>
      <c r="B804">
        <v>42</v>
      </c>
      <c r="C804">
        <v>76.03</v>
      </c>
      <c r="D804">
        <v>3</v>
      </c>
      <c r="E804" s="4" t="str">
        <f t="shared" si="72"/>
        <v>low sales</v>
      </c>
      <c r="F804">
        <v>3193.26</v>
      </c>
      <c r="G804" t="s">
        <v>1476</v>
      </c>
      <c r="H804" s="1" t="str">
        <f t="shared" si="73"/>
        <v>On Hold</v>
      </c>
      <c r="I804" s="4" t="str">
        <f t="shared" si="74"/>
        <v>not completed</v>
      </c>
      <c r="J804" t="s">
        <v>401</v>
      </c>
      <c r="K804">
        <v>2</v>
      </c>
      <c r="L804">
        <v>4</v>
      </c>
      <c r="M804">
        <v>2005</v>
      </c>
      <c r="N804" t="s">
        <v>566</v>
      </c>
      <c r="O804">
        <v>84</v>
      </c>
      <c r="P804" t="s">
        <v>592</v>
      </c>
      <c r="Q804" t="s">
        <v>104</v>
      </c>
      <c r="R804">
        <v>2015559350</v>
      </c>
      <c r="S804" t="s">
        <v>105</v>
      </c>
      <c r="U804" s="1" t="str">
        <f t="shared" si="75"/>
        <v>Newark</v>
      </c>
      <c r="V804" t="s">
        <v>106</v>
      </c>
      <c r="W804" t="s">
        <v>107</v>
      </c>
      <c r="X804">
        <v>94019</v>
      </c>
      <c r="Y804" s="1" t="str">
        <f t="shared" si="76"/>
        <v>USA</v>
      </c>
      <c r="Z804" s="4" t="str">
        <f t="shared" si="77"/>
        <v>Usa</v>
      </c>
      <c r="AA804" t="s">
        <v>32</v>
      </c>
      <c r="AB804" t="s">
        <v>33</v>
      </c>
      <c r="AC804" t="s">
        <v>61</v>
      </c>
      <c r="AD804" t="s">
        <v>108</v>
      </c>
      <c r="AE804" t="s">
        <v>51</v>
      </c>
    </row>
    <row r="805" spans="1:31" x14ac:dyDescent="0.3">
      <c r="A805">
        <v>10416</v>
      </c>
      <c r="B805">
        <v>15</v>
      </c>
      <c r="C805">
        <v>98.84</v>
      </c>
      <c r="D805">
        <v>4</v>
      </c>
      <c r="E805" s="4" t="str">
        <f t="shared" si="72"/>
        <v>low sales</v>
      </c>
      <c r="F805">
        <v>1482.6</v>
      </c>
      <c r="G805" t="s">
        <v>1477</v>
      </c>
      <c r="H805" s="1" t="str">
        <f t="shared" si="73"/>
        <v>Shipped</v>
      </c>
      <c r="I805" s="4" t="str">
        <f t="shared" si="74"/>
        <v>completed</v>
      </c>
      <c r="J805" t="s">
        <v>25</v>
      </c>
      <c r="K805">
        <v>2</v>
      </c>
      <c r="L805">
        <v>5</v>
      </c>
      <c r="M805">
        <v>2005</v>
      </c>
      <c r="N805" t="s">
        <v>566</v>
      </c>
      <c r="O805">
        <v>84</v>
      </c>
      <c r="P805" t="s">
        <v>592</v>
      </c>
      <c r="Q805" t="s">
        <v>452</v>
      </c>
      <c r="R805" t="s">
        <v>453</v>
      </c>
      <c r="S805" t="s">
        <v>454</v>
      </c>
      <c r="U805" s="1" t="str">
        <f t="shared" si="75"/>
        <v>Reggio Emilia</v>
      </c>
      <c r="V805" t="s">
        <v>455</v>
      </c>
      <c r="X805">
        <v>42100</v>
      </c>
      <c r="Y805" s="1" t="str">
        <f t="shared" si="76"/>
        <v>ITALY</v>
      </c>
      <c r="Z805" s="4" t="str">
        <f t="shared" si="77"/>
        <v>Italy</v>
      </c>
      <c r="AA805" t="s">
        <v>258</v>
      </c>
      <c r="AB805" t="s">
        <v>42</v>
      </c>
      <c r="AC805" t="s">
        <v>456</v>
      </c>
      <c r="AD805" t="s">
        <v>457</v>
      </c>
      <c r="AE805" t="s">
        <v>36</v>
      </c>
    </row>
    <row r="806" spans="1:31" x14ac:dyDescent="0.3">
      <c r="A806">
        <v>10107</v>
      </c>
      <c r="B806">
        <v>29</v>
      </c>
      <c r="C806">
        <v>70.87</v>
      </c>
      <c r="D806">
        <v>6</v>
      </c>
      <c r="E806" s="4" t="str">
        <f t="shared" si="72"/>
        <v>low sales</v>
      </c>
      <c r="F806">
        <v>2055.23</v>
      </c>
      <c r="G806" t="s">
        <v>1478</v>
      </c>
      <c r="H806" s="1" t="str">
        <f t="shared" si="73"/>
        <v>Shipped</v>
      </c>
      <c r="I806" s="4" t="str">
        <f t="shared" si="74"/>
        <v>completed</v>
      </c>
      <c r="J806" t="s">
        <v>25</v>
      </c>
      <c r="K806">
        <v>1</v>
      </c>
      <c r="L806">
        <v>2</v>
      </c>
      <c r="M806">
        <v>2003</v>
      </c>
      <c r="N806" t="s">
        <v>26</v>
      </c>
      <c r="O806">
        <v>60</v>
      </c>
      <c r="P806" t="s">
        <v>593</v>
      </c>
      <c r="Q806" t="s">
        <v>28</v>
      </c>
      <c r="R806">
        <v>2125557818</v>
      </c>
      <c r="S806" t="s">
        <v>29</v>
      </c>
      <c r="U806" s="1" t="str">
        <f t="shared" si="75"/>
        <v>Nyc</v>
      </c>
      <c r="V806" t="s">
        <v>30</v>
      </c>
      <c r="W806" t="s">
        <v>31</v>
      </c>
      <c r="X806">
        <v>10022</v>
      </c>
      <c r="Y806" s="1" t="str">
        <f t="shared" si="76"/>
        <v>USA</v>
      </c>
      <c r="Z806" s="4" t="str">
        <f t="shared" si="77"/>
        <v>Usa</v>
      </c>
      <c r="AA806" t="s">
        <v>32</v>
      </c>
      <c r="AB806" t="s">
        <v>33</v>
      </c>
      <c r="AC806" t="s">
        <v>34</v>
      </c>
      <c r="AD806" t="s">
        <v>35</v>
      </c>
      <c r="AE806" t="s">
        <v>36</v>
      </c>
    </row>
    <row r="807" spans="1:31" x14ac:dyDescent="0.3">
      <c r="A807">
        <v>10120</v>
      </c>
      <c r="B807">
        <v>46</v>
      </c>
      <c r="C807">
        <v>58.15</v>
      </c>
      <c r="D807">
        <v>4</v>
      </c>
      <c r="E807" s="4" t="str">
        <f t="shared" si="72"/>
        <v>low sales</v>
      </c>
      <c r="F807">
        <v>2674.9</v>
      </c>
      <c r="G807" t="s">
        <v>1479</v>
      </c>
      <c r="H807" s="1" t="str">
        <f t="shared" si="73"/>
        <v>Shipped</v>
      </c>
      <c r="I807" s="4" t="str">
        <f t="shared" si="74"/>
        <v>completed</v>
      </c>
      <c r="J807" t="s">
        <v>25</v>
      </c>
      <c r="K807">
        <v>2</v>
      </c>
      <c r="L807">
        <v>4</v>
      </c>
      <c r="M807">
        <v>2003</v>
      </c>
      <c r="N807" t="s">
        <v>26</v>
      </c>
      <c r="O807">
        <v>60</v>
      </c>
      <c r="P807" t="s">
        <v>593</v>
      </c>
      <c r="Q807" t="s">
        <v>89</v>
      </c>
      <c r="R807" t="s">
        <v>90</v>
      </c>
      <c r="S807" t="s">
        <v>91</v>
      </c>
      <c r="T807" t="s">
        <v>92</v>
      </c>
      <c r="U807" s="1" t="str">
        <f t="shared" si="75"/>
        <v>Melbourne</v>
      </c>
      <c r="V807" t="s">
        <v>93</v>
      </c>
      <c r="W807" t="s">
        <v>94</v>
      </c>
      <c r="X807">
        <v>3004</v>
      </c>
      <c r="Y807" s="1" t="str">
        <f t="shared" si="76"/>
        <v>AUSTRALIA</v>
      </c>
      <c r="Z807" s="4" t="str">
        <f t="shared" si="77"/>
        <v>Australia</v>
      </c>
      <c r="AA807" t="s">
        <v>95</v>
      </c>
      <c r="AB807" t="s">
        <v>96</v>
      </c>
      <c r="AC807" t="s">
        <v>97</v>
      </c>
      <c r="AD807" t="s">
        <v>98</v>
      </c>
      <c r="AE807" t="s">
        <v>36</v>
      </c>
    </row>
    <row r="808" spans="1:31" x14ac:dyDescent="0.3">
      <c r="A808">
        <v>10134</v>
      </c>
      <c r="B808">
        <v>30</v>
      </c>
      <c r="C808">
        <v>61.78</v>
      </c>
      <c r="D808">
        <v>6</v>
      </c>
      <c r="E808" s="4" t="str">
        <f t="shared" si="72"/>
        <v>low sales</v>
      </c>
      <c r="F808">
        <v>1853.4</v>
      </c>
      <c r="G808" t="s">
        <v>1480</v>
      </c>
      <c r="H808" s="1" t="str">
        <f t="shared" si="73"/>
        <v>Shipped</v>
      </c>
      <c r="I808" s="4" t="str">
        <f t="shared" si="74"/>
        <v>completed</v>
      </c>
      <c r="J808" t="s">
        <v>25</v>
      </c>
      <c r="K808">
        <v>3</v>
      </c>
      <c r="L808">
        <v>7</v>
      </c>
      <c r="M808">
        <v>2003</v>
      </c>
      <c r="N808" t="s">
        <v>26</v>
      </c>
      <c r="O808">
        <v>60</v>
      </c>
      <c r="P808" t="s">
        <v>593</v>
      </c>
      <c r="Q808" t="s">
        <v>45</v>
      </c>
      <c r="R808" t="s">
        <v>46</v>
      </c>
      <c r="S808" t="s">
        <v>47</v>
      </c>
      <c r="U808" s="1" t="str">
        <f t="shared" si="75"/>
        <v>Paris</v>
      </c>
      <c r="V808" t="s">
        <v>48</v>
      </c>
      <c r="X808">
        <v>75508</v>
      </c>
      <c r="Y808" s="1" t="str">
        <f t="shared" si="76"/>
        <v>FRANCE</v>
      </c>
      <c r="Z808" s="4" t="str">
        <f t="shared" si="77"/>
        <v>France</v>
      </c>
      <c r="AA808" t="s">
        <v>41</v>
      </c>
      <c r="AB808" t="s">
        <v>42</v>
      </c>
      <c r="AC808" t="s">
        <v>49</v>
      </c>
      <c r="AD808" t="s">
        <v>50</v>
      </c>
      <c r="AE808" t="s">
        <v>36</v>
      </c>
    </row>
    <row r="809" spans="1:31" x14ac:dyDescent="0.3">
      <c r="A809">
        <v>10145</v>
      </c>
      <c r="B809">
        <v>30</v>
      </c>
      <c r="C809">
        <v>49.67</v>
      </c>
      <c r="D809">
        <v>10</v>
      </c>
      <c r="E809" s="4" t="str">
        <f t="shared" si="72"/>
        <v>low sales</v>
      </c>
      <c r="F809">
        <v>1490.1</v>
      </c>
      <c r="G809" t="s">
        <v>1481</v>
      </c>
      <c r="H809" s="1" t="str">
        <f t="shared" si="73"/>
        <v>Shipped</v>
      </c>
      <c r="I809" s="4" t="str">
        <f t="shared" si="74"/>
        <v>completed</v>
      </c>
      <c r="J809" t="s">
        <v>25</v>
      </c>
      <c r="K809">
        <v>3</v>
      </c>
      <c r="L809">
        <v>8</v>
      </c>
      <c r="M809">
        <v>2003</v>
      </c>
      <c r="N809" t="s">
        <v>26</v>
      </c>
      <c r="O809">
        <v>60</v>
      </c>
      <c r="P809" t="s">
        <v>593</v>
      </c>
      <c r="Q809" t="s">
        <v>52</v>
      </c>
      <c r="R809">
        <v>6265557265</v>
      </c>
      <c r="S809" t="s">
        <v>53</v>
      </c>
      <c r="U809" s="1" t="str">
        <f t="shared" si="75"/>
        <v>Pasadena</v>
      </c>
      <c r="V809" t="s">
        <v>54</v>
      </c>
      <c r="W809" t="s">
        <v>55</v>
      </c>
      <c r="X809">
        <v>90003</v>
      </c>
      <c r="Y809" s="1" t="str">
        <f t="shared" si="76"/>
        <v>USA</v>
      </c>
      <c r="Z809" s="4" t="str">
        <f t="shared" si="77"/>
        <v>Usa</v>
      </c>
      <c r="AA809" t="s">
        <v>32</v>
      </c>
      <c r="AB809" t="s">
        <v>33</v>
      </c>
      <c r="AC809" t="s">
        <v>56</v>
      </c>
      <c r="AD809" t="s">
        <v>57</v>
      </c>
      <c r="AE809" t="s">
        <v>36</v>
      </c>
    </row>
    <row r="810" spans="1:31" x14ac:dyDescent="0.3">
      <c r="A810">
        <v>10159</v>
      </c>
      <c r="B810">
        <v>42</v>
      </c>
      <c r="C810">
        <v>51.48</v>
      </c>
      <c r="D810">
        <v>18</v>
      </c>
      <c r="E810" s="4" t="str">
        <f t="shared" si="72"/>
        <v>low sales</v>
      </c>
      <c r="F810">
        <v>2162.16</v>
      </c>
      <c r="G810" t="s">
        <v>1482</v>
      </c>
      <c r="H810" s="1" t="str">
        <f t="shared" si="73"/>
        <v>Shipped</v>
      </c>
      <c r="I810" s="4" t="str">
        <f t="shared" si="74"/>
        <v>completed</v>
      </c>
      <c r="J810" t="s">
        <v>25</v>
      </c>
      <c r="K810">
        <v>4</v>
      </c>
      <c r="L810">
        <v>10</v>
      </c>
      <c r="M810">
        <v>2003</v>
      </c>
      <c r="N810" t="s">
        <v>26</v>
      </c>
      <c r="O810">
        <v>60</v>
      </c>
      <c r="P810" t="s">
        <v>593</v>
      </c>
      <c r="Q810" t="s">
        <v>58</v>
      </c>
      <c r="R810">
        <v>6505551386</v>
      </c>
      <c r="S810" t="s">
        <v>59</v>
      </c>
      <c r="U810" s="1" t="str">
        <f t="shared" si="75"/>
        <v>San Francisco</v>
      </c>
      <c r="V810" t="s">
        <v>60</v>
      </c>
      <c r="W810" t="s">
        <v>55</v>
      </c>
      <c r="Y810" s="1" t="str">
        <f t="shared" si="76"/>
        <v>USA</v>
      </c>
      <c r="Z810" s="4" t="str">
        <f t="shared" si="77"/>
        <v>Usa</v>
      </c>
      <c r="AA810" t="s">
        <v>32</v>
      </c>
      <c r="AB810" t="s">
        <v>33</v>
      </c>
      <c r="AC810" t="s">
        <v>61</v>
      </c>
      <c r="AD810" t="s">
        <v>57</v>
      </c>
      <c r="AE810" t="s">
        <v>36</v>
      </c>
    </row>
    <row r="811" spans="1:31" x14ac:dyDescent="0.3">
      <c r="A811">
        <v>10168</v>
      </c>
      <c r="B811">
        <v>46</v>
      </c>
      <c r="C811">
        <v>61.18</v>
      </c>
      <c r="D811">
        <v>5</v>
      </c>
      <c r="E811" s="4" t="str">
        <f t="shared" si="72"/>
        <v>low sales</v>
      </c>
      <c r="F811">
        <v>2814.28</v>
      </c>
      <c r="G811" t="s">
        <v>1483</v>
      </c>
      <c r="H811" s="1" t="str">
        <f t="shared" si="73"/>
        <v>Shipped</v>
      </c>
      <c r="I811" s="4" t="str">
        <f t="shared" si="74"/>
        <v>completed</v>
      </c>
      <c r="J811" t="s">
        <v>25</v>
      </c>
      <c r="K811">
        <v>4</v>
      </c>
      <c r="L811">
        <v>10</v>
      </c>
      <c r="M811">
        <v>2003</v>
      </c>
      <c r="N811" t="s">
        <v>26</v>
      </c>
      <c r="O811">
        <v>60</v>
      </c>
      <c r="P811" t="s">
        <v>593</v>
      </c>
      <c r="Q811" t="s">
        <v>62</v>
      </c>
      <c r="R811">
        <v>6505556809</v>
      </c>
      <c r="S811" t="s">
        <v>63</v>
      </c>
      <c r="U811" s="1" t="str">
        <f t="shared" si="75"/>
        <v>Burlingame</v>
      </c>
      <c r="V811" t="s">
        <v>64</v>
      </c>
      <c r="W811" t="s">
        <v>55</v>
      </c>
      <c r="X811">
        <v>94217</v>
      </c>
      <c r="Y811" s="1" t="str">
        <f t="shared" si="76"/>
        <v>USA</v>
      </c>
      <c r="Z811" s="4" t="str">
        <f t="shared" si="77"/>
        <v>Usa</v>
      </c>
      <c r="AA811" t="s">
        <v>32</v>
      </c>
      <c r="AB811" t="s">
        <v>33</v>
      </c>
      <c r="AC811" t="s">
        <v>65</v>
      </c>
      <c r="AD811" t="s">
        <v>66</v>
      </c>
      <c r="AE811" t="s">
        <v>36</v>
      </c>
    </row>
    <row r="812" spans="1:31" x14ac:dyDescent="0.3">
      <c r="A812">
        <v>10180</v>
      </c>
      <c r="B812">
        <v>25</v>
      </c>
      <c r="C812">
        <v>64.2</v>
      </c>
      <c r="D812">
        <v>13</v>
      </c>
      <c r="E812" s="4" t="str">
        <f t="shared" si="72"/>
        <v>low sales</v>
      </c>
      <c r="F812">
        <v>1605</v>
      </c>
      <c r="G812" t="s">
        <v>1484</v>
      </c>
      <c r="H812" s="1" t="str">
        <f t="shared" si="73"/>
        <v>Shipped</v>
      </c>
      <c r="I812" s="4" t="str">
        <f t="shared" si="74"/>
        <v>completed</v>
      </c>
      <c r="J812" t="s">
        <v>25</v>
      </c>
      <c r="K812">
        <v>4</v>
      </c>
      <c r="L812">
        <v>11</v>
      </c>
      <c r="M812">
        <v>2003</v>
      </c>
      <c r="N812" t="s">
        <v>26</v>
      </c>
      <c r="O812">
        <v>60</v>
      </c>
      <c r="P812" t="s">
        <v>593</v>
      </c>
      <c r="Q812" t="s">
        <v>67</v>
      </c>
      <c r="R812" t="s">
        <v>68</v>
      </c>
      <c r="S812" t="s">
        <v>69</v>
      </c>
      <c r="U812" s="1" t="str">
        <f t="shared" si="75"/>
        <v>Lille</v>
      </c>
      <c r="V812" t="s">
        <v>70</v>
      </c>
      <c r="X812">
        <v>59000</v>
      </c>
      <c r="Y812" s="1" t="str">
        <f t="shared" si="76"/>
        <v>FRANCE</v>
      </c>
      <c r="Z812" s="4" t="str">
        <f t="shared" si="77"/>
        <v>France</v>
      </c>
      <c r="AA812" t="s">
        <v>41</v>
      </c>
      <c r="AB812" t="s">
        <v>42</v>
      </c>
      <c r="AC812" t="s">
        <v>71</v>
      </c>
      <c r="AD812" t="s">
        <v>72</v>
      </c>
      <c r="AE812" t="s">
        <v>36</v>
      </c>
    </row>
    <row r="813" spans="1:31" x14ac:dyDescent="0.3">
      <c r="A813">
        <v>10188</v>
      </c>
      <c r="B813">
        <v>32</v>
      </c>
      <c r="C813">
        <v>65.42</v>
      </c>
      <c r="D813">
        <v>5</v>
      </c>
      <c r="E813" s="4" t="str">
        <f t="shared" si="72"/>
        <v>low sales</v>
      </c>
      <c r="F813">
        <v>2093.44</v>
      </c>
      <c r="G813" t="s">
        <v>1485</v>
      </c>
      <c r="H813" s="1" t="str">
        <f t="shared" si="73"/>
        <v>Shipped</v>
      </c>
      <c r="I813" s="4" t="str">
        <f t="shared" si="74"/>
        <v>completed</v>
      </c>
      <c r="J813" t="s">
        <v>25</v>
      </c>
      <c r="K813">
        <v>4</v>
      </c>
      <c r="L813">
        <v>11</v>
      </c>
      <c r="M813">
        <v>2003</v>
      </c>
      <c r="N813" t="s">
        <v>26</v>
      </c>
      <c r="O813">
        <v>60</v>
      </c>
      <c r="P813" t="s">
        <v>593</v>
      </c>
      <c r="Q813" t="s">
        <v>73</v>
      </c>
      <c r="R813" t="s">
        <v>74</v>
      </c>
      <c r="S813" t="s">
        <v>75</v>
      </c>
      <c r="U813" s="1" t="str">
        <f t="shared" si="75"/>
        <v>Bergen</v>
      </c>
      <c r="V813" t="s">
        <v>76</v>
      </c>
      <c r="X813" t="s">
        <v>77</v>
      </c>
      <c r="Y813" s="1" t="str">
        <f t="shared" si="76"/>
        <v>NORWAY</v>
      </c>
      <c r="Z813" s="4" t="str">
        <f t="shared" si="77"/>
        <v>Norway</v>
      </c>
      <c r="AA813" t="s">
        <v>78</v>
      </c>
      <c r="AB813" t="s">
        <v>42</v>
      </c>
      <c r="AC813" t="s">
        <v>79</v>
      </c>
      <c r="AD813" t="s">
        <v>80</v>
      </c>
      <c r="AE813" t="s">
        <v>36</v>
      </c>
    </row>
    <row r="814" spans="1:31" x14ac:dyDescent="0.3">
      <c r="A814">
        <v>10201</v>
      </c>
      <c r="B814">
        <v>30</v>
      </c>
      <c r="C814">
        <v>64.81</v>
      </c>
      <c r="D814">
        <v>6</v>
      </c>
      <c r="E814" s="4" t="str">
        <f t="shared" si="72"/>
        <v>low sales</v>
      </c>
      <c r="F814">
        <v>1944.3</v>
      </c>
      <c r="G814" t="s">
        <v>1486</v>
      </c>
      <c r="H814" s="1" t="str">
        <f t="shared" si="73"/>
        <v>Shipped</v>
      </c>
      <c r="I814" s="4" t="str">
        <f t="shared" si="74"/>
        <v>completed</v>
      </c>
      <c r="J814" t="s">
        <v>25</v>
      </c>
      <c r="K814">
        <v>4</v>
      </c>
      <c r="L814">
        <v>12</v>
      </c>
      <c r="M814">
        <v>2003</v>
      </c>
      <c r="N814" t="s">
        <v>26</v>
      </c>
      <c r="O814">
        <v>60</v>
      </c>
      <c r="P814" t="s">
        <v>593</v>
      </c>
      <c r="Q814" t="s">
        <v>81</v>
      </c>
      <c r="R814">
        <v>6505555787</v>
      </c>
      <c r="S814" t="s">
        <v>82</v>
      </c>
      <c r="U814" s="1" t="str">
        <f t="shared" si="75"/>
        <v>San Francisco</v>
      </c>
      <c r="V814" t="s">
        <v>60</v>
      </c>
      <c r="W814" t="s">
        <v>55</v>
      </c>
      <c r="Y814" s="1" t="str">
        <f t="shared" si="76"/>
        <v>USA</v>
      </c>
      <c r="Z814" s="4" t="str">
        <f t="shared" si="77"/>
        <v>Usa</v>
      </c>
      <c r="AA814" t="s">
        <v>32</v>
      </c>
      <c r="AB814" t="s">
        <v>33</v>
      </c>
      <c r="AC814" t="s">
        <v>83</v>
      </c>
      <c r="AD814" t="s">
        <v>57</v>
      </c>
      <c r="AE814" t="s">
        <v>36</v>
      </c>
    </row>
    <row r="815" spans="1:31" x14ac:dyDescent="0.3">
      <c r="A815">
        <v>10210</v>
      </c>
      <c r="B815">
        <v>40</v>
      </c>
      <c r="C815">
        <v>49.67</v>
      </c>
      <c r="D815">
        <v>3</v>
      </c>
      <c r="E815" s="4" t="str">
        <f t="shared" si="72"/>
        <v>low sales</v>
      </c>
      <c r="F815">
        <v>1986.8</v>
      </c>
      <c r="G815" t="s">
        <v>1487</v>
      </c>
      <c r="H815" s="1" t="str">
        <f t="shared" si="73"/>
        <v>Shipped</v>
      </c>
      <c r="I815" s="4" t="str">
        <f t="shared" si="74"/>
        <v>completed</v>
      </c>
      <c r="J815" t="s">
        <v>25</v>
      </c>
      <c r="K815">
        <v>1</v>
      </c>
      <c r="L815">
        <v>1</v>
      </c>
      <c r="M815">
        <v>2004</v>
      </c>
      <c r="N815" t="s">
        <v>26</v>
      </c>
      <c r="O815">
        <v>60</v>
      </c>
      <c r="P815" t="s">
        <v>593</v>
      </c>
      <c r="Q815" t="s">
        <v>302</v>
      </c>
      <c r="R815" t="s">
        <v>303</v>
      </c>
      <c r="S815" t="s">
        <v>304</v>
      </c>
      <c r="U815" s="1" t="str">
        <f t="shared" si="75"/>
        <v>Osaka</v>
      </c>
      <c r="V815" t="s">
        <v>305</v>
      </c>
      <c r="W815" t="s">
        <v>305</v>
      </c>
      <c r="X815" t="s">
        <v>306</v>
      </c>
      <c r="Y815" s="1" t="str">
        <f t="shared" si="76"/>
        <v>JAPAN</v>
      </c>
      <c r="Z815" s="4" t="str">
        <f t="shared" si="77"/>
        <v>Japan</v>
      </c>
      <c r="AA815" t="s">
        <v>200</v>
      </c>
      <c r="AB815" t="s">
        <v>200</v>
      </c>
      <c r="AC815" t="s">
        <v>307</v>
      </c>
      <c r="AD815" t="s">
        <v>308</v>
      </c>
      <c r="AE815" t="s">
        <v>36</v>
      </c>
    </row>
    <row r="816" spans="1:31" x14ac:dyDescent="0.3">
      <c r="A816">
        <v>10223</v>
      </c>
      <c r="B816">
        <v>28</v>
      </c>
      <c r="C816">
        <v>60.57</v>
      </c>
      <c r="D816">
        <v>5</v>
      </c>
      <c r="E816" s="4" t="str">
        <f t="shared" si="72"/>
        <v>low sales</v>
      </c>
      <c r="F816">
        <v>1695.96</v>
      </c>
      <c r="G816" t="s">
        <v>1488</v>
      </c>
      <c r="H816" s="1" t="str">
        <f t="shared" si="73"/>
        <v>Shipped</v>
      </c>
      <c r="I816" s="4" t="str">
        <f t="shared" si="74"/>
        <v>completed</v>
      </c>
      <c r="J816" t="s">
        <v>25</v>
      </c>
      <c r="K816">
        <v>1</v>
      </c>
      <c r="L816">
        <v>2</v>
      </c>
      <c r="M816">
        <v>2004</v>
      </c>
      <c r="N816" t="s">
        <v>26</v>
      </c>
      <c r="O816">
        <v>60</v>
      </c>
      <c r="P816" t="s">
        <v>593</v>
      </c>
      <c r="Q816" t="s">
        <v>89</v>
      </c>
      <c r="R816" t="s">
        <v>90</v>
      </c>
      <c r="S816" t="s">
        <v>91</v>
      </c>
      <c r="T816" t="s">
        <v>92</v>
      </c>
      <c r="U816" s="1" t="str">
        <f t="shared" si="75"/>
        <v>Melbourne</v>
      </c>
      <c r="V816" t="s">
        <v>93</v>
      </c>
      <c r="W816" t="s">
        <v>94</v>
      </c>
      <c r="X816">
        <v>3004</v>
      </c>
      <c r="Y816" s="1" t="str">
        <f t="shared" si="76"/>
        <v>AUSTRALIA</v>
      </c>
      <c r="Z816" s="4" t="str">
        <f t="shared" si="77"/>
        <v>Australia</v>
      </c>
      <c r="AA816" t="s">
        <v>95</v>
      </c>
      <c r="AB816" t="s">
        <v>96</v>
      </c>
      <c r="AC816" t="s">
        <v>97</v>
      </c>
      <c r="AD816" t="s">
        <v>98</v>
      </c>
      <c r="AE816" t="s">
        <v>36</v>
      </c>
    </row>
    <row r="817" spans="1:31" x14ac:dyDescent="0.3">
      <c r="A817">
        <v>10236</v>
      </c>
      <c r="B817">
        <v>23</v>
      </c>
      <c r="C817">
        <v>55.72</v>
      </c>
      <c r="D817">
        <v>2</v>
      </c>
      <c r="E817" s="4" t="str">
        <f t="shared" si="72"/>
        <v>low sales</v>
      </c>
      <c r="F817">
        <v>1281.56</v>
      </c>
      <c r="G817" t="s">
        <v>1489</v>
      </c>
      <c r="H817" s="1" t="str">
        <f t="shared" si="73"/>
        <v>Shipped</v>
      </c>
      <c r="I817" s="4" t="str">
        <f t="shared" si="74"/>
        <v>completed</v>
      </c>
      <c r="J817" t="s">
        <v>25</v>
      </c>
      <c r="K817">
        <v>2</v>
      </c>
      <c r="L817">
        <v>4</v>
      </c>
      <c r="M817">
        <v>2004</v>
      </c>
      <c r="N817" t="s">
        <v>26</v>
      </c>
      <c r="O817">
        <v>60</v>
      </c>
      <c r="P817" t="s">
        <v>593</v>
      </c>
      <c r="Q817" t="s">
        <v>309</v>
      </c>
      <c r="R817">
        <v>2155559857</v>
      </c>
      <c r="S817" t="s">
        <v>310</v>
      </c>
      <c r="U817" s="1" t="str">
        <f t="shared" si="75"/>
        <v>Philadelphia</v>
      </c>
      <c r="V817" t="s">
        <v>216</v>
      </c>
      <c r="W817" t="s">
        <v>142</v>
      </c>
      <c r="X817">
        <v>71270</v>
      </c>
      <c r="Y817" s="1" t="str">
        <f t="shared" si="76"/>
        <v>USA</v>
      </c>
      <c r="Z817" s="4" t="str">
        <f t="shared" si="77"/>
        <v>Usa</v>
      </c>
      <c r="AA817" t="s">
        <v>32</v>
      </c>
      <c r="AB817" t="s">
        <v>33</v>
      </c>
      <c r="AC817" t="s">
        <v>124</v>
      </c>
      <c r="AD817" t="s">
        <v>311</v>
      </c>
      <c r="AE817" t="s">
        <v>36</v>
      </c>
    </row>
    <row r="818" spans="1:31" x14ac:dyDescent="0.3">
      <c r="A818">
        <v>10251</v>
      </c>
      <c r="B818">
        <v>29</v>
      </c>
      <c r="C818">
        <v>61.18</v>
      </c>
      <c r="D818">
        <v>6</v>
      </c>
      <c r="E818" s="4" t="str">
        <f t="shared" si="72"/>
        <v>low sales</v>
      </c>
      <c r="F818">
        <v>1774.22</v>
      </c>
      <c r="G818" t="s">
        <v>1490</v>
      </c>
      <c r="H818" s="1" t="str">
        <f t="shared" si="73"/>
        <v>Shipped</v>
      </c>
      <c r="I818" s="4" t="str">
        <f t="shared" si="74"/>
        <v>completed</v>
      </c>
      <c r="J818" t="s">
        <v>25</v>
      </c>
      <c r="K818">
        <v>2</v>
      </c>
      <c r="L818">
        <v>5</v>
      </c>
      <c r="M818">
        <v>2004</v>
      </c>
      <c r="N818" t="s">
        <v>26</v>
      </c>
      <c r="O818">
        <v>60</v>
      </c>
      <c r="P818" t="s">
        <v>593</v>
      </c>
      <c r="Q818" t="s">
        <v>104</v>
      </c>
      <c r="R818">
        <v>2015559350</v>
      </c>
      <c r="S818" t="s">
        <v>105</v>
      </c>
      <c r="U818" s="1" t="str">
        <f t="shared" si="75"/>
        <v>Newark</v>
      </c>
      <c r="V818" t="s">
        <v>106</v>
      </c>
      <c r="W818" t="s">
        <v>107</v>
      </c>
      <c r="X818">
        <v>94019</v>
      </c>
      <c r="Y818" s="1" t="str">
        <f t="shared" si="76"/>
        <v>USA</v>
      </c>
      <c r="Z818" s="4" t="str">
        <f t="shared" si="77"/>
        <v>Usa</v>
      </c>
      <c r="AA818" t="s">
        <v>32</v>
      </c>
      <c r="AB818" t="s">
        <v>33</v>
      </c>
      <c r="AC818" t="s">
        <v>61</v>
      </c>
      <c r="AD818" t="s">
        <v>108</v>
      </c>
      <c r="AE818" t="s">
        <v>36</v>
      </c>
    </row>
    <row r="819" spans="1:31" x14ac:dyDescent="0.3">
      <c r="A819">
        <v>10263</v>
      </c>
      <c r="B819">
        <v>34</v>
      </c>
      <c r="C819">
        <v>58.75</v>
      </c>
      <c r="D819">
        <v>6</v>
      </c>
      <c r="E819" s="4" t="str">
        <f t="shared" si="72"/>
        <v>low sales</v>
      </c>
      <c r="F819">
        <v>1997.5</v>
      </c>
      <c r="G819" t="s">
        <v>1491</v>
      </c>
      <c r="H819" s="1" t="str">
        <f t="shared" si="73"/>
        <v>Shipped</v>
      </c>
      <c r="I819" s="4" t="str">
        <f t="shared" si="74"/>
        <v>completed</v>
      </c>
      <c r="J819" t="s">
        <v>25</v>
      </c>
      <c r="K819">
        <v>2</v>
      </c>
      <c r="L819">
        <v>6</v>
      </c>
      <c r="M819">
        <v>2004</v>
      </c>
      <c r="N819" t="s">
        <v>26</v>
      </c>
      <c r="O819">
        <v>60</v>
      </c>
      <c r="P819" t="s">
        <v>593</v>
      </c>
      <c r="Q819" t="s">
        <v>109</v>
      </c>
      <c r="R819">
        <v>2035552570</v>
      </c>
      <c r="S819" t="s">
        <v>110</v>
      </c>
      <c r="U819" s="1" t="str">
        <f t="shared" si="75"/>
        <v>Bridgewater</v>
      </c>
      <c r="V819" t="s">
        <v>111</v>
      </c>
      <c r="W819" t="s">
        <v>112</v>
      </c>
      <c r="X819">
        <v>97562</v>
      </c>
      <c r="Y819" s="1" t="str">
        <f t="shared" si="76"/>
        <v>USA</v>
      </c>
      <c r="Z819" s="4" t="str">
        <f t="shared" si="77"/>
        <v>Usa</v>
      </c>
      <c r="AA819" t="s">
        <v>32</v>
      </c>
      <c r="AB819" t="s">
        <v>33</v>
      </c>
      <c r="AC819" t="s">
        <v>113</v>
      </c>
      <c r="AD819" t="s">
        <v>57</v>
      </c>
      <c r="AE819" t="s">
        <v>36</v>
      </c>
    </row>
    <row r="820" spans="1:31" x14ac:dyDescent="0.3">
      <c r="A820">
        <v>10275</v>
      </c>
      <c r="B820">
        <v>37</v>
      </c>
      <c r="C820">
        <v>63.6</v>
      </c>
      <c r="D820">
        <v>5</v>
      </c>
      <c r="E820" s="4" t="str">
        <f t="shared" si="72"/>
        <v>low sales</v>
      </c>
      <c r="F820">
        <v>2353.1999999999998</v>
      </c>
      <c r="G820" t="s">
        <v>1492</v>
      </c>
      <c r="H820" s="1" t="str">
        <f t="shared" si="73"/>
        <v>Shipped</v>
      </c>
      <c r="I820" s="4" t="str">
        <f t="shared" si="74"/>
        <v>completed</v>
      </c>
      <c r="J820" t="s">
        <v>25</v>
      </c>
      <c r="K820">
        <v>3</v>
      </c>
      <c r="L820">
        <v>7</v>
      </c>
      <c r="M820">
        <v>2004</v>
      </c>
      <c r="N820" t="s">
        <v>26</v>
      </c>
      <c r="O820">
        <v>60</v>
      </c>
      <c r="P820" t="s">
        <v>593</v>
      </c>
      <c r="Q820" t="s">
        <v>114</v>
      </c>
      <c r="R820" t="s">
        <v>115</v>
      </c>
      <c r="S820" t="s">
        <v>116</v>
      </c>
      <c r="U820" s="1" t="str">
        <f t="shared" si="75"/>
        <v>Nantes</v>
      </c>
      <c r="V820" t="s">
        <v>117</v>
      </c>
      <c r="X820">
        <v>44000</v>
      </c>
      <c r="Y820" s="1" t="str">
        <f t="shared" si="76"/>
        <v>FRANCE</v>
      </c>
      <c r="Z820" s="4" t="str">
        <f t="shared" si="77"/>
        <v>France</v>
      </c>
      <c r="AA820" t="s">
        <v>41</v>
      </c>
      <c r="AB820" t="s">
        <v>42</v>
      </c>
      <c r="AC820" t="s">
        <v>118</v>
      </c>
      <c r="AD820" t="s">
        <v>119</v>
      </c>
      <c r="AE820" t="s">
        <v>36</v>
      </c>
    </row>
    <row r="821" spans="1:31" x14ac:dyDescent="0.3">
      <c r="A821">
        <v>10285</v>
      </c>
      <c r="B821">
        <v>20</v>
      </c>
      <c r="C821">
        <v>49.06</v>
      </c>
      <c r="D821">
        <v>10</v>
      </c>
      <c r="E821" s="4" t="str">
        <f t="shared" si="72"/>
        <v>low sales</v>
      </c>
      <c r="F821">
        <v>981.2</v>
      </c>
      <c r="G821" t="s">
        <v>1493</v>
      </c>
      <c r="H821" s="1" t="str">
        <f t="shared" si="73"/>
        <v>Shipped</v>
      </c>
      <c r="I821" s="4" t="str">
        <f t="shared" si="74"/>
        <v>completed</v>
      </c>
      <c r="J821" t="s">
        <v>25</v>
      </c>
      <c r="K821">
        <v>3</v>
      </c>
      <c r="L821">
        <v>8</v>
      </c>
      <c r="M821">
        <v>2004</v>
      </c>
      <c r="N821" t="s">
        <v>26</v>
      </c>
      <c r="O821">
        <v>60</v>
      </c>
      <c r="P821" t="s">
        <v>593</v>
      </c>
      <c r="Q821" t="s">
        <v>120</v>
      </c>
      <c r="R821">
        <v>6175558555</v>
      </c>
      <c r="S821" t="s">
        <v>121</v>
      </c>
      <c r="U821" s="1" t="str">
        <f t="shared" si="75"/>
        <v>Cambridge</v>
      </c>
      <c r="V821" t="s">
        <v>122</v>
      </c>
      <c r="W821" t="s">
        <v>123</v>
      </c>
      <c r="X821">
        <v>51247</v>
      </c>
      <c r="Y821" s="1" t="str">
        <f t="shared" si="76"/>
        <v>USA</v>
      </c>
      <c r="Z821" s="4" t="str">
        <f t="shared" si="77"/>
        <v>Usa</v>
      </c>
      <c r="AA821" t="s">
        <v>32</v>
      </c>
      <c r="AB821" t="s">
        <v>33</v>
      </c>
      <c r="AC821" t="s">
        <v>124</v>
      </c>
      <c r="AD821" t="s">
        <v>125</v>
      </c>
      <c r="AE821" t="s">
        <v>36</v>
      </c>
    </row>
    <row r="822" spans="1:31" x14ac:dyDescent="0.3">
      <c r="A822">
        <v>10298</v>
      </c>
      <c r="B822">
        <v>32</v>
      </c>
      <c r="C822">
        <v>48.46</v>
      </c>
      <c r="D822">
        <v>2</v>
      </c>
      <c r="E822" s="4" t="str">
        <f t="shared" si="72"/>
        <v>low sales</v>
      </c>
      <c r="F822">
        <v>1550.72</v>
      </c>
      <c r="G822" t="s">
        <v>1494</v>
      </c>
      <c r="H822" s="1" t="str">
        <f t="shared" si="73"/>
        <v>Shipped</v>
      </c>
      <c r="I822" s="4" t="str">
        <f t="shared" si="74"/>
        <v>completed</v>
      </c>
      <c r="J822" t="s">
        <v>25</v>
      </c>
      <c r="K822">
        <v>3</v>
      </c>
      <c r="L822">
        <v>9</v>
      </c>
      <c r="M822">
        <v>2004</v>
      </c>
      <c r="N822" t="s">
        <v>26</v>
      </c>
      <c r="O822">
        <v>60</v>
      </c>
      <c r="P822" t="s">
        <v>593</v>
      </c>
      <c r="Q822" t="s">
        <v>312</v>
      </c>
      <c r="R822" t="s">
        <v>313</v>
      </c>
      <c r="S822" t="s">
        <v>314</v>
      </c>
      <c r="U822" s="1" t="str">
        <f t="shared" si="75"/>
        <v>Nantes</v>
      </c>
      <c r="V822" t="s">
        <v>117</v>
      </c>
      <c r="X822">
        <v>44000</v>
      </c>
      <c r="Y822" s="1" t="str">
        <f t="shared" si="76"/>
        <v>FRANCE</v>
      </c>
      <c r="Z822" s="4" t="str">
        <f t="shared" si="77"/>
        <v>France</v>
      </c>
      <c r="AA822" t="s">
        <v>41</v>
      </c>
      <c r="AB822" t="s">
        <v>42</v>
      </c>
      <c r="AC822" t="s">
        <v>315</v>
      </c>
      <c r="AD822" t="s">
        <v>316</v>
      </c>
      <c r="AE822" t="s">
        <v>36</v>
      </c>
    </row>
    <row r="823" spans="1:31" x14ac:dyDescent="0.3">
      <c r="A823">
        <v>10308</v>
      </c>
      <c r="B823">
        <v>34</v>
      </c>
      <c r="C823">
        <v>52.09</v>
      </c>
      <c r="D823">
        <v>3</v>
      </c>
      <c r="E823" s="4" t="str">
        <f t="shared" si="72"/>
        <v>low sales</v>
      </c>
      <c r="F823">
        <v>1771.06</v>
      </c>
      <c r="G823" t="s">
        <v>1495</v>
      </c>
      <c r="H823" s="1" t="str">
        <f t="shared" si="73"/>
        <v>Shipped</v>
      </c>
      <c r="I823" s="4" t="str">
        <f t="shared" si="74"/>
        <v>completed</v>
      </c>
      <c r="J823" t="s">
        <v>25</v>
      </c>
      <c r="K823">
        <v>4</v>
      </c>
      <c r="L823">
        <v>10</v>
      </c>
      <c r="M823">
        <v>2004</v>
      </c>
      <c r="N823" t="s">
        <v>26</v>
      </c>
      <c r="O823">
        <v>60</v>
      </c>
      <c r="P823" t="s">
        <v>593</v>
      </c>
      <c r="Q823" t="s">
        <v>317</v>
      </c>
      <c r="R823">
        <v>9145554562</v>
      </c>
      <c r="S823" t="s">
        <v>318</v>
      </c>
      <c r="U823" s="1" t="str">
        <f t="shared" si="75"/>
        <v>White Plains</v>
      </c>
      <c r="V823" t="s">
        <v>319</v>
      </c>
      <c r="W823" t="s">
        <v>31</v>
      </c>
      <c r="X823">
        <v>24067</v>
      </c>
      <c r="Y823" s="1" t="str">
        <f t="shared" si="76"/>
        <v>USA</v>
      </c>
      <c r="Z823" s="4" t="str">
        <f t="shared" si="77"/>
        <v>Usa</v>
      </c>
      <c r="AA823" t="s">
        <v>32</v>
      </c>
      <c r="AB823" t="s">
        <v>33</v>
      </c>
      <c r="AC823" t="s">
        <v>102</v>
      </c>
      <c r="AD823" t="s">
        <v>238</v>
      </c>
      <c r="AE823" t="s">
        <v>36</v>
      </c>
    </row>
    <row r="824" spans="1:31" x14ac:dyDescent="0.3">
      <c r="A824">
        <v>10318</v>
      </c>
      <c r="B824">
        <v>42</v>
      </c>
      <c r="C824">
        <v>52.7</v>
      </c>
      <c r="D824">
        <v>5</v>
      </c>
      <c r="E824" s="4" t="str">
        <f t="shared" si="72"/>
        <v>low sales</v>
      </c>
      <c r="F824">
        <v>2213.4</v>
      </c>
      <c r="G824" t="s">
        <v>1496</v>
      </c>
      <c r="H824" s="1" t="str">
        <f t="shared" si="73"/>
        <v>Shipped</v>
      </c>
      <c r="I824" s="4" t="str">
        <f t="shared" si="74"/>
        <v>completed</v>
      </c>
      <c r="J824" t="s">
        <v>25</v>
      </c>
      <c r="K824">
        <v>4</v>
      </c>
      <c r="L824">
        <v>11</v>
      </c>
      <c r="M824">
        <v>2004</v>
      </c>
      <c r="N824" t="s">
        <v>26</v>
      </c>
      <c r="O824">
        <v>60</v>
      </c>
      <c r="P824" t="s">
        <v>593</v>
      </c>
      <c r="Q824" t="s">
        <v>139</v>
      </c>
      <c r="R824">
        <v>2155551555</v>
      </c>
      <c r="S824" t="s">
        <v>140</v>
      </c>
      <c r="U824" s="1" t="str">
        <f t="shared" si="75"/>
        <v>Allentown</v>
      </c>
      <c r="V824" t="s">
        <v>141</v>
      </c>
      <c r="W824" t="s">
        <v>142</v>
      </c>
      <c r="X824">
        <v>70267</v>
      </c>
      <c r="Y824" s="1" t="str">
        <f t="shared" si="76"/>
        <v>USA</v>
      </c>
      <c r="Z824" s="4" t="str">
        <f t="shared" si="77"/>
        <v>Usa</v>
      </c>
      <c r="AA824" t="s">
        <v>32</v>
      </c>
      <c r="AB824" t="s">
        <v>33</v>
      </c>
      <c r="AC824" t="s">
        <v>34</v>
      </c>
      <c r="AD824" t="s">
        <v>143</v>
      </c>
      <c r="AE824" t="s">
        <v>36</v>
      </c>
    </row>
    <row r="825" spans="1:31" x14ac:dyDescent="0.3">
      <c r="A825">
        <v>10329</v>
      </c>
      <c r="B825">
        <v>38</v>
      </c>
      <c r="C825">
        <v>100</v>
      </c>
      <c r="D825">
        <v>12</v>
      </c>
      <c r="E825" s="4" t="str">
        <f t="shared" si="72"/>
        <v>high sales</v>
      </c>
      <c r="F825">
        <v>5266.04</v>
      </c>
      <c r="G825" t="s">
        <v>1497</v>
      </c>
      <c r="H825" s="1" t="str">
        <f t="shared" si="73"/>
        <v>Shipped</v>
      </c>
      <c r="I825" s="4" t="str">
        <f t="shared" si="74"/>
        <v>completed</v>
      </c>
      <c r="J825" t="s">
        <v>25</v>
      </c>
      <c r="K825">
        <v>4</v>
      </c>
      <c r="L825">
        <v>11</v>
      </c>
      <c r="M825">
        <v>2004</v>
      </c>
      <c r="N825" t="s">
        <v>26</v>
      </c>
      <c r="O825">
        <v>60</v>
      </c>
      <c r="P825" t="s">
        <v>593</v>
      </c>
      <c r="Q825" t="s">
        <v>28</v>
      </c>
      <c r="R825">
        <v>2125557818</v>
      </c>
      <c r="S825" t="s">
        <v>29</v>
      </c>
      <c r="U825" s="1" t="str">
        <f t="shared" si="75"/>
        <v>Nyc</v>
      </c>
      <c r="V825" t="s">
        <v>30</v>
      </c>
      <c r="W825" t="s">
        <v>31</v>
      </c>
      <c r="X825">
        <v>10022</v>
      </c>
      <c r="Y825" s="1" t="str">
        <f t="shared" si="76"/>
        <v>USA</v>
      </c>
      <c r="Z825" s="4" t="str">
        <f t="shared" si="77"/>
        <v>Usa</v>
      </c>
      <c r="AA825" t="s">
        <v>32</v>
      </c>
      <c r="AB825" t="s">
        <v>33</v>
      </c>
      <c r="AC825" t="s">
        <v>34</v>
      </c>
      <c r="AD825" t="s">
        <v>35</v>
      </c>
      <c r="AE825" t="s">
        <v>51</v>
      </c>
    </row>
    <row r="826" spans="1:31" x14ac:dyDescent="0.3">
      <c r="A826">
        <v>10339</v>
      </c>
      <c r="B826">
        <v>30</v>
      </c>
      <c r="C826">
        <v>62.16</v>
      </c>
      <c r="D826">
        <v>1</v>
      </c>
      <c r="E826" s="4" t="str">
        <f t="shared" si="72"/>
        <v>low sales</v>
      </c>
      <c r="F826">
        <v>1864.8</v>
      </c>
      <c r="G826" t="s">
        <v>1498</v>
      </c>
      <c r="H826" s="1" t="str">
        <f t="shared" si="73"/>
        <v>Shipped</v>
      </c>
      <c r="I826" s="4" t="str">
        <f t="shared" si="74"/>
        <v>completed</v>
      </c>
      <c r="J826" t="s">
        <v>25</v>
      </c>
      <c r="K826">
        <v>4</v>
      </c>
      <c r="L826">
        <v>11</v>
      </c>
      <c r="M826">
        <v>2004</v>
      </c>
      <c r="N826" t="s">
        <v>26</v>
      </c>
      <c r="O826">
        <v>60</v>
      </c>
      <c r="P826" t="s">
        <v>593</v>
      </c>
      <c r="Q826" t="s">
        <v>246</v>
      </c>
      <c r="R826" t="s">
        <v>247</v>
      </c>
      <c r="S826" t="s">
        <v>248</v>
      </c>
      <c r="U826" s="1" t="str">
        <f t="shared" si="75"/>
        <v>Minato-Ku</v>
      </c>
      <c r="V826" t="s">
        <v>249</v>
      </c>
      <c r="W826" t="s">
        <v>250</v>
      </c>
      <c r="X826" t="s">
        <v>251</v>
      </c>
      <c r="Y826" s="1" t="str">
        <f t="shared" si="76"/>
        <v>JAPAN</v>
      </c>
      <c r="Z826" s="4" t="str">
        <f t="shared" si="77"/>
        <v>Japan</v>
      </c>
      <c r="AA826" t="s">
        <v>200</v>
      </c>
      <c r="AB826" t="s">
        <v>200</v>
      </c>
      <c r="AC826" t="s">
        <v>252</v>
      </c>
      <c r="AD826" t="s">
        <v>253</v>
      </c>
      <c r="AE826" t="s">
        <v>36</v>
      </c>
    </row>
    <row r="827" spans="1:31" x14ac:dyDescent="0.3">
      <c r="A827">
        <v>10362</v>
      </c>
      <c r="B827">
        <v>23</v>
      </c>
      <c r="C827">
        <v>49.67</v>
      </c>
      <c r="D827">
        <v>3</v>
      </c>
      <c r="E827" s="4" t="str">
        <f t="shared" si="72"/>
        <v>low sales</v>
      </c>
      <c r="F827">
        <v>1142.4100000000001</v>
      </c>
      <c r="G827" t="s">
        <v>1499</v>
      </c>
      <c r="H827" s="1" t="str">
        <f t="shared" si="73"/>
        <v>Shipped</v>
      </c>
      <c r="I827" s="4" t="str">
        <f t="shared" si="74"/>
        <v>completed</v>
      </c>
      <c r="J827" t="s">
        <v>25</v>
      </c>
      <c r="K827">
        <v>1</v>
      </c>
      <c r="L827">
        <v>1</v>
      </c>
      <c r="M827">
        <v>2005</v>
      </c>
      <c r="N827" t="s">
        <v>26</v>
      </c>
      <c r="O827">
        <v>60</v>
      </c>
      <c r="P827" t="s">
        <v>593</v>
      </c>
      <c r="Q827" t="s">
        <v>62</v>
      </c>
      <c r="R827">
        <v>6505556809</v>
      </c>
      <c r="S827" t="s">
        <v>63</v>
      </c>
      <c r="U827" s="1" t="str">
        <f t="shared" si="75"/>
        <v>Burlingame</v>
      </c>
      <c r="V827" t="s">
        <v>64</v>
      </c>
      <c r="W827" t="s">
        <v>55</v>
      </c>
      <c r="X827">
        <v>94217</v>
      </c>
      <c r="Y827" s="1" t="str">
        <f t="shared" si="76"/>
        <v>USA</v>
      </c>
      <c r="Z827" s="4" t="str">
        <f t="shared" si="77"/>
        <v>Usa</v>
      </c>
      <c r="AA827" t="s">
        <v>32</v>
      </c>
      <c r="AB827" t="s">
        <v>33</v>
      </c>
      <c r="AC827" t="s">
        <v>65</v>
      </c>
      <c r="AD827" t="s">
        <v>66</v>
      </c>
      <c r="AE827" t="s">
        <v>36</v>
      </c>
    </row>
    <row r="828" spans="1:31" x14ac:dyDescent="0.3">
      <c r="A828">
        <v>10374</v>
      </c>
      <c r="B828">
        <v>22</v>
      </c>
      <c r="C828">
        <v>53.3</v>
      </c>
      <c r="D828">
        <v>4</v>
      </c>
      <c r="E828" s="4" t="str">
        <f t="shared" si="72"/>
        <v>low sales</v>
      </c>
      <c r="F828">
        <v>1172.5999999999999</v>
      </c>
      <c r="G828" t="s">
        <v>1500</v>
      </c>
      <c r="H828" s="1" t="str">
        <f t="shared" si="73"/>
        <v>Shipped</v>
      </c>
      <c r="I828" s="4" t="str">
        <f t="shared" si="74"/>
        <v>completed</v>
      </c>
      <c r="J828" t="s">
        <v>25</v>
      </c>
      <c r="K828">
        <v>1</v>
      </c>
      <c r="L828">
        <v>2</v>
      </c>
      <c r="M828">
        <v>2005</v>
      </c>
      <c r="N828" t="s">
        <v>26</v>
      </c>
      <c r="O828">
        <v>60</v>
      </c>
      <c r="P828" t="s">
        <v>593</v>
      </c>
      <c r="Q828" t="s">
        <v>207</v>
      </c>
      <c r="R828" t="s">
        <v>208</v>
      </c>
      <c r="S828" t="s">
        <v>209</v>
      </c>
      <c r="U828" s="1" t="str">
        <f t="shared" si="75"/>
        <v>South Brisbane</v>
      </c>
      <c r="V828" t="s">
        <v>210</v>
      </c>
      <c r="W828" t="s">
        <v>211</v>
      </c>
      <c r="X828">
        <v>4101</v>
      </c>
      <c r="Y828" s="1" t="str">
        <f t="shared" si="76"/>
        <v>AUSTRALIA</v>
      </c>
      <c r="Z828" s="4" t="str">
        <f t="shared" si="77"/>
        <v>Australia</v>
      </c>
      <c r="AA828" t="s">
        <v>95</v>
      </c>
      <c r="AB828" t="s">
        <v>96</v>
      </c>
      <c r="AC828" t="s">
        <v>212</v>
      </c>
      <c r="AD828" t="s">
        <v>213</v>
      </c>
      <c r="AE828" t="s">
        <v>36</v>
      </c>
    </row>
    <row r="829" spans="1:31" x14ac:dyDescent="0.3">
      <c r="A829">
        <v>10389</v>
      </c>
      <c r="B829">
        <v>39</v>
      </c>
      <c r="C829">
        <v>100</v>
      </c>
      <c r="D829">
        <v>5</v>
      </c>
      <c r="E829" s="4" t="str">
        <f t="shared" si="72"/>
        <v>high sales</v>
      </c>
      <c r="F829">
        <v>6981</v>
      </c>
      <c r="G829" t="s">
        <v>1501</v>
      </c>
      <c r="H829" s="1" t="str">
        <f t="shared" si="73"/>
        <v>Shipped</v>
      </c>
      <c r="I829" s="4" t="str">
        <f t="shared" si="74"/>
        <v>completed</v>
      </c>
      <c r="J829" t="s">
        <v>25</v>
      </c>
      <c r="K829">
        <v>1</v>
      </c>
      <c r="L829">
        <v>3</v>
      </c>
      <c r="M829">
        <v>2005</v>
      </c>
      <c r="N829" t="s">
        <v>26</v>
      </c>
      <c r="O829">
        <v>60</v>
      </c>
      <c r="P829" t="s">
        <v>593</v>
      </c>
      <c r="Q829" t="s">
        <v>261</v>
      </c>
      <c r="R829" t="s">
        <v>262</v>
      </c>
      <c r="S829" t="s">
        <v>263</v>
      </c>
      <c r="U829" s="1" t="str">
        <f t="shared" si="75"/>
        <v>Boras</v>
      </c>
      <c r="V829" t="s">
        <v>264</v>
      </c>
      <c r="X829" t="s">
        <v>265</v>
      </c>
      <c r="Y829" s="1" t="str">
        <f t="shared" si="76"/>
        <v>SWEDEN</v>
      </c>
      <c r="Z829" s="4" t="str">
        <f t="shared" si="77"/>
        <v>Sweden</v>
      </c>
      <c r="AA829" t="s">
        <v>188</v>
      </c>
      <c r="AB829" t="s">
        <v>42</v>
      </c>
      <c r="AC829" t="s">
        <v>266</v>
      </c>
      <c r="AD829" t="s">
        <v>206</v>
      </c>
      <c r="AE829" t="s">
        <v>51</v>
      </c>
    </row>
    <row r="830" spans="1:31" x14ac:dyDescent="0.3">
      <c r="A830">
        <v>10402</v>
      </c>
      <c r="B830">
        <v>55</v>
      </c>
      <c r="C830">
        <v>55.72</v>
      </c>
      <c r="D830">
        <v>2</v>
      </c>
      <c r="E830" s="4" t="str">
        <f t="shared" si="72"/>
        <v>low sales</v>
      </c>
      <c r="F830">
        <v>3064.6</v>
      </c>
      <c r="G830" t="s">
        <v>1502</v>
      </c>
      <c r="H830" s="1" t="str">
        <f t="shared" si="73"/>
        <v>Shipped</v>
      </c>
      <c r="I830" s="4" t="str">
        <f t="shared" si="74"/>
        <v>completed</v>
      </c>
      <c r="J830" t="s">
        <v>25</v>
      </c>
      <c r="K830">
        <v>2</v>
      </c>
      <c r="L830">
        <v>4</v>
      </c>
      <c r="M830">
        <v>2005</v>
      </c>
      <c r="N830" t="s">
        <v>26</v>
      </c>
      <c r="O830">
        <v>60</v>
      </c>
      <c r="P830" t="s">
        <v>593</v>
      </c>
      <c r="Q830" t="s">
        <v>84</v>
      </c>
      <c r="R830" t="s">
        <v>85</v>
      </c>
      <c r="S830" t="s">
        <v>86</v>
      </c>
      <c r="U830" s="1" t="str">
        <f t="shared" si="75"/>
        <v>Paris</v>
      </c>
      <c r="V830" t="s">
        <v>48</v>
      </c>
      <c r="X830">
        <v>75016</v>
      </c>
      <c r="Y830" s="1" t="str">
        <f t="shared" si="76"/>
        <v>FRANCE</v>
      </c>
      <c r="Z830" s="4" t="str">
        <f t="shared" si="77"/>
        <v>France</v>
      </c>
      <c r="AA830" t="s">
        <v>41</v>
      </c>
      <c r="AB830" t="s">
        <v>42</v>
      </c>
      <c r="AC830" t="s">
        <v>87</v>
      </c>
      <c r="AD830" t="s">
        <v>88</v>
      </c>
      <c r="AE830" t="s">
        <v>51</v>
      </c>
    </row>
    <row r="831" spans="1:31" x14ac:dyDescent="0.3">
      <c r="A831">
        <v>10417</v>
      </c>
      <c r="B831">
        <v>36</v>
      </c>
      <c r="C831">
        <v>61.18</v>
      </c>
      <c r="D831">
        <v>6</v>
      </c>
      <c r="E831" s="4" t="str">
        <f t="shared" si="72"/>
        <v>low sales</v>
      </c>
      <c r="F831">
        <v>2202.48</v>
      </c>
      <c r="G831" t="s">
        <v>1503</v>
      </c>
      <c r="H831" s="1" t="str">
        <f t="shared" si="73"/>
        <v>Disputed</v>
      </c>
      <c r="I831" s="4" t="str">
        <f t="shared" si="74"/>
        <v>not completed</v>
      </c>
      <c r="J831" t="s">
        <v>173</v>
      </c>
      <c r="K831">
        <v>2</v>
      </c>
      <c r="L831">
        <v>5</v>
      </c>
      <c r="M831">
        <v>2005</v>
      </c>
      <c r="N831" t="s">
        <v>26</v>
      </c>
      <c r="O831">
        <v>60</v>
      </c>
      <c r="P831" t="s">
        <v>593</v>
      </c>
      <c r="Q831" t="s">
        <v>174</v>
      </c>
      <c r="R831" t="s">
        <v>175</v>
      </c>
      <c r="S831" t="s">
        <v>176</v>
      </c>
      <c r="U831" s="1" t="str">
        <f t="shared" si="75"/>
        <v>Madrid</v>
      </c>
      <c r="V831" t="s">
        <v>177</v>
      </c>
      <c r="X831">
        <v>28034</v>
      </c>
      <c r="Y831" s="1" t="str">
        <f t="shared" si="76"/>
        <v>SPAIN</v>
      </c>
      <c r="Z831" s="4" t="str">
        <f t="shared" si="77"/>
        <v>Spain</v>
      </c>
      <c r="AA831" t="s">
        <v>178</v>
      </c>
      <c r="AB831" t="s">
        <v>42</v>
      </c>
      <c r="AC831" t="s">
        <v>179</v>
      </c>
      <c r="AD831" t="s">
        <v>180</v>
      </c>
      <c r="AE831" t="s">
        <v>36</v>
      </c>
    </row>
    <row r="832" spans="1:31" x14ac:dyDescent="0.3">
      <c r="A832">
        <v>10101</v>
      </c>
      <c r="B832">
        <v>26</v>
      </c>
      <c r="C832">
        <v>100</v>
      </c>
      <c r="D832">
        <v>1</v>
      </c>
      <c r="E832" s="4" t="str">
        <f t="shared" si="72"/>
        <v>low sales</v>
      </c>
      <c r="F832">
        <v>3773.38</v>
      </c>
      <c r="G832" t="s">
        <v>1504</v>
      </c>
      <c r="H832" s="1" t="str">
        <f t="shared" si="73"/>
        <v>Shipped</v>
      </c>
      <c r="I832" s="4" t="str">
        <f t="shared" si="74"/>
        <v>completed</v>
      </c>
      <c r="J832" t="s">
        <v>25</v>
      </c>
      <c r="K832">
        <v>1</v>
      </c>
      <c r="L832">
        <v>1</v>
      </c>
      <c r="M832">
        <v>2003</v>
      </c>
      <c r="N832" t="s">
        <v>550</v>
      </c>
      <c r="O832">
        <v>168</v>
      </c>
      <c r="P832" t="s">
        <v>594</v>
      </c>
      <c r="Q832" t="s">
        <v>462</v>
      </c>
      <c r="R832" t="s">
        <v>463</v>
      </c>
      <c r="S832" t="s">
        <v>464</v>
      </c>
      <c r="U832" s="1" t="str">
        <f t="shared" si="75"/>
        <v>Frankfurt</v>
      </c>
      <c r="V832" t="s">
        <v>465</v>
      </c>
      <c r="X832">
        <v>60528</v>
      </c>
      <c r="Y832" s="1" t="str">
        <f t="shared" si="76"/>
        <v>GERMANY</v>
      </c>
      <c r="Z832" s="4" t="str">
        <f t="shared" si="77"/>
        <v>Germany</v>
      </c>
      <c r="AA832" t="s">
        <v>443</v>
      </c>
      <c r="AB832" t="s">
        <v>42</v>
      </c>
      <c r="AC832" t="s">
        <v>466</v>
      </c>
      <c r="AD832" t="s">
        <v>414</v>
      </c>
      <c r="AE832" t="s">
        <v>51</v>
      </c>
    </row>
    <row r="833" spans="1:31" x14ac:dyDescent="0.3">
      <c r="A833">
        <v>10110</v>
      </c>
      <c r="B833">
        <v>31</v>
      </c>
      <c r="C833">
        <v>100</v>
      </c>
      <c r="D833">
        <v>1</v>
      </c>
      <c r="E833" s="4" t="str">
        <f t="shared" si="72"/>
        <v>high sales</v>
      </c>
      <c r="F833">
        <v>5074.3900000000003</v>
      </c>
      <c r="G833" t="s">
        <v>1505</v>
      </c>
      <c r="H833" s="1" t="str">
        <f t="shared" si="73"/>
        <v>Shipped</v>
      </c>
      <c r="I833" s="4" t="str">
        <f t="shared" si="74"/>
        <v>completed</v>
      </c>
      <c r="J833" t="s">
        <v>25</v>
      </c>
      <c r="K833">
        <v>1</v>
      </c>
      <c r="L833">
        <v>3</v>
      </c>
      <c r="M833">
        <v>2003</v>
      </c>
      <c r="N833" t="s">
        <v>550</v>
      </c>
      <c r="O833">
        <v>168</v>
      </c>
      <c r="P833" t="s">
        <v>594</v>
      </c>
      <c r="Q833" t="s">
        <v>492</v>
      </c>
      <c r="R833" t="s">
        <v>493</v>
      </c>
      <c r="S833" t="s">
        <v>494</v>
      </c>
      <c r="U833" s="1" t="str">
        <f t="shared" si="75"/>
        <v>Manchester</v>
      </c>
      <c r="V833" t="s">
        <v>495</v>
      </c>
      <c r="X833" t="s">
        <v>496</v>
      </c>
      <c r="Y833" s="1" t="str">
        <f t="shared" si="76"/>
        <v>UK</v>
      </c>
      <c r="Z833" s="4" t="str">
        <f t="shared" si="77"/>
        <v>Uk</v>
      </c>
      <c r="AA833" t="s">
        <v>170</v>
      </c>
      <c r="AB833" t="s">
        <v>42</v>
      </c>
      <c r="AC833" t="s">
        <v>497</v>
      </c>
      <c r="AD833" t="s">
        <v>94</v>
      </c>
      <c r="AE833" t="s">
        <v>51</v>
      </c>
    </row>
    <row r="834" spans="1:31" x14ac:dyDescent="0.3">
      <c r="A834">
        <v>10125</v>
      </c>
      <c r="B834">
        <v>34</v>
      </c>
      <c r="C834">
        <v>100</v>
      </c>
      <c r="D834">
        <v>2</v>
      </c>
      <c r="E834" s="4" t="str">
        <f t="shared" si="72"/>
        <v>high sales</v>
      </c>
      <c r="F834">
        <v>6483.46</v>
      </c>
      <c r="G834" t="s">
        <v>1506</v>
      </c>
      <c r="H834" s="1" t="str">
        <f t="shared" si="73"/>
        <v>Shipped</v>
      </c>
      <c r="I834" s="4" t="str">
        <f t="shared" si="74"/>
        <v>completed</v>
      </c>
      <c r="J834" t="s">
        <v>25</v>
      </c>
      <c r="K834">
        <v>2</v>
      </c>
      <c r="L834">
        <v>5</v>
      </c>
      <c r="M834">
        <v>2003</v>
      </c>
      <c r="N834" t="s">
        <v>550</v>
      </c>
      <c r="O834">
        <v>168</v>
      </c>
      <c r="P834" t="s">
        <v>594</v>
      </c>
      <c r="Q834" t="s">
        <v>89</v>
      </c>
      <c r="R834" t="s">
        <v>90</v>
      </c>
      <c r="S834" t="s">
        <v>91</v>
      </c>
      <c r="T834" t="s">
        <v>92</v>
      </c>
      <c r="U834" s="1" t="str">
        <f t="shared" si="75"/>
        <v>Melbourne</v>
      </c>
      <c r="V834" t="s">
        <v>93</v>
      </c>
      <c r="W834" t="s">
        <v>94</v>
      </c>
      <c r="X834">
        <v>3004</v>
      </c>
      <c r="Y834" s="1" t="str">
        <f t="shared" si="76"/>
        <v>AUSTRALIA</v>
      </c>
      <c r="Z834" s="4" t="str">
        <f t="shared" si="77"/>
        <v>Australia</v>
      </c>
      <c r="AA834" t="s">
        <v>95</v>
      </c>
      <c r="AB834" t="s">
        <v>96</v>
      </c>
      <c r="AC834" t="s">
        <v>97</v>
      </c>
      <c r="AD834" t="s">
        <v>98</v>
      </c>
      <c r="AE834" t="s">
        <v>51</v>
      </c>
    </row>
    <row r="835" spans="1:31" x14ac:dyDescent="0.3">
      <c r="A835">
        <v>10139</v>
      </c>
      <c r="B835">
        <v>41</v>
      </c>
      <c r="C835">
        <v>100</v>
      </c>
      <c r="D835">
        <v>8</v>
      </c>
      <c r="E835" s="4" t="str">
        <f t="shared" ref="E835:E898" si="78">IF(F835&gt;4000,"high sales","low sales")</f>
        <v>high sales</v>
      </c>
      <c r="F835">
        <v>7956.46</v>
      </c>
      <c r="G835" t="s">
        <v>1507</v>
      </c>
      <c r="H835" s="1" t="str">
        <f t="shared" ref="H835:H898" si="79">PROPER(TRIM(J835))</f>
        <v>Shipped</v>
      </c>
      <c r="I835" s="4" t="str">
        <f t="shared" ref="I835:I898" si="80">IF(J835="shipped","completed","not completed")</f>
        <v>completed</v>
      </c>
      <c r="J835" t="s">
        <v>25</v>
      </c>
      <c r="K835">
        <v>3</v>
      </c>
      <c r="L835">
        <v>7</v>
      </c>
      <c r="M835">
        <v>2003</v>
      </c>
      <c r="N835" t="s">
        <v>550</v>
      </c>
      <c r="O835">
        <v>168</v>
      </c>
      <c r="P835" t="s">
        <v>594</v>
      </c>
      <c r="Q835" t="s">
        <v>152</v>
      </c>
      <c r="R835" t="s">
        <v>153</v>
      </c>
      <c r="S835" t="s">
        <v>154</v>
      </c>
      <c r="T835" t="s">
        <v>155</v>
      </c>
      <c r="U835" s="1" t="str">
        <f t="shared" ref="U835:U898" si="81">PROPER(TRIM(V835))</f>
        <v>Chatswood</v>
      </c>
      <c r="V835" t="s">
        <v>156</v>
      </c>
      <c r="W835" t="s">
        <v>157</v>
      </c>
      <c r="X835">
        <v>2067</v>
      </c>
      <c r="Y835" s="1" t="str">
        <f t="shared" ref="Y835:Y898" si="82">UPPER(TRIM(AA835))</f>
        <v>AUSTRALIA</v>
      </c>
      <c r="Z835" s="4" t="str">
        <f t="shared" ref="Z835:Z898" si="83">PROPER(TRIM(AA835))</f>
        <v>Australia</v>
      </c>
      <c r="AA835" t="s">
        <v>95</v>
      </c>
      <c r="AB835" t="s">
        <v>96</v>
      </c>
      <c r="AC835" t="s">
        <v>158</v>
      </c>
      <c r="AD835" t="s">
        <v>159</v>
      </c>
      <c r="AE835" t="s">
        <v>151</v>
      </c>
    </row>
    <row r="836" spans="1:31" x14ac:dyDescent="0.3">
      <c r="A836">
        <v>10149</v>
      </c>
      <c r="B836">
        <v>23</v>
      </c>
      <c r="C836">
        <v>100</v>
      </c>
      <c r="D836">
        <v>5</v>
      </c>
      <c r="E836" s="4" t="str">
        <f t="shared" si="78"/>
        <v>high sales</v>
      </c>
      <c r="F836">
        <v>4230.62</v>
      </c>
      <c r="G836" t="s">
        <v>1508</v>
      </c>
      <c r="H836" s="1" t="str">
        <f t="shared" si="79"/>
        <v>Shipped</v>
      </c>
      <c r="I836" s="4" t="str">
        <f t="shared" si="80"/>
        <v>completed</v>
      </c>
      <c r="J836" t="s">
        <v>25</v>
      </c>
      <c r="K836">
        <v>3</v>
      </c>
      <c r="L836">
        <v>9</v>
      </c>
      <c r="M836">
        <v>2003</v>
      </c>
      <c r="N836" t="s">
        <v>550</v>
      </c>
      <c r="O836">
        <v>168</v>
      </c>
      <c r="P836" t="s">
        <v>594</v>
      </c>
      <c r="Q836" t="s">
        <v>526</v>
      </c>
      <c r="R836">
        <v>4155554312</v>
      </c>
      <c r="S836" t="s">
        <v>527</v>
      </c>
      <c r="U836" s="1" t="str">
        <f t="shared" si="81"/>
        <v>Brisbane</v>
      </c>
      <c r="V836" t="s">
        <v>528</v>
      </c>
      <c r="W836" t="s">
        <v>55</v>
      </c>
      <c r="X836">
        <v>94217</v>
      </c>
      <c r="Y836" s="1" t="str">
        <f t="shared" si="82"/>
        <v>USA</v>
      </c>
      <c r="Z836" s="4" t="str">
        <f t="shared" si="83"/>
        <v>Usa</v>
      </c>
      <c r="AA836" t="s">
        <v>32</v>
      </c>
      <c r="AB836" t="s">
        <v>33</v>
      </c>
      <c r="AC836" t="s">
        <v>529</v>
      </c>
      <c r="AD836" t="s">
        <v>400</v>
      </c>
      <c r="AE836" t="s">
        <v>51</v>
      </c>
    </row>
    <row r="837" spans="1:31" x14ac:dyDescent="0.3">
      <c r="A837">
        <v>10162</v>
      </c>
      <c r="B837">
        <v>48</v>
      </c>
      <c r="C837">
        <v>100</v>
      </c>
      <c r="D837">
        <v>3</v>
      </c>
      <c r="E837" s="4" t="str">
        <f t="shared" si="78"/>
        <v>high sales</v>
      </c>
      <c r="F837">
        <v>7209.12</v>
      </c>
      <c r="G837" t="s">
        <v>1509</v>
      </c>
      <c r="H837" s="1" t="str">
        <f t="shared" si="79"/>
        <v>Shipped</v>
      </c>
      <c r="I837" s="4" t="str">
        <f t="shared" si="80"/>
        <v>completed</v>
      </c>
      <c r="J837" t="s">
        <v>25</v>
      </c>
      <c r="K837">
        <v>4</v>
      </c>
      <c r="L837">
        <v>10</v>
      </c>
      <c r="M837">
        <v>2003</v>
      </c>
      <c r="N837" t="s">
        <v>550</v>
      </c>
      <c r="O837">
        <v>168</v>
      </c>
      <c r="P837" t="s">
        <v>594</v>
      </c>
      <c r="Q837" t="s">
        <v>58</v>
      </c>
      <c r="R837">
        <v>6505551386</v>
      </c>
      <c r="S837" t="s">
        <v>59</v>
      </c>
      <c r="U837" s="1" t="str">
        <f t="shared" si="81"/>
        <v>San Francisco</v>
      </c>
      <c r="V837" t="s">
        <v>60</v>
      </c>
      <c r="W837" t="s">
        <v>55</v>
      </c>
      <c r="Y837" s="1" t="str">
        <f t="shared" si="82"/>
        <v>USA</v>
      </c>
      <c r="Z837" s="4" t="str">
        <f t="shared" si="83"/>
        <v>Usa</v>
      </c>
      <c r="AA837" t="s">
        <v>32</v>
      </c>
      <c r="AB837" t="s">
        <v>33</v>
      </c>
      <c r="AC837" t="s">
        <v>61</v>
      </c>
      <c r="AD837" t="s">
        <v>57</v>
      </c>
      <c r="AE837" t="s">
        <v>151</v>
      </c>
    </row>
    <row r="838" spans="1:31" x14ac:dyDescent="0.3">
      <c r="A838">
        <v>10173</v>
      </c>
      <c r="B838">
        <v>22</v>
      </c>
      <c r="C838">
        <v>100</v>
      </c>
      <c r="D838">
        <v>7</v>
      </c>
      <c r="E838" s="4" t="str">
        <f t="shared" si="78"/>
        <v>low sales</v>
      </c>
      <c r="F838">
        <v>3452.68</v>
      </c>
      <c r="G838" t="s">
        <v>1510</v>
      </c>
      <c r="H838" s="1" t="str">
        <f t="shared" si="79"/>
        <v>Shipped</v>
      </c>
      <c r="I838" s="4" t="str">
        <f t="shared" si="80"/>
        <v>completed</v>
      </c>
      <c r="J838" t="s">
        <v>25</v>
      </c>
      <c r="K838">
        <v>4</v>
      </c>
      <c r="L838">
        <v>11</v>
      </c>
      <c r="M838">
        <v>2003</v>
      </c>
      <c r="N838" t="s">
        <v>550</v>
      </c>
      <c r="O838">
        <v>168</v>
      </c>
      <c r="P838" t="s">
        <v>594</v>
      </c>
      <c r="Q838" t="s">
        <v>552</v>
      </c>
      <c r="R838" t="s">
        <v>553</v>
      </c>
      <c r="S838" t="s">
        <v>554</v>
      </c>
      <c r="U838" s="1" t="str">
        <f t="shared" si="81"/>
        <v>Bergamo</v>
      </c>
      <c r="V838" t="s">
        <v>555</v>
      </c>
      <c r="X838">
        <v>24100</v>
      </c>
      <c r="Y838" s="1" t="str">
        <f t="shared" si="82"/>
        <v>ITALY</v>
      </c>
      <c r="Z838" s="4" t="str">
        <f t="shared" si="83"/>
        <v>Italy</v>
      </c>
      <c r="AA838" t="s">
        <v>258</v>
      </c>
      <c r="AB838" t="s">
        <v>42</v>
      </c>
      <c r="AC838" t="s">
        <v>556</v>
      </c>
      <c r="AD838" t="s">
        <v>557</v>
      </c>
      <c r="AE838" t="s">
        <v>51</v>
      </c>
    </row>
    <row r="839" spans="1:31" x14ac:dyDescent="0.3">
      <c r="A839">
        <v>10182</v>
      </c>
      <c r="B839">
        <v>21</v>
      </c>
      <c r="C839">
        <v>100</v>
      </c>
      <c r="D839">
        <v>4</v>
      </c>
      <c r="E839" s="4" t="str">
        <f t="shared" si="78"/>
        <v>low sales</v>
      </c>
      <c r="F839">
        <v>3047.73</v>
      </c>
      <c r="G839" t="s">
        <v>1511</v>
      </c>
      <c r="H839" s="1" t="str">
        <f t="shared" si="79"/>
        <v>Shipped</v>
      </c>
      <c r="I839" s="4" t="str">
        <f t="shared" si="80"/>
        <v>completed</v>
      </c>
      <c r="J839" t="s">
        <v>25</v>
      </c>
      <c r="K839">
        <v>4</v>
      </c>
      <c r="L839">
        <v>11</v>
      </c>
      <c r="M839">
        <v>2003</v>
      </c>
      <c r="N839" t="s">
        <v>550</v>
      </c>
      <c r="O839">
        <v>168</v>
      </c>
      <c r="P839" t="s">
        <v>594</v>
      </c>
      <c r="Q839" t="s">
        <v>272</v>
      </c>
      <c r="R839">
        <v>4155551450</v>
      </c>
      <c r="S839" t="s">
        <v>273</v>
      </c>
      <c r="U839" s="1" t="str">
        <f t="shared" si="81"/>
        <v>San Rafael</v>
      </c>
      <c r="V839" t="s">
        <v>274</v>
      </c>
      <c r="W839" t="s">
        <v>55</v>
      </c>
      <c r="X839">
        <v>97562</v>
      </c>
      <c r="Y839" s="1" t="str">
        <f t="shared" si="82"/>
        <v>USA</v>
      </c>
      <c r="Z839" s="4" t="str">
        <f t="shared" si="83"/>
        <v>Usa</v>
      </c>
      <c r="AA839" t="s">
        <v>32</v>
      </c>
      <c r="AB839" t="s">
        <v>33</v>
      </c>
      <c r="AC839" t="s">
        <v>275</v>
      </c>
      <c r="AD839" t="s">
        <v>276</v>
      </c>
      <c r="AE839" t="s">
        <v>51</v>
      </c>
    </row>
    <row r="840" spans="1:31" x14ac:dyDescent="0.3">
      <c r="A840">
        <v>10193</v>
      </c>
      <c r="B840">
        <v>22</v>
      </c>
      <c r="C840">
        <v>100</v>
      </c>
      <c r="D840">
        <v>8</v>
      </c>
      <c r="E840" s="4" t="str">
        <f t="shared" si="78"/>
        <v>low sales</v>
      </c>
      <c r="F840">
        <v>3675.32</v>
      </c>
      <c r="G840" t="s">
        <v>1512</v>
      </c>
      <c r="H840" s="1" t="str">
        <f t="shared" si="79"/>
        <v>Shipped</v>
      </c>
      <c r="I840" s="4" t="str">
        <f t="shared" si="80"/>
        <v>completed</v>
      </c>
      <c r="J840" t="s">
        <v>25</v>
      </c>
      <c r="K840">
        <v>4</v>
      </c>
      <c r="L840">
        <v>11</v>
      </c>
      <c r="M840">
        <v>2003</v>
      </c>
      <c r="N840" t="s">
        <v>550</v>
      </c>
      <c r="O840">
        <v>168</v>
      </c>
      <c r="P840" t="s">
        <v>594</v>
      </c>
      <c r="Q840" t="s">
        <v>558</v>
      </c>
      <c r="R840" t="s">
        <v>559</v>
      </c>
      <c r="S840" t="s">
        <v>560</v>
      </c>
      <c r="U840" s="1" t="str">
        <f t="shared" si="81"/>
        <v>Glen Waverly</v>
      </c>
      <c r="V840" t="s">
        <v>561</v>
      </c>
      <c r="W840" t="s">
        <v>94</v>
      </c>
      <c r="X840">
        <v>3150</v>
      </c>
      <c r="Y840" s="1" t="str">
        <f t="shared" si="82"/>
        <v>AUSTRALIA</v>
      </c>
      <c r="Z840" s="4" t="str">
        <f t="shared" si="83"/>
        <v>Australia</v>
      </c>
      <c r="AA840" t="s">
        <v>95</v>
      </c>
      <c r="AB840" t="s">
        <v>96</v>
      </c>
      <c r="AC840" t="s">
        <v>562</v>
      </c>
      <c r="AD840" t="s">
        <v>563</v>
      </c>
      <c r="AE840" t="s">
        <v>51</v>
      </c>
    </row>
    <row r="841" spans="1:31" x14ac:dyDescent="0.3">
      <c r="A841">
        <v>10205</v>
      </c>
      <c r="B841">
        <v>40</v>
      </c>
      <c r="C841">
        <v>100</v>
      </c>
      <c r="D841">
        <v>3</v>
      </c>
      <c r="E841" s="4" t="str">
        <f t="shared" si="78"/>
        <v>high sales</v>
      </c>
      <c r="F841">
        <v>7492.4</v>
      </c>
      <c r="G841" t="s">
        <v>1513</v>
      </c>
      <c r="H841" s="1" t="str">
        <f t="shared" si="79"/>
        <v>Shipped</v>
      </c>
      <c r="I841" s="4" t="str">
        <f t="shared" si="80"/>
        <v>completed</v>
      </c>
      <c r="J841" t="s">
        <v>25</v>
      </c>
      <c r="K841">
        <v>4</v>
      </c>
      <c r="L841">
        <v>12</v>
      </c>
      <c r="M841">
        <v>2003</v>
      </c>
      <c r="N841" t="s">
        <v>550</v>
      </c>
      <c r="O841">
        <v>168</v>
      </c>
      <c r="P841" t="s">
        <v>594</v>
      </c>
      <c r="Q841" t="s">
        <v>174</v>
      </c>
      <c r="R841" t="s">
        <v>175</v>
      </c>
      <c r="S841" t="s">
        <v>176</v>
      </c>
      <c r="U841" s="1" t="str">
        <f t="shared" si="81"/>
        <v>Madrid</v>
      </c>
      <c r="V841" t="s">
        <v>177</v>
      </c>
      <c r="X841">
        <v>28034</v>
      </c>
      <c r="Y841" s="1" t="str">
        <f t="shared" si="82"/>
        <v>SPAIN</v>
      </c>
      <c r="Z841" s="4" t="str">
        <f t="shared" si="83"/>
        <v>Spain</v>
      </c>
      <c r="AA841" t="s">
        <v>178</v>
      </c>
      <c r="AB841" t="s">
        <v>42</v>
      </c>
      <c r="AC841" t="s">
        <v>179</v>
      </c>
      <c r="AD841" t="s">
        <v>180</v>
      </c>
      <c r="AE841" t="s">
        <v>151</v>
      </c>
    </row>
    <row r="842" spans="1:31" x14ac:dyDescent="0.3">
      <c r="A842">
        <v>10214</v>
      </c>
      <c r="B842">
        <v>50</v>
      </c>
      <c r="C842">
        <v>100</v>
      </c>
      <c r="D842">
        <v>1</v>
      </c>
      <c r="E842" s="4" t="str">
        <f t="shared" si="78"/>
        <v>high sales</v>
      </c>
      <c r="F842">
        <v>9534.5</v>
      </c>
      <c r="G842" t="s">
        <v>1514</v>
      </c>
      <c r="H842" s="1" t="str">
        <f t="shared" si="79"/>
        <v>Shipped</v>
      </c>
      <c r="I842" s="4" t="str">
        <f t="shared" si="80"/>
        <v>completed</v>
      </c>
      <c r="J842" t="s">
        <v>25</v>
      </c>
      <c r="K842">
        <v>1</v>
      </c>
      <c r="L842">
        <v>1</v>
      </c>
      <c r="M842">
        <v>2004</v>
      </c>
      <c r="N842" t="s">
        <v>550</v>
      </c>
      <c r="O842">
        <v>168</v>
      </c>
      <c r="P842" t="s">
        <v>594</v>
      </c>
      <c r="Q842" t="s">
        <v>191</v>
      </c>
      <c r="R842" t="s">
        <v>192</v>
      </c>
      <c r="S842" t="s">
        <v>193</v>
      </c>
      <c r="U842" s="1" t="str">
        <f t="shared" si="81"/>
        <v>Madrid</v>
      </c>
      <c r="V842" t="s">
        <v>177</v>
      </c>
      <c r="X842">
        <v>28023</v>
      </c>
      <c r="Y842" s="1" t="str">
        <f t="shared" si="82"/>
        <v>SPAIN</v>
      </c>
      <c r="Z842" s="4" t="str">
        <f t="shared" si="83"/>
        <v>Spain</v>
      </c>
      <c r="AA842" t="s">
        <v>178</v>
      </c>
      <c r="AB842" t="s">
        <v>42</v>
      </c>
      <c r="AC842" t="s">
        <v>194</v>
      </c>
      <c r="AD842" t="s">
        <v>195</v>
      </c>
      <c r="AE842" t="s">
        <v>151</v>
      </c>
    </row>
    <row r="843" spans="1:31" x14ac:dyDescent="0.3">
      <c r="A843">
        <v>10227</v>
      </c>
      <c r="B843">
        <v>29</v>
      </c>
      <c r="C843">
        <v>100</v>
      </c>
      <c r="D843">
        <v>4</v>
      </c>
      <c r="E843" s="4" t="str">
        <f t="shared" si="78"/>
        <v>high sales</v>
      </c>
      <c r="F843">
        <v>5579.02</v>
      </c>
      <c r="G843" t="s">
        <v>1515</v>
      </c>
      <c r="H843" s="1" t="str">
        <f t="shared" si="79"/>
        <v>Shipped</v>
      </c>
      <c r="I843" s="4" t="str">
        <f t="shared" si="80"/>
        <v>completed</v>
      </c>
      <c r="J843" t="s">
        <v>25</v>
      </c>
      <c r="K843">
        <v>1</v>
      </c>
      <c r="L843">
        <v>3</v>
      </c>
      <c r="M843">
        <v>2004</v>
      </c>
      <c r="N843" t="s">
        <v>550</v>
      </c>
      <c r="O843">
        <v>168</v>
      </c>
      <c r="P843" t="s">
        <v>594</v>
      </c>
      <c r="Q843" t="s">
        <v>219</v>
      </c>
      <c r="R843" t="s">
        <v>220</v>
      </c>
      <c r="S843" t="s">
        <v>221</v>
      </c>
      <c r="U843" s="1" t="str">
        <f t="shared" si="81"/>
        <v>Lyon</v>
      </c>
      <c r="V843" t="s">
        <v>222</v>
      </c>
      <c r="X843">
        <v>69004</v>
      </c>
      <c r="Y843" s="1" t="str">
        <f t="shared" si="82"/>
        <v>FRANCE</v>
      </c>
      <c r="Z843" s="4" t="str">
        <f t="shared" si="83"/>
        <v>France</v>
      </c>
      <c r="AA843" t="s">
        <v>41</v>
      </c>
      <c r="AB843" t="s">
        <v>42</v>
      </c>
      <c r="AC843" t="s">
        <v>223</v>
      </c>
      <c r="AD843" t="s">
        <v>224</v>
      </c>
      <c r="AE843" t="s">
        <v>51</v>
      </c>
    </row>
    <row r="844" spans="1:31" x14ac:dyDescent="0.3">
      <c r="A844">
        <v>10244</v>
      </c>
      <c r="B844">
        <v>43</v>
      </c>
      <c r="C844">
        <v>100</v>
      </c>
      <c r="D844">
        <v>8</v>
      </c>
      <c r="E844" s="4" t="str">
        <f t="shared" si="78"/>
        <v>high sales</v>
      </c>
      <c r="F844">
        <v>5950.34</v>
      </c>
      <c r="G844" t="s">
        <v>1516</v>
      </c>
      <c r="H844" s="1" t="str">
        <f t="shared" si="79"/>
        <v>Shipped</v>
      </c>
      <c r="I844" s="4" t="str">
        <f t="shared" si="80"/>
        <v>completed</v>
      </c>
      <c r="J844" t="s">
        <v>25</v>
      </c>
      <c r="K844">
        <v>2</v>
      </c>
      <c r="L844">
        <v>4</v>
      </c>
      <c r="M844">
        <v>2004</v>
      </c>
      <c r="N844" t="s">
        <v>550</v>
      </c>
      <c r="O844">
        <v>168</v>
      </c>
      <c r="P844" t="s">
        <v>594</v>
      </c>
      <c r="Q844" t="s">
        <v>174</v>
      </c>
      <c r="R844" t="s">
        <v>175</v>
      </c>
      <c r="S844" t="s">
        <v>176</v>
      </c>
      <c r="U844" s="1" t="str">
        <f t="shared" si="81"/>
        <v>Madrid</v>
      </c>
      <c r="V844" t="s">
        <v>177</v>
      </c>
      <c r="X844">
        <v>28034</v>
      </c>
      <c r="Y844" s="1" t="str">
        <f t="shared" si="82"/>
        <v>SPAIN</v>
      </c>
      <c r="Z844" s="4" t="str">
        <f t="shared" si="83"/>
        <v>Spain</v>
      </c>
      <c r="AA844" t="s">
        <v>178</v>
      </c>
      <c r="AB844" t="s">
        <v>42</v>
      </c>
      <c r="AC844" t="s">
        <v>179</v>
      </c>
      <c r="AD844" t="s">
        <v>180</v>
      </c>
      <c r="AE844" t="s">
        <v>51</v>
      </c>
    </row>
    <row r="845" spans="1:31" x14ac:dyDescent="0.3">
      <c r="A845">
        <v>10255</v>
      </c>
      <c r="B845">
        <v>24</v>
      </c>
      <c r="C845">
        <v>100</v>
      </c>
      <c r="D845">
        <v>1</v>
      </c>
      <c r="E845" s="4" t="str">
        <f t="shared" si="78"/>
        <v>low sales</v>
      </c>
      <c r="F845">
        <v>3726</v>
      </c>
      <c r="G845" t="s">
        <v>1517</v>
      </c>
      <c r="H845" s="1" t="str">
        <f t="shared" si="79"/>
        <v>Shipped</v>
      </c>
      <c r="I845" s="4" t="str">
        <f t="shared" si="80"/>
        <v>completed</v>
      </c>
      <c r="J845" t="s">
        <v>25</v>
      </c>
      <c r="K845">
        <v>2</v>
      </c>
      <c r="L845">
        <v>6</v>
      </c>
      <c r="M845">
        <v>2004</v>
      </c>
      <c r="N845" t="s">
        <v>550</v>
      </c>
      <c r="O845">
        <v>168</v>
      </c>
      <c r="P845" t="s">
        <v>594</v>
      </c>
      <c r="Q845" t="s">
        <v>531</v>
      </c>
      <c r="R845" t="s">
        <v>532</v>
      </c>
      <c r="S845" t="s">
        <v>533</v>
      </c>
      <c r="U845" s="1" t="str">
        <f t="shared" si="81"/>
        <v>Strasbourg</v>
      </c>
      <c r="V845" t="s">
        <v>534</v>
      </c>
      <c r="X845">
        <v>67000</v>
      </c>
      <c r="Y845" s="1" t="str">
        <f t="shared" si="82"/>
        <v>FRANCE</v>
      </c>
      <c r="Z845" s="4" t="str">
        <f t="shared" si="83"/>
        <v>France</v>
      </c>
      <c r="AA845" t="s">
        <v>41</v>
      </c>
      <c r="AB845" t="s">
        <v>42</v>
      </c>
      <c r="AC845" t="s">
        <v>535</v>
      </c>
      <c r="AD845" t="s">
        <v>536</v>
      </c>
      <c r="AE845" t="s">
        <v>51</v>
      </c>
    </row>
    <row r="846" spans="1:31" x14ac:dyDescent="0.3">
      <c r="A846">
        <v>10280</v>
      </c>
      <c r="B846">
        <v>22</v>
      </c>
      <c r="C846">
        <v>100</v>
      </c>
      <c r="D846">
        <v>10</v>
      </c>
      <c r="E846" s="4" t="str">
        <f t="shared" si="78"/>
        <v>high sales</v>
      </c>
      <c r="F846">
        <v>4455</v>
      </c>
      <c r="G846" t="s">
        <v>1518</v>
      </c>
      <c r="H846" s="1" t="str">
        <f t="shared" si="79"/>
        <v>Shipped</v>
      </c>
      <c r="I846" s="4" t="str">
        <f t="shared" si="80"/>
        <v>completed</v>
      </c>
      <c r="J846" t="s">
        <v>25</v>
      </c>
      <c r="K846">
        <v>3</v>
      </c>
      <c r="L846">
        <v>8</v>
      </c>
      <c r="M846">
        <v>2004</v>
      </c>
      <c r="N846" t="s">
        <v>550</v>
      </c>
      <c r="O846">
        <v>168</v>
      </c>
      <c r="P846" t="s">
        <v>594</v>
      </c>
      <c r="Q846" t="s">
        <v>254</v>
      </c>
      <c r="R846" t="s">
        <v>255</v>
      </c>
      <c r="S846" t="s">
        <v>256</v>
      </c>
      <c r="U846" s="1" t="str">
        <f t="shared" si="81"/>
        <v>Torino</v>
      </c>
      <c r="V846" t="s">
        <v>257</v>
      </c>
      <c r="X846">
        <v>10100</v>
      </c>
      <c r="Y846" s="1" t="str">
        <f t="shared" si="82"/>
        <v>ITALY</v>
      </c>
      <c r="Z846" s="4" t="str">
        <f t="shared" si="83"/>
        <v>Italy</v>
      </c>
      <c r="AA846" t="s">
        <v>258</v>
      </c>
      <c r="AB846" t="s">
        <v>42</v>
      </c>
      <c r="AC846" t="s">
        <v>259</v>
      </c>
      <c r="AD846" t="s">
        <v>260</v>
      </c>
      <c r="AE846" t="s">
        <v>51</v>
      </c>
    </row>
    <row r="847" spans="1:31" x14ac:dyDescent="0.3">
      <c r="A847">
        <v>10289</v>
      </c>
      <c r="B847">
        <v>43</v>
      </c>
      <c r="C847">
        <v>100</v>
      </c>
      <c r="D847">
        <v>3</v>
      </c>
      <c r="E847" s="4" t="str">
        <f t="shared" si="78"/>
        <v>high sales</v>
      </c>
      <c r="F847">
        <v>8272.34</v>
      </c>
      <c r="G847" t="s">
        <v>1519</v>
      </c>
      <c r="H847" s="1" t="str">
        <f t="shared" si="79"/>
        <v>Shipped</v>
      </c>
      <c r="I847" s="4" t="str">
        <f t="shared" si="80"/>
        <v>completed</v>
      </c>
      <c r="J847" t="s">
        <v>25</v>
      </c>
      <c r="K847">
        <v>3</v>
      </c>
      <c r="L847">
        <v>9</v>
      </c>
      <c r="M847">
        <v>2004</v>
      </c>
      <c r="N847" t="s">
        <v>550</v>
      </c>
      <c r="O847">
        <v>168</v>
      </c>
      <c r="P847" t="s">
        <v>594</v>
      </c>
      <c r="Q847" t="s">
        <v>73</v>
      </c>
      <c r="R847" t="s">
        <v>74</v>
      </c>
      <c r="S847" t="s">
        <v>75</v>
      </c>
      <c r="U847" s="1" t="str">
        <f t="shared" si="81"/>
        <v>Bergen</v>
      </c>
      <c r="V847" t="s">
        <v>76</v>
      </c>
      <c r="X847" t="s">
        <v>77</v>
      </c>
      <c r="Y847" s="1" t="str">
        <f t="shared" si="82"/>
        <v>NORWAY</v>
      </c>
      <c r="Z847" s="4" t="str">
        <f t="shared" si="83"/>
        <v>Norway</v>
      </c>
      <c r="AA847" t="s">
        <v>78</v>
      </c>
      <c r="AB847" t="s">
        <v>42</v>
      </c>
      <c r="AC847" t="s">
        <v>79</v>
      </c>
      <c r="AD847" t="s">
        <v>80</v>
      </c>
      <c r="AE847" t="s">
        <v>151</v>
      </c>
    </row>
    <row r="848" spans="1:31" x14ac:dyDescent="0.3">
      <c r="A848">
        <v>10304</v>
      </c>
      <c r="B848">
        <v>20</v>
      </c>
      <c r="C848">
        <v>100</v>
      </c>
      <c r="D848">
        <v>14</v>
      </c>
      <c r="E848" s="4" t="str">
        <f t="shared" si="78"/>
        <v>low sales</v>
      </c>
      <c r="F848">
        <v>3577.6</v>
      </c>
      <c r="G848" t="s">
        <v>1520</v>
      </c>
      <c r="H848" s="1" t="str">
        <f t="shared" si="79"/>
        <v>Shipped</v>
      </c>
      <c r="I848" s="4" t="str">
        <f t="shared" si="80"/>
        <v>completed</v>
      </c>
      <c r="J848" t="s">
        <v>25</v>
      </c>
      <c r="K848">
        <v>4</v>
      </c>
      <c r="L848">
        <v>10</v>
      </c>
      <c r="M848">
        <v>2004</v>
      </c>
      <c r="N848" t="s">
        <v>550</v>
      </c>
      <c r="O848">
        <v>168</v>
      </c>
      <c r="P848" t="s">
        <v>594</v>
      </c>
      <c r="Q848" t="s">
        <v>267</v>
      </c>
      <c r="R848" t="s">
        <v>268</v>
      </c>
      <c r="S848" t="s">
        <v>269</v>
      </c>
      <c r="U848" s="1" t="str">
        <f t="shared" si="81"/>
        <v>Versailles</v>
      </c>
      <c r="V848" t="s">
        <v>270</v>
      </c>
      <c r="X848">
        <v>78000</v>
      </c>
      <c r="Y848" s="1" t="str">
        <f t="shared" si="82"/>
        <v>FRANCE</v>
      </c>
      <c r="Z848" s="4" t="str">
        <f t="shared" si="83"/>
        <v>France</v>
      </c>
      <c r="AA848" t="s">
        <v>41</v>
      </c>
      <c r="AB848" t="s">
        <v>42</v>
      </c>
      <c r="AC848" t="s">
        <v>271</v>
      </c>
      <c r="AD848" t="s">
        <v>50</v>
      </c>
      <c r="AE848" t="s">
        <v>51</v>
      </c>
    </row>
    <row r="849" spans="1:31" x14ac:dyDescent="0.3">
      <c r="A849">
        <v>10312</v>
      </c>
      <c r="B849">
        <v>25</v>
      </c>
      <c r="C849">
        <v>100</v>
      </c>
      <c r="D849">
        <v>11</v>
      </c>
      <c r="E849" s="4" t="str">
        <f t="shared" si="78"/>
        <v>low sales</v>
      </c>
      <c r="F849">
        <v>3881.25</v>
      </c>
      <c r="G849" t="s">
        <v>1521</v>
      </c>
      <c r="H849" s="1" t="str">
        <f t="shared" si="79"/>
        <v>Shipped</v>
      </c>
      <c r="I849" s="4" t="str">
        <f t="shared" si="80"/>
        <v>completed</v>
      </c>
      <c r="J849" t="s">
        <v>25</v>
      </c>
      <c r="K849">
        <v>4</v>
      </c>
      <c r="L849">
        <v>10</v>
      </c>
      <c r="M849">
        <v>2004</v>
      </c>
      <c r="N849" t="s">
        <v>550</v>
      </c>
      <c r="O849">
        <v>168</v>
      </c>
      <c r="P849" t="s">
        <v>594</v>
      </c>
      <c r="Q849" t="s">
        <v>272</v>
      </c>
      <c r="R849">
        <v>4155551450</v>
      </c>
      <c r="S849" t="s">
        <v>273</v>
      </c>
      <c r="U849" s="1" t="str">
        <f t="shared" si="81"/>
        <v>San Rafael</v>
      </c>
      <c r="V849" t="s">
        <v>274</v>
      </c>
      <c r="W849" t="s">
        <v>55</v>
      </c>
      <c r="X849">
        <v>97562</v>
      </c>
      <c r="Y849" s="1" t="str">
        <f t="shared" si="82"/>
        <v>USA</v>
      </c>
      <c r="Z849" s="4" t="str">
        <f t="shared" si="83"/>
        <v>Usa</v>
      </c>
      <c r="AA849" t="s">
        <v>32</v>
      </c>
      <c r="AB849" t="s">
        <v>33</v>
      </c>
      <c r="AC849" t="s">
        <v>275</v>
      </c>
      <c r="AD849" t="s">
        <v>276</v>
      </c>
      <c r="AE849" t="s">
        <v>51</v>
      </c>
    </row>
    <row r="850" spans="1:31" x14ac:dyDescent="0.3">
      <c r="A850">
        <v>10322</v>
      </c>
      <c r="B850">
        <v>36</v>
      </c>
      <c r="C850">
        <v>100</v>
      </c>
      <c r="D850">
        <v>2</v>
      </c>
      <c r="E850" s="4" t="str">
        <f t="shared" si="78"/>
        <v>high sales</v>
      </c>
      <c r="F850">
        <v>5797.44</v>
      </c>
      <c r="G850" t="s">
        <v>1522</v>
      </c>
      <c r="H850" s="1" t="str">
        <f t="shared" si="79"/>
        <v>Shipped</v>
      </c>
      <c r="I850" s="4" t="str">
        <f t="shared" si="80"/>
        <v>completed</v>
      </c>
      <c r="J850" t="s">
        <v>25</v>
      </c>
      <c r="K850">
        <v>4</v>
      </c>
      <c r="L850">
        <v>11</v>
      </c>
      <c r="M850">
        <v>2004</v>
      </c>
      <c r="N850" t="s">
        <v>550</v>
      </c>
      <c r="O850">
        <v>168</v>
      </c>
      <c r="P850" t="s">
        <v>594</v>
      </c>
      <c r="Q850" t="s">
        <v>277</v>
      </c>
      <c r="R850">
        <v>6035558647</v>
      </c>
      <c r="S850" t="s">
        <v>278</v>
      </c>
      <c r="U850" s="1" t="str">
        <f t="shared" si="81"/>
        <v>Nashua</v>
      </c>
      <c r="V850" t="s">
        <v>279</v>
      </c>
      <c r="W850" t="s">
        <v>280</v>
      </c>
      <c r="X850">
        <v>62005</v>
      </c>
      <c r="Y850" s="1" t="str">
        <f t="shared" si="82"/>
        <v>USA</v>
      </c>
      <c r="Z850" s="4" t="str">
        <f t="shared" si="83"/>
        <v>Usa</v>
      </c>
      <c r="AA850" t="s">
        <v>32</v>
      </c>
      <c r="AB850" t="s">
        <v>33</v>
      </c>
      <c r="AC850" t="s">
        <v>56</v>
      </c>
      <c r="AD850" t="s">
        <v>276</v>
      </c>
      <c r="AE850" t="s">
        <v>51</v>
      </c>
    </row>
    <row r="851" spans="1:31" x14ac:dyDescent="0.3">
      <c r="A851">
        <v>10332</v>
      </c>
      <c r="B851">
        <v>24</v>
      </c>
      <c r="C851">
        <v>52.67</v>
      </c>
      <c r="D851">
        <v>1</v>
      </c>
      <c r="E851" s="4" t="str">
        <f t="shared" si="78"/>
        <v>low sales</v>
      </c>
      <c r="F851">
        <v>1264.08</v>
      </c>
      <c r="G851" t="s">
        <v>1523</v>
      </c>
      <c r="H851" s="1" t="str">
        <f t="shared" si="79"/>
        <v>Shipped</v>
      </c>
      <c r="I851" s="4" t="str">
        <f t="shared" si="80"/>
        <v>completed</v>
      </c>
      <c r="J851" t="s">
        <v>25</v>
      </c>
      <c r="K851">
        <v>4</v>
      </c>
      <c r="L851">
        <v>11</v>
      </c>
      <c r="M851">
        <v>2004</v>
      </c>
      <c r="N851" t="s">
        <v>550</v>
      </c>
      <c r="O851">
        <v>168</v>
      </c>
      <c r="P851" t="s">
        <v>594</v>
      </c>
      <c r="Q851" t="s">
        <v>492</v>
      </c>
      <c r="R851" t="s">
        <v>493</v>
      </c>
      <c r="S851" t="s">
        <v>494</v>
      </c>
      <c r="U851" s="1" t="str">
        <f t="shared" si="81"/>
        <v>Manchester</v>
      </c>
      <c r="V851" t="s">
        <v>495</v>
      </c>
      <c r="X851" t="s">
        <v>496</v>
      </c>
      <c r="Y851" s="1" t="str">
        <f t="shared" si="82"/>
        <v>UK</v>
      </c>
      <c r="Z851" s="4" t="str">
        <f t="shared" si="83"/>
        <v>Uk</v>
      </c>
      <c r="AA851" t="s">
        <v>170</v>
      </c>
      <c r="AB851" t="s">
        <v>42</v>
      </c>
      <c r="AC851" t="s">
        <v>497</v>
      </c>
      <c r="AD851" t="s">
        <v>94</v>
      </c>
      <c r="AE851" t="s">
        <v>36</v>
      </c>
    </row>
    <row r="852" spans="1:31" x14ac:dyDescent="0.3">
      <c r="A852">
        <v>10347</v>
      </c>
      <c r="B852">
        <v>21</v>
      </c>
      <c r="C852">
        <v>100</v>
      </c>
      <c r="D852">
        <v>6</v>
      </c>
      <c r="E852" s="4" t="str">
        <f t="shared" si="78"/>
        <v>high sales</v>
      </c>
      <c r="F852">
        <v>4815.3</v>
      </c>
      <c r="G852" t="s">
        <v>1524</v>
      </c>
      <c r="H852" s="1" t="str">
        <f t="shared" si="79"/>
        <v>Shipped</v>
      </c>
      <c r="I852" s="4" t="str">
        <f t="shared" si="80"/>
        <v>completed</v>
      </c>
      <c r="J852" t="s">
        <v>25</v>
      </c>
      <c r="K852">
        <v>4</v>
      </c>
      <c r="L852">
        <v>11</v>
      </c>
      <c r="M852">
        <v>2004</v>
      </c>
      <c r="N852" t="s">
        <v>550</v>
      </c>
      <c r="O852">
        <v>168</v>
      </c>
      <c r="P852" t="s">
        <v>594</v>
      </c>
      <c r="Q852" t="s">
        <v>89</v>
      </c>
      <c r="R852" t="s">
        <v>90</v>
      </c>
      <c r="S852" t="s">
        <v>91</v>
      </c>
      <c r="T852" t="s">
        <v>92</v>
      </c>
      <c r="U852" s="1" t="str">
        <f t="shared" si="81"/>
        <v>Melbourne</v>
      </c>
      <c r="V852" t="s">
        <v>93</v>
      </c>
      <c r="W852" t="s">
        <v>94</v>
      </c>
      <c r="X852">
        <v>3004</v>
      </c>
      <c r="Y852" s="1" t="str">
        <f t="shared" si="82"/>
        <v>AUSTRALIA</v>
      </c>
      <c r="Z852" s="4" t="str">
        <f t="shared" si="83"/>
        <v>Australia</v>
      </c>
      <c r="AA852" t="s">
        <v>95</v>
      </c>
      <c r="AB852" t="s">
        <v>96</v>
      </c>
      <c r="AC852" t="s">
        <v>97</v>
      </c>
      <c r="AD852" t="s">
        <v>98</v>
      </c>
      <c r="AE852" t="s">
        <v>51</v>
      </c>
    </row>
    <row r="853" spans="1:31" x14ac:dyDescent="0.3">
      <c r="A853">
        <v>10356</v>
      </c>
      <c r="B853">
        <v>30</v>
      </c>
      <c r="C853">
        <v>100</v>
      </c>
      <c r="D853">
        <v>1</v>
      </c>
      <c r="E853" s="4" t="str">
        <f t="shared" si="78"/>
        <v>high sales</v>
      </c>
      <c r="F853">
        <v>4462.2</v>
      </c>
      <c r="G853" t="s">
        <v>1525</v>
      </c>
      <c r="H853" s="1" t="str">
        <f t="shared" si="79"/>
        <v>Shipped</v>
      </c>
      <c r="I853" s="4" t="str">
        <f t="shared" si="80"/>
        <v>completed</v>
      </c>
      <c r="J853" t="s">
        <v>25</v>
      </c>
      <c r="K853">
        <v>4</v>
      </c>
      <c r="L853">
        <v>12</v>
      </c>
      <c r="M853">
        <v>2004</v>
      </c>
      <c r="N853" t="s">
        <v>550</v>
      </c>
      <c r="O853">
        <v>168</v>
      </c>
      <c r="P853" t="s">
        <v>594</v>
      </c>
      <c r="Q853" t="s">
        <v>45</v>
      </c>
      <c r="R853" t="s">
        <v>46</v>
      </c>
      <c r="S853" t="s">
        <v>47</v>
      </c>
      <c r="U853" s="1" t="str">
        <f t="shared" si="81"/>
        <v>Paris</v>
      </c>
      <c r="V853" t="s">
        <v>48</v>
      </c>
      <c r="X853">
        <v>75508</v>
      </c>
      <c r="Y853" s="1" t="str">
        <f t="shared" si="82"/>
        <v>FRANCE</v>
      </c>
      <c r="Z853" s="4" t="str">
        <f t="shared" si="83"/>
        <v>France</v>
      </c>
      <c r="AA853" t="s">
        <v>41</v>
      </c>
      <c r="AB853" t="s">
        <v>42</v>
      </c>
      <c r="AC853" t="s">
        <v>49</v>
      </c>
      <c r="AD853" t="s">
        <v>50</v>
      </c>
      <c r="AE853" t="s">
        <v>51</v>
      </c>
    </row>
    <row r="854" spans="1:31" x14ac:dyDescent="0.3">
      <c r="A854">
        <v>10367</v>
      </c>
      <c r="B854">
        <v>32</v>
      </c>
      <c r="C854">
        <v>94.79</v>
      </c>
      <c r="D854">
        <v>7</v>
      </c>
      <c r="E854" s="4" t="str">
        <f t="shared" si="78"/>
        <v>low sales</v>
      </c>
      <c r="F854">
        <v>3033.28</v>
      </c>
      <c r="G854" t="s">
        <v>1526</v>
      </c>
      <c r="H854" s="1" t="str">
        <f t="shared" si="79"/>
        <v>Resolved</v>
      </c>
      <c r="I854" s="4" t="str">
        <f t="shared" si="80"/>
        <v>not completed</v>
      </c>
      <c r="J854" t="s">
        <v>408</v>
      </c>
      <c r="K854">
        <v>1</v>
      </c>
      <c r="L854">
        <v>1</v>
      </c>
      <c r="M854">
        <v>2005</v>
      </c>
      <c r="N854" t="s">
        <v>550</v>
      </c>
      <c r="O854">
        <v>168</v>
      </c>
      <c r="P854" t="s">
        <v>594</v>
      </c>
      <c r="Q854" t="s">
        <v>52</v>
      </c>
      <c r="R854">
        <v>6265557265</v>
      </c>
      <c r="S854" t="s">
        <v>53</v>
      </c>
      <c r="U854" s="1" t="str">
        <f t="shared" si="81"/>
        <v>Pasadena</v>
      </c>
      <c r="V854" t="s">
        <v>54</v>
      </c>
      <c r="W854" t="s">
        <v>55</v>
      </c>
      <c r="X854">
        <v>90003</v>
      </c>
      <c r="Y854" s="1" t="str">
        <f t="shared" si="82"/>
        <v>USA</v>
      </c>
      <c r="Z854" s="4" t="str">
        <f t="shared" si="83"/>
        <v>Usa</v>
      </c>
      <c r="AA854" t="s">
        <v>32</v>
      </c>
      <c r="AB854" t="s">
        <v>33</v>
      </c>
      <c r="AC854" t="s">
        <v>56</v>
      </c>
      <c r="AD854" t="s">
        <v>57</v>
      </c>
      <c r="AE854" t="s">
        <v>51</v>
      </c>
    </row>
    <row r="855" spans="1:31" x14ac:dyDescent="0.3">
      <c r="A855">
        <v>10380</v>
      </c>
      <c r="B855">
        <v>21</v>
      </c>
      <c r="C855">
        <v>47.18</v>
      </c>
      <c r="D855">
        <v>8</v>
      </c>
      <c r="E855" s="4" t="str">
        <f t="shared" si="78"/>
        <v>low sales</v>
      </c>
      <c r="F855">
        <v>990.78</v>
      </c>
      <c r="G855" t="s">
        <v>1527</v>
      </c>
      <c r="H855" s="1" t="str">
        <f t="shared" si="79"/>
        <v>Shipped</v>
      </c>
      <c r="I855" s="4" t="str">
        <f t="shared" si="80"/>
        <v>completed</v>
      </c>
      <c r="J855" t="s">
        <v>25</v>
      </c>
      <c r="K855">
        <v>1</v>
      </c>
      <c r="L855">
        <v>2</v>
      </c>
      <c r="M855">
        <v>2005</v>
      </c>
      <c r="N855" t="s">
        <v>550</v>
      </c>
      <c r="O855">
        <v>168</v>
      </c>
      <c r="P855" t="s">
        <v>594</v>
      </c>
      <c r="Q855" t="s">
        <v>174</v>
      </c>
      <c r="R855" t="s">
        <v>175</v>
      </c>
      <c r="S855" t="s">
        <v>176</v>
      </c>
      <c r="U855" s="1" t="str">
        <f t="shared" si="81"/>
        <v>Madrid</v>
      </c>
      <c r="V855" t="s">
        <v>177</v>
      </c>
      <c r="X855">
        <v>28034</v>
      </c>
      <c r="Y855" s="1" t="str">
        <f t="shared" si="82"/>
        <v>SPAIN</v>
      </c>
      <c r="Z855" s="4" t="str">
        <f t="shared" si="83"/>
        <v>Spain</v>
      </c>
      <c r="AA855" t="s">
        <v>178</v>
      </c>
      <c r="AB855" t="s">
        <v>42</v>
      </c>
      <c r="AC855" t="s">
        <v>179</v>
      </c>
      <c r="AD855" t="s">
        <v>180</v>
      </c>
      <c r="AE855" t="s">
        <v>36</v>
      </c>
    </row>
    <row r="856" spans="1:31" x14ac:dyDescent="0.3">
      <c r="A856">
        <v>10390</v>
      </c>
      <c r="B856">
        <v>26</v>
      </c>
      <c r="C856">
        <v>78.11</v>
      </c>
      <c r="D856">
        <v>7</v>
      </c>
      <c r="E856" s="4" t="str">
        <f t="shared" si="78"/>
        <v>low sales</v>
      </c>
      <c r="F856">
        <v>2030.86</v>
      </c>
      <c r="G856" t="s">
        <v>1528</v>
      </c>
      <c r="H856" s="1" t="str">
        <f t="shared" si="79"/>
        <v>Shipped</v>
      </c>
      <c r="I856" s="4" t="str">
        <f t="shared" si="80"/>
        <v>completed</v>
      </c>
      <c r="J856" t="s">
        <v>25</v>
      </c>
      <c r="K856">
        <v>1</v>
      </c>
      <c r="L856">
        <v>3</v>
      </c>
      <c r="M856">
        <v>2005</v>
      </c>
      <c r="N856" t="s">
        <v>550</v>
      </c>
      <c r="O856">
        <v>168</v>
      </c>
      <c r="P856" t="s">
        <v>594</v>
      </c>
      <c r="Q856" t="s">
        <v>272</v>
      </c>
      <c r="R856">
        <v>4155551450</v>
      </c>
      <c r="S856" t="s">
        <v>273</v>
      </c>
      <c r="U856" s="1" t="str">
        <f t="shared" si="81"/>
        <v>San Rafael</v>
      </c>
      <c r="V856" t="s">
        <v>274</v>
      </c>
      <c r="W856" t="s">
        <v>55</v>
      </c>
      <c r="X856">
        <v>97562</v>
      </c>
      <c r="Y856" s="1" t="str">
        <f t="shared" si="82"/>
        <v>USA</v>
      </c>
      <c r="Z856" s="4" t="str">
        <f t="shared" si="83"/>
        <v>Usa</v>
      </c>
      <c r="AA856" t="s">
        <v>32</v>
      </c>
      <c r="AB856" t="s">
        <v>33</v>
      </c>
      <c r="AC856" t="s">
        <v>275</v>
      </c>
      <c r="AD856" t="s">
        <v>276</v>
      </c>
      <c r="AE856" t="s">
        <v>36</v>
      </c>
    </row>
    <row r="857" spans="1:31" x14ac:dyDescent="0.3">
      <c r="A857">
        <v>10421</v>
      </c>
      <c r="B857">
        <v>35</v>
      </c>
      <c r="C857">
        <v>100</v>
      </c>
      <c r="D857">
        <v>1</v>
      </c>
      <c r="E857" s="4" t="str">
        <f t="shared" si="78"/>
        <v>high sales</v>
      </c>
      <c r="F857">
        <v>5433.75</v>
      </c>
      <c r="G857" t="s">
        <v>1529</v>
      </c>
      <c r="H857" s="1" t="str">
        <f t="shared" si="79"/>
        <v>In Process</v>
      </c>
      <c r="I857" s="4" t="str">
        <f t="shared" si="80"/>
        <v>not completed</v>
      </c>
      <c r="J857" t="s">
        <v>300</v>
      </c>
      <c r="K857">
        <v>2</v>
      </c>
      <c r="L857">
        <v>5</v>
      </c>
      <c r="M857">
        <v>2005</v>
      </c>
      <c r="N857" t="s">
        <v>550</v>
      </c>
      <c r="O857">
        <v>168</v>
      </c>
      <c r="P857" t="s">
        <v>594</v>
      </c>
      <c r="Q857" t="s">
        <v>272</v>
      </c>
      <c r="R857">
        <v>4155551450</v>
      </c>
      <c r="S857" t="s">
        <v>273</v>
      </c>
      <c r="U857" s="1" t="str">
        <f t="shared" si="81"/>
        <v>San Rafael</v>
      </c>
      <c r="V857" t="s">
        <v>274</v>
      </c>
      <c r="W857" t="s">
        <v>55</v>
      </c>
      <c r="X857">
        <v>97562</v>
      </c>
      <c r="Y857" s="1" t="str">
        <f t="shared" si="82"/>
        <v>USA</v>
      </c>
      <c r="Z857" s="4" t="str">
        <f t="shared" si="83"/>
        <v>Usa</v>
      </c>
      <c r="AA857" t="s">
        <v>32</v>
      </c>
      <c r="AB857" t="s">
        <v>33</v>
      </c>
      <c r="AC857" t="s">
        <v>275</v>
      </c>
      <c r="AD857" t="s">
        <v>276</v>
      </c>
      <c r="AE857" t="s">
        <v>51</v>
      </c>
    </row>
    <row r="858" spans="1:31" x14ac:dyDescent="0.3">
      <c r="A858">
        <v>10109</v>
      </c>
      <c r="B858">
        <v>26</v>
      </c>
      <c r="C858">
        <v>100</v>
      </c>
      <c r="D858">
        <v>1</v>
      </c>
      <c r="E858" s="4" t="str">
        <f t="shared" si="78"/>
        <v>low sales</v>
      </c>
      <c r="F858">
        <v>3157.44</v>
      </c>
      <c r="G858" t="s">
        <v>1530</v>
      </c>
      <c r="H858" s="1" t="str">
        <f t="shared" si="79"/>
        <v>Shipped</v>
      </c>
      <c r="I858" s="4" t="str">
        <f t="shared" si="80"/>
        <v>completed</v>
      </c>
      <c r="J858" t="s">
        <v>25</v>
      </c>
      <c r="K858">
        <v>1</v>
      </c>
      <c r="L858">
        <v>3</v>
      </c>
      <c r="M858">
        <v>2003</v>
      </c>
      <c r="N858" t="s">
        <v>181</v>
      </c>
      <c r="O858">
        <v>132</v>
      </c>
      <c r="P858" t="s">
        <v>595</v>
      </c>
      <c r="Q858" t="s">
        <v>309</v>
      </c>
      <c r="R858">
        <v>2155559857</v>
      </c>
      <c r="S858" t="s">
        <v>310</v>
      </c>
      <c r="U858" s="1" t="str">
        <f t="shared" si="81"/>
        <v>Philadelphia</v>
      </c>
      <c r="V858" t="s">
        <v>216</v>
      </c>
      <c r="W858" t="s">
        <v>142</v>
      </c>
      <c r="X858">
        <v>71270</v>
      </c>
      <c r="Y858" s="1" t="str">
        <f t="shared" si="82"/>
        <v>USA</v>
      </c>
      <c r="Z858" s="4" t="str">
        <f t="shared" si="83"/>
        <v>Usa</v>
      </c>
      <c r="AA858" t="s">
        <v>32</v>
      </c>
      <c r="AB858" t="s">
        <v>33</v>
      </c>
      <c r="AC858" t="s">
        <v>124</v>
      </c>
      <c r="AD858" t="s">
        <v>311</v>
      </c>
      <c r="AE858" t="s">
        <v>51</v>
      </c>
    </row>
    <row r="859" spans="1:31" x14ac:dyDescent="0.3">
      <c r="A859">
        <v>10123</v>
      </c>
      <c r="B859">
        <v>46</v>
      </c>
      <c r="C859">
        <v>100</v>
      </c>
      <c r="D859">
        <v>3</v>
      </c>
      <c r="E859" s="4" t="str">
        <f t="shared" si="78"/>
        <v>high sales</v>
      </c>
      <c r="F859">
        <v>5161.2</v>
      </c>
      <c r="G859" t="s">
        <v>1531</v>
      </c>
      <c r="H859" s="1" t="str">
        <f t="shared" si="79"/>
        <v>Shipped</v>
      </c>
      <c r="I859" s="4" t="str">
        <f t="shared" si="80"/>
        <v>completed</v>
      </c>
      <c r="J859" t="s">
        <v>25</v>
      </c>
      <c r="K859">
        <v>2</v>
      </c>
      <c r="L859">
        <v>5</v>
      </c>
      <c r="M859">
        <v>2003</v>
      </c>
      <c r="N859" t="s">
        <v>181</v>
      </c>
      <c r="O859">
        <v>132</v>
      </c>
      <c r="P859" t="s">
        <v>595</v>
      </c>
      <c r="Q859" t="s">
        <v>312</v>
      </c>
      <c r="R859" t="s">
        <v>313</v>
      </c>
      <c r="S859" t="s">
        <v>314</v>
      </c>
      <c r="U859" s="1" t="str">
        <f t="shared" si="81"/>
        <v>Nantes</v>
      </c>
      <c r="V859" t="s">
        <v>117</v>
      </c>
      <c r="X859">
        <v>44000</v>
      </c>
      <c r="Y859" s="1" t="str">
        <f t="shared" si="82"/>
        <v>FRANCE</v>
      </c>
      <c r="Z859" s="4" t="str">
        <f t="shared" si="83"/>
        <v>France</v>
      </c>
      <c r="AA859" t="s">
        <v>41</v>
      </c>
      <c r="AB859" t="s">
        <v>42</v>
      </c>
      <c r="AC859" t="s">
        <v>315</v>
      </c>
      <c r="AD859" t="s">
        <v>316</v>
      </c>
      <c r="AE859" t="s">
        <v>51</v>
      </c>
    </row>
    <row r="860" spans="1:31" x14ac:dyDescent="0.3">
      <c r="A860">
        <v>10137</v>
      </c>
      <c r="B860">
        <v>37</v>
      </c>
      <c r="C860">
        <v>100</v>
      </c>
      <c r="D860">
        <v>3</v>
      </c>
      <c r="E860" s="4" t="str">
        <f t="shared" si="78"/>
        <v>high sales</v>
      </c>
      <c r="F860">
        <v>4346.76</v>
      </c>
      <c r="G860" t="s">
        <v>1532</v>
      </c>
      <c r="H860" s="1" t="str">
        <f t="shared" si="79"/>
        <v>Shipped</v>
      </c>
      <c r="I860" s="4" t="str">
        <f t="shared" si="80"/>
        <v>completed</v>
      </c>
      <c r="J860" t="s">
        <v>25</v>
      </c>
      <c r="K860">
        <v>3</v>
      </c>
      <c r="L860">
        <v>7</v>
      </c>
      <c r="M860">
        <v>2003</v>
      </c>
      <c r="N860" t="s">
        <v>181</v>
      </c>
      <c r="O860">
        <v>132</v>
      </c>
      <c r="P860" t="s">
        <v>595</v>
      </c>
      <c r="Q860" t="s">
        <v>37</v>
      </c>
      <c r="R860" t="s">
        <v>38</v>
      </c>
      <c r="S860" t="s">
        <v>39</v>
      </c>
      <c r="U860" s="1" t="str">
        <f t="shared" si="81"/>
        <v>Reims</v>
      </c>
      <c r="V860" t="s">
        <v>40</v>
      </c>
      <c r="X860">
        <v>51100</v>
      </c>
      <c r="Y860" s="1" t="str">
        <f t="shared" si="82"/>
        <v>FRANCE</v>
      </c>
      <c r="Z860" s="4" t="str">
        <f t="shared" si="83"/>
        <v>France</v>
      </c>
      <c r="AA860" t="s">
        <v>41</v>
      </c>
      <c r="AB860" t="s">
        <v>42</v>
      </c>
      <c r="AC860" t="s">
        <v>43</v>
      </c>
      <c r="AD860" t="s">
        <v>44</v>
      </c>
      <c r="AE860" t="s">
        <v>51</v>
      </c>
    </row>
    <row r="861" spans="1:31" x14ac:dyDescent="0.3">
      <c r="A861">
        <v>10148</v>
      </c>
      <c r="B861">
        <v>27</v>
      </c>
      <c r="C861">
        <v>100</v>
      </c>
      <c r="D861">
        <v>10</v>
      </c>
      <c r="E861" s="4" t="str">
        <f t="shared" si="78"/>
        <v>low sales</v>
      </c>
      <c r="F861">
        <v>3528.36</v>
      </c>
      <c r="G861" t="s">
        <v>1533</v>
      </c>
      <c r="H861" s="1" t="str">
        <f t="shared" si="79"/>
        <v>Shipped</v>
      </c>
      <c r="I861" s="4" t="str">
        <f t="shared" si="80"/>
        <v>completed</v>
      </c>
      <c r="J861" t="s">
        <v>25</v>
      </c>
      <c r="K861">
        <v>3</v>
      </c>
      <c r="L861">
        <v>9</v>
      </c>
      <c r="M861">
        <v>2003</v>
      </c>
      <c r="N861" t="s">
        <v>181</v>
      </c>
      <c r="O861">
        <v>132</v>
      </c>
      <c r="P861" t="s">
        <v>595</v>
      </c>
      <c r="Q861" t="s">
        <v>285</v>
      </c>
      <c r="R861" t="s">
        <v>286</v>
      </c>
      <c r="S861" t="s">
        <v>287</v>
      </c>
      <c r="T861" t="s">
        <v>288</v>
      </c>
      <c r="U861" s="1" t="str">
        <f t="shared" si="81"/>
        <v>North Sydney</v>
      </c>
      <c r="V861" t="s">
        <v>289</v>
      </c>
      <c r="W861" t="s">
        <v>157</v>
      </c>
      <c r="X861">
        <v>2060</v>
      </c>
      <c r="Y861" s="1" t="str">
        <f t="shared" si="82"/>
        <v>AUSTRALIA</v>
      </c>
      <c r="Z861" s="4" t="str">
        <f t="shared" si="83"/>
        <v>Australia</v>
      </c>
      <c r="AA861" t="s">
        <v>95</v>
      </c>
      <c r="AB861" t="s">
        <v>96</v>
      </c>
      <c r="AC861" t="s">
        <v>290</v>
      </c>
      <c r="AD861" t="s">
        <v>291</v>
      </c>
      <c r="AE861" t="s">
        <v>51</v>
      </c>
    </row>
    <row r="862" spans="1:31" x14ac:dyDescent="0.3">
      <c r="A862">
        <v>10161</v>
      </c>
      <c r="B862">
        <v>23</v>
      </c>
      <c r="C862">
        <v>100</v>
      </c>
      <c r="D862">
        <v>9</v>
      </c>
      <c r="E862" s="4" t="str">
        <f t="shared" si="78"/>
        <v>low sales</v>
      </c>
      <c r="F862">
        <v>3187.8</v>
      </c>
      <c r="G862" t="s">
        <v>1534</v>
      </c>
      <c r="H862" s="1" t="str">
        <f t="shared" si="79"/>
        <v>Shipped</v>
      </c>
      <c r="I862" s="4" t="str">
        <f t="shared" si="80"/>
        <v>completed</v>
      </c>
      <c r="J862" t="s">
        <v>25</v>
      </c>
      <c r="K862">
        <v>4</v>
      </c>
      <c r="L862">
        <v>10</v>
      </c>
      <c r="M862">
        <v>2003</v>
      </c>
      <c r="N862" t="s">
        <v>181</v>
      </c>
      <c r="O862">
        <v>132</v>
      </c>
      <c r="P862" t="s">
        <v>595</v>
      </c>
      <c r="Q862" t="s">
        <v>498</v>
      </c>
      <c r="R862" t="s">
        <v>499</v>
      </c>
      <c r="S862" t="s">
        <v>500</v>
      </c>
      <c r="U862" s="1" t="str">
        <f t="shared" si="81"/>
        <v>Aaarhus</v>
      </c>
      <c r="V862" t="s">
        <v>501</v>
      </c>
      <c r="X862">
        <v>8200</v>
      </c>
      <c r="Y862" s="1" t="str">
        <f t="shared" si="82"/>
        <v>DENMARK</v>
      </c>
      <c r="Z862" s="4" t="str">
        <f t="shared" si="83"/>
        <v>Denmark</v>
      </c>
      <c r="AA862" t="s">
        <v>326</v>
      </c>
      <c r="AB862" t="s">
        <v>42</v>
      </c>
      <c r="AC862" t="s">
        <v>502</v>
      </c>
      <c r="AD862" t="s">
        <v>503</v>
      </c>
      <c r="AE862" t="s">
        <v>51</v>
      </c>
    </row>
    <row r="863" spans="1:31" x14ac:dyDescent="0.3">
      <c r="A863">
        <v>10172</v>
      </c>
      <c r="B863">
        <v>39</v>
      </c>
      <c r="C863">
        <v>100</v>
      </c>
      <c r="D863">
        <v>7</v>
      </c>
      <c r="E863" s="4" t="str">
        <f t="shared" si="78"/>
        <v>high sales</v>
      </c>
      <c r="F863">
        <v>6023.16</v>
      </c>
      <c r="G863" t="s">
        <v>1535</v>
      </c>
      <c r="H863" s="1" t="str">
        <f t="shared" si="79"/>
        <v>Shipped</v>
      </c>
      <c r="I863" s="4" t="str">
        <f t="shared" si="80"/>
        <v>completed</v>
      </c>
      <c r="J863" t="s">
        <v>25</v>
      </c>
      <c r="K863">
        <v>4</v>
      </c>
      <c r="L863">
        <v>11</v>
      </c>
      <c r="M863">
        <v>2003</v>
      </c>
      <c r="N863" t="s">
        <v>181</v>
      </c>
      <c r="O863">
        <v>132</v>
      </c>
      <c r="P863" t="s">
        <v>595</v>
      </c>
      <c r="Q863" t="s">
        <v>109</v>
      </c>
      <c r="R863">
        <v>2035552570</v>
      </c>
      <c r="S863" t="s">
        <v>110</v>
      </c>
      <c r="U863" s="1" t="str">
        <f t="shared" si="81"/>
        <v>Bridgewater</v>
      </c>
      <c r="V863" t="s">
        <v>111</v>
      </c>
      <c r="W863" t="s">
        <v>112</v>
      </c>
      <c r="X863">
        <v>97562</v>
      </c>
      <c r="Y863" s="1" t="str">
        <f t="shared" si="82"/>
        <v>USA</v>
      </c>
      <c r="Z863" s="4" t="str">
        <f t="shared" si="83"/>
        <v>Usa</v>
      </c>
      <c r="AA863" t="s">
        <v>32</v>
      </c>
      <c r="AB863" t="s">
        <v>33</v>
      </c>
      <c r="AC863" t="s">
        <v>113</v>
      </c>
      <c r="AD863" t="s">
        <v>57</v>
      </c>
      <c r="AE863" t="s">
        <v>51</v>
      </c>
    </row>
    <row r="864" spans="1:31" x14ac:dyDescent="0.3">
      <c r="A864">
        <v>10181</v>
      </c>
      <c r="B864">
        <v>27</v>
      </c>
      <c r="C864">
        <v>100</v>
      </c>
      <c r="D864">
        <v>3</v>
      </c>
      <c r="E864" s="4" t="str">
        <f t="shared" si="78"/>
        <v>low sales</v>
      </c>
      <c r="F864">
        <v>3884.76</v>
      </c>
      <c r="G864" t="s">
        <v>1536</v>
      </c>
      <c r="H864" s="1" t="str">
        <f t="shared" si="79"/>
        <v>Shipped</v>
      </c>
      <c r="I864" s="4" t="str">
        <f t="shared" si="80"/>
        <v>completed</v>
      </c>
      <c r="J864" t="s">
        <v>25</v>
      </c>
      <c r="K864">
        <v>4</v>
      </c>
      <c r="L864">
        <v>11</v>
      </c>
      <c r="M864">
        <v>2003</v>
      </c>
      <c r="N864" t="s">
        <v>181</v>
      </c>
      <c r="O864">
        <v>132</v>
      </c>
      <c r="P864" t="s">
        <v>595</v>
      </c>
      <c r="Q864" t="s">
        <v>73</v>
      </c>
      <c r="R864" t="s">
        <v>74</v>
      </c>
      <c r="S864" t="s">
        <v>75</v>
      </c>
      <c r="U864" s="1" t="str">
        <f t="shared" si="81"/>
        <v>Bergen</v>
      </c>
      <c r="V864" t="s">
        <v>76</v>
      </c>
      <c r="X864" t="s">
        <v>77</v>
      </c>
      <c r="Y864" s="1" t="str">
        <f t="shared" si="82"/>
        <v>NORWAY</v>
      </c>
      <c r="Z864" s="4" t="str">
        <f t="shared" si="83"/>
        <v>Norway</v>
      </c>
      <c r="AA864" t="s">
        <v>78</v>
      </c>
      <c r="AB864" t="s">
        <v>42</v>
      </c>
      <c r="AC864" t="s">
        <v>79</v>
      </c>
      <c r="AD864" t="s">
        <v>80</v>
      </c>
      <c r="AE864" t="s">
        <v>51</v>
      </c>
    </row>
    <row r="865" spans="1:31" x14ac:dyDescent="0.3">
      <c r="A865">
        <v>10192</v>
      </c>
      <c r="B865">
        <v>38</v>
      </c>
      <c r="C865">
        <v>100</v>
      </c>
      <c r="D865">
        <v>8</v>
      </c>
      <c r="E865" s="4" t="str">
        <f t="shared" si="78"/>
        <v>high sales</v>
      </c>
      <c r="F865">
        <v>4965.84</v>
      </c>
      <c r="G865" t="s">
        <v>1537</v>
      </c>
      <c r="H865" s="1" t="str">
        <f t="shared" si="79"/>
        <v>Shipped</v>
      </c>
      <c r="I865" s="4" t="str">
        <f t="shared" si="80"/>
        <v>completed</v>
      </c>
      <c r="J865" t="s">
        <v>25</v>
      </c>
      <c r="K865">
        <v>4</v>
      </c>
      <c r="L865">
        <v>11</v>
      </c>
      <c r="M865">
        <v>2003</v>
      </c>
      <c r="N865" t="s">
        <v>181</v>
      </c>
      <c r="O865">
        <v>132</v>
      </c>
      <c r="P865" t="s">
        <v>595</v>
      </c>
      <c r="Q865" t="s">
        <v>277</v>
      </c>
      <c r="R865">
        <v>6035558647</v>
      </c>
      <c r="S865" t="s">
        <v>278</v>
      </c>
      <c r="U865" s="1" t="str">
        <f t="shared" si="81"/>
        <v>Nashua</v>
      </c>
      <c r="V865" t="s">
        <v>279</v>
      </c>
      <c r="W865" t="s">
        <v>280</v>
      </c>
      <c r="X865">
        <v>62005</v>
      </c>
      <c r="Y865" s="1" t="str">
        <f t="shared" si="82"/>
        <v>USA</v>
      </c>
      <c r="Z865" s="4" t="str">
        <f t="shared" si="83"/>
        <v>Usa</v>
      </c>
      <c r="AA865" t="s">
        <v>32</v>
      </c>
      <c r="AB865" t="s">
        <v>33</v>
      </c>
      <c r="AC865" t="s">
        <v>56</v>
      </c>
      <c r="AD865" t="s">
        <v>276</v>
      </c>
      <c r="AE865" t="s">
        <v>51</v>
      </c>
    </row>
    <row r="866" spans="1:31" x14ac:dyDescent="0.3">
      <c r="A866">
        <v>10204</v>
      </c>
      <c r="B866">
        <v>27</v>
      </c>
      <c r="C866">
        <v>100</v>
      </c>
      <c r="D866">
        <v>14</v>
      </c>
      <c r="E866" s="4" t="str">
        <f t="shared" si="78"/>
        <v>high sales</v>
      </c>
      <c r="F866">
        <v>4169.88</v>
      </c>
      <c r="G866" t="s">
        <v>1538</v>
      </c>
      <c r="H866" s="1" t="str">
        <f t="shared" si="79"/>
        <v>Shipped</v>
      </c>
      <c r="I866" s="4" t="str">
        <f t="shared" si="80"/>
        <v>completed</v>
      </c>
      <c r="J866" t="s">
        <v>25</v>
      </c>
      <c r="K866">
        <v>4</v>
      </c>
      <c r="L866">
        <v>12</v>
      </c>
      <c r="M866">
        <v>2003</v>
      </c>
      <c r="N866" t="s">
        <v>181</v>
      </c>
      <c r="O866">
        <v>132</v>
      </c>
      <c r="P866" t="s">
        <v>595</v>
      </c>
      <c r="Q866" t="s">
        <v>475</v>
      </c>
      <c r="R866">
        <v>2125557413</v>
      </c>
      <c r="S866" t="s">
        <v>476</v>
      </c>
      <c r="T866" t="s">
        <v>477</v>
      </c>
      <c r="U866" s="1" t="str">
        <f t="shared" si="81"/>
        <v>Nyc</v>
      </c>
      <c r="V866" t="s">
        <v>30</v>
      </c>
      <c r="W866" t="s">
        <v>31</v>
      </c>
      <c r="X866">
        <v>10022</v>
      </c>
      <c r="Y866" s="1" t="str">
        <f t="shared" si="82"/>
        <v>USA</v>
      </c>
      <c r="Z866" s="4" t="str">
        <f t="shared" si="83"/>
        <v>Usa</v>
      </c>
      <c r="AA866" t="s">
        <v>32</v>
      </c>
      <c r="AB866" t="s">
        <v>33</v>
      </c>
      <c r="AC866" t="s">
        <v>56</v>
      </c>
      <c r="AD866" t="s">
        <v>478</v>
      </c>
      <c r="AE866" t="s">
        <v>51</v>
      </c>
    </row>
    <row r="867" spans="1:31" x14ac:dyDescent="0.3">
      <c r="A867">
        <v>10212</v>
      </c>
      <c r="B867">
        <v>40</v>
      </c>
      <c r="C867">
        <v>100</v>
      </c>
      <c r="D867">
        <v>7</v>
      </c>
      <c r="E867" s="4" t="str">
        <f t="shared" si="78"/>
        <v>high sales</v>
      </c>
      <c r="F867">
        <v>4910.3999999999996</v>
      </c>
      <c r="G867" t="s">
        <v>1539</v>
      </c>
      <c r="H867" s="1" t="str">
        <f t="shared" si="79"/>
        <v>Shipped</v>
      </c>
      <c r="I867" s="4" t="str">
        <f t="shared" si="80"/>
        <v>completed</v>
      </c>
      <c r="J867" t="s">
        <v>25</v>
      </c>
      <c r="K867">
        <v>1</v>
      </c>
      <c r="L867">
        <v>1</v>
      </c>
      <c r="M867">
        <v>2004</v>
      </c>
      <c r="N867" t="s">
        <v>181</v>
      </c>
      <c r="O867">
        <v>132</v>
      </c>
      <c r="P867" t="s">
        <v>595</v>
      </c>
      <c r="Q867" t="s">
        <v>174</v>
      </c>
      <c r="R867" t="s">
        <v>175</v>
      </c>
      <c r="S867" t="s">
        <v>176</v>
      </c>
      <c r="U867" s="1" t="str">
        <f t="shared" si="81"/>
        <v>Madrid</v>
      </c>
      <c r="V867" t="s">
        <v>177</v>
      </c>
      <c r="X867">
        <v>28034</v>
      </c>
      <c r="Y867" s="1" t="str">
        <f t="shared" si="82"/>
        <v>SPAIN</v>
      </c>
      <c r="Z867" s="4" t="str">
        <f t="shared" si="83"/>
        <v>Spain</v>
      </c>
      <c r="AA867" t="s">
        <v>178</v>
      </c>
      <c r="AB867" t="s">
        <v>42</v>
      </c>
      <c r="AC867" t="s">
        <v>179</v>
      </c>
      <c r="AD867" t="s">
        <v>180</v>
      </c>
      <c r="AE867" t="s">
        <v>51</v>
      </c>
    </row>
    <row r="868" spans="1:31" x14ac:dyDescent="0.3">
      <c r="A868">
        <v>10226</v>
      </c>
      <c r="B868">
        <v>24</v>
      </c>
      <c r="C868">
        <v>100</v>
      </c>
      <c r="D868">
        <v>5</v>
      </c>
      <c r="E868" s="4" t="str">
        <f t="shared" si="78"/>
        <v>low sales</v>
      </c>
      <c r="F868">
        <v>3231.36</v>
      </c>
      <c r="G868" t="s">
        <v>1540</v>
      </c>
      <c r="H868" s="1" t="str">
        <f t="shared" si="79"/>
        <v>Shipped</v>
      </c>
      <c r="I868" s="4" t="str">
        <f t="shared" si="80"/>
        <v>completed</v>
      </c>
      <c r="J868" t="s">
        <v>25</v>
      </c>
      <c r="K868">
        <v>1</v>
      </c>
      <c r="L868">
        <v>2</v>
      </c>
      <c r="M868">
        <v>2004</v>
      </c>
      <c r="N868" t="s">
        <v>181</v>
      </c>
      <c r="O868">
        <v>132</v>
      </c>
      <c r="P868" t="s">
        <v>595</v>
      </c>
      <c r="Q868" t="s">
        <v>362</v>
      </c>
      <c r="R868">
        <v>7605558146</v>
      </c>
      <c r="S868" t="s">
        <v>363</v>
      </c>
      <c r="U868" s="1" t="str">
        <f t="shared" si="81"/>
        <v>San Diego</v>
      </c>
      <c r="V868" t="s">
        <v>364</v>
      </c>
      <c r="W868" t="s">
        <v>55</v>
      </c>
      <c r="X868">
        <v>91217</v>
      </c>
      <c r="Y868" s="1" t="str">
        <f t="shared" si="82"/>
        <v>USA</v>
      </c>
      <c r="Z868" s="4" t="str">
        <f t="shared" si="83"/>
        <v>Usa</v>
      </c>
      <c r="AA868" t="s">
        <v>32</v>
      </c>
      <c r="AB868" t="s">
        <v>33</v>
      </c>
      <c r="AC868" t="s">
        <v>237</v>
      </c>
      <c r="AD868" t="s">
        <v>276</v>
      </c>
      <c r="AE868" t="s">
        <v>51</v>
      </c>
    </row>
    <row r="869" spans="1:31" x14ac:dyDescent="0.3">
      <c r="A869">
        <v>10241</v>
      </c>
      <c r="B869">
        <v>44</v>
      </c>
      <c r="C869">
        <v>100</v>
      </c>
      <c r="D869">
        <v>12</v>
      </c>
      <c r="E869" s="4" t="str">
        <f t="shared" si="78"/>
        <v>high sales</v>
      </c>
      <c r="F869">
        <v>6853.44</v>
      </c>
      <c r="G869" t="s">
        <v>1541</v>
      </c>
      <c r="H869" s="1" t="str">
        <f t="shared" si="79"/>
        <v>Shipped</v>
      </c>
      <c r="I869" s="4" t="str">
        <f t="shared" si="80"/>
        <v>completed</v>
      </c>
      <c r="J869" t="s">
        <v>25</v>
      </c>
      <c r="K869">
        <v>2</v>
      </c>
      <c r="L869">
        <v>4</v>
      </c>
      <c r="M869">
        <v>2004</v>
      </c>
      <c r="N869" t="s">
        <v>181</v>
      </c>
      <c r="O869">
        <v>132</v>
      </c>
      <c r="P869" t="s">
        <v>595</v>
      </c>
      <c r="Q869" t="s">
        <v>531</v>
      </c>
      <c r="R869" t="s">
        <v>532</v>
      </c>
      <c r="S869" t="s">
        <v>533</v>
      </c>
      <c r="U869" s="1" t="str">
        <f t="shared" si="81"/>
        <v>Strasbourg</v>
      </c>
      <c r="V869" t="s">
        <v>534</v>
      </c>
      <c r="X869">
        <v>67000</v>
      </c>
      <c r="Y869" s="1" t="str">
        <f t="shared" si="82"/>
        <v>FRANCE</v>
      </c>
      <c r="Z869" s="4" t="str">
        <f t="shared" si="83"/>
        <v>France</v>
      </c>
      <c r="AA869" t="s">
        <v>41</v>
      </c>
      <c r="AB869" t="s">
        <v>42</v>
      </c>
      <c r="AC869" t="s">
        <v>535</v>
      </c>
      <c r="AD869" t="s">
        <v>536</v>
      </c>
      <c r="AE869" t="s">
        <v>51</v>
      </c>
    </row>
    <row r="870" spans="1:31" x14ac:dyDescent="0.3">
      <c r="A870">
        <v>10253</v>
      </c>
      <c r="B870">
        <v>37</v>
      </c>
      <c r="C870">
        <v>100</v>
      </c>
      <c r="D870">
        <v>2</v>
      </c>
      <c r="E870" s="4" t="str">
        <f t="shared" si="78"/>
        <v>high sales</v>
      </c>
      <c r="F870">
        <v>5177.04</v>
      </c>
      <c r="G870" t="s">
        <v>1542</v>
      </c>
      <c r="H870" s="1" t="str">
        <f t="shared" si="79"/>
        <v>Cancelled</v>
      </c>
      <c r="I870" s="4" t="str">
        <f t="shared" si="80"/>
        <v>not completed</v>
      </c>
      <c r="J870" t="s">
        <v>339</v>
      </c>
      <c r="K870">
        <v>2</v>
      </c>
      <c r="L870">
        <v>6</v>
      </c>
      <c r="M870">
        <v>2004</v>
      </c>
      <c r="N870" t="s">
        <v>181</v>
      </c>
      <c r="O870">
        <v>132</v>
      </c>
      <c r="P870" t="s">
        <v>595</v>
      </c>
      <c r="Q870" t="s">
        <v>165</v>
      </c>
      <c r="R870" t="s">
        <v>166</v>
      </c>
      <c r="S870" t="s">
        <v>167</v>
      </c>
      <c r="U870" s="1" t="str">
        <f t="shared" si="81"/>
        <v>Liverpool</v>
      </c>
      <c r="V870" t="s">
        <v>168</v>
      </c>
      <c r="X870" t="s">
        <v>169</v>
      </c>
      <c r="Y870" s="1" t="str">
        <f t="shared" si="82"/>
        <v>UK</v>
      </c>
      <c r="Z870" s="4" t="str">
        <f t="shared" si="83"/>
        <v>Uk</v>
      </c>
      <c r="AA870" t="s">
        <v>170</v>
      </c>
      <c r="AB870" t="s">
        <v>42</v>
      </c>
      <c r="AC870" t="s">
        <v>171</v>
      </c>
      <c r="AD870" t="s">
        <v>172</v>
      </c>
      <c r="AE870" t="s">
        <v>51</v>
      </c>
    </row>
    <row r="871" spans="1:31" x14ac:dyDescent="0.3">
      <c r="A871">
        <v>10266</v>
      </c>
      <c r="B871">
        <v>20</v>
      </c>
      <c r="C871">
        <v>100</v>
      </c>
      <c r="D871">
        <v>3</v>
      </c>
      <c r="E871" s="4" t="str">
        <f t="shared" si="78"/>
        <v>low sales</v>
      </c>
      <c r="F871">
        <v>2824.8</v>
      </c>
      <c r="G871" t="s">
        <v>1543</v>
      </c>
      <c r="H871" s="1" t="str">
        <f t="shared" si="79"/>
        <v>Shipped</v>
      </c>
      <c r="I871" s="4" t="str">
        <f t="shared" si="80"/>
        <v>completed</v>
      </c>
      <c r="J871" t="s">
        <v>25</v>
      </c>
      <c r="K871">
        <v>3</v>
      </c>
      <c r="L871">
        <v>7</v>
      </c>
      <c r="M871">
        <v>2004</v>
      </c>
      <c r="N871" t="s">
        <v>181</v>
      </c>
      <c r="O871">
        <v>132</v>
      </c>
      <c r="P871" t="s">
        <v>595</v>
      </c>
      <c r="Q871" t="s">
        <v>452</v>
      </c>
      <c r="R871" t="s">
        <v>453</v>
      </c>
      <c r="S871" t="s">
        <v>454</v>
      </c>
      <c r="U871" s="1" t="str">
        <f t="shared" si="81"/>
        <v>Reggio Emilia</v>
      </c>
      <c r="V871" t="s">
        <v>455</v>
      </c>
      <c r="X871">
        <v>42100</v>
      </c>
      <c r="Y871" s="1" t="str">
        <f t="shared" si="82"/>
        <v>ITALY</v>
      </c>
      <c r="Z871" s="4" t="str">
        <f t="shared" si="83"/>
        <v>Italy</v>
      </c>
      <c r="AA871" t="s">
        <v>258</v>
      </c>
      <c r="AB871" t="s">
        <v>42</v>
      </c>
      <c r="AC871" t="s">
        <v>456</v>
      </c>
      <c r="AD871" t="s">
        <v>457</v>
      </c>
      <c r="AE871" t="s">
        <v>36</v>
      </c>
    </row>
    <row r="872" spans="1:31" x14ac:dyDescent="0.3">
      <c r="A872">
        <v>10278</v>
      </c>
      <c r="B872">
        <v>39</v>
      </c>
      <c r="C872">
        <v>100</v>
      </c>
      <c r="D872">
        <v>3</v>
      </c>
      <c r="E872" s="4" t="str">
        <f t="shared" si="78"/>
        <v>high sales</v>
      </c>
      <c r="F872">
        <v>4324.32</v>
      </c>
      <c r="G872" t="s">
        <v>1544</v>
      </c>
      <c r="H872" s="1" t="str">
        <f t="shared" si="79"/>
        <v>Shipped</v>
      </c>
      <c r="I872" s="4" t="str">
        <f t="shared" si="80"/>
        <v>completed</v>
      </c>
      <c r="J872" t="s">
        <v>25</v>
      </c>
      <c r="K872">
        <v>3</v>
      </c>
      <c r="L872">
        <v>8</v>
      </c>
      <c r="M872">
        <v>2004</v>
      </c>
      <c r="N872" t="s">
        <v>181</v>
      </c>
      <c r="O872">
        <v>132</v>
      </c>
      <c r="P872" t="s">
        <v>595</v>
      </c>
      <c r="Q872" t="s">
        <v>539</v>
      </c>
      <c r="R872">
        <v>7025551838</v>
      </c>
      <c r="S872" t="s">
        <v>540</v>
      </c>
      <c r="U872" s="1" t="str">
        <f t="shared" si="81"/>
        <v>Las Vegas</v>
      </c>
      <c r="V872" t="s">
        <v>541</v>
      </c>
      <c r="W872" t="s">
        <v>542</v>
      </c>
      <c r="X872">
        <v>83030</v>
      </c>
      <c r="Y872" s="1" t="str">
        <f t="shared" si="82"/>
        <v>USA</v>
      </c>
      <c r="Z872" s="4" t="str">
        <f t="shared" si="83"/>
        <v>Usa</v>
      </c>
      <c r="AA872" t="s">
        <v>32</v>
      </c>
      <c r="AB872" t="s">
        <v>33</v>
      </c>
      <c r="AC872" t="s">
        <v>113</v>
      </c>
      <c r="AD872" t="s">
        <v>400</v>
      </c>
      <c r="AE872" t="s">
        <v>51</v>
      </c>
    </row>
    <row r="873" spans="1:31" x14ac:dyDescent="0.3">
      <c r="A873">
        <v>10287</v>
      </c>
      <c r="B873">
        <v>44</v>
      </c>
      <c r="C873">
        <v>100</v>
      </c>
      <c r="D873">
        <v>1</v>
      </c>
      <c r="E873" s="4" t="str">
        <f t="shared" si="78"/>
        <v>high sales</v>
      </c>
      <c r="F873">
        <v>5052.96</v>
      </c>
      <c r="G873" t="s">
        <v>1545</v>
      </c>
      <c r="H873" s="1" t="str">
        <f t="shared" si="79"/>
        <v>Shipped</v>
      </c>
      <c r="I873" s="4" t="str">
        <f t="shared" si="80"/>
        <v>completed</v>
      </c>
      <c r="J873" t="s">
        <v>25</v>
      </c>
      <c r="K873">
        <v>3</v>
      </c>
      <c r="L873">
        <v>8</v>
      </c>
      <c r="M873">
        <v>2004</v>
      </c>
      <c r="N873" t="s">
        <v>181</v>
      </c>
      <c r="O873">
        <v>132</v>
      </c>
      <c r="P873" t="s">
        <v>595</v>
      </c>
      <c r="Q873" t="s">
        <v>446</v>
      </c>
      <c r="R873" t="s">
        <v>447</v>
      </c>
      <c r="S873" t="s">
        <v>448</v>
      </c>
      <c r="U873" s="1" t="str">
        <f t="shared" si="81"/>
        <v>Gensve</v>
      </c>
      <c r="V873" t="s">
        <v>449</v>
      </c>
      <c r="X873">
        <v>1203</v>
      </c>
      <c r="Y873" s="1" t="str">
        <f t="shared" si="82"/>
        <v>SWITZERLAND</v>
      </c>
      <c r="Z873" s="4" t="str">
        <f t="shared" si="83"/>
        <v>Switzerland</v>
      </c>
      <c r="AA873" t="s">
        <v>450</v>
      </c>
      <c r="AB873" t="s">
        <v>42</v>
      </c>
      <c r="AC873" t="s">
        <v>451</v>
      </c>
      <c r="AD873" t="s">
        <v>103</v>
      </c>
      <c r="AE873" t="s">
        <v>51</v>
      </c>
    </row>
    <row r="874" spans="1:31" x14ac:dyDescent="0.3">
      <c r="A874">
        <v>10301</v>
      </c>
      <c r="B874">
        <v>22</v>
      </c>
      <c r="C874">
        <v>100</v>
      </c>
      <c r="D874">
        <v>5</v>
      </c>
      <c r="E874" s="4" t="str">
        <f t="shared" si="78"/>
        <v>low sales</v>
      </c>
      <c r="F874">
        <v>3223.44</v>
      </c>
      <c r="G874" t="s">
        <v>1546</v>
      </c>
      <c r="H874" s="1" t="str">
        <f t="shared" si="79"/>
        <v>Shipped</v>
      </c>
      <c r="I874" s="4" t="str">
        <f t="shared" si="80"/>
        <v>completed</v>
      </c>
      <c r="J874" t="s">
        <v>25</v>
      </c>
      <c r="K874">
        <v>4</v>
      </c>
      <c r="L874">
        <v>10</v>
      </c>
      <c r="M874">
        <v>2003</v>
      </c>
      <c r="N874" t="s">
        <v>181</v>
      </c>
      <c r="O874">
        <v>132</v>
      </c>
      <c r="P874" t="s">
        <v>595</v>
      </c>
      <c r="Q874" t="s">
        <v>543</v>
      </c>
      <c r="R874" t="s">
        <v>544</v>
      </c>
      <c r="S874" t="s">
        <v>545</v>
      </c>
      <c r="U874" s="1" t="str">
        <f t="shared" si="81"/>
        <v>Oslo</v>
      </c>
      <c r="V874" t="s">
        <v>546</v>
      </c>
      <c r="X874" t="s">
        <v>547</v>
      </c>
      <c r="Y874" s="1" t="str">
        <f t="shared" si="82"/>
        <v>NORWAY</v>
      </c>
      <c r="Z874" s="4" t="str">
        <f t="shared" si="83"/>
        <v>Norway</v>
      </c>
      <c r="AA874" t="s">
        <v>78</v>
      </c>
      <c r="AB874" t="s">
        <v>42</v>
      </c>
      <c r="AC874" t="s">
        <v>548</v>
      </c>
      <c r="AD874" t="s">
        <v>549</v>
      </c>
      <c r="AE874" t="s">
        <v>51</v>
      </c>
    </row>
    <row r="875" spans="1:31" x14ac:dyDescent="0.3">
      <c r="A875">
        <v>10311</v>
      </c>
      <c r="B875">
        <v>43</v>
      </c>
      <c r="C875">
        <v>100</v>
      </c>
      <c r="D875">
        <v>10</v>
      </c>
      <c r="E875" s="4" t="str">
        <f t="shared" si="78"/>
        <v>high sales</v>
      </c>
      <c r="F875">
        <v>5278.68</v>
      </c>
      <c r="G875" t="s">
        <v>1547</v>
      </c>
      <c r="H875" s="1" t="str">
        <f t="shared" si="79"/>
        <v>Shipped</v>
      </c>
      <c r="I875" s="4" t="str">
        <f t="shared" si="80"/>
        <v>completed</v>
      </c>
      <c r="J875" t="s">
        <v>25</v>
      </c>
      <c r="K875">
        <v>4</v>
      </c>
      <c r="L875">
        <v>10</v>
      </c>
      <c r="M875">
        <v>2004</v>
      </c>
      <c r="N875" t="s">
        <v>181</v>
      </c>
      <c r="O875">
        <v>132</v>
      </c>
      <c r="P875" t="s">
        <v>595</v>
      </c>
      <c r="Q875" t="s">
        <v>174</v>
      </c>
      <c r="R875" t="s">
        <v>175</v>
      </c>
      <c r="S875" t="s">
        <v>176</v>
      </c>
      <c r="U875" s="1" t="str">
        <f t="shared" si="81"/>
        <v>Madrid</v>
      </c>
      <c r="V875" t="s">
        <v>177</v>
      </c>
      <c r="X875">
        <v>28034</v>
      </c>
      <c r="Y875" s="1" t="str">
        <f t="shared" si="82"/>
        <v>SPAIN</v>
      </c>
      <c r="Z875" s="4" t="str">
        <f t="shared" si="83"/>
        <v>Spain</v>
      </c>
      <c r="AA875" t="s">
        <v>178</v>
      </c>
      <c r="AB875" t="s">
        <v>42</v>
      </c>
      <c r="AC875" t="s">
        <v>179</v>
      </c>
      <c r="AD875" t="s">
        <v>180</v>
      </c>
      <c r="AE875" t="s">
        <v>51</v>
      </c>
    </row>
    <row r="876" spans="1:31" x14ac:dyDescent="0.3">
      <c r="A876">
        <v>10321</v>
      </c>
      <c r="B876">
        <v>27</v>
      </c>
      <c r="C876">
        <v>100</v>
      </c>
      <c r="D876">
        <v>7</v>
      </c>
      <c r="E876" s="4" t="str">
        <f t="shared" si="78"/>
        <v>low sales</v>
      </c>
      <c r="F876">
        <v>2851.2</v>
      </c>
      <c r="G876" t="s">
        <v>1548</v>
      </c>
      <c r="H876" s="1" t="str">
        <f t="shared" si="79"/>
        <v>Shipped</v>
      </c>
      <c r="I876" s="4" t="str">
        <f t="shared" si="80"/>
        <v>completed</v>
      </c>
      <c r="J876" t="s">
        <v>25</v>
      </c>
      <c r="K876">
        <v>4</v>
      </c>
      <c r="L876">
        <v>11</v>
      </c>
      <c r="M876">
        <v>2004</v>
      </c>
      <c r="N876" t="s">
        <v>181</v>
      </c>
      <c r="O876">
        <v>132</v>
      </c>
      <c r="P876" t="s">
        <v>595</v>
      </c>
      <c r="Q876" t="s">
        <v>160</v>
      </c>
      <c r="R876">
        <v>5085552555</v>
      </c>
      <c r="S876" t="s">
        <v>161</v>
      </c>
      <c r="U876" s="1" t="str">
        <f t="shared" si="81"/>
        <v>New Bedford</v>
      </c>
      <c r="V876" t="s">
        <v>162</v>
      </c>
      <c r="W876" t="s">
        <v>123</v>
      </c>
      <c r="X876">
        <v>50553</v>
      </c>
      <c r="Y876" s="1" t="str">
        <f t="shared" si="82"/>
        <v>USA</v>
      </c>
      <c r="Z876" s="4" t="str">
        <f t="shared" si="83"/>
        <v>Usa</v>
      </c>
      <c r="AA876" t="s">
        <v>32</v>
      </c>
      <c r="AB876" t="s">
        <v>33</v>
      </c>
      <c r="AC876" t="s">
        <v>163</v>
      </c>
      <c r="AD876" t="s">
        <v>164</v>
      </c>
      <c r="AE876" t="s">
        <v>36</v>
      </c>
    </row>
    <row r="877" spans="1:31" x14ac:dyDescent="0.3">
      <c r="A877">
        <v>10331</v>
      </c>
      <c r="B877">
        <v>26</v>
      </c>
      <c r="C877">
        <v>64.900000000000006</v>
      </c>
      <c r="D877">
        <v>10</v>
      </c>
      <c r="E877" s="4" t="str">
        <f t="shared" si="78"/>
        <v>low sales</v>
      </c>
      <c r="F877">
        <v>1687.4</v>
      </c>
      <c r="G877" t="s">
        <v>1549</v>
      </c>
      <c r="H877" s="1" t="str">
        <f t="shared" si="79"/>
        <v>Shipped</v>
      </c>
      <c r="I877" s="4" t="str">
        <f t="shared" si="80"/>
        <v>completed</v>
      </c>
      <c r="J877" t="s">
        <v>25</v>
      </c>
      <c r="K877">
        <v>4</v>
      </c>
      <c r="L877">
        <v>11</v>
      </c>
      <c r="M877">
        <v>2004</v>
      </c>
      <c r="N877" t="s">
        <v>181</v>
      </c>
      <c r="O877">
        <v>132</v>
      </c>
      <c r="P877" t="s">
        <v>595</v>
      </c>
      <c r="Q877" t="s">
        <v>309</v>
      </c>
      <c r="R877">
        <v>2155559857</v>
      </c>
      <c r="S877" t="s">
        <v>310</v>
      </c>
      <c r="U877" s="1" t="str">
        <f t="shared" si="81"/>
        <v>Philadelphia</v>
      </c>
      <c r="V877" t="s">
        <v>216</v>
      </c>
      <c r="W877" t="s">
        <v>142</v>
      </c>
      <c r="X877">
        <v>71270</v>
      </c>
      <c r="Y877" s="1" t="str">
        <f t="shared" si="82"/>
        <v>USA</v>
      </c>
      <c r="Z877" s="4" t="str">
        <f t="shared" si="83"/>
        <v>Usa</v>
      </c>
      <c r="AA877" t="s">
        <v>32</v>
      </c>
      <c r="AB877" t="s">
        <v>33</v>
      </c>
      <c r="AC877" t="s">
        <v>124</v>
      </c>
      <c r="AD877" t="s">
        <v>311</v>
      </c>
      <c r="AE877" t="s">
        <v>36</v>
      </c>
    </row>
    <row r="878" spans="1:31" x14ac:dyDescent="0.3">
      <c r="A878">
        <v>10343</v>
      </c>
      <c r="B878">
        <v>25</v>
      </c>
      <c r="C878">
        <v>52.32</v>
      </c>
      <c r="D878">
        <v>3</v>
      </c>
      <c r="E878" s="4" t="str">
        <f t="shared" si="78"/>
        <v>low sales</v>
      </c>
      <c r="F878">
        <v>1308</v>
      </c>
      <c r="G878" t="s">
        <v>1550</v>
      </c>
      <c r="H878" s="1" t="str">
        <f t="shared" si="79"/>
        <v>Shipped</v>
      </c>
      <c r="I878" s="4" t="str">
        <f t="shared" si="80"/>
        <v>completed</v>
      </c>
      <c r="J878" t="s">
        <v>25</v>
      </c>
      <c r="K878">
        <v>4</v>
      </c>
      <c r="L878">
        <v>11</v>
      </c>
      <c r="M878">
        <v>2004</v>
      </c>
      <c r="N878" t="s">
        <v>181</v>
      </c>
      <c r="O878">
        <v>132</v>
      </c>
      <c r="P878" t="s">
        <v>595</v>
      </c>
      <c r="Q878" t="s">
        <v>37</v>
      </c>
      <c r="R878" t="s">
        <v>38</v>
      </c>
      <c r="S878" t="s">
        <v>39</v>
      </c>
      <c r="U878" s="1" t="str">
        <f t="shared" si="81"/>
        <v>Reims</v>
      </c>
      <c r="V878" t="s">
        <v>40</v>
      </c>
      <c r="X878">
        <v>51100</v>
      </c>
      <c r="Y878" s="1" t="str">
        <f t="shared" si="82"/>
        <v>FRANCE</v>
      </c>
      <c r="Z878" s="4" t="str">
        <f t="shared" si="83"/>
        <v>France</v>
      </c>
      <c r="AA878" t="s">
        <v>41</v>
      </c>
      <c r="AB878" t="s">
        <v>42</v>
      </c>
      <c r="AC878" t="s">
        <v>43</v>
      </c>
      <c r="AD878" t="s">
        <v>44</v>
      </c>
      <c r="AE878" t="s">
        <v>36</v>
      </c>
    </row>
    <row r="879" spans="1:31" x14ac:dyDescent="0.3">
      <c r="A879">
        <v>10366</v>
      </c>
      <c r="B879">
        <v>49</v>
      </c>
      <c r="C879">
        <v>100</v>
      </c>
      <c r="D879">
        <v>2</v>
      </c>
      <c r="E879" s="4" t="str">
        <f t="shared" si="78"/>
        <v>high sales</v>
      </c>
      <c r="F879">
        <v>6144.6</v>
      </c>
      <c r="G879" t="s">
        <v>1551</v>
      </c>
      <c r="H879" s="1" t="str">
        <f t="shared" si="79"/>
        <v>Shipped</v>
      </c>
      <c r="I879" s="4" t="str">
        <f t="shared" si="80"/>
        <v>completed</v>
      </c>
      <c r="J879" t="s">
        <v>25</v>
      </c>
      <c r="K879">
        <v>1</v>
      </c>
      <c r="L879">
        <v>1</v>
      </c>
      <c r="M879">
        <v>2005</v>
      </c>
      <c r="N879" t="s">
        <v>181</v>
      </c>
      <c r="O879">
        <v>132</v>
      </c>
      <c r="P879" t="s">
        <v>595</v>
      </c>
      <c r="Q879" t="s">
        <v>577</v>
      </c>
      <c r="R879" t="s">
        <v>578</v>
      </c>
      <c r="S879" t="s">
        <v>579</v>
      </c>
      <c r="U879" s="1" t="str">
        <f t="shared" si="81"/>
        <v>Charleroi</v>
      </c>
      <c r="V879" t="s">
        <v>580</v>
      </c>
      <c r="X879" t="s">
        <v>581</v>
      </c>
      <c r="Y879" s="1" t="str">
        <f t="shared" si="82"/>
        <v>BELGIUM</v>
      </c>
      <c r="Z879" s="4" t="str">
        <f t="shared" si="83"/>
        <v>Belgium</v>
      </c>
      <c r="AA879" t="s">
        <v>370</v>
      </c>
      <c r="AB879" t="s">
        <v>42</v>
      </c>
      <c r="AC879" t="s">
        <v>582</v>
      </c>
      <c r="AD879" t="s">
        <v>583</v>
      </c>
      <c r="AE879" t="s">
        <v>51</v>
      </c>
    </row>
    <row r="880" spans="1:31" x14ac:dyDescent="0.3">
      <c r="A880">
        <v>10379</v>
      </c>
      <c r="B880">
        <v>29</v>
      </c>
      <c r="C880">
        <v>100</v>
      </c>
      <c r="D880">
        <v>5</v>
      </c>
      <c r="E880" s="4" t="str">
        <f t="shared" si="78"/>
        <v>high sales</v>
      </c>
      <c r="F880">
        <v>5127.2</v>
      </c>
      <c r="G880" t="s">
        <v>1552</v>
      </c>
      <c r="H880" s="1" t="str">
        <f t="shared" si="79"/>
        <v>Shipped</v>
      </c>
      <c r="I880" s="4" t="str">
        <f t="shared" si="80"/>
        <v>completed</v>
      </c>
      <c r="J880" t="s">
        <v>25</v>
      </c>
      <c r="K880">
        <v>1</v>
      </c>
      <c r="L880">
        <v>2</v>
      </c>
      <c r="M880">
        <v>2005</v>
      </c>
      <c r="N880" t="s">
        <v>181</v>
      </c>
      <c r="O880">
        <v>132</v>
      </c>
      <c r="P880" t="s">
        <v>595</v>
      </c>
      <c r="Q880" t="s">
        <v>174</v>
      </c>
      <c r="R880" t="s">
        <v>175</v>
      </c>
      <c r="S880" t="s">
        <v>176</v>
      </c>
      <c r="U880" s="1" t="str">
        <f t="shared" si="81"/>
        <v>Madrid</v>
      </c>
      <c r="V880" t="s">
        <v>177</v>
      </c>
      <c r="X880">
        <v>28034</v>
      </c>
      <c r="Y880" s="1" t="str">
        <f t="shared" si="82"/>
        <v>SPAIN</v>
      </c>
      <c r="Z880" s="4" t="str">
        <f t="shared" si="83"/>
        <v>Spain</v>
      </c>
      <c r="AA880" t="s">
        <v>178</v>
      </c>
      <c r="AB880" t="s">
        <v>42</v>
      </c>
      <c r="AC880" t="s">
        <v>179</v>
      </c>
      <c r="AD880" t="s">
        <v>180</v>
      </c>
      <c r="AE880" t="s">
        <v>51</v>
      </c>
    </row>
    <row r="881" spans="1:31" x14ac:dyDescent="0.3">
      <c r="A881">
        <v>10407</v>
      </c>
      <c r="B881">
        <v>41</v>
      </c>
      <c r="C881">
        <v>100</v>
      </c>
      <c r="D881">
        <v>12</v>
      </c>
      <c r="E881" s="4" t="str">
        <f t="shared" si="78"/>
        <v>high sales</v>
      </c>
      <c r="F881">
        <v>6386.16</v>
      </c>
      <c r="G881" t="s">
        <v>1553</v>
      </c>
      <c r="H881" s="1" t="str">
        <f t="shared" si="79"/>
        <v>On Hold</v>
      </c>
      <c r="I881" s="4" t="str">
        <f t="shared" si="80"/>
        <v>not completed</v>
      </c>
      <c r="J881" t="s">
        <v>401</v>
      </c>
      <c r="K881">
        <v>2</v>
      </c>
      <c r="L881">
        <v>4</v>
      </c>
      <c r="M881">
        <v>2005</v>
      </c>
      <c r="N881" t="s">
        <v>181</v>
      </c>
      <c r="O881">
        <v>132</v>
      </c>
      <c r="P881" t="s">
        <v>595</v>
      </c>
      <c r="Q881" t="s">
        <v>397</v>
      </c>
      <c r="R881">
        <v>4085553659</v>
      </c>
      <c r="S881" t="s">
        <v>398</v>
      </c>
      <c r="U881" s="1" t="str">
        <f t="shared" si="81"/>
        <v>San Jose</v>
      </c>
      <c r="V881" t="s">
        <v>399</v>
      </c>
      <c r="W881" t="s">
        <v>55</v>
      </c>
      <c r="X881">
        <v>94217</v>
      </c>
      <c r="Y881" s="1" t="str">
        <f t="shared" si="82"/>
        <v>USA</v>
      </c>
      <c r="Z881" s="4" t="str">
        <f t="shared" si="83"/>
        <v>Usa</v>
      </c>
      <c r="AA881" t="s">
        <v>32</v>
      </c>
      <c r="AB881" t="s">
        <v>33</v>
      </c>
      <c r="AC881" t="s">
        <v>102</v>
      </c>
      <c r="AD881" t="s">
        <v>400</v>
      </c>
      <c r="AE881" t="s">
        <v>51</v>
      </c>
    </row>
    <row r="882" spans="1:31" x14ac:dyDescent="0.3">
      <c r="A882">
        <v>10419</v>
      </c>
      <c r="B882">
        <v>55</v>
      </c>
      <c r="C882">
        <v>100</v>
      </c>
      <c r="D882">
        <v>2</v>
      </c>
      <c r="E882" s="4" t="str">
        <f t="shared" si="78"/>
        <v>high sales</v>
      </c>
      <c r="F882">
        <v>7695.6</v>
      </c>
      <c r="G882" t="s">
        <v>1554</v>
      </c>
      <c r="H882" s="1" t="str">
        <f t="shared" si="79"/>
        <v>Shipped</v>
      </c>
      <c r="I882" s="4" t="str">
        <f t="shared" si="80"/>
        <v>completed</v>
      </c>
      <c r="J882" t="s">
        <v>25</v>
      </c>
      <c r="K882">
        <v>2</v>
      </c>
      <c r="L882">
        <v>5</v>
      </c>
      <c r="M882">
        <v>2005</v>
      </c>
      <c r="N882" t="s">
        <v>181</v>
      </c>
      <c r="O882">
        <v>132</v>
      </c>
      <c r="P882" t="s">
        <v>595</v>
      </c>
      <c r="Q882" t="s">
        <v>144</v>
      </c>
      <c r="R882" t="s">
        <v>145</v>
      </c>
      <c r="S882" t="s">
        <v>146</v>
      </c>
      <c r="U882" s="1" t="str">
        <f t="shared" si="81"/>
        <v>Salzburg</v>
      </c>
      <c r="V882" t="s">
        <v>147</v>
      </c>
      <c r="X882">
        <v>5020</v>
      </c>
      <c r="Y882" s="1" t="str">
        <f t="shared" si="82"/>
        <v>AUSTRIA</v>
      </c>
      <c r="Z882" s="4" t="str">
        <f t="shared" si="83"/>
        <v>Austria</v>
      </c>
      <c r="AA882" t="s">
        <v>148</v>
      </c>
      <c r="AB882" t="s">
        <v>42</v>
      </c>
      <c r="AC882" t="s">
        <v>149</v>
      </c>
      <c r="AD882" t="s">
        <v>150</v>
      </c>
      <c r="AE882" t="s">
        <v>151</v>
      </c>
    </row>
    <row r="883" spans="1:31" x14ac:dyDescent="0.3">
      <c r="A883">
        <v>10103</v>
      </c>
      <c r="B883">
        <v>27</v>
      </c>
      <c r="C883">
        <v>83.07</v>
      </c>
      <c r="D883">
        <v>12</v>
      </c>
      <c r="E883" s="4" t="str">
        <f t="shared" si="78"/>
        <v>low sales</v>
      </c>
      <c r="F883">
        <v>2242.89</v>
      </c>
      <c r="G883" t="s">
        <v>1555</v>
      </c>
      <c r="H883" s="1" t="str">
        <f t="shared" si="79"/>
        <v>Shipped</v>
      </c>
      <c r="I883" s="4" t="str">
        <f t="shared" si="80"/>
        <v>completed</v>
      </c>
      <c r="J883" t="s">
        <v>25</v>
      </c>
      <c r="K883">
        <v>1</v>
      </c>
      <c r="L883">
        <v>1</v>
      </c>
      <c r="M883">
        <v>2003</v>
      </c>
      <c r="N883" t="s">
        <v>550</v>
      </c>
      <c r="O883">
        <v>101</v>
      </c>
      <c r="P883" t="s">
        <v>596</v>
      </c>
      <c r="Q883" t="s">
        <v>133</v>
      </c>
      <c r="R883" t="s">
        <v>134</v>
      </c>
      <c r="S883" t="s">
        <v>135</v>
      </c>
      <c r="U883" s="1" t="str">
        <f t="shared" si="81"/>
        <v>Stavern</v>
      </c>
      <c r="V883" t="s">
        <v>136</v>
      </c>
      <c r="X883">
        <v>4110</v>
      </c>
      <c r="Y883" s="1" t="str">
        <f t="shared" si="82"/>
        <v>NORWAY</v>
      </c>
      <c r="Z883" s="4" t="str">
        <f t="shared" si="83"/>
        <v>Norway</v>
      </c>
      <c r="AA883" t="s">
        <v>78</v>
      </c>
      <c r="AB883" t="s">
        <v>42</v>
      </c>
      <c r="AC883" t="s">
        <v>137</v>
      </c>
      <c r="AD883" t="s">
        <v>138</v>
      </c>
      <c r="AE883" t="s">
        <v>36</v>
      </c>
    </row>
    <row r="884" spans="1:31" x14ac:dyDescent="0.3">
      <c r="A884">
        <v>10112</v>
      </c>
      <c r="B884">
        <v>23</v>
      </c>
      <c r="C884">
        <v>100</v>
      </c>
      <c r="D884">
        <v>2</v>
      </c>
      <c r="E884" s="4" t="str">
        <f t="shared" si="78"/>
        <v>low sales</v>
      </c>
      <c r="F884">
        <v>2539.89</v>
      </c>
      <c r="G884" t="s">
        <v>1556</v>
      </c>
      <c r="H884" s="1" t="str">
        <f t="shared" si="79"/>
        <v>Shipped</v>
      </c>
      <c r="I884" s="4" t="str">
        <f t="shared" si="80"/>
        <v>completed</v>
      </c>
      <c r="J884" t="s">
        <v>25</v>
      </c>
      <c r="K884">
        <v>1</v>
      </c>
      <c r="L884">
        <v>3</v>
      </c>
      <c r="M884">
        <v>2003</v>
      </c>
      <c r="N884" t="s">
        <v>550</v>
      </c>
      <c r="O884">
        <v>101</v>
      </c>
      <c r="P884" t="s">
        <v>596</v>
      </c>
      <c r="Q884" t="s">
        <v>183</v>
      </c>
      <c r="R884" t="s">
        <v>184</v>
      </c>
      <c r="S884" t="s">
        <v>185</v>
      </c>
      <c r="U884" s="1" t="str">
        <f t="shared" si="81"/>
        <v>Lule</v>
      </c>
      <c r="V884" t="s">
        <v>186</v>
      </c>
      <c r="X884" t="s">
        <v>187</v>
      </c>
      <c r="Y884" s="1" t="str">
        <f t="shared" si="82"/>
        <v>SWEDEN</v>
      </c>
      <c r="Z884" s="4" t="str">
        <f t="shared" si="83"/>
        <v>Sweden</v>
      </c>
      <c r="AA884" t="s">
        <v>188</v>
      </c>
      <c r="AB884" t="s">
        <v>42</v>
      </c>
      <c r="AC884" t="s">
        <v>189</v>
      </c>
      <c r="AD884" t="s">
        <v>190</v>
      </c>
      <c r="AE884" t="s">
        <v>36</v>
      </c>
    </row>
    <row r="885" spans="1:31" x14ac:dyDescent="0.3">
      <c r="A885">
        <v>10126</v>
      </c>
      <c r="B885">
        <v>31</v>
      </c>
      <c r="C885">
        <v>90.17</v>
      </c>
      <c r="D885">
        <v>12</v>
      </c>
      <c r="E885" s="4" t="str">
        <f t="shared" si="78"/>
        <v>low sales</v>
      </c>
      <c r="F885">
        <v>2795.27</v>
      </c>
      <c r="G885" t="s">
        <v>1557</v>
      </c>
      <c r="H885" s="1" t="str">
        <f t="shared" si="79"/>
        <v>Shipped</v>
      </c>
      <c r="I885" s="4" t="str">
        <f t="shared" si="80"/>
        <v>completed</v>
      </c>
      <c r="J885" t="s">
        <v>25</v>
      </c>
      <c r="K885">
        <v>2</v>
      </c>
      <c r="L885">
        <v>5</v>
      </c>
      <c r="M885">
        <v>2003</v>
      </c>
      <c r="N885" t="s">
        <v>550</v>
      </c>
      <c r="O885">
        <v>101</v>
      </c>
      <c r="P885" t="s">
        <v>596</v>
      </c>
      <c r="Q885" t="s">
        <v>191</v>
      </c>
      <c r="R885" t="s">
        <v>192</v>
      </c>
      <c r="S885" t="s">
        <v>193</v>
      </c>
      <c r="U885" s="1" t="str">
        <f t="shared" si="81"/>
        <v>Madrid</v>
      </c>
      <c r="V885" t="s">
        <v>177</v>
      </c>
      <c r="X885">
        <v>28023</v>
      </c>
      <c r="Y885" s="1" t="str">
        <f t="shared" si="82"/>
        <v>SPAIN</v>
      </c>
      <c r="Z885" s="4" t="str">
        <f t="shared" si="83"/>
        <v>Spain</v>
      </c>
      <c r="AA885" t="s">
        <v>178</v>
      </c>
      <c r="AB885" t="s">
        <v>42</v>
      </c>
      <c r="AC885" t="s">
        <v>194</v>
      </c>
      <c r="AD885" t="s">
        <v>195</v>
      </c>
      <c r="AE885" t="s">
        <v>36</v>
      </c>
    </row>
    <row r="886" spans="1:31" x14ac:dyDescent="0.3">
      <c r="A886">
        <v>10139</v>
      </c>
      <c r="B886">
        <v>46</v>
      </c>
      <c r="C886">
        <v>100</v>
      </c>
      <c r="D886">
        <v>1</v>
      </c>
      <c r="E886" s="4" t="str">
        <f t="shared" si="78"/>
        <v>high sales</v>
      </c>
      <c r="F886">
        <v>5545.76</v>
      </c>
      <c r="G886" t="s">
        <v>1558</v>
      </c>
      <c r="H886" s="1" t="str">
        <f t="shared" si="79"/>
        <v>Shipped</v>
      </c>
      <c r="I886" s="4" t="str">
        <f t="shared" si="80"/>
        <v>completed</v>
      </c>
      <c r="J886" t="s">
        <v>25</v>
      </c>
      <c r="K886">
        <v>3</v>
      </c>
      <c r="L886">
        <v>7</v>
      </c>
      <c r="M886">
        <v>2003</v>
      </c>
      <c r="N886" t="s">
        <v>550</v>
      </c>
      <c r="O886">
        <v>101</v>
      </c>
      <c r="P886" t="s">
        <v>596</v>
      </c>
      <c r="Q886" t="s">
        <v>152</v>
      </c>
      <c r="R886" t="s">
        <v>153</v>
      </c>
      <c r="S886" t="s">
        <v>154</v>
      </c>
      <c r="T886" t="s">
        <v>155</v>
      </c>
      <c r="U886" s="1" t="str">
        <f t="shared" si="81"/>
        <v>Chatswood</v>
      </c>
      <c r="V886" t="s">
        <v>156</v>
      </c>
      <c r="W886" t="s">
        <v>157</v>
      </c>
      <c r="X886">
        <v>2067</v>
      </c>
      <c r="Y886" s="1" t="str">
        <f t="shared" si="82"/>
        <v>AUSTRALIA</v>
      </c>
      <c r="Z886" s="4" t="str">
        <f t="shared" si="83"/>
        <v>Australia</v>
      </c>
      <c r="AA886" t="s">
        <v>95</v>
      </c>
      <c r="AB886" t="s">
        <v>96</v>
      </c>
      <c r="AC886" t="s">
        <v>158</v>
      </c>
      <c r="AD886" t="s">
        <v>159</v>
      </c>
      <c r="AE886" t="s">
        <v>51</v>
      </c>
    </row>
    <row r="887" spans="1:31" x14ac:dyDescent="0.3">
      <c r="A887">
        <v>10150</v>
      </c>
      <c r="B887">
        <v>47</v>
      </c>
      <c r="C887">
        <v>91.18</v>
      </c>
      <c r="D887">
        <v>9</v>
      </c>
      <c r="E887" s="4" t="str">
        <f t="shared" si="78"/>
        <v>high sales</v>
      </c>
      <c r="F887">
        <v>4285.46</v>
      </c>
      <c r="G887" t="s">
        <v>1559</v>
      </c>
      <c r="H887" s="1" t="str">
        <f t="shared" si="79"/>
        <v>Shipped</v>
      </c>
      <c r="I887" s="4" t="str">
        <f t="shared" si="80"/>
        <v>completed</v>
      </c>
      <c r="J887" t="s">
        <v>25</v>
      </c>
      <c r="K887">
        <v>3</v>
      </c>
      <c r="L887">
        <v>9</v>
      </c>
      <c r="M887">
        <v>2003</v>
      </c>
      <c r="N887" t="s">
        <v>550</v>
      </c>
      <c r="O887">
        <v>101</v>
      </c>
      <c r="P887" t="s">
        <v>596</v>
      </c>
      <c r="Q887" t="s">
        <v>196</v>
      </c>
      <c r="R887" t="s">
        <v>197</v>
      </c>
      <c r="S887" t="s">
        <v>198</v>
      </c>
      <c r="U887" s="1" t="str">
        <f t="shared" si="81"/>
        <v>Singapore</v>
      </c>
      <c r="V887" t="s">
        <v>199</v>
      </c>
      <c r="X887">
        <v>79903</v>
      </c>
      <c r="Y887" s="1" t="str">
        <f t="shared" si="82"/>
        <v>SINGAPORE</v>
      </c>
      <c r="Z887" s="4" t="str">
        <f t="shared" si="83"/>
        <v>Singapore</v>
      </c>
      <c r="AA887" t="s">
        <v>199</v>
      </c>
      <c r="AB887" t="s">
        <v>200</v>
      </c>
      <c r="AC887" t="s">
        <v>201</v>
      </c>
      <c r="AD887" t="s">
        <v>202</v>
      </c>
      <c r="AE887" t="s">
        <v>51</v>
      </c>
    </row>
    <row r="888" spans="1:31" x14ac:dyDescent="0.3">
      <c r="A888">
        <v>10163</v>
      </c>
      <c r="B888">
        <v>31</v>
      </c>
      <c r="C888">
        <v>100</v>
      </c>
      <c r="D888">
        <v>2</v>
      </c>
      <c r="E888" s="4" t="str">
        <f t="shared" si="78"/>
        <v>low sales</v>
      </c>
      <c r="F888">
        <v>3329.09</v>
      </c>
      <c r="G888" t="s">
        <v>1560</v>
      </c>
      <c r="H888" s="1" t="str">
        <f t="shared" si="79"/>
        <v>Shipped</v>
      </c>
      <c r="I888" s="4" t="str">
        <f t="shared" si="80"/>
        <v>completed</v>
      </c>
      <c r="J888" t="s">
        <v>25</v>
      </c>
      <c r="K888">
        <v>4</v>
      </c>
      <c r="L888">
        <v>10</v>
      </c>
      <c r="M888">
        <v>2003</v>
      </c>
      <c r="N888" t="s">
        <v>550</v>
      </c>
      <c r="O888">
        <v>101</v>
      </c>
      <c r="P888" t="s">
        <v>596</v>
      </c>
      <c r="Q888" t="s">
        <v>203</v>
      </c>
      <c r="R888">
        <v>2125558493</v>
      </c>
      <c r="S888" t="s">
        <v>204</v>
      </c>
      <c r="T888" t="s">
        <v>205</v>
      </c>
      <c r="U888" s="1" t="str">
        <f t="shared" si="81"/>
        <v>Nyc</v>
      </c>
      <c r="V888" t="s">
        <v>30</v>
      </c>
      <c r="W888" t="s">
        <v>31</v>
      </c>
      <c r="X888">
        <v>10022</v>
      </c>
      <c r="Y888" s="1" t="str">
        <f t="shared" si="82"/>
        <v>USA</v>
      </c>
      <c r="Z888" s="4" t="str">
        <f t="shared" si="83"/>
        <v>Usa</v>
      </c>
      <c r="AA888" t="s">
        <v>32</v>
      </c>
      <c r="AB888" t="s">
        <v>33</v>
      </c>
      <c r="AC888" t="s">
        <v>124</v>
      </c>
      <c r="AD888" t="s">
        <v>206</v>
      </c>
      <c r="AE888" t="s">
        <v>51</v>
      </c>
    </row>
    <row r="889" spans="1:31" x14ac:dyDescent="0.3">
      <c r="A889">
        <v>10174</v>
      </c>
      <c r="B889">
        <v>46</v>
      </c>
      <c r="C889">
        <v>100</v>
      </c>
      <c r="D889">
        <v>5</v>
      </c>
      <c r="E889" s="4" t="str">
        <f t="shared" si="78"/>
        <v>high sales</v>
      </c>
      <c r="F889">
        <v>5592.22</v>
      </c>
      <c r="G889" t="s">
        <v>1561</v>
      </c>
      <c r="H889" s="1" t="str">
        <f t="shared" si="79"/>
        <v>Shipped</v>
      </c>
      <c r="I889" s="4" t="str">
        <f t="shared" si="80"/>
        <v>completed</v>
      </c>
      <c r="J889" t="s">
        <v>25</v>
      </c>
      <c r="K889">
        <v>4</v>
      </c>
      <c r="L889">
        <v>11</v>
      </c>
      <c r="M889">
        <v>2003</v>
      </c>
      <c r="N889" t="s">
        <v>550</v>
      </c>
      <c r="O889">
        <v>101</v>
      </c>
      <c r="P889" t="s">
        <v>596</v>
      </c>
      <c r="Q889" t="s">
        <v>207</v>
      </c>
      <c r="R889" t="s">
        <v>208</v>
      </c>
      <c r="S889" t="s">
        <v>209</v>
      </c>
      <c r="U889" s="1" t="str">
        <f t="shared" si="81"/>
        <v>South Brisbane</v>
      </c>
      <c r="V889" t="s">
        <v>210</v>
      </c>
      <c r="W889" t="s">
        <v>211</v>
      </c>
      <c r="X889">
        <v>4101</v>
      </c>
      <c r="Y889" s="1" t="str">
        <f t="shared" si="82"/>
        <v>AUSTRALIA</v>
      </c>
      <c r="Z889" s="4" t="str">
        <f t="shared" si="83"/>
        <v>Australia</v>
      </c>
      <c r="AA889" t="s">
        <v>95</v>
      </c>
      <c r="AB889" t="s">
        <v>96</v>
      </c>
      <c r="AC889" t="s">
        <v>212</v>
      </c>
      <c r="AD889" t="s">
        <v>213</v>
      </c>
      <c r="AE889" t="s">
        <v>51</v>
      </c>
    </row>
    <row r="890" spans="1:31" x14ac:dyDescent="0.3">
      <c r="A890">
        <v>10183</v>
      </c>
      <c r="B890">
        <v>37</v>
      </c>
      <c r="C890">
        <v>89.15</v>
      </c>
      <c r="D890">
        <v>9</v>
      </c>
      <c r="E890" s="4" t="str">
        <f t="shared" si="78"/>
        <v>low sales</v>
      </c>
      <c r="F890">
        <v>3298.55</v>
      </c>
      <c r="G890" t="s">
        <v>1562</v>
      </c>
      <c r="H890" s="1" t="str">
        <f t="shared" si="79"/>
        <v>Shipped</v>
      </c>
      <c r="I890" s="4" t="str">
        <f t="shared" si="80"/>
        <v>completed</v>
      </c>
      <c r="J890" t="s">
        <v>25</v>
      </c>
      <c r="K890">
        <v>4</v>
      </c>
      <c r="L890">
        <v>11</v>
      </c>
      <c r="M890">
        <v>2003</v>
      </c>
      <c r="N890" t="s">
        <v>550</v>
      </c>
      <c r="O890">
        <v>101</v>
      </c>
      <c r="P890" t="s">
        <v>596</v>
      </c>
      <c r="Q890" t="s">
        <v>214</v>
      </c>
      <c r="R890">
        <v>2155554695</v>
      </c>
      <c r="S890" t="s">
        <v>215</v>
      </c>
      <c r="U890" s="1" t="str">
        <f t="shared" si="81"/>
        <v>Philadelphia</v>
      </c>
      <c r="V890" t="s">
        <v>216</v>
      </c>
      <c r="W890" t="s">
        <v>142</v>
      </c>
      <c r="X890">
        <v>71270</v>
      </c>
      <c r="Y890" s="1" t="str">
        <f t="shared" si="82"/>
        <v>USA</v>
      </c>
      <c r="Z890" s="4" t="str">
        <f t="shared" si="83"/>
        <v>Usa</v>
      </c>
      <c r="AA890" t="s">
        <v>32</v>
      </c>
      <c r="AB890" t="s">
        <v>33</v>
      </c>
      <c r="AC890" t="s">
        <v>217</v>
      </c>
      <c r="AD890" t="s">
        <v>218</v>
      </c>
      <c r="AE890" t="s">
        <v>51</v>
      </c>
    </row>
    <row r="891" spans="1:31" x14ac:dyDescent="0.3">
      <c r="A891">
        <v>10193</v>
      </c>
      <c r="B891">
        <v>28</v>
      </c>
      <c r="C891">
        <v>93.21</v>
      </c>
      <c r="D891">
        <v>1</v>
      </c>
      <c r="E891" s="4" t="str">
        <f t="shared" si="78"/>
        <v>low sales</v>
      </c>
      <c r="F891">
        <v>2609.88</v>
      </c>
      <c r="G891" t="s">
        <v>1563</v>
      </c>
      <c r="H891" s="1" t="str">
        <f t="shared" si="79"/>
        <v>Shipped</v>
      </c>
      <c r="I891" s="4" t="str">
        <f t="shared" si="80"/>
        <v>completed</v>
      </c>
      <c r="J891" t="s">
        <v>25</v>
      </c>
      <c r="K891">
        <v>4</v>
      </c>
      <c r="L891">
        <v>11</v>
      </c>
      <c r="M891">
        <v>2003</v>
      </c>
      <c r="N891" t="s">
        <v>550</v>
      </c>
      <c r="O891">
        <v>101</v>
      </c>
      <c r="P891" t="s">
        <v>596</v>
      </c>
      <c r="Q891" t="s">
        <v>558</v>
      </c>
      <c r="R891" t="s">
        <v>559</v>
      </c>
      <c r="S891" t="s">
        <v>560</v>
      </c>
      <c r="U891" s="1" t="str">
        <f t="shared" si="81"/>
        <v>Glen Waverly</v>
      </c>
      <c r="V891" t="s">
        <v>561</v>
      </c>
      <c r="W891" t="s">
        <v>94</v>
      </c>
      <c r="X891">
        <v>3150</v>
      </c>
      <c r="Y891" s="1" t="str">
        <f t="shared" si="82"/>
        <v>AUSTRALIA</v>
      </c>
      <c r="Z891" s="4" t="str">
        <f t="shared" si="83"/>
        <v>Australia</v>
      </c>
      <c r="AA891" t="s">
        <v>95</v>
      </c>
      <c r="AB891" t="s">
        <v>96</v>
      </c>
      <c r="AC891" t="s">
        <v>562</v>
      </c>
      <c r="AD891" t="s">
        <v>563</v>
      </c>
      <c r="AE891" t="s">
        <v>36</v>
      </c>
    </row>
    <row r="892" spans="1:31" x14ac:dyDescent="0.3">
      <c r="A892">
        <v>10206</v>
      </c>
      <c r="B892">
        <v>37</v>
      </c>
      <c r="C892">
        <v>90.17</v>
      </c>
      <c r="D892">
        <v>7</v>
      </c>
      <c r="E892" s="4" t="str">
        <f t="shared" si="78"/>
        <v>low sales</v>
      </c>
      <c r="F892">
        <v>3336.29</v>
      </c>
      <c r="G892" t="s">
        <v>1564</v>
      </c>
      <c r="H892" s="1" t="str">
        <f t="shared" si="79"/>
        <v>Shipped</v>
      </c>
      <c r="I892" s="4" t="str">
        <f t="shared" si="80"/>
        <v>completed</v>
      </c>
      <c r="J892" t="s">
        <v>25</v>
      </c>
      <c r="K892">
        <v>4</v>
      </c>
      <c r="L892">
        <v>12</v>
      </c>
      <c r="M892">
        <v>2003</v>
      </c>
      <c r="N892" t="s">
        <v>550</v>
      </c>
      <c r="O892">
        <v>101</v>
      </c>
      <c r="P892" t="s">
        <v>596</v>
      </c>
      <c r="Q892" t="s">
        <v>225</v>
      </c>
      <c r="R892" t="s">
        <v>226</v>
      </c>
      <c r="S892" t="s">
        <v>227</v>
      </c>
      <c r="U892" s="1" t="str">
        <f t="shared" si="81"/>
        <v>Vancouver</v>
      </c>
      <c r="V892" t="s">
        <v>228</v>
      </c>
      <c r="W892" t="s">
        <v>229</v>
      </c>
      <c r="X892" t="s">
        <v>230</v>
      </c>
      <c r="Y892" s="1" t="str">
        <f t="shared" si="82"/>
        <v>CANADA</v>
      </c>
      <c r="Z892" s="4" t="str">
        <f t="shared" si="83"/>
        <v>Canada</v>
      </c>
      <c r="AA892" t="s">
        <v>231</v>
      </c>
      <c r="AB892" t="s">
        <v>33</v>
      </c>
      <c r="AC892" t="s">
        <v>232</v>
      </c>
      <c r="AD892" t="s">
        <v>233</v>
      </c>
      <c r="AE892" t="s">
        <v>51</v>
      </c>
    </row>
    <row r="893" spans="1:31" x14ac:dyDescent="0.3">
      <c r="A893">
        <v>10215</v>
      </c>
      <c r="B893">
        <v>49</v>
      </c>
      <c r="C893">
        <v>100</v>
      </c>
      <c r="D893">
        <v>4</v>
      </c>
      <c r="E893" s="4" t="str">
        <f t="shared" si="78"/>
        <v>high sales</v>
      </c>
      <c r="F893">
        <v>5510.05</v>
      </c>
      <c r="G893" t="s">
        <v>1565</v>
      </c>
      <c r="H893" s="1" t="str">
        <f t="shared" si="79"/>
        <v>Shipped</v>
      </c>
      <c r="I893" s="4" t="str">
        <f t="shared" si="80"/>
        <v>completed</v>
      </c>
      <c r="J893" t="s">
        <v>25</v>
      </c>
      <c r="K893">
        <v>1</v>
      </c>
      <c r="L893">
        <v>1</v>
      </c>
      <c r="M893">
        <v>2004</v>
      </c>
      <c r="N893" t="s">
        <v>550</v>
      </c>
      <c r="O893">
        <v>101</v>
      </c>
      <c r="P893" t="s">
        <v>596</v>
      </c>
      <c r="Q893" t="s">
        <v>234</v>
      </c>
      <c r="R893">
        <v>3105553722</v>
      </c>
      <c r="S893" t="s">
        <v>235</v>
      </c>
      <c r="U893" s="1" t="str">
        <f t="shared" si="81"/>
        <v>Burbank</v>
      </c>
      <c r="V893" t="s">
        <v>236</v>
      </c>
      <c r="W893" t="s">
        <v>55</v>
      </c>
      <c r="X893">
        <v>94019</v>
      </c>
      <c r="Y893" s="1" t="str">
        <f t="shared" si="82"/>
        <v>USA</v>
      </c>
      <c r="Z893" s="4" t="str">
        <f t="shared" si="83"/>
        <v>Usa</v>
      </c>
      <c r="AA893" t="s">
        <v>32</v>
      </c>
      <c r="AB893" t="s">
        <v>33</v>
      </c>
      <c r="AC893" t="s">
        <v>237</v>
      </c>
      <c r="AD893" t="s">
        <v>238</v>
      </c>
      <c r="AE893" t="s">
        <v>51</v>
      </c>
    </row>
    <row r="894" spans="1:31" x14ac:dyDescent="0.3">
      <c r="A894">
        <v>10228</v>
      </c>
      <c r="B894">
        <v>24</v>
      </c>
      <c r="C894">
        <v>100</v>
      </c>
      <c r="D894">
        <v>3</v>
      </c>
      <c r="E894" s="4" t="str">
        <f t="shared" si="78"/>
        <v>low sales</v>
      </c>
      <c r="F894">
        <v>2504.4</v>
      </c>
      <c r="G894" t="s">
        <v>1566</v>
      </c>
      <c r="H894" s="1" t="str">
        <f t="shared" si="79"/>
        <v>Shipped</v>
      </c>
      <c r="I894" s="4" t="str">
        <f t="shared" si="80"/>
        <v>completed</v>
      </c>
      <c r="J894" t="s">
        <v>25</v>
      </c>
      <c r="K894">
        <v>1</v>
      </c>
      <c r="L894">
        <v>3</v>
      </c>
      <c r="M894">
        <v>2004</v>
      </c>
      <c r="N894" t="s">
        <v>550</v>
      </c>
      <c r="O894">
        <v>101</v>
      </c>
      <c r="P894" t="s">
        <v>596</v>
      </c>
      <c r="Q894" t="s">
        <v>239</v>
      </c>
      <c r="R894">
        <v>6175555555</v>
      </c>
      <c r="S894" t="s">
        <v>240</v>
      </c>
      <c r="U894" s="1" t="str">
        <f t="shared" si="81"/>
        <v>Cambridge</v>
      </c>
      <c r="V894" t="s">
        <v>122</v>
      </c>
      <c r="W894" t="s">
        <v>123</v>
      </c>
      <c r="X894">
        <v>51247</v>
      </c>
      <c r="Y894" s="1" t="str">
        <f t="shared" si="82"/>
        <v>USA</v>
      </c>
      <c r="Z894" s="4" t="str">
        <f t="shared" si="83"/>
        <v>Usa</v>
      </c>
      <c r="AA894" t="s">
        <v>32</v>
      </c>
      <c r="AB894" t="s">
        <v>33</v>
      </c>
      <c r="AC894" t="s">
        <v>241</v>
      </c>
      <c r="AD894" t="s">
        <v>143</v>
      </c>
      <c r="AE894" t="s">
        <v>36</v>
      </c>
    </row>
    <row r="895" spans="1:31" x14ac:dyDescent="0.3">
      <c r="A895">
        <v>10244</v>
      </c>
      <c r="B895">
        <v>30</v>
      </c>
      <c r="C895">
        <v>100</v>
      </c>
      <c r="D895">
        <v>1</v>
      </c>
      <c r="E895" s="4" t="str">
        <f t="shared" si="78"/>
        <v>low sales</v>
      </c>
      <c r="F895">
        <v>3525.6</v>
      </c>
      <c r="G895" t="s">
        <v>1567</v>
      </c>
      <c r="H895" s="1" t="str">
        <f t="shared" si="79"/>
        <v>Shipped</v>
      </c>
      <c r="I895" s="4" t="str">
        <f t="shared" si="80"/>
        <v>completed</v>
      </c>
      <c r="J895" t="s">
        <v>25</v>
      </c>
      <c r="K895">
        <v>2</v>
      </c>
      <c r="L895">
        <v>4</v>
      </c>
      <c r="M895">
        <v>2004</v>
      </c>
      <c r="N895" t="s">
        <v>550</v>
      </c>
      <c r="O895">
        <v>101</v>
      </c>
      <c r="P895" t="s">
        <v>596</v>
      </c>
      <c r="Q895" t="s">
        <v>174</v>
      </c>
      <c r="R895" t="s">
        <v>175</v>
      </c>
      <c r="S895" t="s">
        <v>176</v>
      </c>
      <c r="U895" s="1" t="str">
        <f t="shared" si="81"/>
        <v>Madrid</v>
      </c>
      <c r="V895" t="s">
        <v>177</v>
      </c>
      <c r="X895">
        <v>28034</v>
      </c>
      <c r="Y895" s="1" t="str">
        <f t="shared" si="82"/>
        <v>SPAIN</v>
      </c>
      <c r="Z895" s="4" t="str">
        <f t="shared" si="83"/>
        <v>Spain</v>
      </c>
      <c r="AA895" t="s">
        <v>178</v>
      </c>
      <c r="AB895" t="s">
        <v>42</v>
      </c>
      <c r="AC895" t="s">
        <v>179</v>
      </c>
      <c r="AD895" t="s">
        <v>180</v>
      </c>
      <c r="AE895" t="s">
        <v>51</v>
      </c>
    </row>
    <row r="896" spans="1:31" x14ac:dyDescent="0.3">
      <c r="A896">
        <v>10257</v>
      </c>
      <c r="B896">
        <v>50</v>
      </c>
      <c r="C896">
        <v>88.14</v>
      </c>
      <c r="D896">
        <v>1</v>
      </c>
      <c r="E896" s="4" t="str">
        <f t="shared" si="78"/>
        <v>high sales</v>
      </c>
      <c r="F896">
        <v>4407</v>
      </c>
      <c r="G896" t="s">
        <v>1568</v>
      </c>
      <c r="H896" s="1" t="str">
        <f t="shared" si="79"/>
        <v>Shipped</v>
      </c>
      <c r="I896" s="4" t="str">
        <f t="shared" si="80"/>
        <v>completed</v>
      </c>
      <c r="J896" t="s">
        <v>25</v>
      </c>
      <c r="K896">
        <v>2</v>
      </c>
      <c r="L896">
        <v>6</v>
      </c>
      <c r="M896">
        <v>2004</v>
      </c>
      <c r="N896" t="s">
        <v>550</v>
      </c>
      <c r="O896">
        <v>101</v>
      </c>
      <c r="P896" t="s">
        <v>596</v>
      </c>
      <c r="Q896" t="s">
        <v>397</v>
      </c>
      <c r="R896">
        <v>4085553659</v>
      </c>
      <c r="S896" t="s">
        <v>398</v>
      </c>
      <c r="U896" s="1" t="str">
        <f t="shared" si="81"/>
        <v>San Jose</v>
      </c>
      <c r="V896" t="s">
        <v>399</v>
      </c>
      <c r="W896" t="s">
        <v>55</v>
      </c>
      <c r="X896">
        <v>94217</v>
      </c>
      <c r="Y896" s="1" t="str">
        <f t="shared" si="82"/>
        <v>USA</v>
      </c>
      <c r="Z896" s="4" t="str">
        <f t="shared" si="83"/>
        <v>Usa</v>
      </c>
      <c r="AA896" t="s">
        <v>32</v>
      </c>
      <c r="AB896" t="s">
        <v>33</v>
      </c>
      <c r="AC896" t="s">
        <v>102</v>
      </c>
      <c r="AD896" t="s">
        <v>400</v>
      </c>
      <c r="AE896" t="s">
        <v>51</v>
      </c>
    </row>
    <row r="897" spans="1:31" x14ac:dyDescent="0.3">
      <c r="A897">
        <v>10270</v>
      </c>
      <c r="B897">
        <v>31</v>
      </c>
      <c r="C897">
        <v>96.24</v>
      </c>
      <c r="D897">
        <v>10</v>
      </c>
      <c r="E897" s="4" t="str">
        <f t="shared" si="78"/>
        <v>low sales</v>
      </c>
      <c r="F897">
        <v>2983.44</v>
      </c>
      <c r="G897" t="s">
        <v>1569</v>
      </c>
      <c r="H897" s="1" t="str">
        <f t="shared" si="79"/>
        <v>Shipped</v>
      </c>
      <c r="I897" s="4" t="str">
        <f t="shared" si="80"/>
        <v>completed</v>
      </c>
      <c r="J897" t="s">
        <v>25</v>
      </c>
      <c r="K897">
        <v>3</v>
      </c>
      <c r="L897">
        <v>7</v>
      </c>
      <c r="M897">
        <v>2004</v>
      </c>
      <c r="N897" t="s">
        <v>550</v>
      </c>
      <c r="O897">
        <v>101</v>
      </c>
      <c r="P897" t="s">
        <v>596</v>
      </c>
      <c r="Q897" t="s">
        <v>152</v>
      </c>
      <c r="R897" t="s">
        <v>153</v>
      </c>
      <c r="S897" t="s">
        <v>154</v>
      </c>
      <c r="T897" t="s">
        <v>155</v>
      </c>
      <c r="U897" s="1" t="str">
        <f t="shared" si="81"/>
        <v>Chatswood</v>
      </c>
      <c r="V897" t="s">
        <v>156</v>
      </c>
      <c r="W897" t="s">
        <v>157</v>
      </c>
      <c r="X897">
        <v>2067</v>
      </c>
      <c r="Y897" s="1" t="str">
        <f t="shared" si="82"/>
        <v>AUSTRALIA</v>
      </c>
      <c r="Z897" s="4" t="str">
        <f t="shared" si="83"/>
        <v>Australia</v>
      </c>
      <c r="AA897" t="s">
        <v>95</v>
      </c>
      <c r="AB897" t="s">
        <v>96</v>
      </c>
      <c r="AC897" t="s">
        <v>158</v>
      </c>
      <c r="AD897" t="s">
        <v>159</v>
      </c>
      <c r="AE897" t="s">
        <v>36</v>
      </c>
    </row>
    <row r="898" spans="1:31" x14ac:dyDescent="0.3">
      <c r="A898">
        <v>10280</v>
      </c>
      <c r="B898">
        <v>46</v>
      </c>
      <c r="C898">
        <v>100</v>
      </c>
      <c r="D898">
        <v>3</v>
      </c>
      <c r="E898" s="4" t="str">
        <f t="shared" si="78"/>
        <v>high sales</v>
      </c>
      <c r="F898">
        <v>5126.24</v>
      </c>
      <c r="G898" t="s">
        <v>1570</v>
      </c>
      <c r="H898" s="1" t="str">
        <f t="shared" si="79"/>
        <v>Shipped</v>
      </c>
      <c r="I898" s="4" t="str">
        <f t="shared" si="80"/>
        <v>completed</v>
      </c>
      <c r="J898" t="s">
        <v>25</v>
      </c>
      <c r="K898">
        <v>3</v>
      </c>
      <c r="L898">
        <v>8</v>
      </c>
      <c r="M898">
        <v>2004</v>
      </c>
      <c r="N898" t="s">
        <v>550</v>
      </c>
      <c r="O898">
        <v>101</v>
      </c>
      <c r="P898" t="s">
        <v>596</v>
      </c>
      <c r="Q898" t="s">
        <v>254</v>
      </c>
      <c r="R898" t="s">
        <v>255</v>
      </c>
      <c r="S898" t="s">
        <v>256</v>
      </c>
      <c r="U898" s="1" t="str">
        <f t="shared" si="81"/>
        <v>Torino</v>
      </c>
      <c r="V898" t="s">
        <v>257</v>
      </c>
      <c r="X898">
        <v>10100</v>
      </c>
      <c r="Y898" s="1" t="str">
        <f t="shared" si="82"/>
        <v>ITALY</v>
      </c>
      <c r="Z898" s="4" t="str">
        <f t="shared" si="83"/>
        <v>Italy</v>
      </c>
      <c r="AA898" t="s">
        <v>258</v>
      </c>
      <c r="AB898" t="s">
        <v>42</v>
      </c>
      <c r="AC898" t="s">
        <v>259</v>
      </c>
      <c r="AD898" t="s">
        <v>260</v>
      </c>
      <c r="AE898" t="s">
        <v>51</v>
      </c>
    </row>
    <row r="899" spans="1:31" x14ac:dyDescent="0.3">
      <c r="A899">
        <v>10291</v>
      </c>
      <c r="B899">
        <v>47</v>
      </c>
      <c r="C899">
        <v>100</v>
      </c>
      <c r="D899">
        <v>12</v>
      </c>
      <c r="E899" s="4" t="str">
        <f t="shared" ref="E899:E962" si="84">IF(F899&gt;4000,"high sales","low sales")</f>
        <v>high sales</v>
      </c>
      <c r="F899">
        <v>5713.79</v>
      </c>
      <c r="G899" t="s">
        <v>1571</v>
      </c>
      <c r="H899" s="1" t="str">
        <f t="shared" ref="H899:H962" si="85">PROPER(TRIM(J899))</f>
        <v>Shipped</v>
      </c>
      <c r="I899" s="4" t="str">
        <f t="shared" ref="I899:I962" si="86">IF(J899="shipped","completed","not completed")</f>
        <v>completed</v>
      </c>
      <c r="J899" t="s">
        <v>25</v>
      </c>
      <c r="K899">
        <v>3</v>
      </c>
      <c r="L899">
        <v>9</v>
      </c>
      <c r="M899">
        <v>2004</v>
      </c>
      <c r="N899" t="s">
        <v>550</v>
      </c>
      <c r="O899">
        <v>101</v>
      </c>
      <c r="P899" t="s">
        <v>596</v>
      </c>
      <c r="Q899" t="s">
        <v>261</v>
      </c>
      <c r="R899" t="s">
        <v>262</v>
      </c>
      <c r="S899" t="s">
        <v>263</v>
      </c>
      <c r="U899" s="1" t="str">
        <f t="shared" ref="U899:U962" si="87">PROPER(TRIM(V899))</f>
        <v>Boras</v>
      </c>
      <c r="V899" t="s">
        <v>264</v>
      </c>
      <c r="X899" t="s">
        <v>265</v>
      </c>
      <c r="Y899" s="1" t="str">
        <f t="shared" ref="Y899:Y962" si="88">UPPER(TRIM(AA899))</f>
        <v>SWEDEN</v>
      </c>
      <c r="Z899" s="4" t="str">
        <f t="shared" ref="Z899:Z962" si="89">PROPER(TRIM(AA899))</f>
        <v>Sweden</v>
      </c>
      <c r="AA899" t="s">
        <v>188</v>
      </c>
      <c r="AB899" t="s">
        <v>42</v>
      </c>
      <c r="AC899" t="s">
        <v>266</v>
      </c>
      <c r="AD899" t="s">
        <v>206</v>
      </c>
      <c r="AE899" t="s">
        <v>51</v>
      </c>
    </row>
    <row r="900" spans="1:31" x14ac:dyDescent="0.3">
      <c r="A900">
        <v>10304</v>
      </c>
      <c r="B900">
        <v>46</v>
      </c>
      <c r="C900">
        <v>100</v>
      </c>
      <c r="D900">
        <v>7</v>
      </c>
      <c r="E900" s="4" t="str">
        <f t="shared" si="84"/>
        <v>high sales</v>
      </c>
      <c r="F900">
        <v>4613.8</v>
      </c>
      <c r="G900" t="s">
        <v>1572</v>
      </c>
      <c r="H900" s="1" t="str">
        <f t="shared" si="85"/>
        <v>Shipped</v>
      </c>
      <c r="I900" s="4" t="str">
        <f t="shared" si="86"/>
        <v>completed</v>
      </c>
      <c r="J900" t="s">
        <v>25</v>
      </c>
      <c r="K900">
        <v>4</v>
      </c>
      <c r="L900">
        <v>10</v>
      </c>
      <c r="M900">
        <v>2004</v>
      </c>
      <c r="N900" t="s">
        <v>550</v>
      </c>
      <c r="O900">
        <v>101</v>
      </c>
      <c r="P900" t="s">
        <v>596</v>
      </c>
      <c r="Q900" t="s">
        <v>267</v>
      </c>
      <c r="R900" t="s">
        <v>268</v>
      </c>
      <c r="S900" t="s">
        <v>269</v>
      </c>
      <c r="U900" s="1" t="str">
        <f t="shared" si="87"/>
        <v>Versailles</v>
      </c>
      <c r="V900" t="s">
        <v>270</v>
      </c>
      <c r="X900">
        <v>78000</v>
      </c>
      <c r="Y900" s="1" t="str">
        <f t="shared" si="88"/>
        <v>FRANCE</v>
      </c>
      <c r="Z900" s="4" t="str">
        <f t="shared" si="89"/>
        <v>France</v>
      </c>
      <c r="AA900" t="s">
        <v>41</v>
      </c>
      <c r="AB900" t="s">
        <v>42</v>
      </c>
      <c r="AC900" t="s">
        <v>271</v>
      </c>
      <c r="AD900" t="s">
        <v>50</v>
      </c>
      <c r="AE900" t="s">
        <v>51</v>
      </c>
    </row>
    <row r="901" spans="1:31" x14ac:dyDescent="0.3">
      <c r="A901">
        <v>10312</v>
      </c>
      <c r="B901">
        <v>37</v>
      </c>
      <c r="C901">
        <v>100</v>
      </c>
      <c r="D901">
        <v>4</v>
      </c>
      <c r="E901" s="4" t="str">
        <f t="shared" si="84"/>
        <v>low sales</v>
      </c>
      <c r="F901">
        <v>3711.1</v>
      </c>
      <c r="G901" t="s">
        <v>1573</v>
      </c>
      <c r="H901" s="1" t="str">
        <f t="shared" si="85"/>
        <v>Shipped</v>
      </c>
      <c r="I901" s="4" t="str">
        <f t="shared" si="86"/>
        <v>completed</v>
      </c>
      <c r="J901" t="s">
        <v>25</v>
      </c>
      <c r="K901">
        <v>4</v>
      </c>
      <c r="L901">
        <v>10</v>
      </c>
      <c r="M901">
        <v>2004</v>
      </c>
      <c r="N901" t="s">
        <v>550</v>
      </c>
      <c r="O901">
        <v>101</v>
      </c>
      <c r="P901" t="s">
        <v>596</v>
      </c>
      <c r="Q901" t="s">
        <v>272</v>
      </c>
      <c r="R901">
        <v>4155551450</v>
      </c>
      <c r="S901" t="s">
        <v>273</v>
      </c>
      <c r="U901" s="1" t="str">
        <f t="shared" si="87"/>
        <v>San Rafael</v>
      </c>
      <c r="V901" t="s">
        <v>274</v>
      </c>
      <c r="W901" t="s">
        <v>55</v>
      </c>
      <c r="X901">
        <v>97562</v>
      </c>
      <c r="Y901" s="1" t="str">
        <f t="shared" si="88"/>
        <v>USA</v>
      </c>
      <c r="Z901" s="4" t="str">
        <f t="shared" si="89"/>
        <v>Usa</v>
      </c>
      <c r="AA901" t="s">
        <v>32</v>
      </c>
      <c r="AB901" t="s">
        <v>33</v>
      </c>
      <c r="AC901" t="s">
        <v>275</v>
      </c>
      <c r="AD901" t="s">
        <v>276</v>
      </c>
      <c r="AE901" t="s">
        <v>51</v>
      </c>
    </row>
    <row r="902" spans="1:31" x14ac:dyDescent="0.3">
      <c r="A902">
        <v>10322</v>
      </c>
      <c r="B902">
        <v>33</v>
      </c>
      <c r="C902">
        <v>100</v>
      </c>
      <c r="D902">
        <v>12</v>
      </c>
      <c r="E902" s="4" t="str">
        <f t="shared" si="84"/>
        <v>low sales</v>
      </c>
      <c r="F902">
        <v>3524.73</v>
      </c>
      <c r="G902" t="s">
        <v>1574</v>
      </c>
      <c r="H902" s="1" t="str">
        <f t="shared" si="85"/>
        <v>Shipped</v>
      </c>
      <c r="I902" s="4" t="str">
        <f t="shared" si="86"/>
        <v>completed</v>
      </c>
      <c r="J902" t="s">
        <v>25</v>
      </c>
      <c r="K902">
        <v>4</v>
      </c>
      <c r="L902">
        <v>11</v>
      </c>
      <c r="M902">
        <v>2004</v>
      </c>
      <c r="N902" t="s">
        <v>550</v>
      </c>
      <c r="O902">
        <v>101</v>
      </c>
      <c r="P902" t="s">
        <v>596</v>
      </c>
      <c r="Q902" t="s">
        <v>277</v>
      </c>
      <c r="R902">
        <v>6035558647</v>
      </c>
      <c r="S902" t="s">
        <v>278</v>
      </c>
      <c r="U902" s="1" t="str">
        <f t="shared" si="87"/>
        <v>Nashua</v>
      </c>
      <c r="V902" t="s">
        <v>279</v>
      </c>
      <c r="W902" t="s">
        <v>280</v>
      </c>
      <c r="X902">
        <v>62005</v>
      </c>
      <c r="Y902" s="1" t="str">
        <f t="shared" si="88"/>
        <v>USA</v>
      </c>
      <c r="Z902" s="4" t="str">
        <f t="shared" si="89"/>
        <v>Usa</v>
      </c>
      <c r="AA902" t="s">
        <v>32</v>
      </c>
      <c r="AB902" t="s">
        <v>33</v>
      </c>
      <c r="AC902" t="s">
        <v>56</v>
      </c>
      <c r="AD902" t="s">
        <v>276</v>
      </c>
      <c r="AE902" t="s">
        <v>51</v>
      </c>
    </row>
    <row r="903" spans="1:31" x14ac:dyDescent="0.3">
      <c r="A903">
        <v>10333</v>
      </c>
      <c r="B903">
        <v>31</v>
      </c>
      <c r="C903">
        <v>90.17</v>
      </c>
      <c r="D903">
        <v>5</v>
      </c>
      <c r="E903" s="4" t="str">
        <f t="shared" si="84"/>
        <v>low sales</v>
      </c>
      <c r="F903">
        <v>2795.27</v>
      </c>
      <c r="G903" t="s">
        <v>1575</v>
      </c>
      <c r="H903" s="1" t="str">
        <f t="shared" si="85"/>
        <v>Shipped</v>
      </c>
      <c r="I903" s="4" t="str">
        <f t="shared" si="86"/>
        <v>completed</v>
      </c>
      <c r="J903" t="s">
        <v>25</v>
      </c>
      <c r="K903">
        <v>4</v>
      </c>
      <c r="L903">
        <v>11</v>
      </c>
      <c r="M903">
        <v>2004</v>
      </c>
      <c r="N903" t="s">
        <v>550</v>
      </c>
      <c r="O903">
        <v>101</v>
      </c>
      <c r="P903" t="s">
        <v>596</v>
      </c>
      <c r="Q903" t="s">
        <v>81</v>
      </c>
      <c r="R903">
        <v>6505555787</v>
      </c>
      <c r="S903" t="s">
        <v>82</v>
      </c>
      <c r="U903" s="1" t="str">
        <f t="shared" si="87"/>
        <v>San Francisco</v>
      </c>
      <c r="V903" t="s">
        <v>60</v>
      </c>
      <c r="W903" t="s">
        <v>55</v>
      </c>
      <c r="Y903" s="1" t="str">
        <f t="shared" si="88"/>
        <v>USA</v>
      </c>
      <c r="Z903" s="4" t="str">
        <f t="shared" si="89"/>
        <v>Usa</v>
      </c>
      <c r="AA903" t="s">
        <v>32</v>
      </c>
      <c r="AB903" t="s">
        <v>33</v>
      </c>
      <c r="AC903" t="s">
        <v>83</v>
      </c>
      <c r="AD903" t="s">
        <v>57</v>
      </c>
      <c r="AE903" t="s">
        <v>36</v>
      </c>
    </row>
    <row r="904" spans="1:31" x14ac:dyDescent="0.3">
      <c r="A904">
        <v>10347</v>
      </c>
      <c r="B904">
        <v>48</v>
      </c>
      <c r="C904">
        <v>100</v>
      </c>
      <c r="D904">
        <v>9</v>
      </c>
      <c r="E904" s="4" t="str">
        <f t="shared" si="84"/>
        <v>high sales</v>
      </c>
      <c r="F904">
        <v>4814.3999999999996</v>
      </c>
      <c r="G904" t="s">
        <v>1576</v>
      </c>
      <c r="H904" s="1" t="str">
        <f t="shared" si="85"/>
        <v>Shipped</v>
      </c>
      <c r="I904" s="4" t="str">
        <f t="shared" si="86"/>
        <v>completed</v>
      </c>
      <c r="J904" t="s">
        <v>25</v>
      </c>
      <c r="K904">
        <v>4</v>
      </c>
      <c r="L904">
        <v>11</v>
      </c>
      <c r="M904">
        <v>2004</v>
      </c>
      <c r="N904" t="s">
        <v>550</v>
      </c>
      <c r="O904">
        <v>101</v>
      </c>
      <c r="P904" t="s">
        <v>596</v>
      </c>
      <c r="Q904" t="s">
        <v>89</v>
      </c>
      <c r="R904" t="s">
        <v>90</v>
      </c>
      <c r="S904" t="s">
        <v>91</v>
      </c>
      <c r="T904" t="s">
        <v>92</v>
      </c>
      <c r="U904" s="1" t="str">
        <f t="shared" si="87"/>
        <v>Melbourne</v>
      </c>
      <c r="V904" t="s">
        <v>93</v>
      </c>
      <c r="W904" t="s">
        <v>94</v>
      </c>
      <c r="X904">
        <v>3004</v>
      </c>
      <c r="Y904" s="1" t="str">
        <f t="shared" si="88"/>
        <v>AUSTRALIA</v>
      </c>
      <c r="Z904" s="4" t="str">
        <f t="shared" si="89"/>
        <v>Australia</v>
      </c>
      <c r="AA904" t="s">
        <v>95</v>
      </c>
      <c r="AB904" t="s">
        <v>96</v>
      </c>
      <c r="AC904" t="s">
        <v>97</v>
      </c>
      <c r="AD904" t="s">
        <v>98</v>
      </c>
      <c r="AE904" t="s">
        <v>51</v>
      </c>
    </row>
    <row r="905" spans="1:31" x14ac:dyDescent="0.3">
      <c r="A905">
        <v>10357</v>
      </c>
      <c r="B905">
        <v>41</v>
      </c>
      <c r="C905">
        <v>87.13</v>
      </c>
      <c r="D905">
        <v>6</v>
      </c>
      <c r="E905" s="4" t="str">
        <f t="shared" si="84"/>
        <v>low sales</v>
      </c>
      <c r="F905">
        <v>3572.33</v>
      </c>
      <c r="G905" t="s">
        <v>1577</v>
      </c>
      <c r="H905" s="1" t="str">
        <f t="shared" si="85"/>
        <v>Shipped</v>
      </c>
      <c r="I905" s="4" t="str">
        <f t="shared" si="86"/>
        <v>completed</v>
      </c>
      <c r="J905" t="s">
        <v>25</v>
      </c>
      <c r="K905">
        <v>4</v>
      </c>
      <c r="L905">
        <v>12</v>
      </c>
      <c r="M905">
        <v>2004</v>
      </c>
      <c r="N905" t="s">
        <v>550</v>
      </c>
      <c r="O905">
        <v>101</v>
      </c>
      <c r="P905" t="s">
        <v>596</v>
      </c>
      <c r="Q905" t="s">
        <v>272</v>
      </c>
      <c r="R905">
        <v>4155551450</v>
      </c>
      <c r="S905" t="s">
        <v>273</v>
      </c>
      <c r="U905" s="1" t="str">
        <f t="shared" si="87"/>
        <v>San Rafael</v>
      </c>
      <c r="V905" t="s">
        <v>274</v>
      </c>
      <c r="W905" t="s">
        <v>55</v>
      </c>
      <c r="X905">
        <v>97562</v>
      </c>
      <c r="Y905" s="1" t="str">
        <f t="shared" si="88"/>
        <v>USA</v>
      </c>
      <c r="Z905" s="4" t="str">
        <f t="shared" si="89"/>
        <v>Usa</v>
      </c>
      <c r="AA905" t="s">
        <v>32</v>
      </c>
      <c r="AB905" t="s">
        <v>33</v>
      </c>
      <c r="AC905" t="s">
        <v>275</v>
      </c>
      <c r="AD905" t="s">
        <v>276</v>
      </c>
      <c r="AE905" t="s">
        <v>51</v>
      </c>
    </row>
    <row r="906" spans="1:31" x14ac:dyDescent="0.3">
      <c r="A906">
        <v>10369</v>
      </c>
      <c r="B906">
        <v>42</v>
      </c>
      <c r="C906">
        <v>100</v>
      </c>
      <c r="D906">
        <v>1</v>
      </c>
      <c r="E906" s="4" t="str">
        <f t="shared" si="84"/>
        <v>high sales</v>
      </c>
      <c r="F906">
        <v>4581.3599999999997</v>
      </c>
      <c r="G906" t="s">
        <v>1578</v>
      </c>
      <c r="H906" s="1" t="str">
        <f t="shared" si="85"/>
        <v>Shipped</v>
      </c>
      <c r="I906" s="4" t="str">
        <f t="shared" si="86"/>
        <v>completed</v>
      </c>
      <c r="J906" t="s">
        <v>25</v>
      </c>
      <c r="K906">
        <v>1</v>
      </c>
      <c r="L906">
        <v>1</v>
      </c>
      <c r="M906">
        <v>2005</v>
      </c>
      <c r="N906" t="s">
        <v>550</v>
      </c>
      <c r="O906">
        <v>101</v>
      </c>
      <c r="P906" t="s">
        <v>596</v>
      </c>
      <c r="Q906" t="s">
        <v>281</v>
      </c>
      <c r="R906">
        <v>6175558555</v>
      </c>
      <c r="S906" t="s">
        <v>282</v>
      </c>
      <c r="U906" s="1" t="str">
        <f t="shared" si="87"/>
        <v>Brickhaven</v>
      </c>
      <c r="V906" t="s">
        <v>283</v>
      </c>
      <c r="W906" t="s">
        <v>123</v>
      </c>
      <c r="X906">
        <v>58339</v>
      </c>
      <c r="Y906" s="1" t="str">
        <f t="shared" si="88"/>
        <v>USA</v>
      </c>
      <c r="Z906" s="4" t="str">
        <f t="shared" si="89"/>
        <v>Usa</v>
      </c>
      <c r="AA906" t="s">
        <v>32</v>
      </c>
      <c r="AB906" t="s">
        <v>33</v>
      </c>
      <c r="AC906" t="s">
        <v>275</v>
      </c>
      <c r="AD906" t="s">
        <v>284</v>
      </c>
      <c r="AE906" t="s">
        <v>51</v>
      </c>
    </row>
    <row r="907" spans="1:31" x14ac:dyDescent="0.3">
      <c r="A907">
        <v>10381</v>
      </c>
      <c r="B907">
        <v>41</v>
      </c>
      <c r="C907">
        <v>100</v>
      </c>
      <c r="D907">
        <v>8</v>
      </c>
      <c r="E907" s="4" t="str">
        <f t="shared" si="84"/>
        <v>high sales</v>
      </c>
      <c r="F907">
        <v>4319.76</v>
      </c>
      <c r="G907" t="s">
        <v>1579</v>
      </c>
      <c r="H907" s="1" t="str">
        <f t="shared" si="85"/>
        <v>Shipped</v>
      </c>
      <c r="I907" s="4" t="str">
        <f t="shared" si="86"/>
        <v>completed</v>
      </c>
      <c r="J907" t="s">
        <v>25</v>
      </c>
      <c r="K907">
        <v>1</v>
      </c>
      <c r="L907">
        <v>2</v>
      </c>
      <c r="M907">
        <v>2005</v>
      </c>
      <c r="N907" t="s">
        <v>550</v>
      </c>
      <c r="O907">
        <v>101</v>
      </c>
      <c r="P907" t="s">
        <v>596</v>
      </c>
      <c r="Q907" t="s">
        <v>58</v>
      </c>
      <c r="R907">
        <v>6505551386</v>
      </c>
      <c r="S907" t="s">
        <v>59</v>
      </c>
      <c r="U907" s="1" t="str">
        <f t="shared" si="87"/>
        <v>San Francisco</v>
      </c>
      <c r="V907" t="s">
        <v>60</v>
      </c>
      <c r="W907" t="s">
        <v>55</v>
      </c>
      <c r="Y907" s="1" t="str">
        <f t="shared" si="88"/>
        <v>USA</v>
      </c>
      <c r="Z907" s="4" t="str">
        <f t="shared" si="89"/>
        <v>Usa</v>
      </c>
      <c r="AA907" t="s">
        <v>32</v>
      </c>
      <c r="AB907" t="s">
        <v>33</v>
      </c>
      <c r="AC907" t="s">
        <v>61</v>
      </c>
      <c r="AD907" t="s">
        <v>57</v>
      </c>
      <c r="AE907" t="s">
        <v>51</v>
      </c>
    </row>
    <row r="908" spans="1:31" x14ac:dyDescent="0.3">
      <c r="A908">
        <v>10391</v>
      </c>
      <c r="B908">
        <v>32</v>
      </c>
      <c r="C908">
        <v>45.25</v>
      </c>
      <c r="D908">
        <v>6</v>
      </c>
      <c r="E908" s="4" t="str">
        <f t="shared" si="84"/>
        <v>low sales</v>
      </c>
      <c r="F908">
        <v>1448</v>
      </c>
      <c r="G908" t="s">
        <v>1580</v>
      </c>
      <c r="H908" s="1" t="str">
        <f t="shared" si="85"/>
        <v>Shipped</v>
      </c>
      <c r="I908" s="4" t="str">
        <f t="shared" si="86"/>
        <v>completed</v>
      </c>
      <c r="J908" t="s">
        <v>25</v>
      </c>
      <c r="K908">
        <v>1</v>
      </c>
      <c r="L908">
        <v>3</v>
      </c>
      <c r="M908">
        <v>2005</v>
      </c>
      <c r="N908" t="s">
        <v>550</v>
      </c>
      <c r="O908">
        <v>101</v>
      </c>
      <c r="P908" t="s">
        <v>596</v>
      </c>
      <c r="Q908" t="s">
        <v>285</v>
      </c>
      <c r="R908" t="s">
        <v>286</v>
      </c>
      <c r="S908" t="s">
        <v>287</v>
      </c>
      <c r="T908" t="s">
        <v>288</v>
      </c>
      <c r="U908" s="1" t="str">
        <f t="shared" si="87"/>
        <v>North Sydney</v>
      </c>
      <c r="V908" t="s">
        <v>289</v>
      </c>
      <c r="W908" t="s">
        <v>157</v>
      </c>
      <c r="X908">
        <v>2060</v>
      </c>
      <c r="Y908" s="1" t="str">
        <f t="shared" si="88"/>
        <v>AUSTRALIA</v>
      </c>
      <c r="Z908" s="4" t="str">
        <f t="shared" si="89"/>
        <v>Australia</v>
      </c>
      <c r="AA908" t="s">
        <v>95</v>
      </c>
      <c r="AB908" t="s">
        <v>96</v>
      </c>
      <c r="AC908" t="s">
        <v>290</v>
      </c>
      <c r="AD908" t="s">
        <v>291</v>
      </c>
      <c r="AE908" t="s">
        <v>36</v>
      </c>
    </row>
    <row r="909" spans="1:31" x14ac:dyDescent="0.3">
      <c r="A909">
        <v>10423</v>
      </c>
      <c r="B909">
        <v>10</v>
      </c>
      <c r="C909">
        <v>88.14</v>
      </c>
      <c r="D909">
        <v>1</v>
      </c>
      <c r="E909" s="4" t="str">
        <f t="shared" si="84"/>
        <v>low sales</v>
      </c>
      <c r="F909">
        <v>881.4</v>
      </c>
      <c r="G909" t="s">
        <v>1581</v>
      </c>
      <c r="H909" s="1" t="str">
        <f t="shared" si="85"/>
        <v>In Process</v>
      </c>
      <c r="I909" s="4" t="str">
        <f t="shared" si="86"/>
        <v>not completed</v>
      </c>
      <c r="J909" t="s">
        <v>300</v>
      </c>
      <c r="K909">
        <v>2</v>
      </c>
      <c r="L909">
        <v>5</v>
      </c>
      <c r="M909">
        <v>2005</v>
      </c>
      <c r="N909" t="s">
        <v>550</v>
      </c>
      <c r="O909">
        <v>101</v>
      </c>
      <c r="P909" t="s">
        <v>596</v>
      </c>
      <c r="Q909" t="s">
        <v>365</v>
      </c>
      <c r="R909" t="s">
        <v>366</v>
      </c>
      <c r="S909" t="s">
        <v>367</v>
      </c>
      <c r="U909" s="1" t="str">
        <f t="shared" si="87"/>
        <v>Bruxelles</v>
      </c>
      <c r="V909" t="s">
        <v>368</v>
      </c>
      <c r="X909" t="s">
        <v>369</v>
      </c>
      <c r="Y909" s="1" t="str">
        <f t="shared" si="88"/>
        <v>BELGIUM</v>
      </c>
      <c r="Z909" s="4" t="str">
        <f t="shared" si="89"/>
        <v>Belgium</v>
      </c>
      <c r="AA909" t="s">
        <v>370</v>
      </c>
      <c r="AB909" t="s">
        <v>42</v>
      </c>
      <c r="AC909" t="s">
        <v>371</v>
      </c>
      <c r="AD909" t="s">
        <v>372</v>
      </c>
      <c r="AE909" t="s">
        <v>36</v>
      </c>
    </row>
    <row r="910" spans="1:31" x14ac:dyDescent="0.3">
      <c r="A910">
        <v>10103</v>
      </c>
      <c r="B910">
        <v>35</v>
      </c>
      <c r="C910">
        <v>57.46</v>
      </c>
      <c r="D910">
        <v>14</v>
      </c>
      <c r="E910" s="4" t="str">
        <f t="shared" si="84"/>
        <v>low sales</v>
      </c>
      <c r="F910">
        <v>2011.1</v>
      </c>
      <c r="G910" t="s">
        <v>1582</v>
      </c>
      <c r="H910" s="1" t="str">
        <f t="shared" si="85"/>
        <v>Shipped</v>
      </c>
      <c r="I910" s="4" t="str">
        <f t="shared" si="86"/>
        <v>completed</v>
      </c>
      <c r="J910" t="s">
        <v>25</v>
      </c>
      <c r="K910">
        <v>1</v>
      </c>
      <c r="L910">
        <v>1</v>
      </c>
      <c r="M910">
        <v>2003</v>
      </c>
      <c r="N910" t="s">
        <v>550</v>
      </c>
      <c r="O910">
        <v>62</v>
      </c>
      <c r="P910" t="s">
        <v>597</v>
      </c>
      <c r="Q910" t="s">
        <v>133</v>
      </c>
      <c r="R910" t="s">
        <v>134</v>
      </c>
      <c r="S910" t="s">
        <v>135</v>
      </c>
      <c r="U910" s="1" t="str">
        <f t="shared" si="87"/>
        <v>Stavern</v>
      </c>
      <c r="V910" t="s">
        <v>136</v>
      </c>
      <c r="X910">
        <v>4110</v>
      </c>
      <c r="Y910" s="1" t="str">
        <f t="shared" si="88"/>
        <v>NORWAY</v>
      </c>
      <c r="Z910" s="4" t="str">
        <f t="shared" si="89"/>
        <v>Norway</v>
      </c>
      <c r="AA910" t="s">
        <v>78</v>
      </c>
      <c r="AB910" t="s">
        <v>42</v>
      </c>
      <c r="AC910" t="s">
        <v>137</v>
      </c>
      <c r="AD910" t="s">
        <v>138</v>
      </c>
      <c r="AE910" t="s">
        <v>36</v>
      </c>
    </row>
    <row r="911" spans="1:31" x14ac:dyDescent="0.3">
      <c r="A911">
        <v>10111</v>
      </c>
      <c r="B911">
        <v>28</v>
      </c>
      <c r="C911">
        <v>64.33</v>
      </c>
      <c r="D911">
        <v>2</v>
      </c>
      <c r="E911" s="4" t="str">
        <f t="shared" si="84"/>
        <v>low sales</v>
      </c>
      <c r="F911">
        <v>1801.24</v>
      </c>
      <c r="G911" t="s">
        <v>1583</v>
      </c>
      <c r="H911" s="1" t="str">
        <f t="shared" si="85"/>
        <v>Shipped</v>
      </c>
      <c r="I911" s="4" t="str">
        <f t="shared" si="86"/>
        <v>completed</v>
      </c>
      <c r="J911" t="s">
        <v>25</v>
      </c>
      <c r="K911">
        <v>1</v>
      </c>
      <c r="L911">
        <v>3</v>
      </c>
      <c r="M911">
        <v>2003</v>
      </c>
      <c r="N911" t="s">
        <v>550</v>
      </c>
      <c r="O911">
        <v>62</v>
      </c>
      <c r="P911" t="s">
        <v>597</v>
      </c>
      <c r="Q911" t="s">
        <v>81</v>
      </c>
      <c r="R911">
        <v>6505555787</v>
      </c>
      <c r="S911" t="s">
        <v>82</v>
      </c>
      <c r="U911" s="1" t="str">
        <f t="shared" si="87"/>
        <v>San Francisco</v>
      </c>
      <c r="V911" t="s">
        <v>60</v>
      </c>
      <c r="W911" t="s">
        <v>55</v>
      </c>
      <c r="Y911" s="1" t="str">
        <f t="shared" si="88"/>
        <v>USA</v>
      </c>
      <c r="Z911" s="4" t="str">
        <f t="shared" si="89"/>
        <v>Usa</v>
      </c>
      <c r="AA911" t="s">
        <v>32</v>
      </c>
      <c r="AB911" t="s">
        <v>33</v>
      </c>
      <c r="AC911" t="s">
        <v>83</v>
      </c>
      <c r="AD911" t="s">
        <v>57</v>
      </c>
      <c r="AE911" t="s">
        <v>36</v>
      </c>
    </row>
    <row r="912" spans="1:31" x14ac:dyDescent="0.3">
      <c r="A912">
        <v>10126</v>
      </c>
      <c r="B912">
        <v>46</v>
      </c>
      <c r="C912">
        <v>73.7</v>
      </c>
      <c r="D912">
        <v>14</v>
      </c>
      <c r="E912" s="4" t="str">
        <f t="shared" si="84"/>
        <v>low sales</v>
      </c>
      <c r="F912">
        <v>3390.2</v>
      </c>
      <c r="G912" t="s">
        <v>1584</v>
      </c>
      <c r="H912" s="1" t="str">
        <f t="shared" si="85"/>
        <v>Shipped</v>
      </c>
      <c r="I912" s="4" t="str">
        <f t="shared" si="86"/>
        <v>completed</v>
      </c>
      <c r="J912" t="s">
        <v>25</v>
      </c>
      <c r="K912">
        <v>2</v>
      </c>
      <c r="L912">
        <v>5</v>
      </c>
      <c r="M912">
        <v>2003</v>
      </c>
      <c r="N912" t="s">
        <v>550</v>
      </c>
      <c r="O912">
        <v>62</v>
      </c>
      <c r="P912" t="s">
        <v>597</v>
      </c>
      <c r="Q912" t="s">
        <v>191</v>
      </c>
      <c r="R912" t="s">
        <v>192</v>
      </c>
      <c r="S912" t="s">
        <v>193</v>
      </c>
      <c r="U912" s="1" t="str">
        <f t="shared" si="87"/>
        <v>Madrid</v>
      </c>
      <c r="V912" t="s">
        <v>177</v>
      </c>
      <c r="X912">
        <v>28023</v>
      </c>
      <c r="Y912" s="1" t="str">
        <f t="shared" si="88"/>
        <v>SPAIN</v>
      </c>
      <c r="Z912" s="4" t="str">
        <f t="shared" si="89"/>
        <v>Spain</v>
      </c>
      <c r="AA912" t="s">
        <v>178</v>
      </c>
      <c r="AB912" t="s">
        <v>42</v>
      </c>
      <c r="AC912" t="s">
        <v>194</v>
      </c>
      <c r="AD912" t="s">
        <v>195</v>
      </c>
      <c r="AE912" t="s">
        <v>51</v>
      </c>
    </row>
    <row r="913" spans="1:31" x14ac:dyDescent="0.3">
      <c r="A913">
        <v>10139</v>
      </c>
      <c r="B913">
        <v>20</v>
      </c>
      <c r="C913">
        <v>71.2</v>
      </c>
      <c r="D913">
        <v>3</v>
      </c>
      <c r="E913" s="4" t="str">
        <f t="shared" si="84"/>
        <v>low sales</v>
      </c>
      <c r="F913">
        <v>1424</v>
      </c>
      <c r="G913" t="s">
        <v>1585</v>
      </c>
      <c r="H913" s="1" t="str">
        <f t="shared" si="85"/>
        <v>Shipped</v>
      </c>
      <c r="I913" s="4" t="str">
        <f t="shared" si="86"/>
        <v>completed</v>
      </c>
      <c r="J913" t="s">
        <v>25</v>
      </c>
      <c r="K913">
        <v>3</v>
      </c>
      <c r="L913">
        <v>7</v>
      </c>
      <c r="M913">
        <v>2003</v>
      </c>
      <c r="N913" t="s">
        <v>550</v>
      </c>
      <c r="O913">
        <v>62</v>
      </c>
      <c r="P913" t="s">
        <v>597</v>
      </c>
      <c r="Q913" t="s">
        <v>152</v>
      </c>
      <c r="R913" t="s">
        <v>153</v>
      </c>
      <c r="S913" t="s">
        <v>154</v>
      </c>
      <c r="T913" t="s">
        <v>155</v>
      </c>
      <c r="U913" s="1" t="str">
        <f t="shared" si="87"/>
        <v>Chatswood</v>
      </c>
      <c r="V913" t="s">
        <v>156</v>
      </c>
      <c r="W913" t="s">
        <v>157</v>
      </c>
      <c r="X913">
        <v>2067</v>
      </c>
      <c r="Y913" s="1" t="str">
        <f t="shared" si="88"/>
        <v>AUSTRALIA</v>
      </c>
      <c r="Z913" s="4" t="str">
        <f t="shared" si="89"/>
        <v>Australia</v>
      </c>
      <c r="AA913" t="s">
        <v>95</v>
      </c>
      <c r="AB913" t="s">
        <v>96</v>
      </c>
      <c r="AC913" t="s">
        <v>158</v>
      </c>
      <c r="AD913" t="s">
        <v>159</v>
      </c>
      <c r="AE913" t="s">
        <v>36</v>
      </c>
    </row>
    <row r="914" spans="1:31" x14ac:dyDescent="0.3">
      <c r="A914">
        <v>10150</v>
      </c>
      <c r="B914">
        <v>30</v>
      </c>
      <c r="C914">
        <v>49.97</v>
      </c>
      <c r="D914">
        <v>11</v>
      </c>
      <c r="E914" s="4" t="str">
        <f t="shared" si="84"/>
        <v>low sales</v>
      </c>
      <c r="F914">
        <v>1499.1</v>
      </c>
      <c r="G914" t="s">
        <v>1586</v>
      </c>
      <c r="H914" s="1" t="str">
        <f t="shared" si="85"/>
        <v>Shipped</v>
      </c>
      <c r="I914" s="4" t="str">
        <f t="shared" si="86"/>
        <v>completed</v>
      </c>
      <c r="J914" t="s">
        <v>25</v>
      </c>
      <c r="K914">
        <v>3</v>
      </c>
      <c r="L914">
        <v>9</v>
      </c>
      <c r="M914">
        <v>2003</v>
      </c>
      <c r="N914" t="s">
        <v>550</v>
      </c>
      <c r="O914">
        <v>62</v>
      </c>
      <c r="P914" t="s">
        <v>597</v>
      </c>
      <c r="Q914" t="s">
        <v>196</v>
      </c>
      <c r="R914" t="s">
        <v>197</v>
      </c>
      <c r="S914" t="s">
        <v>198</v>
      </c>
      <c r="U914" s="1" t="str">
        <f t="shared" si="87"/>
        <v>Singapore</v>
      </c>
      <c r="V914" t="s">
        <v>199</v>
      </c>
      <c r="X914">
        <v>79903</v>
      </c>
      <c r="Y914" s="1" t="str">
        <f t="shared" si="88"/>
        <v>SINGAPORE</v>
      </c>
      <c r="Z914" s="4" t="str">
        <f t="shared" si="89"/>
        <v>Singapore</v>
      </c>
      <c r="AA914" t="s">
        <v>199</v>
      </c>
      <c r="AB914" t="s">
        <v>200</v>
      </c>
      <c r="AC914" t="s">
        <v>201</v>
      </c>
      <c r="AD914" t="s">
        <v>202</v>
      </c>
      <c r="AE914" t="s">
        <v>36</v>
      </c>
    </row>
    <row r="915" spans="1:31" x14ac:dyDescent="0.3">
      <c r="A915">
        <v>10163</v>
      </c>
      <c r="B915">
        <v>48</v>
      </c>
      <c r="C915">
        <v>69.959999999999994</v>
      </c>
      <c r="D915">
        <v>4</v>
      </c>
      <c r="E915" s="4" t="str">
        <f t="shared" si="84"/>
        <v>low sales</v>
      </c>
      <c r="F915">
        <v>3358.08</v>
      </c>
      <c r="G915" t="s">
        <v>1587</v>
      </c>
      <c r="H915" s="1" t="str">
        <f t="shared" si="85"/>
        <v>Shipped</v>
      </c>
      <c r="I915" s="4" t="str">
        <f t="shared" si="86"/>
        <v>completed</v>
      </c>
      <c r="J915" t="s">
        <v>25</v>
      </c>
      <c r="K915">
        <v>4</v>
      </c>
      <c r="L915">
        <v>10</v>
      </c>
      <c r="M915">
        <v>2003</v>
      </c>
      <c r="N915" t="s">
        <v>550</v>
      </c>
      <c r="O915">
        <v>62</v>
      </c>
      <c r="P915" t="s">
        <v>597</v>
      </c>
      <c r="Q915" t="s">
        <v>203</v>
      </c>
      <c r="R915">
        <v>2125558493</v>
      </c>
      <c r="S915" t="s">
        <v>204</v>
      </c>
      <c r="T915" t="s">
        <v>205</v>
      </c>
      <c r="U915" s="1" t="str">
        <f t="shared" si="87"/>
        <v>Nyc</v>
      </c>
      <c r="V915" t="s">
        <v>30</v>
      </c>
      <c r="W915" t="s">
        <v>31</v>
      </c>
      <c r="X915">
        <v>10022</v>
      </c>
      <c r="Y915" s="1" t="str">
        <f t="shared" si="88"/>
        <v>USA</v>
      </c>
      <c r="Z915" s="4" t="str">
        <f t="shared" si="89"/>
        <v>Usa</v>
      </c>
      <c r="AA915" t="s">
        <v>32</v>
      </c>
      <c r="AB915" t="s">
        <v>33</v>
      </c>
      <c r="AC915" t="s">
        <v>124</v>
      </c>
      <c r="AD915" t="s">
        <v>206</v>
      </c>
      <c r="AE915" t="s">
        <v>51</v>
      </c>
    </row>
    <row r="916" spans="1:31" x14ac:dyDescent="0.3">
      <c r="A916">
        <v>10173</v>
      </c>
      <c r="B916">
        <v>28</v>
      </c>
      <c r="C916">
        <v>53.72</v>
      </c>
      <c r="D916">
        <v>2</v>
      </c>
      <c r="E916" s="4" t="str">
        <f t="shared" si="84"/>
        <v>low sales</v>
      </c>
      <c r="F916">
        <v>1504.16</v>
      </c>
      <c r="G916" t="s">
        <v>1588</v>
      </c>
      <c r="H916" s="1" t="str">
        <f t="shared" si="85"/>
        <v>Shipped</v>
      </c>
      <c r="I916" s="4" t="str">
        <f t="shared" si="86"/>
        <v>completed</v>
      </c>
      <c r="J916" t="s">
        <v>25</v>
      </c>
      <c r="K916">
        <v>4</v>
      </c>
      <c r="L916">
        <v>11</v>
      </c>
      <c r="M916">
        <v>2003</v>
      </c>
      <c r="N916" t="s">
        <v>550</v>
      </c>
      <c r="O916">
        <v>62</v>
      </c>
      <c r="P916" t="s">
        <v>597</v>
      </c>
      <c r="Q916" t="s">
        <v>552</v>
      </c>
      <c r="R916" t="s">
        <v>553</v>
      </c>
      <c r="S916" t="s">
        <v>554</v>
      </c>
      <c r="U916" s="1" t="str">
        <f t="shared" si="87"/>
        <v>Bergamo</v>
      </c>
      <c r="V916" t="s">
        <v>555</v>
      </c>
      <c r="X916">
        <v>24100</v>
      </c>
      <c r="Y916" s="1" t="str">
        <f t="shared" si="88"/>
        <v>ITALY</v>
      </c>
      <c r="Z916" s="4" t="str">
        <f t="shared" si="89"/>
        <v>Italy</v>
      </c>
      <c r="AA916" t="s">
        <v>258</v>
      </c>
      <c r="AB916" t="s">
        <v>42</v>
      </c>
      <c r="AC916" t="s">
        <v>556</v>
      </c>
      <c r="AD916" t="s">
        <v>557</v>
      </c>
      <c r="AE916" t="s">
        <v>36</v>
      </c>
    </row>
    <row r="917" spans="1:31" x14ac:dyDescent="0.3">
      <c r="A917">
        <v>10183</v>
      </c>
      <c r="B917">
        <v>39</v>
      </c>
      <c r="C917">
        <v>68.08</v>
      </c>
      <c r="D917">
        <v>11</v>
      </c>
      <c r="E917" s="4" t="str">
        <f t="shared" si="84"/>
        <v>low sales</v>
      </c>
      <c r="F917">
        <v>2655.12</v>
      </c>
      <c r="G917" t="s">
        <v>1589</v>
      </c>
      <c r="H917" s="1" t="str">
        <f t="shared" si="85"/>
        <v>Shipped</v>
      </c>
      <c r="I917" s="4" t="str">
        <f t="shared" si="86"/>
        <v>completed</v>
      </c>
      <c r="J917" t="s">
        <v>25</v>
      </c>
      <c r="K917">
        <v>4</v>
      </c>
      <c r="L917">
        <v>11</v>
      </c>
      <c r="M917">
        <v>2003</v>
      </c>
      <c r="N917" t="s">
        <v>550</v>
      </c>
      <c r="O917">
        <v>62</v>
      </c>
      <c r="P917" t="s">
        <v>597</v>
      </c>
      <c r="Q917" t="s">
        <v>214</v>
      </c>
      <c r="R917">
        <v>2155554695</v>
      </c>
      <c r="S917" t="s">
        <v>215</v>
      </c>
      <c r="U917" s="1" t="str">
        <f t="shared" si="87"/>
        <v>Philadelphia</v>
      </c>
      <c r="V917" t="s">
        <v>216</v>
      </c>
      <c r="W917" t="s">
        <v>142</v>
      </c>
      <c r="X917">
        <v>71270</v>
      </c>
      <c r="Y917" s="1" t="str">
        <f t="shared" si="88"/>
        <v>USA</v>
      </c>
      <c r="Z917" s="4" t="str">
        <f t="shared" si="89"/>
        <v>Usa</v>
      </c>
      <c r="AA917" t="s">
        <v>32</v>
      </c>
      <c r="AB917" t="s">
        <v>33</v>
      </c>
      <c r="AC917" t="s">
        <v>217</v>
      </c>
      <c r="AD917" t="s">
        <v>218</v>
      </c>
      <c r="AE917" t="s">
        <v>36</v>
      </c>
    </row>
    <row r="918" spans="1:31" x14ac:dyDescent="0.3">
      <c r="A918">
        <v>10193</v>
      </c>
      <c r="B918">
        <v>24</v>
      </c>
      <c r="C918">
        <v>51.84</v>
      </c>
      <c r="D918">
        <v>3</v>
      </c>
      <c r="E918" s="4" t="str">
        <f t="shared" si="84"/>
        <v>low sales</v>
      </c>
      <c r="F918">
        <v>1244.1600000000001</v>
      </c>
      <c r="G918" t="s">
        <v>1590</v>
      </c>
      <c r="H918" s="1" t="str">
        <f t="shared" si="85"/>
        <v>Shipped</v>
      </c>
      <c r="I918" s="4" t="str">
        <f t="shared" si="86"/>
        <v>completed</v>
      </c>
      <c r="J918" t="s">
        <v>25</v>
      </c>
      <c r="K918">
        <v>4</v>
      </c>
      <c r="L918">
        <v>11</v>
      </c>
      <c r="M918">
        <v>2003</v>
      </c>
      <c r="N918" t="s">
        <v>550</v>
      </c>
      <c r="O918">
        <v>62</v>
      </c>
      <c r="P918" t="s">
        <v>597</v>
      </c>
      <c r="Q918" t="s">
        <v>558</v>
      </c>
      <c r="R918" t="s">
        <v>559</v>
      </c>
      <c r="S918" t="s">
        <v>560</v>
      </c>
      <c r="U918" s="1" t="str">
        <f t="shared" si="87"/>
        <v>Glen Waverly</v>
      </c>
      <c r="V918" t="s">
        <v>561</v>
      </c>
      <c r="W918" t="s">
        <v>94</v>
      </c>
      <c r="X918">
        <v>3150</v>
      </c>
      <c r="Y918" s="1" t="str">
        <f t="shared" si="88"/>
        <v>AUSTRALIA</v>
      </c>
      <c r="Z918" s="4" t="str">
        <f t="shared" si="89"/>
        <v>Australia</v>
      </c>
      <c r="AA918" t="s">
        <v>95</v>
      </c>
      <c r="AB918" t="s">
        <v>96</v>
      </c>
      <c r="AC918" t="s">
        <v>562</v>
      </c>
      <c r="AD918" t="s">
        <v>563</v>
      </c>
      <c r="AE918" t="s">
        <v>36</v>
      </c>
    </row>
    <row r="919" spans="1:31" x14ac:dyDescent="0.3">
      <c r="A919">
        <v>10206</v>
      </c>
      <c r="B919">
        <v>28</v>
      </c>
      <c r="C919">
        <v>67.459999999999994</v>
      </c>
      <c r="D919">
        <v>9</v>
      </c>
      <c r="E919" s="4" t="str">
        <f t="shared" si="84"/>
        <v>low sales</v>
      </c>
      <c r="F919">
        <v>1888.88</v>
      </c>
      <c r="G919" t="s">
        <v>1591</v>
      </c>
      <c r="H919" s="1" t="str">
        <f t="shared" si="85"/>
        <v>Shipped</v>
      </c>
      <c r="I919" s="4" t="str">
        <f t="shared" si="86"/>
        <v>completed</v>
      </c>
      <c r="J919" t="s">
        <v>25</v>
      </c>
      <c r="K919">
        <v>4</v>
      </c>
      <c r="L919">
        <v>12</v>
      </c>
      <c r="M919">
        <v>2003</v>
      </c>
      <c r="N919" t="s">
        <v>550</v>
      </c>
      <c r="O919">
        <v>62</v>
      </c>
      <c r="P919" t="s">
        <v>597</v>
      </c>
      <c r="Q919" t="s">
        <v>225</v>
      </c>
      <c r="R919" t="s">
        <v>226</v>
      </c>
      <c r="S919" t="s">
        <v>227</v>
      </c>
      <c r="U919" s="1" t="str">
        <f t="shared" si="87"/>
        <v>Vancouver</v>
      </c>
      <c r="V919" t="s">
        <v>228</v>
      </c>
      <c r="W919" t="s">
        <v>229</v>
      </c>
      <c r="X919" t="s">
        <v>230</v>
      </c>
      <c r="Y919" s="1" t="str">
        <f t="shared" si="88"/>
        <v>CANADA</v>
      </c>
      <c r="Z919" s="4" t="str">
        <f t="shared" si="89"/>
        <v>Canada</v>
      </c>
      <c r="AA919" t="s">
        <v>231</v>
      </c>
      <c r="AB919" t="s">
        <v>33</v>
      </c>
      <c r="AC919" t="s">
        <v>232</v>
      </c>
      <c r="AD919" t="s">
        <v>233</v>
      </c>
      <c r="AE919" t="s">
        <v>36</v>
      </c>
    </row>
    <row r="920" spans="1:31" x14ac:dyDescent="0.3">
      <c r="A920">
        <v>10215</v>
      </c>
      <c r="B920">
        <v>31</v>
      </c>
      <c r="C920">
        <v>58.71</v>
      </c>
      <c r="D920">
        <v>6</v>
      </c>
      <c r="E920" s="4" t="str">
        <f t="shared" si="84"/>
        <v>low sales</v>
      </c>
      <c r="F920">
        <v>1820.01</v>
      </c>
      <c r="G920" t="s">
        <v>1592</v>
      </c>
      <c r="H920" s="1" t="str">
        <f t="shared" si="85"/>
        <v>Shipped</v>
      </c>
      <c r="I920" s="4" t="str">
        <f t="shared" si="86"/>
        <v>completed</v>
      </c>
      <c r="J920" t="s">
        <v>25</v>
      </c>
      <c r="K920">
        <v>1</v>
      </c>
      <c r="L920">
        <v>1</v>
      </c>
      <c r="M920">
        <v>2004</v>
      </c>
      <c r="N920" t="s">
        <v>550</v>
      </c>
      <c r="O920">
        <v>62</v>
      </c>
      <c r="P920" t="s">
        <v>597</v>
      </c>
      <c r="Q920" t="s">
        <v>234</v>
      </c>
      <c r="R920">
        <v>3105553722</v>
      </c>
      <c r="S920" t="s">
        <v>235</v>
      </c>
      <c r="U920" s="1" t="str">
        <f t="shared" si="87"/>
        <v>Burbank</v>
      </c>
      <c r="V920" t="s">
        <v>236</v>
      </c>
      <c r="W920" t="s">
        <v>55</v>
      </c>
      <c r="X920">
        <v>94019</v>
      </c>
      <c r="Y920" s="1" t="str">
        <f t="shared" si="88"/>
        <v>USA</v>
      </c>
      <c r="Z920" s="4" t="str">
        <f t="shared" si="89"/>
        <v>Usa</v>
      </c>
      <c r="AA920" t="s">
        <v>32</v>
      </c>
      <c r="AB920" t="s">
        <v>33</v>
      </c>
      <c r="AC920" t="s">
        <v>237</v>
      </c>
      <c r="AD920" t="s">
        <v>238</v>
      </c>
      <c r="AE920" t="s">
        <v>36</v>
      </c>
    </row>
    <row r="921" spans="1:31" x14ac:dyDescent="0.3">
      <c r="A921">
        <v>10228</v>
      </c>
      <c r="B921">
        <v>45</v>
      </c>
      <c r="C921">
        <v>63.71</v>
      </c>
      <c r="D921">
        <v>5</v>
      </c>
      <c r="E921" s="4" t="str">
        <f t="shared" si="84"/>
        <v>low sales</v>
      </c>
      <c r="F921">
        <v>2866.95</v>
      </c>
      <c r="G921" t="s">
        <v>1593</v>
      </c>
      <c r="H921" s="1" t="str">
        <f t="shared" si="85"/>
        <v>Shipped</v>
      </c>
      <c r="I921" s="4" t="str">
        <f t="shared" si="86"/>
        <v>completed</v>
      </c>
      <c r="J921" t="s">
        <v>25</v>
      </c>
      <c r="K921">
        <v>1</v>
      </c>
      <c r="L921">
        <v>3</v>
      </c>
      <c r="M921">
        <v>2004</v>
      </c>
      <c r="N921" t="s">
        <v>550</v>
      </c>
      <c r="O921">
        <v>62</v>
      </c>
      <c r="P921" t="s">
        <v>597</v>
      </c>
      <c r="Q921" t="s">
        <v>239</v>
      </c>
      <c r="R921">
        <v>6175555555</v>
      </c>
      <c r="S921" t="s">
        <v>240</v>
      </c>
      <c r="U921" s="1" t="str">
        <f t="shared" si="87"/>
        <v>Cambridge</v>
      </c>
      <c r="V921" t="s">
        <v>122</v>
      </c>
      <c r="W921" t="s">
        <v>123</v>
      </c>
      <c r="X921">
        <v>51247</v>
      </c>
      <c r="Y921" s="1" t="str">
        <f t="shared" si="88"/>
        <v>USA</v>
      </c>
      <c r="Z921" s="4" t="str">
        <f t="shared" si="89"/>
        <v>Usa</v>
      </c>
      <c r="AA921" t="s">
        <v>32</v>
      </c>
      <c r="AB921" t="s">
        <v>33</v>
      </c>
      <c r="AC921" t="s">
        <v>241</v>
      </c>
      <c r="AD921" t="s">
        <v>143</v>
      </c>
      <c r="AE921" t="s">
        <v>36</v>
      </c>
    </row>
    <row r="922" spans="1:31" x14ac:dyDescent="0.3">
      <c r="A922">
        <v>10244</v>
      </c>
      <c r="B922">
        <v>24</v>
      </c>
      <c r="C922">
        <v>58.09</v>
      </c>
      <c r="D922">
        <v>3</v>
      </c>
      <c r="E922" s="4" t="str">
        <f t="shared" si="84"/>
        <v>low sales</v>
      </c>
      <c r="F922">
        <v>1394.16</v>
      </c>
      <c r="G922" t="s">
        <v>1594</v>
      </c>
      <c r="H922" s="1" t="str">
        <f t="shared" si="85"/>
        <v>Shipped</v>
      </c>
      <c r="I922" s="4" t="str">
        <f t="shared" si="86"/>
        <v>completed</v>
      </c>
      <c r="J922" t="s">
        <v>25</v>
      </c>
      <c r="K922">
        <v>2</v>
      </c>
      <c r="L922">
        <v>4</v>
      </c>
      <c r="M922">
        <v>2004</v>
      </c>
      <c r="N922" t="s">
        <v>550</v>
      </c>
      <c r="O922">
        <v>62</v>
      </c>
      <c r="P922" t="s">
        <v>597</v>
      </c>
      <c r="Q922" t="s">
        <v>174</v>
      </c>
      <c r="R922" t="s">
        <v>175</v>
      </c>
      <c r="S922" t="s">
        <v>176</v>
      </c>
      <c r="U922" s="1" t="str">
        <f t="shared" si="87"/>
        <v>Madrid</v>
      </c>
      <c r="V922" t="s">
        <v>177</v>
      </c>
      <c r="X922">
        <v>28034</v>
      </c>
      <c r="Y922" s="1" t="str">
        <f t="shared" si="88"/>
        <v>SPAIN</v>
      </c>
      <c r="Z922" s="4" t="str">
        <f t="shared" si="89"/>
        <v>Spain</v>
      </c>
      <c r="AA922" t="s">
        <v>178</v>
      </c>
      <c r="AB922" t="s">
        <v>42</v>
      </c>
      <c r="AC922" t="s">
        <v>179</v>
      </c>
      <c r="AD922" t="s">
        <v>180</v>
      </c>
      <c r="AE922" t="s">
        <v>36</v>
      </c>
    </row>
    <row r="923" spans="1:31" x14ac:dyDescent="0.3">
      <c r="A923">
        <v>10257</v>
      </c>
      <c r="B923">
        <v>49</v>
      </c>
      <c r="C923">
        <v>53.72</v>
      </c>
      <c r="D923">
        <v>3</v>
      </c>
      <c r="E923" s="4" t="str">
        <f t="shared" si="84"/>
        <v>low sales</v>
      </c>
      <c r="F923">
        <v>2632.28</v>
      </c>
      <c r="G923" t="s">
        <v>1595</v>
      </c>
      <c r="H923" s="1" t="str">
        <f t="shared" si="85"/>
        <v>Shipped</v>
      </c>
      <c r="I923" s="4" t="str">
        <f t="shared" si="86"/>
        <v>completed</v>
      </c>
      <c r="J923" t="s">
        <v>25</v>
      </c>
      <c r="K923">
        <v>2</v>
      </c>
      <c r="L923">
        <v>6</v>
      </c>
      <c r="M923">
        <v>2004</v>
      </c>
      <c r="N923" t="s">
        <v>550</v>
      </c>
      <c r="O923">
        <v>62</v>
      </c>
      <c r="P923" t="s">
        <v>597</v>
      </c>
      <c r="Q923" t="s">
        <v>397</v>
      </c>
      <c r="R923">
        <v>4085553659</v>
      </c>
      <c r="S923" t="s">
        <v>398</v>
      </c>
      <c r="U923" s="1" t="str">
        <f t="shared" si="87"/>
        <v>San Jose</v>
      </c>
      <c r="V923" t="s">
        <v>399</v>
      </c>
      <c r="W923" t="s">
        <v>55</v>
      </c>
      <c r="X923">
        <v>94217</v>
      </c>
      <c r="Y923" s="1" t="str">
        <f t="shared" si="88"/>
        <v>USA</v>
      </c>
      <c r="Z923" s="4" t="str">
        <f t="shared" si="89"/>
        <v>Usa</v>
      </c>
      <c r="AA923" t="s">
        <v>32</v>
      </c>
      <c r="AB923" t="s">
        <v>33</v>
      </c>
      <c r="AC923" t="s">
        <v>102</v>
      </c>
      <c r="AD923" t="s">
        <v>400</v>
      </c>
      <c r="AE923" t="s">
        <v>36</v>
      </c>
    </row>
    <row r="924" spans="1:31" x14ac:dyDescent="0.3">
      <c r="A924">
        <v>10269</v>
      </c>
      <c r="B924">
        <v>32</v>
      </c>
      <c r="C924">
        <v>63.08</v>
      </c>
      <c r="D924">
        <v>1</v>
      </c>
      <c r="E924" s="4" t="str">
        <f t="shared" si="84"/>
        <v>low sales</v>
      </c>
      <c r="F924">
        <v>2018.56</v>
      </c>
      <c r="G924" t="s">
        <v>1596</v>
      </c>
      <c r="H924" s="1" t="str">
        <f t="shared" si="85"/>
        <v>Shipped</v>
      </c>
      <c r="I924" s="4" t="str">
        <f t="shared" si="86"/>
        <v>completed</v>
      </c>
      <c r="J924" t="s">
        <v>25</v>
      </c>
      <c r="K924">
        <v>3</v>
      </c>
      <c r="L924">
        <v>7</v>
      </c>
      <c r="M924">
        <v>2004</v>
      </c>
      <c r="N924" t="s">
        <v>550</v>
      </c>
      <c r="O924">
        <v>62</v>
      </c>
      <c r="P924" t="s">
        <v>597</v>
      </c>
      <c r="Q924" t="s">
        <v>144</v>
      </c>
      <c r="R924" t="s">
        <v>145</v>
      </c>
      <c r="S924" t="s">
        <v>146</v>
      </c>
      <c r="U924" s="1" t="str">
        <f t="shared" si="87"/>
        <v>Salzburg</v>
      </c>
      <c r="V924" t="s">
        <v>147</v>
      </c>
      <c r="X924">
        <v>5020</v>
      </c>
      <c r="Y924" s="1" t="str">
        <f t="shared" si="88"/>
        <v>AUSTRIA</v>
      </c>
      <c r="Z924" s="4" t="str">
        <f t="shared" si="89"/>
        <v>Austria</v>
      </c>
      <c r="AA924" t="s">
        <v>148</v>
      </c>
      <c r="AB924" t="s">
        <v>42</v>
      </c>
      <c r="AC924" t="s">
        <v>149</v>
      </c>
      <c r="AD924" t="s">
        <v>150</v>
      </c>
      <c r="AE924" t="s">
        <v>36</v>
      </c>
    </row>
    <row r="925" spans="1:31" x14ac:dyDescent="0.3">
      <c r="A925">
        <v>10280</v>
      </c>
      <c r="B925">
        <v>43</v>
      </c>
      <c r="C925">
        <v>68.709999999999994</v>
      </c>
      <c r="D925">
        <v>5</v>
      </c>
      <c r="E925" s="4" t="str">
        <f t="shared" si="84"/>
        <v>low sales</v>
      </c>
      <c r="F925">
        <v>2954.53</v>
      </c>
      <c r="G925" t="s">
        <v>1597</v>
      </c>
      <c r="H925" s="1" t="str">
        <f t="shared" si="85"/>
        <v>Shipped</v>
      </c>
      <c r="I925" s="4" t="str">
        <f t="shared" si="86"/>
        <v>completed</v>
      </c>
      <c r="J925" t="s">
        <v>25</v>
      </c>
      <c r="K925">
        <v>3</v>
      </c>
      <c r="L925">
        <v>8</v>
      </c>
      <c r="M925">
        <v>2004</v>
      </c>
      <c r="N925" t="s">
        <v>550</v>
      </c>
      <c r="O925">
        <v>62</v>
      </c>
      <c r="P925" t="s">
        <v>597</v>
      </c>
      <c r="Q925" t="s">
        <v>254</v>
      </c>
      <c r="R925" t="s">
        <v>255</v>
      </c>
      <c r="S925" t="s">
        <v>256</v>
      </c>
      <c r="U925" s="1" t="str">
        <f t="shared" si="87"/>
        <v>Torino</v>
      </c>
      <c r="V925" t="s">
        <v>257</v>
      </c>
      <c r="X925">
        <v>10100</v>
      </c>
      <c r="Y925" s="1" t="str">
        <f t="shared" si="88"/>
        <v>ITALY</v>
      </c>
      <c r="Z925" s="4" t="str">
        <f t="shared" si="89"/>
        <v>Italy</v>
      </c>
      <c r="AA925" t="s">
        <v>258</v>
      </c>
      <c r="AB925" t="s">
        <v>42</v>
      </c>
      <c r="AC925" t="s">
        <v>259</v>
      </c>
      <c r="AD925" t="s">
        <v>260</v>
      </c>
      <c r="AE925" t="s">
        <v>36</v>
      </c>
    </row>
    <row r="926" spans="1:31" x14ac:dyDescent="0.3">
      <c r="A926">
        <v>10291</v>
      </c>
      <c r="B926">
        <v>37</v>
      </c>
      <c r="C926">
        <v>50.59</v>
      </c>
      <c r="D926">
        <v>14</v>
      </c>
      <c r="E926" s="4" t="str">
        <f t="shared" si="84"/>
        <v>low sales</v>
      </c>
      <c r="F926">
        <v>1871.83</v>
      </c>
      <c r="G926" t="s">
        <v>1598</v>
      </c>
      <c r="H926" s="1" t="str">
        <f t="shared" si="85"/>
        <v>Shipped</v>
      </c>
      <c r="I926" s="4" t="str">
        <f t="shared" si="86"/>
        <v>completed</v>
      </c>
      <c r="J926" t="s">
        <v>25</v>
      </c>
      <c r="K926">
        <v>3</v>
      </c>
      <c r="L926">
        <v>9</v>
      </c>
      <c r="M926">
        <v>2004</v>
      </c>
      <c r="N926" t="s">
        <v>550</v>
      </c>
      <c r="O926">
        <v>62</v>
      </c>
      <c r="P926" t="s">
        <v>597</v>
      </c>
      <c r="Q926" t="s">
        <v>261</v>
      </c>
      <c r="R926" t="s">
        <v>262</v>
      </c>
      <c r="S926" t="s">
        <v>263</v>
      </c>
      <c r="U926" s="1" t="str">
        <f t="shared" si="87"/>
        <v>Boras</v>
      </c>
      <c r="V926" t="s">
        <v>264</v>
      </c>
      <c r="X926" t="s">
        <v>265</v>
      </c>
      <c r="Y926" s="1" t="str">
        <f t="shared" si="88"/>
        <v>SWEDEN</v>
      </c>
      <c r="Z926" s="4" t="str">
        <f t="shared" si="89"/>
        <v>Sweden</v>
      </c>
      <c r="AA926" t="s">
        <v>188</v>
      </c>
      <c r="AB926" t="s">
        <v>42</v>
      </c>
      <c r="AC926" t="s">
        <v>266</v>
      </c>
      <c r="AD926" t="s">
        <v>206</v>
      </c>
      <c r="AE926" t="s">
        <v>36</v>
      </c>
    </row>
    <row r="927" spans="1:31" x14ac:dyDescent="0.3">
      <c r="A927">
        <v>10304</v>
      </c>
      <c r="B927">
        <v>24</v>
      </c>
      <c r="C927">
        <v>64.959999999999994</v>
      </c>
      <c r="D927">
        <v>9</v>
      </c>
      <c r="E927" s="4" t="str">
        <f t="shared" si="84"/>
        <v>low sales</v>
      </c>
      <c r="F927">
        <v>1559.04</v>
      </c>
      <c r="G927" t="s">
        <v>1599</v>
      </c>
      <c r="H927" s="1" t="str">
        <f t="shared" si="85"/>
        <v>Shipped</v>
      </c>
      <c r="I927" s="4" t="str">
        <f t="shared" si="86"/>
        <v>completed</v>
      </c>
      <c r="J927" t="s">
        <v>25</v>
      </c>
      <c r="K927">
        <v>4</v>
      </c>
      <c r="L927">
        <v>10</v>
      </c>
      <c r="M927">
        <v>2004</v>
      </c>
      <c r="N927" t="s">
        <v>550</v>
      </c>
      <c r="O927">
        <v>62</v>
      </c>
      <c r="P927" t="s">
        <v>597</v>
      </c>
      <c r="Q927" t="s">
        <v>267</v>
      </c>
      <c r="R927" t="s">
        <v>268</v>
      </c>
      <c r="S927" t="s">
        <v>269</v>
      </c>
      <c r="U927" s="1" t="str">
        <f t="shared" si="87"/>
        <v>Versailles</v>
      </c>
      <c r="V927" t="s">
        <v>270</v>
      </c>
      <c r="X927">
        <v>78000</v>
      </c>
      <c r="Y927" s="1" t="str">
        <f t="shared" si="88"/>
        <v>FRANCE</v>
      </c>
      <c r="Z927" s="4" t="str">
        <f t="shared" si="89"/>
        <v>France</v>
      </c>
      <c r="AA927" t="s">
        <v>41</v>
      </c>
      <c r="AB927" t="s">
        <v>42</v>
      </c>
      <c r="AC927" t="s">
        <v>271</v>
      </c>
      <c r="AD927" t="s">
        <v>50</v>
      </c>
      <c r="AE927" t="s">
        <v>36</v>
      </c>
    </row>
    <row r="928" spans="1:31" x14ac:dyDescent="0.3">
      <c r="A928">
        <v>10312</v>
      </c>
      <c r="B928">
        <v>35</v>
      </c>
      <c r="C928">
        <v>53.72</v>
      </c>
      <c r="D928">
        <v>6</v>
      </c>
      <c r="E928" s="4" t="str">
        <f t="shared" si="84"/>
        <v>low sales</v>
      </c>
      <c r="F928">
        <v>1880.2</v>
      </c>
      <c r="G928" t="s">
        <v>1600</v>
      </c>
      <c r="H928" s="1" t="str">
        <f t="shared" si="85"/>
        <v>Shipped</v>
      </c>
      <c r="I928" s="4" t="str">
        <f t="shared" si="86"/>
        <v>completed</v>
      </c>
      <c r="J928" t="s">
        <v>25</v>
      </c>
      <c r="K928">
        <v>4</v>
      </c>
      <c r="L928">
        <v>10</v>
      </c>
      <c r="M928">
        <v>2004</v>
      </c>
      <c r="N928" t="s">
        <v>550</v>
      </c>
      <c r="O928">
        <v>62</v>
      </c>
      <c r="P928" t="s">
        <v>597</v>
      </c>
      <c r="Q928" t="s">
        <v>272</v>
      </c>
      <c r="R928">
        <v>4155551450</v>
      </c>
      <c r="S928" t="s">
        <v>273</v>
      </c>
      <c r="U928" s="1" t="str">
        <f t="shared" si="87"/>
        <v>San Rafael</v>
      </c>
      <c r="V928" t="s">
        <v>274</v>
      </c>
      <c r="W928" t="s">
        <v>55</v>
      </c>
      <c r="X928">
        <v>97562</v>
      </c>
      <c r="Y928" s="1" t="str">
        <f t="shared" si="88"/>
        <v>USA</v>
      </c>
      <c r="Z928" s="4" t="str">
        <f t="shared" si="89"/>
        <v>Usa</v>
      </c>
      <c r="AA928" t="s">
        <v>32</v>
      </c>
      <c r="AB928" t="s">
        <v>33</v>
      </c>
      <c r="AC928" t="s">
        <v>275</v>
      </c>
      <c r="AD928" t="s">
        <v>276</v>
      </c>
      <c r="AE928" t="s">
        <v>36</v>
      </c>
    </row>
    <row r="929" spans="1:31" x14ac:dyDescent="0.3">
      <c r="A929">
        <v>10322</v>
      </c>
      <c r="B929">
        <v>41</v>
      </c>
      <c r="C929">
        <v>29.87</v>
      </c>
      <c r="D929">
        <v>13</v>
      </c>
      <c r="E929" s="4" t="str">
        <f t="shared" si="84"/>
        <v>low sales</v>
      </c>
      <c r="F929">
        <v>1224.67</v>
      </c>
      <c r="G929" t="s">
        <v>1601</v>
      </c>
      <c r="H929" s="1" t="str">
        <f t="shared" si="85"/>
        <v>Shipped</v>
      </c>
      <c r="I929" s="4" t="str">
        <f t="shared" si="86"/>
        <v>completed</v>
      </c>
      <c r="J929" t="s">
        <v>25</v>
      </c>
      <c r="K929">
        <v>4</v>
      </c>
      <c r="L929">
        <v>11</v>
      </c>
      <c r="M929">
        <v>2004</v>
      </c>
      <c r="N929" t="s">
        <v>550</v>
      </c>
      <c r="O929">
        <v>62</v>
      </c>
      <c r="P929" t="s">
        <v>597</v>
      </c>
      <c r="Q929" t="s">
        <v>277</v>
      </c>
      <c r="R929">
        <v>6035558647</v>
      </c>
      <c r="S929" t="s">
        <v>278</v>
      </c>
      <c r="U929" s="1" t="str">
        <f t="shared" si="87"/>
        <v>Nashua</v>
      </c>
      <c r="V929" t="s">
        <v>279</v>
      </c>
      <c r="W929" t="s">
        <v>280</v>
      </c>
      <c r="X929">
        <v>62005</v>
      </c>
      <c r="Y929" s="1" t="str">
        <f t="shared" si="88"/>
        <v>USA</v>
      </c>
      <c r="Z929" s="4" t="str">
        <f t="shared" si="89"/>
        <v>Usa</v>
      </c>
      <c r="AA929" t="s">
        <v>32</v>
      </c>
      <c r="AB929" t="s">
        <v>33</v>
      </c>
      <c r="AC929" t="s">
        <v>56</v>
      </c>
      <c r="AD929" t="s">
        <v>276</v>
      </c>
      <c r="AE929" t="s">
        <v>36</v>
      </c>
    </row>
    <row r="930" spans="1:31" x14ac:dyDescent="0.3">
      <c r="A930">
        <v>10332</v>
      </c>
      <c r="B930">
        <v>26</v>
      </c>
      <c r="C930">
        <v>100</v>
      </c>
      <c r="D930">
        <v>17</v>
      </c>
      <c r="E930" s="4" t="str">
        <f t="shared" si="84"/>
        <v>low sales</v>
      </c>
      <c r="F930">
        <v>2979.08</v>
      </c>
      <c r="G930" t="s">
        <v>1602</v>
      </c>
      <c r="H930" s="1" t="str">
        <f t="shared" si="85"/>
        <v>Shipped</v>
      </c>
      <c r="I930" s="4" t="str">
        <f t="shared" si="86"/>
        <v>completed</v>
      </c>
      <c r="J930" t="s">
        <v>25</v>
      </c>
      <c r="K930">
        <v>4</v>
      </c>
      <c r="L930">
        <v>11</v>
      </c>
      <c r="M930">
        <v>2004</v>
      </c>
      <c r="N930" t="s">
        <v>550</v>
      </c>
      <c r="O930">
        <v>62</v>
      </c>
      <c r="P930" t="s">
        <v>597</v>
      </c>
      <c r="Q930" t="s">
        <v>492</v>
      </c>
      <c r="R930" t="s">
        <v>493</v>
      </c>
      <c r="S930" t="s">
        <v>494</v>
      </c>
      <c r="U930" s="1" t="str">
        <f t="shared" si="87"/>
        <v>Manchester</v>
      </c>
      <c r="V930" t="s">
        <v>495</v>
      </c>
      <c r="X930" t="s">
        <v>496</v>
      </c>
      <c r="Y930" s="1" t="str">
        <f t="shared" si="88"/>
        <v>UK</v>
      </c>
      <c r="Z930" s="4" t="str">
        <f t="shared" si="89"/>
        <v>Uk</v>
      </c>
      <c r="AA930" t="s">
        <v>170</v>
      </c>
      <c r="AB930" t="s">
        <v>42</v>
      </c>
      <c r="AC930" t="s">
        <v>497</v>
      </c>
      <c r="AD930" t="s">
        <v>94</v>
      </c>
      <c r="AE930" t="s">
        <v>36</v>
      </c>
    </row>
    <row r="931" spans="1:31" x14ac:dyDescent="0.3">
      <c r="A931">
        <v>10347</v>
      </c>
      <c r="B931">
        <v>34</v>
      </c>
      <c r="C931">
        <v>64.959999999999994</v>
      </c>
      <c r="D931">
        <v>10</v>
      </c>
      <c r="E931" s="4" t="str">
        <f t="shared" si="84"/>
        <v>low sales</v>
      </c>
      <c r="F931">
        <v>2208.64</v>
      </c>
      <c r="G931" t="s">
        <v>1603</v>
      </c>
      <c r="H931" s="1" t="str">
        <f t="shared" si="85"/>
        <v>Shipped</v>
      </c>
      <c r="I931" s="4" t="str">
        <f t="shared" si="86"/>
        <v>completed</v>
      </c>
      <c r="J931" t="s">
        <v>25</v>
      </c>
      <c r="K931">
        <v>4</v>
      </c>
      <c r="L931">
        <v>11</v>
      </c>
      <c r="M931">
        <v>2004</v>
      </c>
      <c r="N931" t="s">
        <v>550</v>
      </c>
      <c r="O931">
        <v>62</v>
      </c>
      <c r="P931" t="s">
        <v>597</v>
      </c>
      <c r="Q931" t="s">
        <v>89</v>
      </c>
      <c r="R931" t="s">
        <v>90</v>
      </c>
      <c r="S931" t="s">
        <v>91</v>
      </c>
      <c r="T931" t="s">
        <v>92</v>
      </c>
      <c r="U931" s="1" t="str">
        <f t="shared" si="87"/>
        <v>Melbourne</v>
      </c>
      <c r="V931" t="s">
        <v>93</v>
      </c>
      <c r="W931" t="s">
        <v>94</v>
      </c>
      <c r="X931">
        <v>3004</v>
      </c>
      <c r="Y931" s="1" t="str">
        <f t="shared" si="88"/>
        <v>AUSTRALIA</v>
      </c>
      <c r="Z931" s="4" t="str">
        <f t="shared" si="89"/>
        <v>Australia</v>
      </c>
      <c r="AA931" t="s">
        <v>95</v>
      </c>
      <c r="AB931" t="s">
        <v>96</v>
      </c>
      <c r="AC931" t="s">
        <v>97</v>
      </c>
      <c r="AD931" t="s">
        <v>98</v>
      </c>
      <c r="AE931" t="s">
        <v>36</v>
      </c>
    </row>
    <row r="932" spans="1:31" x14ac:dyDescent="0.3">
      <c r="A932">
        <v>10357</v>
      </c>
      <c r="B932">
        <v>49</v>
      </c>
      <c r="C932">
        <v>70.58</v>
      </c>
      <c r="D932">
        <v>5</v>
      </c>
      <c r="E932" s="4" t="str">
        <f t="shared" si="84"/>
        <v>low sales</v>
      </c>
      <c r="F932">
        <v>3458.42</v>
      </c>
      <c r="G932" t="s">
        <v>1604</v>
      </c>
      <c r="H932" s="1" t="str">
        <f t="shared" si="85"/>
        <v>Shipped</v>
      </c>
      <c r="I932" s="4" t="str">
        <f t="shared" si="86"/>
        <v>completed</v>
      </c>
      <c r="J932" t="s">
        <v>25</v>
      </c>
      <c r="K932">
        <v>4</v>
      </c>
      <c r="L932">
        <v>12</v>
      </c>
      <c r="M932">
        <v>2004</v>
      </c>
      <c r="N932" t="s">
        <v>550</v>
      </c>
      <c r="O932">
        <v>62</v>
      </c>
      <c r="P932" t="s">
        <v>597</v>
      </c>
      <c r="Q932" t="s">
        <v>272</v>
      </c>
      <c r="R932">
        <v>4155551450</v>
      </c>
      <c r="S932" t="s">
        <v>273</v>
      </c>
      <c r="U932" s="1" t="str">
        <f t="shared" si="87"/>
        <v>San Rafael</v>
      </c>
      <c r="V932" t="s">
        <v>274</v>
      </c>
      <c r="W932" t="s">
        <v>55</v>
      </c>
      <c r="X932">
        <v>97562</v>
      </c>
      <c r="Y932" s="1" t="str">
        <f t="shared" si="88"/>
        <v>USA</v>
      </c>
      <c r="Z932" s="4" t="str">
        <f t="shared" si="89"/>
        <v>Usa</v>
      </c>
      <c r="AA932" t="s">
        <v>32</v>
      </c>
      <c r="AB932" t="s">
        <v>33</v>
      </c>
      <c r="AC932" t="s">
        <v>275</v>
      </c>
      <c r="AD932" t="s">
        <v>276</v>
      </c>
      <c r="AE932" t="s">
        <v>51</v>
      </c>
    </row>
    <row r="933" spans="1:31" x14ac:dyDescent="0.3">
      <c r="A933">
        <v>10369</v>
      </c>
      <c r="B933">
        <v>28</v>
      </c>
      <c r="C933">
        <v>44.21</v>
      </c>
      <c r="D933">
        <v>6</v>
      </c>
      <c r="E933" s="4" t="str">
        <f t="shared" si="84"/>
        <v>low sales</v>
      </c>
      <c r="F933">
        <v>1237.8800000000001</v>
      </c>
      <c r="G933" t="s">
        <v>1605</v>
      </c>
      <c r="H933" s="1" t="str">
        <f t="shared" si="85"/>
        <v>Shipped</v>
      </c>
      <c r="I933" s="4" t="str">
        <f t="shared" si="86"/>
        <v>completed</v>
      </c>
      <c r="J933" t="s">
        <v>25</v>
      </c>
      <c r="K933">
        <v>1</v>
      </c>
      <c r="L933">
        <v>1</v>
      </c>
      <c r="M933">
        <v>2005</v>
      </c>
      <c r="N933" t="s">
        <v>550</v>
      </c>
      <c r="O933">
        <v>62</v>
      </c>
      <c r="P933" t="s">
        <v>597</v>
      </c>
      <c r="Q933" t="s">
        <v>281</v>
      </c>
      <c r="R933">
        <v>6175558555</v>
      </c>
      <c r="S933" t="s">
        <v>282</v>
      </c>
      <c r="U933" s="1" t="str">
        <f t="shared" si="87"/>
        <v>Brickhaven</v>
      </c>
      <c r="V933" t="s">
        <v>283</v>
      </c>
      <c r="W933" t="s">
        <v>123</v>
      </c>
      <c r="X933">
        <v>58339</v>
      </c>
      <c r="Y933" s="1" t="str">
        <f t="shared" si="88"/>
        <v>USA</v>
      </c>
      <c r="Z933" s="4" t="str">
        <f t="shared" si="89"/>
        <v>Usa</v>
      </c>
      <c r="AA933" t="s">
        <v>32</v>
      </c>
      <c r="AB933" t="s">
        <v>33</v>
      </c>
      <c r="AC933" t="s">
        <v>275</v>
      </c>
      <c r="AD933" t="s">
        <v>284</v>
      </c>
      <c r="AE933" t="s">
        <v>36</v>
      </c>
    </row>
    <row r="934" spans="1:31" x14ac:dyDescent="0.3">
      <c r="A934">
        <v>10381</v>
      </c>
      <c r="B934">
        <v>40</v>
      </c>
      <c r="C934">
        <v>68.08</v>
      </c>
      <c r="D934">
        <v>4</v>
      </c>
      <c r="E934" s="4" t="str">
        <f t="shared" si="84"/>
        <v>low sales</v>
      </c>
      <c r="F934">
        <v>2723.2</v>
      </c>
      <c r="G934" t="s">
        <v>1606</v>
      </c>
      <c r="H934" s="1" t="str">
        <f t="shared" si="85"/>
        <v>Shipped</v>
      </c>
      <c r="I934" s="4" t="str">
        <f t="shared" si="86"/>
        <v>completed</v>
      </c>
      <c r="J934" t="s">
        <v>25</v>
      </c>
      <c r="K934">
        <v>1</v>
      </c>
      <c r="L934">
        <v>2</v>
      </c>
      <c r="M934">
        <v>2005</v>
      </c>
      <c r="N934" t="s">
        <v>550</v>
      </c>
      <c r="O934">
        <v>62</v>
      </c>
      <c r="P934" t="s">
        <v>597</v>
      </c>
      <c r="Q934" t="s">
        <v>58</v>
      </c>
      <c r="R934">
        <v>6505551386</v>
      </c>
      <c r="S934" t="s">
        <v>59</v>
      </c>
      <c r="U934" s="1" t="str">
        <f t="shared" si="87"/>
        <v>San Francisco</v>
      </c>
      <c r="V934" t="s">
        <v>60</v>
      </c>
      <c r="W934" t="s">
        <v>55</v>
      </c>
      <c r="Y934" s="1" t="str">
        <f t="shared" si="88"/>
        <v>USA</v>
      </c>
      <c r="Z934" s="4" t="str">
        <f t="shared" si="89"/>
        <v>Usa</v>
      </c>
      <c r="AA934" t="s">
        <v>32</v>
      </c>
      <c r="AB934" t="s">
        <v>33</v>
      </c>
      <c r="AC934" t="s">
        <v>61</v>
      </c>
      <c r="AD934" t="s">
        <v>57</v>
      </c>
      <c r="AE934" t="s">
        <v>36</v>
      </c>
    </row>
    <row r="935" spans="1:31" x14ac:dyDescent="0.3">
      <c r="A935">
        <v>10392</v>
      </c>
      <c r="B935">
        <v>37</v>
      </c>
      <c r="C935">
        <v>59.96</v>
      </c>
      <c r="D935">
        <v>3</v>
      </c>
      <c r="E935" s="4" t="str">
        <f t="shared" si="84"/>
        <v>low sales</v>
      </c>
      <c r="F935">
        <v>2218.52</v>
      </c>
      <c r="G935" t="s">
        <v>1607</v>
      </c>
      <c r="H935" s="1" t="str">
        <f t="shared" si="85"/>
        <v>Shipped</v>
      </c>
      <c r="I935" s="4" t="str">
        <f t="shared" si="86"/>
        <v>completed</v>
      </c>
      <c r="J935" t="s">
        <v>25</v>
      </c>
      <c r="K935">
        <v>1</v>
      </c>
      <c r="L935">
        <v>3</v>
      </c>
      <c r="M935">
        <v>2005</v>
      </c>
      <c r="N935" t="s">
        <v>550</v>
      </c>
      <c r="O935">
        <v>62</v>
      </c>
      <c r="P935" t="s">
        <v>597</v>
      </c>
      <c r="Q935" t="s">
        <v>409</v>
      </c>
      <c r="R935" t="s">
        <v>410</v>
      </c>
      <c r="S935" t="s">
        <v>411</v>
      </c>
      <c r="U935" s="1" t="str">
        <f t="shared" si="87"/>
        <v>Graz</v>
      </c>
      <c r="V935" t="s">
        <v>412</v>
      </c>
      <c r="X935">
        <v>8010</v>
      </c>
      <c r="Y935" s="1" t="str">
        <f t="shared" si="88"/>
        <v>AUSTRIA</v>
      </c>
      <c r="Z935" s="4" t="str">
        <f t="shared" si="89"/>
        <v>Austria</v>
      </c>
      <c r="AA935" t="s">
        <v>148</v>
      </c>
      <c r="AB935" t="s">
        <v>42</v>
      </c>
      <c r="AC935" t="s">
        <v>413</v>
      </c>
      <c r="AD935" t="s">
        <v>414</v>
      </c>
      <c r="AE935" t="s">
        <v>36</v>
      </c>
    </row>
    <row r="936" spans="1:31" x14ac:dyDescent="0.3">
      <c r="A936">
        <v>10423</v>
      </c>
      <c r="B936">
        <v>31</v>
      </c>
      <c r="C936">
        <v>53.72</v>
      </c>
      <c r="D936">
        <v>3</v>
      </c>
      <c r="E936" s="4" t="str">
        <f t="shared" si="84"/>
        <v>low sales</v>
      </c>
      <c r="F936">
        <v>1665.32</v>
      </c>
      <c r="G936" t="s">
        <v>1608</v>
      </c>
      <c r="H936" s="1" t="str">
        <f t="shared" si="85"/>
        <v>In Process</v>
      </c>
      <c r="I936" s="4" t="str">
        <f t="shared" si="86"/>
        <v>not completed</v>
      </c>
      <c r="J936" t="s">
        <v>300</v>
      </c>
      <c r="K936">
        <v>2</v>
      </c>
      <c r="L936">
        <v>5</v>
      </c>
      <c r="M936">
        <v>2005</v>
      </c>
      <c r="N936" t="s">
        <v>550</v>
      </c>
      <c r="O936">
        <v>62</v>
      </c>
      <c r="P936" t="s">
        <v>597</v>
      </c>
      <c r="Q936" t="s">
        <v>365</v>
      </c>
      <c r="R936" t="s">
        <v>366</v>
      </c>
      <c r="S936" t="s">
        <v>367</v>
      </c>
      <c r="U936" s="1" t="str">
        <f t="shared" si="87"/>
        <v>Bruxelles</v>
      </c>
      <c r="V936" t="s">
        <v>368</v>
      </c>
      <c r="X936" t="s">
        <v>369</v>
      </c>
      <c r="Y936" s="1" t="str">
        <f t="shared" si="88"/>
        <v>BELGIUM</v>
      </c>
      <c r="Z936" s="4" t="str">
        <f t="shared" si="89"/>
        <v>Belgium</v>
      </c>
      <c r="AA936" t="s">
        <v>370</v>
      </c>
      <c r="AB936" t="s">
        <v>42</v>
      </c>
      <c r="AC936" t="s">
        <v>371</v>
      </c>
      <c r="AD936" t="s">
        <v>372</v>
      </c>
      <c r="AE936" t="s">
        <v>36</v>
      </c>
    </row>
    <row r="937" spans="1:31" x14ac:dyDescent="0.3">
      <c r="A937">
        <v>10106</v>
      </c>
      <c r="B937">
        <v>41</v>
      </c>
      <c r="C937">
        <v>83.44</v>
      </c>
      <c r="D937">
        <v>18</v>
      </c>
      <c r="E937" s="4" t="str">
        <f t="shared" si="84"/>
        <v>low sales</v>
      </c>
      <c r="F937">
        <v>3421.04</v>
      </c>
      <c r="G937" t="s">
        <v>1609</v>
      </c>
      <c r="H937" s="1" t="str">
        <f t="shared" si="85"/>
        <v>Shipped</v>
      </c>
      <c r="I937" s="4" t="str">
        <f t="shared" si="86"/>
        <v>completed</v>
      </c>
      <c r="J937" t="s">
        <v>25</v>
      </c>
      <c r="K937">
        <v>1</v>
      </c>
      <c r="L937">
        <v>2</v>
      </c>
      <c r="M937">
        <v>2003</v>
      </c>
      <c r="N937" t="s">
        <v>598</v>
      </c>
      <c r="O937">
        <v>86</v>
      </c>
      <c r="P937" t="s">
        <v>599</v>
      </c>
      <c r="Q937" t="s">
        <v>552</v>
      </c>
      <c r="R937" t="s">
        <v>553</v>
      </c>
      <c r="S937" t="s">
        <v>554</v>
      </c>
      <c r="U937" s="1" t="str">
        <f t="shared" si="87"/>
        <v>Bergamo</v>
      </c>
      <c r="V937" t="s">
        <v>555</v>
      </c>
      <c r="X937">
        <v>24100</v>
      </c>
      <c r="Y937" s="1" t="str">
        <f t="shared" si="88"/>
        <v>ITALY</v>
      </c>
      <c r="Z937" s="4" t="str">
        <f t="shared" si="89"/>
        <v>Italy</v>
      </c>
      <c r="AA937" t="s">
        <v>258</v>
      </c>
      <c r="AB937" t="s">
        <v>42</v>
      </c>
      <c r="AC937" t="s">
        <v>556</v>
      </c>
      <c r="AD937" t="s">
        <v>557</v>
      </c>
      <c r="AE937" t="s">
        <v>51</v>
      </c>
    </row>
    <row r="938" spans="1:31" x14ac:dyDescent="0.3">
      <c r="A938">
        <v>10119</v>
      </c>
      <c r="B938">
        <v>21</v>
      </c>
      <c r="C938">
        <v>89.46</v>
      </c>
      <c r="D938">
        <v>9</v>
      </c>
      <c r="E938" s="4" t="str">
        <f t="shared" si="84"/>
        <v>low sales</v>
      </c>
      <c r="F938">
        <v>1878.66</v>
      </c>
      <c r="G938" t="s">
        <v>1610</v>
      </c>
      <c r="H938" s="1" t="str">
        <f t="shared" si="85"/>
        <v>Shipped</v>
      </c>
      <c r="I938" s="4" t="str">
        <f t="shared" si="86"/>
        <v>completed</v>
      </c>
      <c r="J938" t="s">
        <v>25</v>
      </c>
      <c r="K938">
        <v>2</v>
      </c>
      <c r="L938">
        <v>4</v>
      </c>
      <c r="M938">
        <v>2003</v>
      </c>
      <c r="N938" t="s">
        <v>598</v>
      </c>
      <c r="O938">
        <v>86</v>
      </c>
      <c r="P938" t="s">
        <v>599</v>
      </c>
      <c r="Q938" t="s">
        <v>144</v>
      </c>
      <c r="R938" t="s">
        <v>145</v>
      </c>
      <c r="S938" t="s">
        <v>146</v>
      </c>
      <c r="U938" s="1" t="str">
        <f t="shared" si="87"/>
        <v>Salzburg</v>
      </c>
      <c r="V938" t="s">
        <v>147</v>
      </c>
      <c r="X938">
        <v>5020</v>
      </c>
      <c r="Y938" s="1" t="str">
        <f t="shared" si="88"/>
        <v>AUSTRIA</v>
      </c>
      <c r="Z938" s="4" t="str">
        <f t="shared" si="89"/>
        <v>Austria</v>
      </c>
      <c r="AA938" t="s">
        <v>148</v>
      </c>
      <c r="AB938" t="s">
        <v>42</v>
      </c>
      <c r="AC938" t="s">
        <v>149</v>
      </c>
      <c r="AD938" t="s">
        <v>150</v>
      </c>
      <c r="AE938" t="s">
        <v>36</v>
      </c>
    </row>
    <row r="939" spans="1:31" x14ac:dyDescent="0.3">
      <c r="A939">
        <v>10130</v>
      </c>
      <c r="B939">
        <v>40</v>
      </c>
      <c r="C939">
        <v>96.34</v>
      </c>
      <c r="D939">
        <v>2</v>
      </c>
      <c r="E939" s="4" t="str">
        <f t="shared" si="84"/>
        <v>low sales</v>
      </c>
      <c r="F939">
        <v>3853.6</v>
      </c>
      <c r="G939" t="s">
        <v>1611</v>
      </c>
      <c r="H939" s="1" t="str">
        <f t="shared" si="85"/>
        <v>Shipped</v>
      </c>
      <c r="I939" s="4" t="str">
        <f t="shared" si="86"/>
        <v>completed</v>
      </c>
      <c r="J939" t="s">
        <v>25</v>
      </c>
      <c r="K939">
        <v>2</v>
      </c>
      <c r="L939">
        <v>6</v>
      </c>
      <c r="M939">
        <v>2003</v>
      </c>
      <c r="N939" t="s">
        <v>598</v>
      </c>
      <c r="O939">
        <v>86</v>
      </c>
      <c r="P939" t="s">
        <v>599</v>
      </c>
      <c r="Q939" t="s">
        <v>600</v>
      </c>
      <c r="R939">
        <v>6175558428</v>
      </c>
      <c r="S939" t="s">
        <v>601</v>
      </c>
      <c r="U939" s="1" t="str">
        <f t="shared" si="87"/>
        <v>Brickhaven</v>
      </c>
      <c r="V939" t="s">
        <v>283</v>
      </c>
      <c r="W939" t="s">
        <v>123</v>
      </c>
      <c r="X939">
        <v>58339</v>
      </c>
      <c r="Y939" s="1" t="str">
        <f t="shared" si="88"/>
        <v>USA</v>
      </c>
      <c r="Z939" s="4" t="str">
        <f t="shared" si="89"/>
        <v>Usa</v>
      </c>
      <c r="AA939" t="s">
        <v>32</v>
      </c>
      <c r="AB939" t="s">
        <v>33</v>
      </c>
      <c r="AC939" t="s">
        <v>529</v>
      </c>
      <c r="AD939" t="s">
        <v>245</v>
      </c>
      <c r="AE939" t="s">
        <v>51</v>
      </c>
    </row>
    <row r="940" spans="1:31" x14ac:dyDescent="0.3">
      <c r="A940">
        <v>10143</v>
      </c>
      <c r="B940">
        <v>46</v>
      </c>
      <c r="C940">
        <v>74.84</v>
      </c>
      <c r="D940">
        <v>13</v>
      </c>
      <c r="E940" s="4" t="str">
        <f t="shared" si="84"/>
        <v>low sales</v>
      </c>
      <c r="F940">
        <v>3442.64</v>
      </c>
      <c r="G940" t="s">
        <v>1612</v>
      </c>
      <c r="H940" s="1" t="str">
        <f t="shared" si="85"/>
        <v>Shipped</v>
      </c>
      <c r="I940" s="4" t="str">
        <f t="shared" si="86"/>
        <v>completed</v>
      </c>
      <c r="J940" t="s">
        <v>25</v>
      </c>
      <c r="K940">
        <v>3</v>
      </c>
      <c r="L940">
        <v>8</v>
      </c>
      <c r="M940">
        <v>2003</v>
      </c>
      <c r="N940" t="s">
        <v>598</v>
      </c>
      <c r="O940">
        <v>86</v>
      </c>
      <c r="P940" t="s">
        <v>599</v>
      </c>
      <c r="Q940" t="s">
        <v>335</v>
      </c>
      <c r="R940">
        <v>5085559555</v>
      </c>
      <c r="S940" t="s">
        <v>336</v>
      </c>
      <c r="U940" s="1" t="str">
        <f t="shared" si="87"/>
        <v>New Bedford</v>
      </c>
      <c r="V940" t="s">
        <v>162</v>
      </c>
      <c r="W940" t="s">
        <v>123</v>
      </c>
      <c r="X940">
        <v>50553</v>
      </c>
      <c r="Y940" s="1" t="str">
        <f t="shared" si="88"/>
        <v>USA</v>
      </c>
      <c r="Z940" s="4" t="str">
        <f t="shared" si="89"/>
        <v>Usa</v>
      </c>
      <c r="AA940" t="s">
        <v>32</v>
      </c>
      <c r="AB940" t="s">
        <v>33</v>
      </c>
      <c r="AC940" t="s">
        <v>337</v>
      </c>
      <c r="AD940" t="s">
        <v>338</v>
      </c>
      <c r="AE940" t="s">
        <v>51</v>
      </c>
    </row>
    <row r="941" spans="1:31" x14ac:dyDescent="0.3">
      <c r="A941">
        <v>10155</v>
      </c>
      <c r="B941">
        <v>44</v>
      </c>
      <c r="C941">
        <v>79.14</v>
      </c>
      <c r="D941">
        <v>11</v>
      </c>
      <c r="E941" s="4" t="str">
        <f t="shared" si="84"/>
        <v>low sales</v>
      </c>
      <c r="F941">
        <v>3482.16</v>
      </c>
      <c r="G941" t="s">
        <v>1613</v>
      </c>
      <c r="H941" s="1" t="str">
        <f t="shared" si="85"/>
        <v>Shipped</v>
      </c>
      <c r="I941" s="4" t="str">
        <f t="shared" si="86"/>
        <v>completed</v>
      </c>
      <c r="J941" t="s">
        <v>25</v>
      </c>
      <c r="K941">
        <v>4</v>
      </c>
      <c r="L941">
        <v>10</v>
      </c>
      <c r="M941">
        <v>2003</v>
      </c>
      <c r="N941" t="s">
        <v>598</v>
      </c>
      <c r="O941">
        <v>86</v>
      </c>
      <c r="P941" t="s">
        <v>599</v>
      </c>
      <c r="Q941" t="s">
        <v>126</v>
      </c>
      <c r="R941" t="s">
        <v>127</v>
      </c>
      <c r="S941" t="s">
        <v>128</v>
      </c>
      <c r="U941" s="1" t="str">
        <f t="shared" si="87"/>
        <v>Helsinki</v>
      </c>
      <c r="V941" t="s">
        <v>129</v>
      </c>
      <c r="X941">
        <v>21240</v>
      </c>
      <c r="Y941" s="1" t="str">
        <f t="shared" si="88"/>
        <v>FINLAND</v>
      </c>
      <c r="Z941" s="4" t="str">
        <f t="shared" si="89"/>
        <v>Finland</v>
      </c>
      <c r="AA941" t="s">
        <v>130</v>
      </c>
      <c r="AB941" t="s">
        <v>42</v>
      </c>
      <c r="AC941" t="s">
        <v>131</v>
      </c>
      <c r="AD941" t="s">
        <v>132</v>
      </c>
      <c r="AE941" t="s">
        <v>51</v>
      </c>
    </row>
    <row r="942" spans="1:31" x14ac:dyDescent="0.3">
      <c r="A942">
        <v>10167</v>
      </c>
      <c r="B942">
        <v>46</v>
      </c>
      <c r="C942">
        <v>73.12</v>
      </c>
      <c r="D942">
        <v>7</v>
      </c>
      <c r="E942" s="4" t="str">
        <f t="shared" si="84"/>
        <v>low sales</v>
      </c>
      <c r="F942">
        <v>3363.52</v>
      </c>
      <c r="G942" t="s">
        <v>1614</v>
      </c>
      <c r="H942" s="1" t="str">
        <f t="shared" si="85"/>
        <v>Cancelled</v>
      </c>
      <c r="I942" s="4" t="str">
        <f t="shared" si="86"/>
        <v>not completed</v>
      </c>
      <c r="J942" t="s">
        <v>339</v>
      </c>
      <c r="K942">
        <v>4</v>
      </c>
      <c r="L942">
        <v>10</v>
      </c>
      <c r="M942">
        <v>2003</v>
      </c>
      <c r="N942" t="s">
        <v>598</v>
      </c>
      <c r="O942">
        <v>86</v>
      </c>
      <c r="P942" t="s">
        <v>599</v>
      </c>
      <c r="Q942" t="s">
        <v>261</v>
      </c>
      <c r="R942" t="s">
        <v>262</v>
      </c>
      <c r="S942" t="s">
        <v>263</v>
      </c>
      <c r="U942" s="1" t="str">
        <f t="shared" si="87"/>
        <v>Boras</v>
      </c>
      <c r="V942" t="s">
        <v>264</v>
      </c>
      <c r="X942" t="s">
        <v>265</v>
      </c>
      <c r="Y942" s="1" t="str">
        <f t="shared" si="88"/>
        <v>SWEDEN</v>
      </c>
      <c r="Z942" s="4" t="str">
        <f t="shared" si="89"/>
        <v>Sweden</v>
      </c>
      <c r="AA942" t="s">
        <v>188</v>
      </c>
      <c r="AB942" t="s">
        <v>42</v>
      </c>
      <c r="AC942" t="s">
        <v>266</v>
      </c>
      <c r="AD942" t="s">
        <v>206</v>
      </c>
      <c r="AE942" t="s">
        <v>51</v>
      </c>
    </row>
    <row r="943" spans="1:31" x14ac:dyDescent="0.3">
      <c r="A943">
        <v>10178</v>
      </c>
      <c r="B943">
        <v>41</v>
      </c>
      <c r="C943">
        <v>81.72</v>
      </c>
      <c r="D943">
        <v>10</v>
      </c>
      <c r="E943" s="4" t="str">
        <f t="shared" si="84"/>
        <v>low sales</v>
      </c>
      <c r="F943">
        <v>3350.52</v>
      </c>
      <c r="G943" t="s">
        <v>1615</v>
      </c>
      <c r="H943" s="1" t="str">
        <f t="shared" si="85"/>
        <v>Shipped</v>
      </c>
      <c r="I943" s="4" t="str">
        <f t="shared" si="86"/>
        <v>completed</v>
      </c>
      <c r="J943" t="s">
        <v>25</v>
      </c>
      <c r="K943">
        <v>4</v>
      </c>
      <c r="L943">
        <v>11</v>
      </c>
      <c r="M943">
        <v>2003</v>
      </c>
      <c r="N943" t="s">
        <v>598</v>
      </c>
      <c r="O943">
        <v>86</v>
      </c>
      <c r="P943" t="s">
        <v>599</v>
      </c>
      <c r="Q943" t="s">
        <v>340</v>
      </c>
      <c r="R943" t="s">
        <v>341</v>
      </c>
      <c r="S943" t="s">
        <v>342</v>
      </c>
      <c r="U943" s="1" t="str">
        <f t="shared" si="87"/>
        <v>Toulouse</v>
      </c>
      <c r="V943" t="s">
        <v>343</v>
      </c>
      <c r="X943">
        <v>31000</v>
      </c>
      <c r="Y943" s="1" t="str">
        <f t="shared" si="88"/>
        <v>FRANCE</v>
      </c>
      <c r="Z943" s="4" t="str">
        <f t="shared" si="89"/>
        <v>France</v>
      </c>
      <c r="AA943" t="s">
        <v>41</v>
      </c>
      <c r="AB943" t="s">
        <v>42</v>
      </c>
      <c r="AC943" t="s">
        <v>344</v>
      </c>
      <c r="AD943" t="s">
        <v>345</v>
      </c>
      <c r="AE943" t="s">
        <v>51</v>
      </c>
    </row>
    <row r="944" spans="1:31" x14ac:dyDescent="0.3">
      <c r="A944">
        <v>10186</v>
      </c>
      <c r="B944">
        <v>32</v>
      </c>
      <c r="C944">
        <v>89.46</v>
      </c>
      <c r="D944">
        <v>7</v>
      </c>
      <c r="E944" s="4" t="str">
        <f t="shared" si="84"/>
        <v>low sales</v>
      </c>
      <c r="F944">
        <v>2862.72</v>
      </c>
      <c r="G944" t="s">
        <v>1616</v>
      </c>
      <c r="H944" s="1" t="str">
        <f t="shared" si="85"/>
        <v>Shipped</v>
      </c>
      <c r="I944" s="4" t="str">
        <f t="shared" si="86"/>
        <v>completed</v>
      </c>
      <c r="J944" t="s">
        <v>25</v>
      </c>
      <c r="K944">
        <v>4</v>
      </c>
      <c r="L944">
        <v>11</v>
      </c>
      <c r="M944">
        <v>2003</v>
      </c>
      <c r="N944" t="s">
        <v>598</v>
      </c>
      <c r="O944">
        <v>86</v>
      </c>
      <c r="P944" t="s">
        <v>599</v>
      </c>
      <c r="Q944" t="s">
        <v>346</v>
      </c>
      <c r="R944" t="s">
        <v>347</v>
      </c>
      <c r="S944" t="s">
        <v>348</v>
      </c>
      <c r="U944" s="1" t="str">
        <f t="shared" si="87"/>
        <v>London</v>
      </c>
      <c r="V944" t="s">
        <v>332</v>
      </c>
      <c r="X944" t="s">
        <v>349</v>
      </c>
      <c r="Y944" s="1" t="str">
        <f t="shared" si="88"/>
        <v>UK</v>
      </c>
      <c r="Z944" s="4" t="str">
        <f t="shared" si="89"/>
        <v>Uk</v>
      </c>
      <c r="AA944" t="s">
        <v>170</v>
      </c>
      <c r="AB944" t="s">
        <v>42</v>
      </c>
      <c r="AC944" t="s">
        <v>350</v>
      </c>
      <c r="AD944" t="s">
        <v>351</v>
      </c>
      <c r="AE944" t="s">
        <v>36</v>
      </c>
    </row>
    <row r="945" spans="1:31" x14ac:dyDescent="0.3">
      <c r="A945">
        <v>10197</v>
      </c>
      <c r="B945">
        <v>46</v>
      </c>
      <c r="C945">
        <v>87.74</v>
      </c>
      <c r="D945">
        <v>4</v>
      </c>
      <c r="E945" s="4" t="str">
        <f t="shared" si="84"/>
        <v>high sales</v>
      </c>
      <c r="F945">
        <v>4036.04</v>
      </c>
      <c r="G945" t="s">
        <v>1617</v>
      </c>
      <c r="H945" s="1" t="str">
        <f t="shared" si="85"/>
        <v>Shipped</v>
      </c>
      <c r="I945" s="4" t="str">
        <f t="shared" si="86"/>
        <v>completed</v>
      </c>
      <c r="J945" t="s">
        <v>25</v>
      </c>
      <c r="K945">
        <v>4</v>
      </c>
      <c r="L945">
        <v>11</v>
      </c>
      <c r="M945">
        <v>2003</v>
      </c>
      <c r="N945" t="s">
        <v>598</v>
      </c>
      <c r="O945">
        <v>86</v>
      </c>
      <c r="P945" t="s">
        <v>599</v>
      </c>
      <c r="Q945" t="s">
        <v>352</v>
      </c>
      <c r="R945" t="s">
        <v>353</v>
      </c>
      <c r="S945" t="s">
        <v>354</v>
      </c>
      <c r="U945" s="1" t="str">
        <f t="shared" si="87"/>
        <v>Barcelona</v>
      </c>
      <c r="V945" t="s">
        <v>355</v>
      </c>
      <c r="X945">
        <v>8022</v>
      </c>
      <c r="Y945" s="1" t="str">
        <f t="shared" si="88"/>
        <v>SPAIN</v>
      </c>
      <c r="Z945" s="4" t="str">
        <f t="shared" si="89"/>
        <v>Spain</v>
      </c>
      <c r="AA945" t="s">
        <v>178</v>
      </c>
      <c r="AB945" t="s">
        <v>42</v>
      </c>
      <c r="AC945" t="s">
        <v>356</v>
      </c>
      <c r="AD945" t="s">
        <v>357</v>
      </c>
      <c r="AE945" t="s">
        <v>51</v>
      </c>
    </row>
    <row r="946" spans="1:31" x14ac:dyDescent="0.3">
      <c r="A946">
        <v>10209</v>
      </c>
      <c r="B946">
        <v>28</v>
      </c>
      <c r="C946">
        <v>100</v>
      </c>
      <c r="D946">
        <v>6</v>
      </c>
      <c r="E946" s="4" t="str">
        <f t="shared" si="84"/>
        <v>low sales</v>
      </c>
      <c r="F946">
        <v>2817.92</v>
      </c>
      <c r="G946" t="s">
        <v>1618</v>
      </c>
      <c r="H946" s="1" t="str">
        <f t="shared" si="85"/>
        <v>Shipped</v>
      </c>
      <c r="I946" s="4" t="str">
        <f t="shared" si="86"/>
        <v>completed</v>
      </c>
      <c r="J946" t="s">
        <v>25</v>
      </c>
      <c r="K946">
        <v>1</v>
      </c>
      <c r="L946">
        <v>1</v>
      </c>
      <c r="M946">
        <v>2004</v>
      </c>
      <c r="N946" t="s">
        <v>598</v>
      </c>
      <c r="O946">
        <v>86</v>
      </c>
      <c r="P946" t="s">
        <v>599</v>
      </c>
      <c r="Q946" t="s">
        <v>358</v>
      </c>
      <c r="R946">
        <v>2155554369</v>
      </c>
      <c r="S946" t="s">
        <v>359</v>
      </c>
      <c r="U946" s="1" t="str">
        <f t="shared" si="87"/>
        <v>Los Angeles</v>
      </c>
      <c r="V946" t="s">
        <v>360</v>
      </c>
      <c r="W946" t="s">
        <v>55</v>
      </c>
      <c r="Y946" s="1" t="str">
        <f t="shared" si="88"/>
        <v>USA</v>
      </c>
      <c r="Z946" s="4" t="str">
        <f t="shared" si="89"/>
        <v>Usa</v>
      </c>
      <c r="AA946" t="s">
        <v>32</v>
      </c>
      <c r="AB946" t="s">
        <v>33</v>
      </c>
      <c r="AC946" t="s">
        <v>361</v>
      </c>
      <c r="AD946" t="s">
        <v>103</v>
      </c>
      <c r="AE946" t="s">
        <v>36</v>
      </c>
    </row>
    <row r="947" spans="1:31" x14ac:dyDescent="0.3">
      <c r="A947">
        <v>10222</v>
      </c>
      <c r="B947">
        <v>49</v>
      </c>
      <c r="C947">
        <v>94.62</v>
      </c>
      <c r="D947">
        <v>10</v>
      </c>
      <c r="E947" s="4" t="str">
        <f t="shared" si="84"/>
        <v>high sales</v>
      </c>
      <c r="F947">
        <v>4636.38</v>
      </c>
      <c r="G947" t="s">
        <v>1619</v>
      </c>
      <c r="H947" s="1" t="str">
        <f t="shared" si="85"/>
        <v>Shipped</v>
      </c>
      <c r="I947" s="4" t="str">
        <f t="shared" si="86"/>
        <v>completed</v>
      </c>
      <c r="J947" t="s">
        <v>25</v>
      </c>
      <c r="K947">
        <v>1</v>
      </c>
      <c r="L947">
        <v>2</v>
      </c>
      <c r="M947">
        <v>2004</v>
      </c>
      <c r="N947" t="s">
        <v>598</v>
      </c>
      <c r="O947">
        <v>86</v>
      </c>
      <c r="P947" t="s">
        <v>599</v>
      </c>
      <c r="Q947" t="s">
        <v>362</v>
      </c>
      <c r="R947">
        <v>7605558146</v>
      </c>
      <c r="S947" t="s">
        <v>363</v>
      </c>
      <c r="U947" s="1" t="str">
        <f t="shared" si="87"/>
        <v>San Diego</v>
      </c>
      <c r="V947" t="s">
        <v>364</v>
      </c>
      <c r="W947" t="s">
        <v>55</v>
      </c>
      <c r="X947">
        <v>91217</v>
      </c>
      <c r="Y947" s="1" t="str">
        <f t="shared" si="88"/>
        <v>USA</v>
      </c>
      <c r="Z947" s="4" t="str">
        <f t="shared" si="89"/>
        <v>Usa</v>
      </c>
      <c r="AA947" t="s">
        <v>32</v>
      </c>
      <c r="AB947" t="s">
        <v>33</v>
      </c>
      <c r="AC947" t="s">
        <v>237</v>
      </c>
      <c r="AD947" t="s">
        <v>276</v>
      </c>
      <c r="AE947" t="s">
        <v>51</v>
      </c>
    </row>
    <row r="948" spans="1:31" x14ac:dyDescent="0.3">
      <c r="A948">
        <v>10248</v>
      </c>
      <c r="B948">
        <v>21</v>
      </c>
      <c r="C948">
        <v>73.98</v>
      </c>
      <c r="D948">
        <v>1</v>
      </c>
      <c r="E948" s="4" t="str">
        <f t="shared" si="84"/>
        <v>low sales</v>
      </c>
      <c r="F948">
        <v>1553.58</v>
      </c>
      <c r="G948" t="s">
        <v>1620</v>
      </c>
      <c r="H948" s="1" t="str">
        <f t="shared" si="85"/>
        <v>Cancelled</v>
      </c>
      <c r="I948" s="4" t="str">
        <f t="shared" si="86"/>
        <v>not completed</v>
      </c>
      <c r="J948" t="s">
        <v>339</v>
      </c>
      <c r="K948">
        <v>2</v>
      </c>
      <c r="L948">
        <v>5</v>
      </c>
      <c r="M948">
        <v>2004</v>
      </c>
      <c r="N948" t="s">
        <v>598</v>
      </c>
      <c r="O948">
        <v>86</v>
      </c>
      <c r="P948" t="s">
        <v>599</v>
      </c>
      <c r="Q948" t="s">
        <v>28</v>
      </c>
      <c r="R948">
        <v>2125557818</v>
      </c>
      <c r="S948" t="s">
        <v>29</v>
      </c>
      <c r="U948" s="1" t="str">
        <f t="shared" si="87"/>
        <v>Nyc</v>
      </c>
      <c r="V948" t="s">
        <v>30</v>
      </c>
      <c r="W948" t="s">
        <v>31</v>
      </c>
      <c r="X948">
        <v>10022</v>
      </c>
      <c r="Y948" s="1" t="str">
        <f t="shared" si="88"/>
        <v>USA</v>
      </c>
      <c r="Z948" s="4" t="str">
        <f t="shared" si="89"/>
        <v>Usa</v>
      </c>
      <c r="AA948" t="s">
        <v>32</v>
      </c>
      <c r="AB948" t="s">
        <v>33</v>
      </c>
      <c r="AC948" t="s">
        <v>34</v>
      </c>
      <c r="AD948" t="s">
        <v>35</v>
      </c>
      <c r="AE948" t="s">
        <v>36</v>
      </c>
    </row>
    <row r="949" spans="1:31" x14ac:dyDescent="0.3">
      <c r="A949">
        <v>10262</v>
      </c>
      <c r="B949">
        <v>32</v>
      </c>
      <c r="C949">
        <v>84.3</v>
      </c>
      <c r="D949">
        <v>15</v>
      </c>
      <c r="E949" s="4" t="str">
        <f t="shared" si="84"/>
        <v>low sales</v>
      </c>
      <c r="F949">
        <v>2697.6</v>
      </c>
      <c r="G949" t="s">
        <v>1621</v>
      </c>
      <c r="H949" s="1" t="str">
        <f t="shared" si="85"/>
        <v>Cancelled</v>
      </c>
      <c r="I949" s="4" t="str">
        <f t="shared" si="86"/>
        <v>not completed</v>
      </c>
      <c r="J949" t="s">
        <v>339</v>
      </c>
      <c r="K949">
        <v>2</v>
      </c>
      <c r="L949">
        <v>6</v>
      </c>
      <c r="M949">
        <v>2004</v>
      </c>
      <c r="N949" t="s">
        <v>598</v>
      </c>
      <c r="O949">
        <v>86</v>
      </c>
      <c r="P949" t="s">
        <v>599</v>
      </c>
      <c r="Q949" t="s">
        <v>174</v>
      </c>
      <c r="R949" t="s">
        <v>175</v>
      </c>
      <c r="S949" t="s">
        <v>176</v>
      </c>
      <c r="U949" s="1" t="str">
        <f t="shared" si="87"/>
        <v>Madrid</v>
      </c>
      <c r="V949" t="s">
        <v>177</v>
      </c>
      <c r="X949">
        <v>28034</v>
      </c>
      <c r="Y949" s="1" t="str">
        <f t="shared" si="88"/>
        <v>SPAIN</v>
      </c>
      <c r="Z949" s="4" t="str">
        <f t="shared" si="89"/>
        <v>Spain</v>
      </c>
      <c r="AA949" t="s">
        <v>178</v>
      </c>
      <c r="AB949" t="s">
        <v>42</v>
      </c>
      <c r="AC949" t="s">
        <v>179</v>
      </c>
      <c r="AD949" t="s">
        <v>180</v>
      </c>
      <c r="AE949" t="s">
        <v>36</v>
      </c>
    </row>
    <row r="950" spans="1:31" x14ac:dyDescent="0.3">
      <c r="A950">
        <v>10273</v>
      </c>
      <c r="B950">
        <v>34</v>
      </c>
      <c r="C950">
        <v>98.06</v>
      </c>
      <c r="D950">
        <v>2</v>
      </c>
      <c r="E950" s="4" t="str">
        <f t="shared" si="84"/>
        <v>low sales</v>
      </c>
      <c r="F950">
        <v>3334.04</v>
      </c>
      <c r="G950" t="s">
        <v>1622</v>
      </c>
      <c r="H950" s="1" t="str">
        <f t="shared" si="85"/>
        <v>Shipped</v>
      </c>
      <c r="I950" s="4" t="str">
        <f t="shared" si="86"/>
        <v>completed</v>
      </c>
      <c r="J950" t="s">
        <v>25</v>
      </c>
      <c r="K950">
        <v>3</v>
      </c>
      <c r="L950">
        <v>7</v>
      </c>
      <c r="M950">
        <v>2004</v>
      </c>
      <c r="N950" t="s">
        <v>598</v>
      </c>
      <c r="O950">
        <v>86</v>
      </c>
      <c r="P950" t="s">
        <v>599</v>
      </c>
      <c r="Q950" t="s">
        <v>365</v>
      </c>
      <c r="R950" t="s">
        <v>366</v>
      </c>
      <c r="S950" t="s">
        <v>367</v>
      </c>
      <c r="U950" s="1" t="str">
        <f t="shared" si="87"/>
        <v>Bruxelles</v>
      </c>
      <c r="V950" t="s">
        <v>368</v>
      </c>
      <c r="X950" t="s">
        <v>369</v>
      </c>
      <c r="Y950" s="1" t="str">
        <f t="shared" si="88"/>
        <v>BELGIUM</v>
      </c>
      <c r="Z950" s="4" t="str">
        <f t="shared" si="89"/>
        <v>Belgium</v>
      </c>
      <c r="AA950" t="s">
        <v>370</v>
      </c>
      <c r="AB950" t="s">
        <v>42</v>
      </c>
      <c r="AC950" t="s">
        <v>371</v>
      </c>
      <c r="AD950" t="s">
        <v>372</v>
      </c>
      <c r="AE950" t="s">
        <v>51</v>
      </c>
    </row>
    <row r="951" spans="1:31" x14ac:dyDescent="0.3">
      <c r="A951">
        <v>10283</v>
      </c>
      <c r="B951">
        <v>21</v>
      </c>
      <c r="C951">
        <v>98.06</v>
      </c>
      <c r="D951">
        <v>4</v>
      </c>
      <c r="E951" s="4" t="str">
        <f t="shared" si="84"/>
        <v>low sales</v>
      </c>
      <c r="F951">
        <v>2059.2600000000002</v>
      </c>
      <c r="G951" t="s">
        <v>1623</v>
      </c>
      <c r="H951" s="1" t="str">
        <f t="shared" si="85"/>
        <v>Shipped</v>
      </c>
      <c r="I951" s="4" t="str">
        <f t="shared" si="86"/>
        <v>completed</v>
      </c>
      <c r="J951" t="s">
        <v>25</v>
      </c>
      <c r="K951">
        <v>3</v>
      </c>
      <c r="L951">
        <v>8</v>
      </c>
      <c r="M951">
        <v>2004</v>
      </c>
      <c r="N951" t="s">
        <v>598</v>
      </c>
      <c r="O951">
        <v>86</v>
      </c>
      <c r="P951" t="s">
        <v>599</v>
      </c>
      <c r="Q951" t="s">
        <v>373</v>
      </c>
      <c r="R951" t="s">
        <v>374</v>
      </c>
      <c r="S951" t="s">
        <v>375</v>
      </c>
      <c r="U951" s="1" t="str">
        <f t="shared" si="87"/>
        <v>Tsawassen</v>
      </c>
      <c r="V951" t="s">
        <v>376</v>
      </c>
      <c r="W951" t="s">
        <v>229</v>
      </c>
      <c r="X951" t="s">
        <v>377</v>
      </c>
      <c r="Y951" s="1" t="str">
        <f t="shared" si="88"/>
        <v>CANADA</v>
      </c>
      <c r="Z951" s="4" t="str">
        <f t="shared" si="89"/>
        <v>Canada</v>
      </c>
      <c r="AA951" t="s">
        <v>231</v>
      </c>
      <c r="AB951" t="s">
        <v>33</v>
      </c>
      <c r="AC951" t="s">
        <v>378</v>
      </c>
      <c r="AD951" t="s">
        <v>172</v>
      </c>
      <c r="AE951" t="s">
        <v>36</v>
      </c>
    </row>
    <row r="952" spans="1:31" x14ac:dyDescent="0.3">
      <c r="A952">
        <v>10296</v>
      </c>
      <c r="B952">
        <v>21</v>
      </c>
      <c r="C952">
        <v>96.34</v>
      </c>
      <c r="D952">
        <v>13</v>
      </c>
      <c r="E952" s="4" t="str">
        <f t="shared" si="84"/>
        <v>low sales</v>
      </c>
      <c r="F952">
        <v>2023.14</v>
      </c>
      <c r="G952" t="s">
        <v>1624</v>
      </c>
      <c r="H952" s="1" t="str">
        <f t="shared" si="85"/>
        <v>Shipped</v>
      </c>
      <c r="I952" s="4" t="str">
        <f t="shared" si="86"/>
        <v>completed</v>
      </c>
      <c r="J952" t="s">
        <v>25</v>
      </c>
      <c r="K952">
        <v>3</v>
      </c>
      <c r="L952">
        <v>9</v>
      </c>
      <c r="M952">
        <v>2004</v>
      </c>
      <c r="N952" t="s">
        <v>598</v>
      </c>
      <c r="O952">
        <v>86</v>
      </c>
      <c r="P952" t="s">
        <v>599</v>
      </c>
      <c r="Q952" t="s">
        <v>572</v>
      </c>
      <c r="R952" t="s">
        <v>573</v>
      </c>
      <c r="S952" t="s">
        <v>574</v>
      </c>
      <c r="U952" s="1" t="str">
        <f t="shared" si="87"/>
        <v>Munich</v>
      </c>
      <c r="V952" t="s">
        <v>575</v>
      </c>
      <c r="X952">
        <v>80686</v>
      </c>
      <c r="Y952" s="1" t="str">
        <f t="shared" si="88"/>
        <v>GERMANY</v>
      </c>
      <c r="Z952" s="4" t="str">
        <f t="shared" si="89"/>
        <v>Germany</v>
      </c>
      <c r="AA952" t="s">
        <v>443</v>
      </c>
      <c r="AB952" t="s">
        <v>42</v>
      </c>
      <c r="AC952" t="s">
        <v>576</v>
      </c>
      <c r="AD952" t="s">
        <v>103</v>
      </c>
      <c r="AE952" t="s">
        <v>36</v>
      </c>
    </row>
    <row r="953" spans="1:31" x14ac:dyDescent="0.3">
      <c r="A953">
        <v>10307</v>
      </c>
      <c r="B953">
        <v>31</v>
      </c>
      <c r="C953">
        <v>83.44</v>
      </c>
      <c r="D953">
        <v>7</v>
      </c>
      <c r="E953" s="4" t="str">
        <f t="shared" si="84"/>
        <v>low sales</v>
      </c>
      <c r="F953">
        <v>2586.64</v>
      </c>
      <c r="G953" t="s">
        <v>1625</v>
      </c>
      <c r="H953" s="1" t="str">
        <f t="shared" si="85"/>
        <v>Shipped</v>
      </c>
      <c r="I953" s="4" t="str">
        <f t="shared" si="86"/>
        <v>completed</v>
      </c>
      <c r="J953" t="s">
        <v>25</v>
      </c>
      <c r="K953">
        <v>4</v>
      </c>
      <c r="L953">
        <v>10</v>
      </c>
      <c r="M953">
        <v>2004</v>
      </c>
      <c r="N953" t="s">
        <v>598</v>
      </c>
      <c r="O953">
        <v>86</v>
      </c>
      <c r="P953" t="s">
        <v>599</v>
      </c>
      <c r="Q953" t="s">
        <v>214</v>
      </c>
      <c r="R953">
        <v>2155554695</v>
      </c>
      <c r="S953" t="s">
        <v>215</v>
      </c>
      <c r="U953" s="1" t="str">
        <f t="shared" si="87"/>
        <v>Philadelphia</v>
      </c>
      <c r="V953" t="s">
        <v>216</v>
      </c>
      <c r="W953" t="s">
        <v>142</v>
      </c>
      <c r="X953">
        <v>71270</v>
      </c>
      <c r="Y953" s="1" t="str">
        <f t="shared" si="88"/>
        <v>USA</v>
      </c>
      <c r="Z953" s="4" t="str">
        <f t="shared" si="89"/>
        <v>Usa</v>
      </c>
      <c r="AA953" t="s">
        <v>32</v>
      </c>
      <c r="AB953" t="s">
        <v>33</v>
      </c>
      <c r="AC953" t="s">
        <v>217</v>
      </c>
      <c r="AD953" t="s">
        <v>218</v>
      </c>
      <c r="AE953" t="s">
        <v>36</v>
      </c>
    </row>
    <row r="954" spans="1:31" x14ac:dyDescent="0.3">
      <c r="A954">
        <v>10316</v>
      </c>
      <c r="B954">
        <v>21</v>
      </c>
      <c r="C954">
        <v>94.62</v>
      </c>
      <c r="D954">
        <v>15</v>
      </c>
      <c r="E954" s="4" t="str">
        <f t="shared" si="84"/>
        <v>low sales</v>
      </c>
      <c r="F954">
        <v>1987.02</v>
      </c>
      <c r="G954" t="s">
        <v>1626</v>
      </c>
      <c r="H954" s="1" t="str">
        <f t="shared" si="85"/>
        <v>Shipped</v>
      </c>
      <c r="I954" s="4" t="str">
        <f t="shared" si="86"/>
        <v>completed</v>
      </c>
      <c r="J954" t="s">
        <v>25</v>
      </c>
      <c r="K954">
        <v>4</v>
      </c>
      <c r="L954">
        <v>11</v>
      </c>
      <c r="M954">
        <v>2004</v>
      </c>
      <c r="N954" t="s">
        <v>598</v>
      </c>
      <c r="O954">
        <v>86</v>
      </c>
      <c r="P954" t="s">
        <v>599</v>
      </c>
      <c r="Q954" t="s">
        <v>383</v>
      </c>
      <c r="R954" t="s">
        <v>384</v>
      </c>
      <c r="S954" t="s">
        <v>385</v>
      </c>
      <c r="U954" s="1" t="str">
        <f t="shared" si="87"/>
        <v>Cowes</v>
      </c>
      <c r="V954" t="s">
        <v>386</v>
      </c>
      <c r="W954" t="s">
        <v>387</v>
      </c>
      <c r="X954" t="s">
        <v>388</v>
      </c>
      <c r="Y954" s="1" t="str">
        <f t="shared" si="88"/>
        <v>UK</v>
      </c>
      <c r="Z954" s="4" t="str">
        <f t="shared" si="89"/>
        <v>Uk</v>
      </c>
      <c r="AA954" t="s">
        <v>170</v>
      </c>
      <c r="AB954" t="s">
        <v>42</v>
      </c>
      <c r="AC954" t="s">
        <v>389</v>
      </c>
      <c r="AD954" t="s">
        <v>390</v>
      </c>
      <c r="AE954" t="s">
        <v>36</v>
      </c>
    </row>
    <row r="955" spans="1:31" x14ac:dyDescent="0.3">
      <c r="A955">
        <v>10327</v>
      </c>
      <c r="B955">
        <v>25</v>
      </c>
      <c r="C955">
        <v>45.86</v>
      </c>
      <c r="D955">
        <v>5</v>
      </c>
      <c r="E955" s="4" t="str">
        <f t="shared" si="84"/>
        <v>low sales</v>
      </c>
      <c r="F955">
        <v>1146.5</v>
      </c>
      <c r="G955" t="s">
        <v>1627</v>
      </c>
      <c r="H955" s="1" t="str">
        <f t="shared" si="85"/>
        <v>Resolved</v>
      </c>
      <c r="I955" s="4" t="str">
        <f t="shared" si="86"/>
        <v>not completed</v>
      </c>
      <c r="J955" t="s">
        <v>408</v>
      </c>
      <c r="K955">
        <v>4</v>
      </c>
      <c r="L955">
        <v>11</v>
      </c>
      <c r="M955">
        <v>2004</v>
      </c>
      <c r="N955" t="s">
        <v>598</v>
      </c>
      <c r="O955">
        <v>86</v>
      </c>
      <c r="P955" t="s">
        <v>599</v>
      </c>
      <c r="Q955" t="s">
        <v>322</v>
      </c>
      <c r="R955" t="s">
        <v>323</v>
      </c>
      <c r="S955" t="s">
        <v>324</v>
      </c>
      <c r="U955" s="1" t="str">
        <f t="shared" si="87"/>
        <v>Kobenhavn</v>
      </c>
      <c r="V955" t="s">
        <v>325</v>
      </c>
      <c r="X955">
        <v>1734</v>
      </c>
      <c r="Y955" s="1" t="str">
        <f t="shared" si="88"/>
        <v>DENMARK</v>
      </c>
      <c r="Z955" s="4" t="str">
        <f t="shared" si="89"/>
        <v>Denmark</v>
      </c>
      <c r="AA955" t="s">
        <v>326</v>
      </c>
      <c r="AB955" t="s">
        <v>42</v>
      </c>
      <c r="AC955" t="s">
        <v>327</v>
      </c>
      <c r="AD955" t="s">
        <v>328</v>
      </c>
      <c r="AE955" t="s">
        <v>36</v>
      </c>
    </row>
    <row r="956" spans="1:31" x14ac:dyDescent="0.3">
      <c r="A956">
        <v>10338</v>
      </c>
      <c r="B956">
        <v>28</v>
      </c>
      <c r="C956">
        <v>82.58</v>
      </c>
      <c r="D956">
        <v>3</v>
      </c>
      <c r="E956" s="4" t="str">
        <f t="shared" si="84"/>
        <v>low sales</v>
      </c>
      <c r="F956">
        <v>2312.2399999999998</v>
      </c>
      <c r="G956" t="s">
        <v>1628</v>
      </c>
      <c r="H956" s="1" t="str">
        <f t="shared" si="85"/>
        <v>Shipped</v>
      </c>
      <c r="I956" s="4" t="str">
        <f t="shared" si="86"/>
        <v>completed</v>
      </c>
      <c r="J956" t="s">
        <v>25</v>
      </c>
      <c r="K956">
        <v>4</v>
      </c>
      <c r="L956">
        <v>11</v>
      </c>
      <c r="M956">
        <v>2004</v>
      </c>
      <c r="N956" t="s">
        <v>598</v>
      </c>
      <c r="O956">
        <v>86</v>
      </c>
      <c r="P956" t="s">
        <v>599</v>
      </c>
      <c r="Q956" t="s">
        <v>577</v>
      </c>
      <c r="R956" t="s">
        <v>578</v>
      </c>
      <c r="S956" t="s">
        <v>579</v>
      </c>
      <c r="U956" s="1" t="str">
        <f t="shared" si="87"/>
        <v>Charleroi</v>
      </c>
      <c r="V956" t="s">
        <v>580</v>
      </c>
      <c r="X956" t="s">
        <v>581</v>
      </c>
      <c r="Y956" s="1" t="str">
        <f t="shared" si="88"/>
        <v>BELGIUM</v>
      </c>
      <c r="Z956" s="4" t="str">
        <f t="shared" si="89"/>
        <v>Belgium</v>
      </c>
      <c r="AA956" t="s">
        <v>370</v>
      </c>
      <c r="AB956" t="s">
        <v>42</v>
      </c>
      <c r="AC956" t="s">
        <v>582</v>
      </c>
      <c r="AD956" t="s">
        <v>583</v>
      </c>
      <c r="AE956" t="s">
        <v>36</v>
      </c>
    </row>
    <row r="957" spans="1:31" x14ac:dyDescent="0.3">
      <c r="A957">
        <v>10350</v>
      </c>
      <c r="B957">
        <v>43</v>
      </c>
      <c r="C957">
        <v>64.97</v>
      </c>
      <c r="D957">
        <v>6</v>
      </c>
      <c r="E957" s="4" t="str">
        <f t="shared" si="84"/>
        <v>low sales</v>
      </c>
      <c r="F957">
        <v>2793.71</v>
      </c>
      <c r="G957" t="s">
        <v>1629</v>
      </c>
      <c r="H957" s="1" t="str">
        <f t="shared" si="85"/>
        <v>Shipped</v>
      </c>
      <c r="I957" s="4" t="str">
        <f t="shared" si="86"/>
        <v>completed</v>
      </c>
      <c r="J957" t="s">
        <v>25</v>
      </c>
      <c r="K957">
        <v>4</v>
      </c>
      <c r="L957">
        <v>12</v>
      </c>
      <c r="M957">
        <v>2004</v>
      </c>
      <c r="N957" t="s">
        <v>598</v>
      </c>
      <c r="O957">
        <v>86</v>
      </c>
      <c r="P957" t="s">
        <v>599</v>
      </c>
      <c r="Q957" t="s">
        <v>174</v>
      </c>
      <c r="R957" t="s">
        <v>175</v>
      </c>
      <c r="S957" t="s">
        <v>176</v>
      </c>
      <c r="U957" s="1" t="str">
        <f t="shared" si="87"/>
        <v>Madrid</v>
      </c>
      <c r="V957" t="s">
        <v>177</v>
      </c>
      <c r="X957">
        <v>28034</v>
      </c>
      <c r="Y957" s="1" t="str">
        <f t="shared" si="88"/>
        <v>SPAIN</v>
      </c>
      <c r="Z957" s="4" t="str">
        <f t="shared" si="89"/>
        <v>Spain</v>
      </c>
      <c r="AA957" t="s">
        <v>178</v>
      </c>
      <c r="AB957" t="s">
        <v>42</v>
      </c>
      <c r="AC957" t="s">
        <v>179</v>
      </c>
      <c r="AD957" t="s">
        <v>180</v>
      </c>
      <c r="AE957" t="s">
        <v>36</v>
      </c>
    </row>
    <row r="958" spans="1:31" x14ac:dyDescent="0.3">
      <c r="A958">
        <v>10373</v>
      </c>
      <c r="B958">
        <v>22</v>
      </c>
      <c r="C958">
        <v>86.74</v>
      </c>
      <c r="D958">
        <v>5</v>
      </c>
      <c r="E958" s="4" t="str">
        <f t="shared" si="84"/>
        <v>low sales</v>
      </c>
      <c r="F958">
        <v>1908.28</v>
      </c>
      <c r="G958" t="s">
        <v>1630</v>
      </c>
      <c r="H958" s="1" t="str">
        <f t="shared" si="85"/>
        <v>Shipped</v>
      </c>
      <c r="I958" s="4" t="str">
        <f t="shared" si="86"/>
        <v>completed</v>
      </c>
      <c r="J958" t="s">
        <v>25</v>
      </c>
      <c r="K958">
        <v>1</v>
      </c>
      <c r="L958">
        <v>1</v>
      </c>
      <c r="M958">
        <v>2005</v>
      </c>
      <c r="N958" t="s">
        <v>598</v>
      </c>
      <c r="O958">
        <v>86</v>
      </c>
      <c r="P958" t="s">
        <v>599</v>
      </c>
      <c r="Q958" t="s">
        <v>391</v>
      </c>
      <c r="R958" t="s">
        <v>392</v>
      </c>
      <c r="S958" t="s">
        <v>393</v>
      </c>
      <c r="U958" s="1" t="str">
        <f t="shared" si="87"/>
        <v>Oulu</v>
      </c>
      <c r="V958" t="s">
        <v>394</v>
      </c>
      <c r="X958">
        <v>90110</v>
      </c>
      <c r="Y958" s="1" t="str">
        <f t="shared" si="88"/>
        <v>FINLAND</v>
      </c>
      <c r="Z958" s="4" t="str">
        <f t="shared" si="89"/>
        <v>Finland</v>
      </c>
      <c r="AA958" t="s">
        <v>130</v>
      </c>
      <c r="AB958" t="s">
        <v>42</v>
      </c>
      <c r="AC958" t="s">
        <v>395</v>
      </c>
      <c r="AD958" t="s">
        <v>396</v>
      </c>
      <c r="AE958" t="s">
        <v>36</v>
      </c>
    </row>
    <row r="959" spans="1:31" x14ac:dyDescent="0.3">
      <c r="A959">
        <v>10386</v>
      </c>
      <c r="B959">
        <v>37</v>
      </c>
      <c r="C959">
        <v>93.01</v>
      </c>
      <c r="D959">
        <v>5</v>
      </c>
      <c r="E959" s="4" t="str">
        <f t="shared" si="84"/>
        <v>low sales</v>
      </c>
      <c r="F959">
        <v>3441.37</v>
      </c>
      <c r="G959" t="s">
        <v>1631</v>
      </c>
      <c r="H959" s="1" t="str">
        <f t="shared" si="85"/>
        <v>Resolved</v>
      </c>
      <c r="I959" s="4" t="str">
        <f t="shared" si="86"/>
        <v>not completed</v>
      </c>
      <c r="J959" t="s">
        <v>408</v>
      </c>
      <c r="K959">
        <v>1</v>
      </c>
      <c r="L959">
        <v>3</v>
      </c>
      <c r="M959">
        <v>2005</v>
      </c>
      <c r="N959" t="s">
        <v>598</v>
      </c>
      <c r="O959">
        <v>86</v>
      </c>
      <c r="P959" t="s">
        <v>599</v>
      </c>
      <c r="Q959" t="s">
        <v>174</v>
      </c>
      <c r="R959" t="s">
        <v>175</v>
      </c>
      <c r="S959" t="s">
        <v>176</v>
      </c>
      <c r="U959" s="1" t="str">
        <f t="shared" si="87"/>
        <v>Madrid</v>
      </c>
      <c r="V959" t="s">
        <v>177</v>
      </c>
      <c r="X959">
        <v>28034</v>
      </c>
      <c r="Y959" s="1" t="str">
        <f t="shared" si="88"/>
        <v>SPAIN</v>
      </c>
      <c r="Z959" s="4" t="str">
        <f t="shared" si="89"/>
        <v>Spain</v>
      </c>
      <c r="AA959" t="s">
        <v>178</v>
      </c>
      <c r="AB959" t="s">
        <v>42</v>
      </c>
      <c r="AC959" t="s">
        <v>179</v>
      </c>
      <c r="AD959" t="s">
        <v>180</v>
      </c>
      <c r="AE959" t="s">
        <v>51</v>
      </c>
    </row>
    <row r="960" spans="1:31" x14ac:dyDescent="0.3">
      <c r="A960">
        <v>10398</v>
      </c>
      <c r="B960">
        <v>28</v>
      </c>
      <c r="C960">
        <v>72.260000000000005</v>
      </c>
      <c r="D960">
        <v>18</v>
      </c>
      <c r="E960" s="4" t="str">
        <f t="shared" si="84"/>
        <v>low sales</v>
      </c>
      <c r="F960">
        <v>2023.28</v>
      </c>
      <c r="G960" t="s">
        <v>1632</v>
      </c>
      <c r="H960" s="1" t="str">
        <f t="shared" si="85"/>
        <v>Shipped</v>
      </c>
      <c r="I960" s="4" t="str">
        <f t="shared" si="86"/>
        <v>completed</v>
      </c>
      <c r="J960" t="s">
        <v>25</v>
      </c>
      <c r="K960">
        <v>1</v>
      </c>
      <c r="L960">
        <v>3</v>
      </c>
      <c r="M960">
        <v>2005</v>
      </c>
      <c r="N960" t="s">
        <v>598</v>
      </c>
      <c r="O960">
        <v>86</v>
      </c>
      <c r="P960" t="s">
        <v>599</v>
      </c>
      <c r="Q960" t="s">
        <v>37</v>
      </c>
      <c r="R960" t="s">
        <v>38</v>
      </c>
      <c r="S960" t="s">
        <v>39</v>
      </c>
      <c r="U960" s="1" t="str">
        <f t="shared" si="87"/>
        <v>Reims</v>
      </c>
      <c r="V960" t="s">
        <v>40</v>
      </c>
      <c r="X960">
        <v>51100</v>
      </c>
      <c r="Y960" s="1" t="str">
        <f t="shared" si="88"/>
        <v>FRANCE</v>
      </c>
      <c r="Z960" s="4" t="str">
        <f t="shared" si="89"/>
        <v>France</v>
      </c>
      <c r="AA960" t="s">
        <v>41</v>
      </c>
      <c r="AB960" t="s">
        <v>42</v>
      </c>
      <c r="AC960" t="s">
        <v>43</v>
      </c>
      <c r="AD960" t="s">
        <v>44</v>
      </c>
      <c r="AE960" t="s">
        <v>36</v>
      </c>
    </row>
    <row r="961" spans="1:31" x14ac:dyDescent="0.3">
      <c r="A961">
        <v>10400</v>
      </c>
      <c r="B961">
        <v>30</v>
      </c>
      <c r="C961">
        <v>74.84</v>
      </c>
      <c r="D961">
        <v>7</v>
      </c>
      <c r="E961" s="4" t="str">
        <f t="shared" si="84"/>
        <v>low sales</v>
      </c>
      <c r="F961">
        <v>2245.1999999999998</v>
      </c>
      <c r="G961" t="s">
        <v>1633</v>
      </c>
      <c r="H961" s="1" t="str">
        <f t="shared" si="85"/>
        <v>Shipped</v>
      </c>
      <c r="I961" s="4" t="str">
        <f t="shared" si="86"/>
        <v>completed</v>
      </c>
      <c r="J961" t="s">
        <v>25</v>
      </c>
      <c r="K961">
        <v>2</v>
      </c>
      <c r="L961">
        <v>4</v>
      </c>
      <c r="M961">
        <v>2005</v>
      </c>
      <c r="N961" t="s">
        <v>598</v>
      </c>
      <c r="O961">
        <v>86</v>
      </c>
      <c r="P961" t="s">
        <v>599</v>
      </c>
      <c r="Q961" t="s">
        <v>397</v>
      </c>
      <c r="R961">
        <v>4085553659</v>
      </c>
      <c r="S961" t="s">
        <v>398</v>
      </c>
      <c r="U961" s="1" t="str">
        <f t="shared" si="87"/>
        <v>San Jose</v>
      </c>
      <c r="V961" t="s">
        <v>399</v>
      </c>
      <c r="W961" t="s">
        <v>55</v>
      </c>
      <c r="X961">
        <v>94217</v>
      </c>
      <c r="Y961" s="1" t="str">
        <f t="shared" si="88"/>
        <v>USA</v>
      </c>
      <c r="Z961" s="4" t="str">
        <f t="shared" si="89"/>
        <v>Usa</v>
      </c>
      <c r="AA961" t="s">
        <v>32</v>
      </c>
      <c r="AB961" t="s">
        <v>33</v>
      </c>
      <c r="AC961" t="s">
        <v>102</v>
      </c>
      <c r="AD961" t="s">
        <v>400</v>
      </c>
      <c r="AE961" t="s">
        <v>36</v>
      </c>
    </row>
    <row r="962" spans="1:31" x14ac:dyDescent="0.3">
      <c r="A962">
        <v>10414</v>
      </c>
      <c r="B962">
        <v>44</v>
      </c>
      <c r="C962">
        <v>73.98</v>
      </c>
      <c r="D962">
        <v>1</v>
      </c>
      <c r="E962" s="4" t="str">
        <f t="shared" si="84"/>
        <v>low sales</v>
      </c>
      <c r="F962">
        <v>3255.12</v>
      </c>
      <c r="G962" t="s">
        <v>1634</v>
      </c>
      <c r="H962" s="1" t="str">
        <f t="shared" si="85"/>
        <v>On Hold</v>
      </c>
      <c r="I962" s="4" t="str">
        <f t="shared" si="86"/>
        <v>not completed</v>
      </c>
      <c r="J962" t="s">
        <v>401</v>
      </c>
      <c r="K962">
        <v>2</v>
      </c>
      <c r="L962">
        <v>5</v>
      </c>
      <c r="M962">
        <v>2005</v>
      </c>
      <c r="N962" t="s">
        <v>598</v>
      </c>
      <c r="O962">
        <v>86</v>
      </c>
      <c r="P962" t="s">
        <v>599</v>
      </c>
      <c r="Q962" t="s">
        <v>379</v>
      </c>
      <c r="R962">
        <v>6175559555</v>
      </c>
      <c r="S962" t="s">
        <v>380</v>
      </c>
      <c r="U962" s="1" t="str">
        <f t="shared" si="87"/>
        <v>Boston</v>
      </c>
      <c r="V962" t="s">
        <v>381</v>
      </c>
      <c r="W962" t="s">
        <v>123</v>
      </c>
      <c r="X962">
        <v>51003</v>
      </c>
      <c r="Y962" s="1" t="str">
        <f t="shared" si="88"/>
        <v>USA</v>
      </c>
      <c r="Z962" s="4" t="str">
        <f t="shared" si="89"/>
        <v>Usa</v>
      </c>
      <c r="AA962" t="s">
        <v>32</v>
      </c>
      <c r="AB962" t="s">
        <v>33</v>
      </c>
      <c r="AC962" t="s">
        <v>382</v>
      </c>
      <c r="AD962" t="s">
        <v>66</v>
      </c>
      <c r="AE962" t="s">
        <v>51</v>
      </c>
    </row>
    <row r="963" spans="1:31" x14ac:dyDescent="0.3">
      <c r="A963">
        <v>10103</v>
      </c>
      <c r="B963">
        <v>25</v>
      </c>
      <c r="C963">
        <v>100</v>
      </c>
      <c r="D963">
        <v>13</v>
      </c>
      <c r="E963" s="4" t="str">
        <f t="shared" ref="E963:E1026" si="90">IF(F963&gt;4000,"high sales","low sales")</f>
        <v>low sales</v>
      </c>
      <c r="F963">
        <v>2539.5</v>
      </c>
      <c r="G963" t="s">
        <v>1635</v>
      </c>
      <c r="H963" s="1" t="str">
        <f t="shared" ref="H963:H1026" si="91">PROPER(TRIM(J963))</f>
        <v>Shipped</v>
      </c>
      <c r="I963" s="4" t="str">
        <f t="shared" ref="I963:I1026" si="92">IF(J963="shipped","completed","not completed")</f>
        <v>completed</v>
      </c>
      <c r="J963" t="s">
        <v>25</v>
      </c>
      <c r="K963">
        <v>1</v>
      </c>
      <c r="L963">
        <v>1</v>
      </c>
      <c r="M963">
        <v>2003</v>
      </c>
      <c r="N963" t="s">
        <v>550</v>
      </c>
      <c r="O963">
        <v>104</v>
      </c>
      <c r="P963" t="s">
        <v>602</v>
      </c>
      <c r="Q963" t="s">
        <v>133</v>
      </c>
      <c r="R963" t="s">
        <v>134</v>
      </c>
      <c r="S963" t="s">
        <v>135</v>
      </c>
      <c r="U963" s="1" t="str">
        <f t="shared" ref="U963:U1026" si="93">PROPER(TRIM(V963))</f>
        <v>Stavern</v>
      </c>
      <c r="V963" t="s">
        <v>136</v>
      </c>
      <c r="X963">
        <v>4110</v>
      </c>
      <c r="Y963" s="1" t="str">
        <f t="shared" ref="Y963:Y1026" si="94">UPPER(TRIM(AA963))</f>
        <v>NORWAY</v>
      </c>
      <c r="Z963" s="4" t="str">
        <f t="shared" ref="Z963:Z1026" si="95">PROPER(TRIM(AA963))</f>
        <v>Norway</v>
      </c>
      <c r="AA963" t="s">
        <v>78</v>
      </c>
      <c r="AB963" t="s">
        <v>42</v>
      </c>
      <c r="AC963" t="s">
        <v>137</v>
      </c>
      <c r="AD963" t="s">
        <v>138</v>
      </c>
      <c r="AE963" t="s">
        <v>36</v>
      </c>
    </row>
    <row r="964" spans="1:31" x14ac:dyDescent="0.3">
      <c r="A964">
        <v>10111</v>
      </c>
      <c r="B964">
        <v>43</v>
      </c>
      <c r="C964">
        <v>100</v>
      </c>
      <c r="D964">
        <v>1</v>
      </c>
      <c r="E964" s="4" t="str">
        <f t="shared" si="90"/>
        <v>high sales</v>
      </c>
      <c r="F964">
        <v>4818.1499999999996</v>
      </c>
      <c r="G964" t="s">
        <v>1636</v>
      </c>
      <c r="H964" s="1" t="str">
        <f t="shared" si="91"/>
        <v>Shipped</v>
      </c>
      <c r="I964" s="4" t="str">
        <f t="shared" si="92"/>
        <v>completed</v>
      </c>
      <c r="J964" t="s">
        <v>25</v>
      </c>
      <c r="K964">
        <v>1</v>
      </c>
      <c r="L964">
        <v>3</v>
      </c>
      <c r="M964">
        <v>2003</v>
      </c>
      <c r="N964" t="s">
        <v>550</v>
      </c>
      <c r="O964">
        <v>104</v>
      </c>
      <c r="P964" t="s">
        <v>602</v>
      </c>
      <c r="Q964" t="s">
        <v>81</v>
      </c>
      <c r="R964">
        <v>6505555787</v>
      </c>
      <c r="S964" t="s">
        <v>82</v>
      </c>
      <c r="U964" s="1" t="str">
        <f t="shared" si="93"/>
        <v>San Francisco</v>
      </c>
      <c r="V964" t="s">
        <v>60</v>
      </c>
      <c r="W964" t="s">
        <v>55</v>
      </c>
      <c r="Y964" s="1" t="str">
        <f t="shared" si="94"/>
        <v>USA</v>
      </c>
      <c r="Z964" s="4" t="str">
        <f t="shared" si="95"/>
        <v>Usa</v>
      </c>
      <c r="AA964" t="s">
        <v>32</v>
      </c>
      <c r="AB964" t="s">
        <v>33</v>
      </c>
      <c r="AC964" t="s">
        <v>83</v>
      </c>
      <c r="AD964" t="s">
        <v>57</v>
      </c>
      <c r="AE964" t="s">
        <v>51</v>
      </c>
    </row>
    <row r="965" spans="1:31" x14ac:dyDescent="0.3">
      <c r="A965">
        <v>10126</v>
      </c>
      <c r="B965">
        <v>30</v>
      </c>
      <c r="C965">
        <v>97.39</v>
      </c>
      <c r="D965">
        <v>13</v>
      </c>
      <c r="E965" s="4" t="str">
        <f t="shared" si="90"/>
        <v>low sales</v>
      </c>
      <c r="F965">
        <v>2921.7</v>
      </c>
      <c r="G965" t="s">
        <v>1637</v>
      </c>
      <c r="H965" s="1" t="str">
        <f t="shared" si="91"/>
        <v>Shipped</v>
      </c>
      <c r="I965" s="4" t="str">
        <f t="shared" si="92"/>
        <v>completed</v>
      </c>
      <c r="J965" t="s">
        <v>25</v>
      </c>
      <c r="K965">
        <v>2</v>
      </c>
      <c r="L965">
        <v>5</v>
      </c>
      <c r="M965">
        <v>2003</v>
      </c>
      <c r="N965" t="s">
        <v>550</v>
      </c>
      <c r="O965">
        <v>104</v>
      </c>
      <c r="P965" t="s">
        <v>602</v>
      </c>
      <c r="Q965" t="s">
        <v>191</v>
      </c>
      <c r="R965" t="s">
        <v>192</v>
      </c>
      <c r="S965" t="s">
        <v>193</v>
      </c>
      <c r="U965" s="1" t="str">
        <f t="shared" si="93"/>
        <v>Madrid</v>
      </c>
      <c r="V965" t="s">
        <v>177</v>
      </c>
      <c r="X965">
        <v>28023</v>
      </c>
      <c r="Y965" s="1" t="str">
        <f t="shared" si="94"/>
        <v>SPAIN</v>
      </c>
      <c r="Z965" s="4" t="str">
        <f t="shared" si="95"/>
        <v>Spain</v>
      </c>
      <c r="AA965" t="s">
        <v>178</v>
      </c>
      <c r="AB965" t="s">
        <v>42</v>
      </c>
      <c r="AC965" t="s">
        <v>194</v>
      </c>
      <c r="AD965" t="s">
        <v>195</v>
      </c>
      <c r="AE965" t="s">
        <v>36</v>
      </c>
    </row>
    <row r="966" spans="1:31" x14ac:dyDescent="0.3">
      <c r="A966">
        <v>10139</v>
      </c>
      <c r="B966">
        <v>20</v>
      </c>
      <c r="C966">
        <v>90.06</v>
      </c>
      <c r="D966">
        <v>2</v>
      </c>
      <c r="E966" s="4" t="str">
        <f t="shared" si="90"/>
        <v>low sales</v>
      </c>
      <c r="F966">
        <v>1801.2</v>
      </c>
      <c r="G966" t="s">
        <v>1638</v>
      </c>
      <c r="H966" s="1" t="str">
        <f t="shared" si="91"/>
        <v>Shipped</v>
      </c>
      <c r="I966" s="4" t="str">
        <f t="shared" si="92"/>
        <v>completed</v>
      </c>
      <c r="J966" t="s">
        <v>25</v>
      </c>
      <c r="K966">
        <v>3</v>
      </c>
      <c r="L966">
        <v>7</v>
      </c>
      <c r="M966">
        <v>2003</v>
      </c>
      <c r="N966" t="s">
        <v>550</v>
      </c>
      <c r="O966">
        <v>104</v>
      </c>
      <c r="P966" t="s">
        <v>602</v>
      </c>
      <c r="Q966" t="s">
        <v>152</v>
      </c>
      <c r="R966" t="s">
        <v>153</v>
      </c>
      <c r="S966" t="s">
        <v>154</v>
      </c>
      <c r="T966" t="s">
        <v>155</v>
      </c>
      <c r="U966" s="1" t="str">
        <f t="shared" si="93"/>
        <v>Chatswood</v>
      </c>
      <c r="V966" t="s">
        <v>156</v>
      </c>
      <c r="W966" t="s">
        <v>157</v>
      </c>
      <c r="X966">
        <v>2067</v>
      </c>
      <c r="Y966" s="1" t="str">
        <f t="shared" si="94"/>
        <v>AUSTRALIA</v>
      </c>
      <c r="Z966" s="4" t="str">
        <f t="shared" si="95"/>
        <v>Australia</v>
      </c>
      <c r="AA966" t="s">
        <v>95</v>
      </c>
      <c r="AB966" t="s">
        <v>96</v>
      </c>
      <c r="AC966" t="s">
        <v>158</v>
      </c>
      <c r="AD966" t="s">
        <v>159</v>
      </c>
      <c r="AE966" t="s">
        <v>36</v>
      </c>
    </row>
    <row r="967" spans="1:31" x14ac:dyDescent="0.3">
      <c r="A967">
        <v>10150</v>
      </c>
      <c r="B967">
        <v>26</v>
      </c>
      <c r="C967">
        <v>100</v>
      </c>
      <c r="D967">
        <v>10</v>
      </c>
      <c r="E967" s="4" t="str">
        <f t="shared" si="90"/>
        <v>low sales</v>
      </c>
      <c r="F967">
        <v>2804.36</v>
      </c>
      <c r="G967" t="s">
        <v>1639</v>
      </c>
      <c r="H967" s="1" t="str">
        <f t="shared" si="91"/>
        <v>Shipped</v>
      </c>
      <c r="I967" s="4" t="str">
        <f t="shared" si="92"/>
        <v>completed</v>
      </c>
      <c r="J967" t="s">
        <v>25</v>
      </c>
      <c r="K967">
        <v>3</v>
      </c>
      <c r="L967">
        <v>9</v>
      </c>
      <c r="M967">
        <v>2003</v>
      </c>
      <c r="N967" t="s">
        <v>550</v>
      </c>
      <c r="O967">
        <v>104</v>
      </c>
      <c r="P967" t="s">
        <v>602</v>
      </c>
      <c r="Q967" t="s">
        <v>196</v>
      </c>
      <c r="R967" t="s">
        <v>197</v>
      </c>
      <c r="S967" t="s">
        <v>198</v>
      </c>
      <c r="U967" s="1" t="str">
        <f t="shared" si="93"/>
        <v>Singapore</v>
      </c>
      <c r="V967" t="s">
        <v>199</v>
      </c>
      <c r="X967">
        <v>79903</v>
      </c>
      <c r="Y967" s="1" t="str">
        <f t="shared" si="94"/>
        <v>SINGAPORE</v>
      </c>
      <c r="Z967" s="4" t="str">
        <f t="shared" si="95"/>
        <v>Singapore</v>
      </c>
      <c r="AA967" t="s">
        <v>199</v>
      </c>
      <c r="AB967" t="s">
        <v>200</v>
      </c>
      <c r="AC967" t="s">
        <v>201</v>
      </c>
      <c r="AD967" t="s">
        <v>202</v>
      </c>
      <c r="AE967" t="s">
        <v>36</v>
      </c>
    </row>
    <row r="968" spans="1:31" x14ac:dyDescent="0.3">
      <c r="A968">
        <v>10163</v>
      </c>
      <c r="B968">
        <v>40</v>
      </c>
      <c r="C968">
        <v>100</v>
      </c>
      <c r="D968">
        <v>3</v>
      </c>
      <c r="E968" s="4" t="str">
        <f t="shared" si="90"/>
        <v>high sales</v>
      </c>
      <c r="F968">
        <v>4900.8</v>
      </c>
      <c r="G968" t="s">
        <v>1640</v>
      </c>
      <c r="H968" s="1" t="str">
        <f t="shared" si="91"/>
        <v>Shipped</v>
      </c>
      <c r="I968" s="4" t="str">
        <f t="shared" si="92"/>
        <v>completed</v>
      </c>
      <c r="J968" t="s">
        <v>25</v>
      </c>
      <c r="K968">
        <v>4</v>
      </c>
      <c r="L968">
        <v>10</v>
      </c>
      <c r="M968">
        <v>2003</v>
      </c>
      <c r="N968" t="s">
        <v>550</v>
      </c>
      <c r="O968">
        <v>104</v>
      </c>
      <c r="P968" t="s">
        <v>602</v>
      </c>
      <c r="Q968" t="s">
        <v>203</v>
      </c>
      <c r="R968">
        <v>2125558493</v>
      </c>
      <c r="S968" t="s">
        <v>204</v>
      </c>
      <c r="T968" t="s">
        <v>205</v>
      </c>
      <c r="U968" s="1" t="str">
        <f t="shared" si="93"/>
        <v>Nyc</v>
      </c>
      <c r="V968" t="s">
        <v>30</v>
      </c>
      <c r="W968" t="s">
        <v>31</v>
      </c>
      <c r="X968">
        <v>10022</v>
      </c>
      <c r="Y968" s="1" t="str">
        <f t="shared" si="94"/>
        <v>USA</v>
      </c>
      <c r="Z968" s="4" t="str">
        <f t="shared" si="95"/>
        <v>Usa</v>
      </c>
      <c r="AA968" t="s">
        <v>32</v>
      </c>
      <c r="AB968" t="s">
        <v>33</v>
      </c>
      <c r="AC968" t="s">
        <v>124</v>
      </c>
      <c r="AD968" t="s">
        <v>206</v>
      </c>
      <c r="AE968" t="s">
        <v>51</v>
      </c>
    </row>
    <row r="969" spans="1:31" x14ac:dyDescent="0.3">
      <c r="A969">
        <v>10173</v>
      </c>
      <c r="B969">
        <v>31</v>
      </c>
      <c r="C969">
        <v>89.01</v>
      </c>
      <c r="D969">
        <v>1</v>
      </c>
      <c r="E969" s="4" t="str">
        <f t="shared" si="90"/>
        <v>low sales</v>
      </c>
      <c r="F969">
        <v>2759.31</v>
      </c>
      <c r="G969" t="s">
        <v>1641</v>
      </c>
      <c r="H969" s="1" t="str">
        <f t="shared" si="91"/>
        <v>Shipped</v>
      </c>
      <c r="I969" s="4" t="str">
        <f t="shared" si="92"/>
        <v>completed</v>
      </c>
      <c r="J969" t="s">
        <v>25</v>
      </c>
      <c r="K969">
        <v>4</v>
      </c>
      <c r="L969">
        <v>11</v>
      </c>
      <c r="M969">
        <v>2003</v>
      </c>
      <c r="N969" t="s">
        <v>550</v>
      </c>
      <c r="O969">
        <v>104</v>
      </c>
      <c r="P969" t="s">
        <v>602</v>
      </c>
      <c r="Q969" t="s">
        <v>552</v>
      </c>
      <c r="R969" t="s">
        <v>553</v>
      </c>
      <c r="S969" t="s">
        <v>554</v>
      </c>
      <c r="U969" s="1" t="str">
        <f t="shared" si="93"/>
        <v>Bergamo</v>
      </c>
      <c r="V969" t="s">
        <v>555</v>
      </c>
      <c r="X969">
        <v>24100</v>
      </c>
      <c r="Y969" s="1" t="str">
        <f t="shared" si="94"/>
        <v>ITALY</v>
      </c>
      <c r="Z969" s="4" t="str">
        <f t="shared" si="95"/>
        <v>Italy</v>
      </c>
      <c r="AA969" t="s">
        <v>258</v>
      </c>
      <c r="AB969" t="s">
        <v>42</v>
      </c>
      <c r="AC969" t="s">
        <v>556</v>
      </c>
      <c r="AD969" t="s">
        <v>557</v>
      </c>
      <c r="AE969" t="s">
        <v>36</v>
      </c>
    </row>
    <row r="970" spans="1:31" x14ac:dyDescent="0.3">
      <c r="A970">
        <v>10183</v>
      </c>
      <c r="B970">
        <v>22</v>
      </c>
      <c r="C970">
        <v>100</v>
      </c>
      <c r="D970">
        <v>10</v>
      </c>
      <c r="E970" s="4" t="str">
        <f t="shared" si="90"/>
        <v>low sales</v>
      </c>
      <c r="F970">
        <v>2488.1999999999998</v>
      </c>
      <c r="G970" t="s">
        <v>1642</v>
      </c>
      <c r="H970" s="1" t="str">
        <f t="shared" si="91"/>
        <v>Shipped</v>
      </c>
      <c r="I970" s="4" t="str">
        <f t="shared" si="92"/>
        <v>completed</v>
      </c>
      <c r="J970" t="s">
        <v>25</v>
      </c>
      <c r="K970">
        <v>4</v>
      </c>
      <c r="L970">
        <v>11</v>
      </c>
      <c r="M970">
        <v>2003</v>
      </c>
      <c r="N970" t="s">
        <v>550</v>
      </c>
      <c r="O970">
        <v>104</v>
      </c>
      <c r="P970" t="s">
        <v>602</v>
      </c>
      <c r="Q970" t="s">
        <v>214</v>
      </c>
      <c r="R970">
        <v>2155554695</v>
      </c>
      <c r="S970" t="s">
        <v>215</v>
      </c>
      <c r="U970" s="1" t="str">
        <f t="shared" si="93"/>
        <v>Philadelphia</v>
      </c>
      <c r="V970" t="s">
        <v>216</v>
      </c>
      <c r="W970" t="s">
        <v>142</v>
      </c>
      <c r="X970">
        <v>71270</v>
      </c>
      <c r="Y970" s="1" t="str">
        <f t="shared" si="94"/>
        <v>USA</v>
      </c>
      <c r="Z970" s="4" t="str">
        <f t="shared" si="95"/>
        <v>Usa</v>
      </c>
      <c r="AA970" t="s">
        <v>32</v>
      </c>
      <c r="AB970" t="s">
        <v>33</v>
      </c>
      <c r="AC970" t="s">
        <v>217</v>
      </c>
      <c r="AD970" t="s">
        <v>218</v>
      </c>
      <c r="AE970" t="s">
        <v>36</v>
      </c>
    </row>
    <row r="971" spans="1:31" x14ac:dyDescent="0.3">
      <c r="A971">
        <v>10193</v>
      </c>
      <c r="B971">
        <v>23</v>
      </c>
      <c r="C971">
        <v>100</v>
      </c>
      <c r="D971">
        <v>2</v>
      </c>
      <c r="E971" s="4" t="str">
        <f t="shared" si="90"/>
        <v>low sales</v>
      </c>
      <c r="F971">
        <v>2769.89</v>
      </c>
      <c r="G971" t="s">
        <v>1643</v>
      </c>
      <c r="H971" s="1" t="str">
        <f t="shared" si="91"/>
        <v>Shipped</v>
      </c>
      <c r="I971" s="4" t="str">
        <f t="shared" si="92"/>
        <v>completed</v>
      </c>
      <c r="J971" t="s">
        <v>25</v>
      </c>
      <c r="K971">
        <v>4</v>
      </c>
      <c r="L971">
        <v>11</v>
      </c>
      <c r="M971">
        <v>2003</v>
      </c>
      <c r="N971" t="s">
        <v>550</v>
      </c>
      <c r="O971">
        <v>104</v>
      </c>
      <c r="P971" t="s">
        <v>602</v>
      </c>
      <c r="Q971" t="s">
        <v>558</v>
      </c>
      <c r="R971" t="s">
        <v>559</v>
      </c>
      <c r="S971" t="s">
        <v>560</v>
      </c>
      <c r="U971" s="1" t="str">
        <f t="shared" si="93"/>
        <v>Glen Waverly</v>
      </c>
      <c r="V971" t="s">
        <v>561</v>
      </c>
      <c r="W971" t="s">
        <v>94</v>
      </c>
      <c r="X971">
        <v>3150</v>
      </c>
      <c r="Y971" s="1" t="str">
        <f t="shared" si="94"/>
        <v>AUSTRALIA</v>
      </c>
      <c r="Z971" s="4" t="str">
        <f t="shared" si="95"/>
        <v>Australia</v>
      </c>
      <c r="AA971" t="s">
        <v>95</v>
      </c>
      <c r="AB971" t="s">
        <v>96</v>
      </c>
      <c r="AC971" t="s">
        <v>562</v>
      </c>
      <c r="AD971" t="s">
        <v>563</v>
      </c>
      <c r="AE971" t="s">
        <v>36</v>
      </c>
    </row>
    <row r="972" spans="1:31" x14ac:dyDescent="0.3">
      <c r="A972">
        <v>10206</v>
      </c>
      <c r="B972">
        <v>30</v>
      </c>
      <c r="C972">
        <v>100</v>
      </c>
      <c r="D972">
        <v>8</v>
      </c>
      <c r="E972" s="4" t="str">
        <f t="shared" si="90"/>
        <v>low sales</v>
      </c>
      <c r="F972">
        <v>3581.4</v>
      </c>
      <c r="G972" t="s">
        <v>1644</v>
      </c>
      <c r="H972" s="1" t="str">
        <f t="shared" si="91"/>
        <v>Shipped</v>
      </c>
      <c r="I972" s="4" t="str">
        <f t="shared" si="92"/>
        <v>completed</v>
      </c>
      <c r="J972" t="s">
        <v>25</v>
      </c>
      <c r="K972">
        <v>4</v>
      </c>
      <c r="L972">
        <v>12</v>
      </c>
      <c r="M972">
        <v>2003</v>
      </c>
      <c r="N972" t="s">
        <v>550</v>
      </c>
      <c r="O972">
        <v>104</v>
      </c>
      <c r="P972" t="s">
        <v>602</v>
      </c>
      <c r="Q972" t="s">
        <v>225</v>
      </c>
      <c r="R972" t="s">
        <v>226</v>
      </c>
      <c r="S972" t="s">
        <v>227</v>
      </c>
      <c r="U972" s="1" t="str">
        <f t="shared" si="93"/>
        <v>Vancouver</v>
      </c>
      <c r="V972" t="s">
        <v>228</v>
      </c>
      <c r="W972" t="s">
        <v>229</v>
      </c>
      <c r="X972" t="s">
        <v>230</v>
      </c>
      <c r="Y972" s="1" t="str">
        <f t="shared" si="94"/>
        <v>CANADA</v>
      </c>
      <c r="Z972" s="4" t="str">
        <f t="shared" si="95"/>
        <v>Canada</v>
      </c>
      <c r="AA972" t="s">
        <v>231</v>
      </c>
      <c r="AB972" t="s">
        <v>33</v>
      </c>
      <c r="AC972" t="s">
        <v>232</v>
      </c>
      <c r="AD972" t="s">
        <v>233</v>
      </c>
      <c r="AE972" t="s">
        <v>51</v>
      </c>
    </row>
    <row r="973" spans="1:31" x14ac:dyDescent="0.3">
      <c r="A973">
        <v>10215</v>
      </c>
      <c r="B973">
        <v>49</v>
      </c>
      <c r="C973">
        <v>100</v>
      </c>
      <c r="D973">
        <v>5</v>
      </c>
      <c r="E973" s="4" t="str">
        <f t="shared" si="90"/>
        <v>high sales</v>
      </c>
      <c r="F973">
        <v>5285.14</v>
      </c>
      <c r="G973" t="s">
        <v>1645</v>
      </c>
      <c r="H973" s="1" t="str">
        <f t="shared" si="91"/>
        <v>Shipped</v>
      </c>
      <c r="I973" s="4" t="str">
        <f t="shared" si="92"/>
        <v>completed</v>
      </c>
      <c r="J973" t="s">
        <v>25</v>
      </c>
      <c r="K973">
        <v>1</v>
      </c>
      <c r="L973">
        <v>1</v>
      </c>
      <c r="M973">
        <v>2004</v>
      </c>
      <c r="N973" t="s">
        <v>550</v>
      </c>
      <c r="O973">
        <v>104</v>
      </c>
      <c r="P973" t="s">
        <v>602</v>
      </c>
      <c r="Q973" t="s">
        <v>234</v>
      </c>
      <c r="R973">
        <v>3105553722</v>
      </c>
      <c r="S973" t="s">
        <v>235</v>
      </c>
      <c r="U973" s="1" t="str">
        <f t="shared" si="93"/>
        <v>Burbank</v>
      </c>
      <c r="V973" t="s">
        <v>236</v>
      </c>
      <c r="W973" t="s">
        <v>55</v>
      </c>
      <c r="X973">
        <v>94019</v>
      </c>
      <c r="Y973" s="1" t="str">
        <f t="shared" si="94"/>
        <v>USA</v>
      </c>
      <c r="Z973" s="4" t="str">
        <f t="shared" si="95"/>
        <v>Usa</v>
      </c>
      <c r="AA973" t="s">
        <v>32</v>
      </c>
      <c r="AB973" t="s">
        <v>33</v>
      </c>
      <c r="AC973" t="s">
        <v>237</v>
      </c>
      <c r="AD973" t="s">
        <v>238</v>
      </c>
      <c r="AE973" t="s">
        <v>51</v>
      </c>
    </row>
    <row r="974" spans="1:31" x14ac:dyDescent="0.3">
      <c r="A974">
        <v>10228</v>
      </c>
      <c r="B974">
        <v>31</v>
      </c>
      <c r="C974">
        <v>100</v>
      </c>
      <c r="D974">
        <v>4</v>
      </c>
      <c r="E974" s="4" t="str">
        <f t="shared" si="90"/>
        <v>low sales</v>
      </c>
      <c r="F974">
        <v>3181.53</v>
      </c>
      <c r="G974" t="s">
        <v>1646</v>
      </c>
      <c r="H974" s="1" t="str">
        <f t="shared" si="91"/>
        <v>Shipped</v>
      </c>
      <c r="I974" s="4" t="str">
        <f t="shared" si="92"/>
        <v>completed</v>
      </c>
      <c r="J974" t="s">
        <v>25</v>
      </c>
      <c r="K974">
        <v>1</v>
      </c>
      <c r="L974">
        <v>3</v>
      </c>
      <c r="M974">
        <v>2004</v>
      </c>
      <c r="N974" t="s">
        <v>550</v>
      </c>
      <c r="O974">
        <v>104</v>
      </c>
      <c r="P974" t="s">
        <v>602</v>
      </c>
      <c r="Q974" t="s">
        <v>239</v>
      </c>
      <c r="R974">
        <v>6175555555</v>
      </c>
      <c r="S974" t="s">
        <v>240</v>
      </c>
      <c r="U974" s="1" t="str">
        <f t="shared" si="93"/>
        <v>Cambridge</v>
      </c>
      <c r="V974" t="s">
        <v>122</v>
      </c>
      <c r="W974" t="s">
        <v>123</v>
      </c>
      <c r="X974">
        <v>51247</v>
      </c>
      <c r="Y974" s="1" t="str">
        <f t="shared" si="94"/>
        <v>USA</v>
      </c>
      <c r="Z974" s="4" t="str">
        <f t="shared" si="95"/>
        <v>Usa</v>
      </c>
      <c r="AA974" t="s">
        <v>32</v>
      </c>
      <c r="AB974" t="s">
        <v>33</v>
      </c>
      <c r="AC974" t="s">
        <v>241</v>
      </c>
      <c r="AD974" t="s">
        <v>143</v>
      </c>
      <c r="AE974" t="s">
        <v>51</v>
      </c>
    </row>
    <row r="975" spans="1:31" x14ac:dyDescent="0.3">
      <c r="A975">
        <v>10244</v>
      </c>
      <c r="B975">
        <v>29</v>
      </c>
      <c r="C975">
        <v>100</v>
      </c>
      <c r="D975">
        <v>2</v>
      </c>
      <c r="E975" s="4" t="str">
        <f t="shared" si="90"/>
        <v>low sales</v>
      </c>
      <c r="F975">
        <v>3340.51</v>
      </c>
      <c r="G975" t="s">
        <v>1647</v>
      </c>
      <c r="H975" s="1" t="str">
        <f t="shared" si="91"/>
        <v>Shipped</v>
      </c>
      <c r="I975" s="4" t="str">
        <f t="shared" si="92"/>
        <v>completed</v>
      </c>
      <c r="J975" t="s">
        <v>25</v>
      </c>
      <c r="K975">
        <v>2</v>
      </c>
      <c r="L975">
        <v>4</v>
      </c>
      <c r="M975">
        <v>2004</v>
      </c>
      <c r="N975" t="s">
        <v>550</v>
      </c>
      <c r="O975">
        <v>104</v>
      </c>
      <c r="P975" t="s">
        <v>602</v>
      </c>
      <c r="Q975" t="s">
        <v>174</v>
      </c>
      <c r="R975" t="s">
        <v>175</v>
      </c>
      <c r="S975" t="s">
        <v>176</v>
      </c>
      <c r="U975" s="1" t="str">
        <f t="shared" si="93"/>
        <v>Madrid</v>
      </c>
      <c r="V975" t="s">
        <v>177</v>
      </c>
      <c r="X975">
        <v>28034</v>
      </c>
      <c r="Y975" s="1" t="str">
        <f t="shared" si="94"/>
        <v>SPAIN</v>
      </c>
      <c r="Z975" s="4" t="str">
        <f t="shared" si="95"/>
        <v>Spain</v>
      </c>
      <c r="AA975" t="s">
        <v>178</v>
      </c>
      <c r="AB975" t="s">
        <v>42</v>
      </c>
      <c r="AC975" t="s">
        <v>179</v>
      </c>
      <c r="AD975" t="s">
        <v>180</v>
      </c>
      <c r="AE975" t="s">
        <v>51</v>
      </c>
    </row>
    <row r="976" spans="1:31" x14ac:dyDescent="0.3">
      <c r="A976">
        <v>10257</v>
      </c>
      <c r="B976">
        <v>37</v>
      </c>
      <c r="C976">
        <v>84.82</v>
      </c>
      <c r="D976">
        <v>2</v>
      </c>
      <c r="E976" s="4" t="str">
        <f t="shared" si="90"/>
        <v>low sales</v>
      </c>
      <c r="F976">
        <v>3138.34</v>
      </c>
      <c r="G976" t="s">
        <v>1648</v>
      </c>
      <c r="H976" s="1" t="str">
        <f t="shared" si="91"/>
        <v>Shipped</v>
      </c>
      <c r="I976" s="4" t="str">
        <f t="shared" si="92"/>
        <v>completed</v>
      </c>
      <c r="J976" t="s">
        <v>25</v>
      </c>
      <c r="K976">
        <v>2</v>
      </c>
      <c r="L976">
        <v>6</v>
      </c>
      <c r="M976">
        <v>2004</v>
      </c>
      <c r="N976" t="s">
        <v>550</v>
      </c>
      <c r="O976">
        <v>104</v>
      </c>
      <c r="P976" t="s">
        <v>602</v>
      </c>
      <c r="Q976" t="s">
        <v>397</v>
      </c>
      <c r="R976">
        <v>4085553659</v>
      </c>
      <c r="S976" t="s">
        <v>398</v>
      </c>
      <c r="U976" s="1" t="str">
        <f t="shared" si="93"/>
        <v>San Jose</v>
      </c>
      <c r="V976" t="s">
        <v>399</v>
      </c>
      <c r="W976" t="s">
        <v>55</v>
      </c>
      <c r="X976">
        <v>94217</v>
      </c>
      <c r="Y976" s="1" t="str">
        <f t="shared" si="94"/>
        <v>USA</v>
      </c>
      <c r="Z976" s="4" t="str">
        <f t="shared" si="95"/>
        <v>Usa</v>
      </c>
      <c r="AA976" t="s">
        <v>32</v>
      </c>
      <c r="AB976" t="s">
        <v>33</v>
      </c>
      <c r="AC976" t="s">
        <v>102</v>
      </c>
      <c r="AD976" t="s">
        <v>400</v>
      </c>
      <c r="AE976" t="s">
        <v>51</v>
      </c>
    </row>
    <row r="977" spans="1:31" x14ac:dyDescent="0.3">
      <c r="A977">
        <v>10270</v>
      </c>
      <c r="B977">
        <v>38</v>
      </c>
      <c r="C977">
        <v>100</v>
      </c>
      <c r="D977">
        <v>11</v>
      </c>
      <c r="E977" s="4" t="str">
        <f t="shared" si="90"/>
        <v>high sales</v>
      </c>
      <c r="F977">
        <v>4775.08</v>
      </c>
      <c r="G977" t="s">
        <v>1649</v>
      </c>
      <c r="H977" s="1" t="str">
        <f t="shared" si="91"/>
        <v>Shipped</v>
      </c>
      <c r="I977" s="4" t="str">
        <f t="shared" si="92"/>
        <v>completed</v>
      </c>
      <c r="J977" t="s">
        <v>25</v>
      </c>
      <c r="K977">
        <v>3</v>
      </c>
      <c r="L977">
        <v>7</v>
      </c>
      <c r="M977">
        <v>2004</v>
      </c>
      <c r="N977" t="s">
        <v>550</v>
      </c>
      <c r="O977">
        <v>104</v>
      </c>
      <c r="P977" t="s">
        <v>602</v>
      </c>
      <c r="Q977" t="s">
        <v>152</v>
      </c>
      <c r="R977" t="s">
        <v>153</v>
      </c>
      <c r="S977" t="s">
        <v>154</v>
      </c>
      <c r="T977" t="s">
        <v>155</v>
      </c>
      <c r="U977" s="1" t="str">
        <f t="shared" si="93"/>
        <v>Chatswood</v>
      </c>
      <c r="V977" t="s">
        <v>156</v>
      </c>
      <c r="W977" t="s">
        <v>157</v>
      </c>
      <c r="X977">
        <v>2067</v>
      </c>
      <c r="Y977" s="1" t="str">
        <f t="shared" si="94"/>
        <v>AUSTRALIA</v>
      </c>
      <c r="Z977" s="4" t="str">
        <f t="shared" si="95"/>
        <v>Australia</v>
      </c>
      <c r="AA977" t="s">
        <v>95</v>
      </c>
      <c r="AB977" t="s">
        <v>96</v>
      </c>
      <c r="AC977" t="s">
        <v>158</v>
      </c>
      <c r="AD977" t="s">
        <v>159</v>
      </c>
      <c r="AE977" t="s">
        <v>51</v>
      </c>
    </row>
    <row r="978" spans="1:31" x14ac:dyDescent="0.3">
      <c r="A978">
        <v>10280</v>
      </c>
      <c r="B978">
        <v>29</v>
      </c>
      <c r="C978">
        <v>100</v>
      </c>
      <c r="D978">
        <v>4</v>
      </c>
      <c r="E978" s="4" t="str">
        <f t="shared" si="90"/>
        <v>low sales</v>
      </c>
      <c r="F978">
        <v>3006.43</v>
      </c>
      <c r="G978" t="s">
        <v>1650</v>
      </c>
      <c r="H978" s="1" t="str">
        <f t="shared" si="91"/>
        <v>Shipped</v>
      </c>
      <c r="I978" s="4" t="str">
        <f t="shared" si="92"/>
        <v>completed</v>
      </c>
      <c r="J978" t="s">
        <v>25</v>
      </c>
      <c r="K978">
        <v>3</v>
      </c>
      <c r="L978">
        <v>8</v>
      </c>
      <c r="M978">
        <v>2004</v>
      </c>
      <c r="N978" t="s">
        <v>550</v>
      </c>
      <c r="O978">
        <v>104</v>
      </c>
      <c r="P978" t="s">
        <v>602</v>
      </c>
      <c r="Q978" t="s">
        <v>254</v>
      </c>
      <c r="R978" t="s">
        <v>255</v>
      </c>
      <c r="S978" t="s">
        <v>256</v>
      </c>
      <c r="U978" s="1" t="str">
        <f t="shared" si="93"/>
        <v>Torino</v>
      </c>
      <c r="V978" t="s">
        <v>257</v>
      </c>
      <c r="X978">
        <v>10100</v>
      </c>
      <c r="Y978" s="1" t="str">
        <f t="shared" si="94"/>
        <v>ITALY</v>
      </c>
      <c r="Z978" s="4" t="str">
        <f t="shared" si="95"/>
        <v>Italy</v>
      </c>
      <c r="AA978" t="s">
        <v>258</v>
      </c>
      <c r="AB978" t="s">
        <v>42</v>
      </c>
      <c r="AC978" t="s">
        <v>259</v>
      </c>
      <c r="AD978" t="s">
        <v>260</v>
      </c>
      <c r="AE978" t="s">
        <v>51</v>
      </c>
    </row>
    <row r="979" spans="1:31" x14ac:dyDescent="0.3">
      <c r="A979">
        <v>10291</v>
      </c>
      <c r="B979">
        <v>23</v>
      </c>
      <c r="C979">
        <v>100</v>
      </c>
      <c r="D979">
        <v>13</v>
      </c>
      <c r="E979" s="4" t="str">
        <f t="shared" si="90"/>
        <v>low sales</v>
      </c>
      <c r="F979">
        <v>2866.26</v>
      </c>
      <c r="G979" t="s">
        <v>1651</v>
      </c>
      <c r="H979" s="1" t="str">
        <f t="shared" si="91"/>
        <v>Shipped</v>
      </c>
      <c r="I979" s="4" t="str">
        <f t="shared" si="92"/>
        <v>completed</v>
      </c>
      <c r="J979" t="s">
        <v>25</v>
      </c>
      <c r="K979">
        <v>3</v>
      </c>
      <c r="L979">
        <v>9</v>
      </c>
      <c r="M979">
        <v>2004</v>
      </c>
      <c r="N979" t="s">
        <v>550</v>
      </c>
      <c r="O979">
        <v>104</v>
      </c>
      <c r="P979" t="s">
        <v>602</v>
      </c>
      <c r="Q979" t="s">
        <v>261</v>
      </c>
      <c r="R979" t="s">
        <v>262</v>
      </c>
      <c r="S979" t="s">
        <v>263</v>
      </c>
      <c r="U979" s="1" t="str">
        <f t="shared" si="93"/>
        <v>Boras</v>
      </c>
      <c r="V979" t="s">
        <v>264</v>
      </c>
      <c r="X979" t="s">
        <v>265</v>
      </c>
      <c r="Y979" s="1" t="str">
        <f t="shared" si="94"/>
        <v>SWEDEN</v>
      </c>
      <c r="Z979" s="4" t="str">
        <f t="shared" si="95"/>
        <v>Sweden</v>
      </c>
      <c r="AA979" t="s">
        <v>188</v>
      </c>
      <c r="AB979" t="s">
        <v>42</v>
      </c>
      <c r="AC979" t="s">
        <v>266</v>
      </c>
      <c r="AD979" t="s">
        <v>206</v>
      </c>
      <c r="AE979" t="s">
        <v>36</v>
      </c>
    </row>
    <row r="980" spans="1:31" x14ac:dyDescent="0.3">
      <c r="A980">
        <v>10304</v>
      </c>
      <c r="B980">
        <v>26</v>
      </c>
      <c r="C980">
        <v>85.87</v>
      </c>
      <c r="D980">
        <v>8</v>
      </c>
      <c r="E980" s="4" t="str">
        <f t="shared" si="90"/>
        <v>low sales</v>
      </c>
      <c r="F980">
        <v>2232.62</v>
      </c>
      <c r="G980" t="s">
        <v>1652</v>
      </c>
      <c r="H980" s="1" t="str">
        <f t="shared" si="91"/>
        <v>Shipped</v>
      </c>
      <c r="I980" s="4" t="str">
        <f t="shared" si="92"/>
        <v>completed</v>
      </c>
      <c r="J980" t="s">
        <v>25</v>
      </c>
      <c r="K980">
        <v>4</v>
      </c>
      <c r="L980">
        <v>10</v>
      </c>
      <c r="M980">
        <v>2004</v>
      </c>
      <c r="N980" t="s">
        <v>550</v>
      </c>
      <c r="O980">
        <v>104</v>
      </c>
      <c r="P980" t="s">
        <v>602</v>
      </c>
      <c r="Q980" t="s">
        <v>267</v>
      </c>
      <c r="R980" t="s">
        <v>268</v>
      </c>
      <c r="S980" t="s">
        <v>269</v>
      </c>
      <c r="U980" s="1" t="str">
        <f t="shared" si="93"/>
        <v>Versailles</v>
      </c>
      <c r="V980" t="s">
        <v>270</v>
      </c>
      <c r="X980">
        <v>78000</v>
      </c>
      <c r="Y980" s="1" t="str">
        <f t="shared" si="94"/>
        <v>FRANCE</v>
      </c>
      <c r="Z980" s="4" t="str">
        <f t="shared" si="95"/>
        <v>France</v>
      </c>
      <c r="AA980" t="s">
        <v>41</v>
      </c>
      <c r="AB980" t="s">
        <v>42</v>
      </c>
      <c r="AC980" t="s">
        <v>271</v>
      </c>
      <c r="AD980" t="s">
        <v>50</v>
      </c>
      <c r="AE980" t="s">
        <v>36</v>
      </c>
    </row>
    <row r="981" spans="1:31" x14ac:dyDescent="0.3">
      <c r="A981">
        <v>10312</v>
      </c>
      <c r="B981">
        <v>38</v>
      </c>
      <c r="C981">
        <v>100</v>
      </c>
      <c r="D981">
        <v>5</v>
      </c>
      <c r="E981" s="4" t="str">
        <f t="shared" si="90"/>
        <v>high sales</v>
      </c>
      <c r="F981">
        <v>4457.0200000000004</v>
      </c>
      <c r="G981" t="s">
        <v>1653</v>
      </c>
      <c r="H981" s="1" t="str">
        <f t="shared" si="91"/>
        <v>Shipped</v>
      </c>
      <c r="I981" s="4" t="str">
        <f t="shared" si="92"/>
        <v>completed</v>
      </c>
      <c r="J981" t="s">
        <v>25</v>
      </c>
      <c r="K981">
        <v>4</v>
      </c>
      <c r="L981">
        <v>10</v>
      </c>
      <c r="M981">
        <v>2004</v>
      </c>
      <c r="N981" t="s">
        <v>550</v>
      </c>
      <c r="O981">
        <v>104</v>
      </c>
      <c r="P981" t="s">
        <v>602</v>
      </c>
      <c r="Q981" t="s">
        <v>272</v>
      </c>
      <c r="R981">
        <v>4155551450</v>
      </c>
      <c r="S981" t="s">
        <v>273</v>
      </c>
      <c r="U981" s="1" t="str">
        <f t="shared" si="93"/>
        <v>San Rafael</v>
      </c>
      <c r="V981" t="s">
        <v>274</v>
      </c>
      <c r="W981" t="s">
        <v>55</v>
      </c>
      <c r="X981">
        <v>97562</v>
      </c>
      <c r="Y981" s="1" t="str">
        <f t="shared" si="94"/>
        <v>USA</v>
      </c>
      <c r="Z981" s="4" t="str">
        <f t="shared" si="95"/>
        <v>Usa</v>
      </c>
      <c r="AA981" t="s">
        <v>32</v>
      </c>
      <c r="AB981" t="s">
        <v>33</v>
      </c>
      <c r="AC981" t="s">
        <v>275</v>
      </c>
      <c r="AD981" t="s">
        <v>276</v>
      </c>
      <c r="AE981" t="s">
        <v>51</v>
      </c>
    </row>
    <row r="982" spans="1:31" x14ac:dyDescent="0.3">
      <c r="A982">
        <v>10322</v>
      </c>
      <c r="B982">
        <v>48</v>
      </c>
      <c r="C982">
        <v>47.04</v>
      </c>
      <c r="D982">
        <v>7</v>
      </c>
      <c r="E982" s="4" t="str">
        <f t="shared" si="90"/>
        <v>low sales</v>
      </c>
      <c r="F982">
        <v>2257.92</v>
      </c>
      <c r="G982" t="s">
        <v>1654</v>
      </c>
      <c r="H982" s="1" t="str">
        <f t="shared" si="91"/>
        <v>Shipped</v>
      </c>
      <c r="I982" s="4" t="str">
        <f t="shared" si="92"/>
        <v>completed</v>
      </c>
      <c r="J982" t="s">
        <v>25</v>
      </c>
      <c r="K982">
        <v>4</v>
      </c>
      <c r="L982">
        <v>11</v>
      </c>
      <c r="M982">
        <v>2004</v>
      </c>
      <c r="N982" t="s">
        <v>550</v>
      </c>
      <c r="O982">
        <v>104</v>
      </c>
      <c r="P982" t="s">
        <v>602</v>
      </c>
      <c r="Q982" t="s">
        <v>277</v>
      </c>
      <c r="R982">
        <v>6035558647</v>
      </c>
      <c r="S982" t="s">
        <v>278</v>
      </c>
      <c r="U982" s="1" t="str">
        <f t="shared" si="93"/>
        <v>Nashua</v>
      </c>
      <c r="V982" t="s">
        <v>279</v>
      </c>
      <c r="W982" t="s">
        <v>280</v>
      </c>
      <c r="X982">
        <v>62005</v>
      </c>
      <c r="Y982" s="1" t="str">
        <f t="shared" si="94"/>
        <v>USA</v>
      </c>
      <c r="Z982" s="4" t="str">
        <f t="shared" si="95"/>
        <v>Usa</v>
      </c>
      <c r="AA982" t="s">
        <v>32</v>
      </c>
      <c r="AB982" t="s">
        <v>33</v>
      </c>
      <c r="AC982" t="s">
        <v>56</v>
      </c>
      <c r="AD982" t="s">
        <v>276</v>
      </c>
      <c r="AE982" t="s">
        <v>36</v>
      </c>
    </row>
    <row r="983" spans="1:31" x14ac:dyDescent="0.3">
      <c r="A983">
        <v>10332</v>
      </c>
      <c r="B983">
        <v>40</v>
      </c>
      <c r="C983">
        <v>39.799999999999997</v>
      </c>
      <c r="D983">
        <v>18</v>
      </c>
      <c r="E983" s="4" t="str">
        <f t="shared" si="90"/>
        <v>low sales</v>
      </c>
      <c r="F983">
        <v>1592</v>
      </c>
      <c r="G983" t="s">
        <v>1655</v>
      </c>
      <c r="H983" s="1" t="str">
        <f t="shared" si="91"/>
        <v>Shipped</v>
      </c>
      <c r="I983" s="4" t="str">
        <f t="shared" si="92"/>
        <v>completed</v>
      </c>
      <c r="J983" t="s">
        <v>25</v>
      </c>
      <c r="K983">
        <v>4</v>
      </c>
      <c r="L983">
        <v>11</v>
      </c>
      <c r="M983">
        <v>2004</v>
      </c>
      <c r="N983" t="s">
        <v>550</v>
      </c>
      <c r="O983">
        <v>104</v>
      </c>
      <c r="P983" t="s">
        <v>602</v>
      </c>
      <c r="Q983" t="s">
        <v>492</v>
      </c>
      <c r="R983" t="s">
        <v>493</v>
      </c>
      <c r="S983" t="s">
        <v>494</v>
      </c>
      <c r="U983" s="1" t="str">
        <f t="shared" si="93"/>
        <v>Manchester</v>
      </c>
      <c r="V983" t="s">
        <v>495</v>
      </c>
      <c r="X983" t="s">
        <v>496</v>
      </c>
      <c r="Y983" s="1" t="str">
        <f t="shared" si="94"/>
        <v>UK</v>
      </c>
      <c r="Z983" s="4" t="str">
        <f t="shared" si="95"/>
        <v>Uk</v>
      </c>
      <c r="AA983" t="s">
        <v>170</v>
      </c>
      <c r="AB983" t="s">
        <v>42</v>
      </c>
      <c r="AC983" t="s">
        <v>497</v>
      </c>
      <c r="AD983" t="s">
        <v>94</v>
      </c>
      <c r="AE983" t="s">
        <v>36</v>
      </c>
    </row>
    <row r="984" spans="1:31" x14ac:dyDescent="0.3">
      <c r="A984">
        <v>10347</v>
      </c>
      <c r="B984">
        <v>45</v>
      </c>
      <c r="C984">
        <v>100</v>
      </c>
      <c r="D984">
        <v>11</v>
      </c>
      <c r="E984" s="4" t="str">
        <f t="shared" si="90"/>
        <v>high sales</v>
      </c>
      <c r="F984">
        <v>4948.2</v>
      </c>
      <c r="G984" t="s">
        <v>1656</v>
      </c>
      <c r="H984" s="1" t="str">
        <f t="shared" si="91"/>
        <v>Shipped</v>
      </c>
      <c r="I984" s="4" t="str">
        <f t="shared" si="92"/>
        <v>completed</v>
      </c>
      <c r="J984" t="s">
        <v>25</v>
      </c>
      <c r="K984">
        <v>4</v>
      </c>
      <c r="L984">
        <v>11</v>
      </c>
      <c r="M984">
        <v>2004</v>
      </c>
      <c r="N984" t="s">
        <v>550</v>
      </c>
      <c r="O984">
        <v>104</v>
      </c>
      <c r="P984" t="s">
        <v>602</v>
      </c>
      <c r="Q984" t="s">
        <v>89</v>
      </c>
      <c r="R984" t="s">
        <v>90</v>
      </c>
      <c r="S984" t="s">
        <v>91</v>
      </c>
      <c r="T984" t="s">
        <v>92</v>
      </c>
      <c r="U984" s="1" t="str">
        <f t="shared" si="93"/>
        <v>Melbourne</v>
      </c>
      <c r="V984" t="s">
        <v>93</v>
      </c>
      <c r="W984" t="s">
        <v>94</v>
      </c>
      <c r="X984">
        <v>3004</v>
      </c>
      <c r="Y984" s="1" t="str">
        <f t="shared" si="94"/>
        <v>AUSTRALIA</v>
      </c>
      <c r="Z984" s="4" t="str">
        <f t="shared" si="95"/>
        <v>Australia</v>
      </c>
      <c r="AA984" t="s">
        <v>95</v>
      </c>
      <c r="AB984" t="s">
        <v>96</v>
      </c>
      <c r="AC984" t="s">
        <v>97</v>
      </c>
      <c r="AD984" t="s">
        <v>98</v>
      </c>
      <c r="AE984" t="s">
        <v>51</v>
      </c>
    </row>
    <row r="985" spans="1:31" x14ac:dyDescent="0.3">
      <c r="A985">
        <v>10357</v>
      </c>
      <c r="B985">
        <v>44</v>
      </c>
      <c r="C985">
        <v>100</v>
      </c>
      <c r="D985">
        <v>4</v>
      </c>
      <c r="E985" s="4" t="str">
        <f t="shared" si="90"/>
        <v>high sales</v>
      </c>
      <c r="F985">
        <v>5160.76</v>
      </c>
      <c r="G985" t="s">
        <v>1657</v>
      </c>
      <c r="H985" s="1" t="str">
        <f t="shared" si="91"/>
        <v>Shipped</v>
      </c>
      <c r="I985" s="4" t="str">
        <f t="shared" si="92"/>
        <v>completed</v>
      </c>
      <c r="J985" t="s">
        <v>25</v>
      </c>
      <c r="K985">
        <v>4</v>
      </c>
      <c r="L985">
        <v>12</v>
      </c>
      <c r="M985">
        <v>2004</v>
      </c>
      <c r="N985" t="s">
        <v>550</v>
      </c>
      <c r="O985">
        <v>104</v>
      </c>
      <c r="P985" t="s">
        <v>602</v>
      </c>
      <c r="Q985" t="s">
        <v>272</v>
      </c>
      <c r="R985">
        <v>4155551450</v>
      </c>
      <c r="S985" t="s">
        <v>273</v>
      </c>
      <c r="U985" s="1" t="str">
        <f t="shared" si="93"/>
        <v>San Rafael</v>
      </c>
      <c r="V985" t="s">
        <v>274</v>
      </c>
      <c r="W985" t="s">
        <v>55</v>
      </c>
      <c r="X985">
        <v>97562</v>
      </c>
      <c r="Y985" s="1" t="str">
        <f t="shared" si="94"/>
        <v>USA</v>
      </c>
      <c r="Z985" s="4" t="str">
        <f t="shared" si="95"/>
        <v>Usa</v>
      </c>
      <c r="AA985" t="s">
        <v>32</v>
      </c>
      <c r="AB985" t="s">
        <v>33</v>
      </c>
      <c r="AC985" t="s">
        <v>275</v>
      </c>
      <c r="AD985" t="s">
        <v>276</v>
      </c>
      <c r="AE985" t="s">
        <v>51</v>
      </c>
    </row>
    <row r="986" spans="1:31" x14ac:dyDescent="0.3">
      <c r="A986">
        <v>10369</v>
      </c>
      <c r="B986">
        <v>21</v>
      </c>
      <c r="C986">
        <v>94.22</v>
      </c>
      <c r="D986">
        <v>5</v>
      </c>
      <c r="E986" s="4" t="str">
        <f t="shared" si="90"/>
        <v>low sales</v>
      </c>
      <c r="F986">
        <v>1978.62</v>
      </c>
      <c r="G986" t="s">
        <v>1658</v>
      </c>
      <c r="H986" s="1" t="str">
        <f t="shared" si="91"/>
        <v>Shipped</v>
      </c>
      <c r="I986" s="4" t="str">
        <f t="shared" si="92"/>
        <v>completed</v>
      </c>
      <c r="J986" t="s">
        <v>25</v>
      </c>
      <c r="K986">
        <v>1</v>
      </c>
      <c r="L986">
        <v>1</v>
      </c>
      <c r="M986">
        <v>2005</v>
      </c>
      <c r="N986" t="s">
        <v>550</v>
      </c>
      <c r="O986">
        <v>104</v>
      </c>
      <c r="P986" t="s">
        <v>602</v>
      </c>
      <c r="Q986" t="s">
        <v>281</v>
      </c>
      <c r="R986">
        <v>6175558555</v>
      </c>
      <c r="S986" t="s">
        <v>282</v>
      </c>
      <c r="U986" s="1" t="str">
        <f t="shared" si="93"/>
        <v>Brickhaven</v>
      </c>
      <c r="V986" t="s">
        <v>283</v>
      </c>
      <c r="W986" t="s">
        <v>123</v>
      </c>
      <c r="X986">
        <v>58339</v>
      </c>
      <c r="Y986" s="1" t="str">
        <f t="shared" si="94"/>
        <v>USA</v>
      </c>
      <c r="Z986" s="4" t="str">
        <f t="shared" si="95"/>
        <v>Usa</v>
      </c>
      <c r="AA986" t="s">
        <v>32</v>
      </c>
      <c r="AB986" t="s">
        <v>33</v>
      </c>
      <c r="AC986" t="s">
        <v>275</v>
      </c>
      <c r="AD986" t="s">
        <v>284</v>
      </c>
      <c r="AE986" t="s">
        <v>36</v>
      </c>
    </row>
    <row r="987" spans="1:31" x14ac:dyDescent="0.3">
      <c r="A987">
        <v>10381</v>
      </c>
      <c r="B987">
        <v>35</v>
      </c>
      <c r="C987">
        <v>100</v>
      </c>
      <c r="D987">
        <v>5</v>
      </c>
      <c r="E987" s="4" t="str">
        <f t="shared" si="90"/>
        <v>high sales</v>
      </c>
      <c r="F987">
        <v>4288.2</v>
      </c>
      <c r="G987" t="s">
        <v>1659</v>
      </c>
      <c r="H987" s="1" t="str">
        <f t="shared" si="91"/>
        <v>Shipped</v>
      </c>
      <c r="I987" s="4" t="str">
        <f t="shared" si="92"/>
        <v>completed</v>
      </c>
      <c r="J987" t="s">
        <v>25</v>
      </c>
      <c r="K987">
        <v>1</v>
      </c>
      <c r="L987">
        <v>2</v>
      </c>
      <c r="M987">
        <v>2005</v>
      </c>
      <c r="N987" t="s">
        <v>550</v>
      </c>
      <c r="O987">
        <v>104</v>
      </c>
      <c r="P987" t="s">
        <v>602</v>
      </c>
      <c r="Q987" t="s">
        <v>58</v>
      </c>
      <c r="R987">
        <v>6505551386</v>
      </c>
      <c r="S987" t="s">
        <v>59</v>
      </c>
      <c r="U987" s="1" t="str">
        <f t="shared" si="93"/>
        <v>San Francisco</v>
      </c>
      <c r="V987" t="s">
        <v>60</v>
      </c>
      <c r="W987" t="s">
        <v>55</v>
      </c>
      <c r="Y987" s="1" t="str">
        <f t="shared" si="94"/>
        <v>USA</v>
      </c>
      <c r="Z987" s="4" t="str">
        <f t="shared" si="95"/>
        <v>Usa</v>
      </c>
      <c r="AA987" t="s">
        <v>32</v>
      </c>
      <c r="AB987" t="s">
        <v>33</v>
      </c>
      <c r="AC987" t="s">
        <v>61</v>
      </c>
      <c r="AD987" t="s">
        <v>57</v>
      </c>
      <c r="AE987" t="s">
        <v>51</v>
      </c>
    </row>
    <row r="988" spans="1:31" x14ac:dyDescent="0.3">
      <c r="A988">
        <v>10392</v>
      </c>
      <c r="B988">
        <v>29</v>
      </c>
      <c r="C988">
        <v>86.92</v>
      </c>
      <c r="D988">
        <v>2</v>
      </c>
      <c r="E988" s="4" t="str">
        <f t="shared" si="90"/>
        <v>low sales</v>
      </c>
      <c r="F988">
        <v>2520.6799999999998</v>
      </c>
      <c r="G988" t="s">
        <v>1660</v>
      </c>
      <c r="H988" s="1" t="str">
        <f t="shared" si="91"/>
        <v>Shipped</v>
      </c>
      <c r="I988" s="4" t="str">
        <f t="shared" si="92"/>
        <v>completed</v>
      </c>
      <c r="J988" t="s">
        <v>25</v>
      </c>
      <c r="K988">
        <v>1</v>
      </c>
      <c r="L988">
        <v>3</v>
      </c>
      <c r="M988">
        <v>2005</v>
      </c>
      <c r="N988" t="s">
        <v>550</v>
      </c>
      <c r="O988">
        <v>104</v>
      </c>
      <c r="P988" t="s">
        <v>602</v>
      </c>
      <c r="Q988" t="s">
        <v>409</v>
      </c>
      <c r="R988" t="s">
        <v>410</v>
      </c>
      <c r="S988" t="s">
        <v>411</v>
      </c>
      <c r="U988" s="1" t="str">
        <f t="shared" si="93"/>
        <v>Graz</v>
      </c>
      <c r="V988" t="s">
        <v>412</v>
      </c>
      <c r="X988">
        <v>8010</v>
      </c>
      <c r="Y988" s="1" t="str">
        <f t="shared" si="94"/>
        <v>AUSTRIA</v>
      </c>
      <c r="Z988" s="4" t="str">
        <f t="shared" si="95"/>
        <v>Austria</v>
      </c>
      <c r="AA988" t="s">
        <v>148</v>
      </c>
      <c r="AB988" t="s">
        <v>42</v>
      </c>
      <c r="AC988" t="s">
        <v>413</v>
      </c>
      <c r="AD988" t="s">
        <v>414</v>
      </c>
      <c r="AE988" t="s">
        <v>36</v>
      </c>
    </row>
    <row r="989" spans="1:31" x14ac:dyDescent="0.3">
      <c r="A989">
        <v>10423</v>
      </c>
      <c r="B989">
        <v>21</v>
      </c>
      <c r="C989">
        <v>84.82</v>
      </c>
      <c r="D989">
        <v>2</v>
      </c>
      <c r="E989" s="4" t="str">
        <f t="shared" si="90"/>
        <v>low sales</v>
      </c>
      <c r="F989">
        <v>1781.22</v>
      </c>
      <c r="G989" t="s">
        <v>1661</v>
      </c>
      <c r="H989" s="1" t="str">
        <f t="shared" si="91"/>
        <v>In Process</v>
      </c>
      <c r="I989" s="4" t="str">
        <f t="shared" si="92"/>
        <v>not completed</v>
      </c>
      <c r="J989" t="s">
        <v>300</v>
      </c>
      <c r="K989">
        <v>2</v>
      </c>
      <c r="L989">
        <v>5</v>
      </c>
      <c r="M989">
        <v>2005</v>
      </c>
      <c r="N989" t="s">
        <v>550</v>
      </c>
      <c r="O989">
        <v>104</v>
      </c>
      <c r="P989" t="s">
        <v>602</v>
      </c>
      <c r="Q989" t="s">
        <v>365</v>
      </c>
      <c r="R989" t="s">
        <v>366</v>
      </c>
      <c r="S989" t="s">
        <v>367</v>
      </c>
      <c r="U989" s="1" t="str">
        <f t="shared" si="93"/>
        <v>Bruxelles</v>
      </c>
      <c r="V989" t="s">
        <v>368</v>
      </c>
      <c r="X989" t="s">
        <v>369</v>
      </c>
      <c r="Y989" s="1" t="str">
        <f t="shared" si="94"/>
        <v>BELGIUM</v>
      </c>
      <c r="Z989" s="4" t="str">
        <f t="shared" si="95"/>
        <v>Belgium</v>
      </c>
      <c r="AA989" t="s">
        <v>370</v>
      </c>
      <c r="AB989" t="s">
        <v>42</v>
      </c>
      <c r="AC989" t="s">
        <v>371</v>
      </c>
      <c r="AD989" t="s">
        <v>372</v>
      </c>
      <c r="AE989" t="s">
        <v>36</v>
      </c>
    </row>
    <row r="990" spans="1:31" x14ac:dyDescent="0.3">
      <c r="A990">
        <v>10105</v>
      </c>
      <c r="B990">
        <v>22</v>
      </c>
      <c r="C990">
        <v>100</v>
      </c>
      <c r="D990">
        <v>11</v>
      </c>
      <c r="E990" s="4" t="str">
        <f t="shared" si="90"/>
        <v>low sales</v>
      </c>
      <c r="F990">
        <v>3065.04</v>
      </c>
      <c r="G990" t="s">
        <v>1662</v>
      </c>
      <c r="H990" s="1" t="str">
        <f t="shared" si="91"/>
        <v>Shipped</v>
      </c>
      <c r="I990" s="4" t="str">
        <f t="shared" si="92"/>
        <v>completed</v>
      </c>
      <c r="J990" t="s">
        <v>25</v>
      </c>
      <c r="K990">
        <v>1</v>
      </c>
      <c r="L990">
        <v>2</v>
      </c>
      <c r="M990">
        <v>2003</v>
      </c>
      <c r="N990" t="s">
        <v>550</v>
      </c>
      <c r="O990">
        <v>136</v>
      </c>
      <c r="P990" t="s">
        <v>603</v>
      </c>
      <c r="Q990" t="s">
        <v>322</v>
      </c>
      <c r="R990" t="s">
        <v>323</v>
      </c>
      <c r="S990" t="s">
        <v>324</v>
      </c>
      <c r="U990" s="1" t="str">
        <f t="shared" si="93"/>
        <v>Kobenhavn</v>
      </c>
      <c r="V990" t="s">
        <v>325</v>
      </c>
      <c r="X990">
        <v>1734</v>
      </c>
      <c r="Y990" s="1" t="str">
        <f t="shared" si="94"/>
        <v>DENMARK</v>
      </c>
      <c r="Z990" s="4" t="str">
        <f t="shared" si="95"/>
        <v>Denmark</v>
      </c>
      <c r="AA990" t="s">
        <v>326</v>
      </c>
      <c r="AB990" t="s">
        <v>42</v>
      </c>
      <c r="AC990" t="s">
        <v>327</v>
      </c>
      <c r="AD990" t="s">
        <v>328</v>
      </c>
      <c r="AE990" t="s">
        <v>51</v>
      </c>
    </row>
    <row r="991" spans="1:31" x14ac:dyDescent="0.3">
      <c r="A991">
        <v>10117</v>
      </c>
      <c r="B991">
        <v>26</v>
      </c>
      <c r="C991">
        <v>100</v>
      </c>
      <c r="D991">
        <v>5</v>
      </c>
      <c r="E991" s="4" t="str">
        <f t="shared" si="90"/>
        <v>low sales</v>
      </c>
      <c r="F991">
        <v>3551.34</v>
      </c>
      <c r="G991" t="s">
        <v>1663</v>
      </c>
      <c r="H991" s="1" t="str">
        <f t="shared" si="91"/>
        <v>Shipped</v>
      </c>
      <c r="I991" s="4" t="str">
        <f t="shared" si="92"/>
        <v>completed</v>
      </c>
      <c r="J991" t="s">
        <v>25</v>
      </c>
      <c r="K991">
        <v>2</v>
      </c>
      <c r="L991">
        <v>4</v>
      </c>
      <c r="M991">
        <v>2003</v>
      </c>
      <c r="N991" t="s">
        <v>550</v>
      </c>
      <c r="O991">
        <v>136</v>
      </c>
      <c r="P991" t="s">
        <v>603</v>
      </c>
      <c r="Q991" t="s">
        <v>196</v>
      </c>
      <c r="R991" t="s">
        <v>197</v>
      </c>
      <c r="S991" t="s">
        <v>198</v>
      </c>
      <c r="U991" s="1" t="str">
        <f t="shared" si="93"/>
        <v>Singapore</v>
      </c>
      <c r="V991" t="s">
        <v>199</v>
      </c>
      <c r="X991">
        <v>79903</v>
      </c>
      <c r="Y991" s="1" t="str">
        <f t="shared" si="94"/>
        <v>SINGAPORE</v>
      </c>
      <c r="Z991" s="4" t="str">
        <f t="shared" si="95"/>
        <v>Singapore</v>
      </c>
      <c r="AA991" t="s">
        <v>199</v>
      </c>
      <c r="AB991" t="s">
        <v>200</v>
      </c>
      <c r="AC991" t="s">
        <v>201</v>
      </c>
      <c r="AD991" t="s">
        <v>202</v>
      </c>
      <c r="AE991" t="s">
        <v>51</v>
      </c>
    </row>
    <row r="992" spans="1:31" x14ac:dyDescent="0.3">
      <c r="A992">
        <v>10128</v>
      </c>
      <c r="B992">
        <v>41</v>
      </c>
      <c r="C992">
        <v>100</v>
      </c>
      <c r="D992">
        <v>2</v>
      </c>
      <c r="E992" s="4" t="str">
        <f t="shared" si="90"/>
        <v>high sales</v>
      </c>
      <c r="F992">
        <v>5544.02</v>
      </c>
      <c r="G992" t="s">
        <v>1664</v>
      </c>
      <c r="H992" s="1" t="str">
        <f t="shared" si="91"/>
        <v>Shipped</v>
      </c>
      <c r="I992" s="4" t="str">
        <f t="shared" si="92"/>
        <v>completed</v>
      </c>
      <c r="J992" t="s">
        <v>25</v>
      </c>
      <c r="K992">
        <v>2</v>
      </c>
      <c r="L992">
        <v>6</v>
      </c>
      <c r="M992">
        <v>2003</v>
      </c>
      <c r="N992" t="s">
        <v>550</v>
      </c>
      <c r="O992">
        <v>136</v>
      </c>
      <c r="P992" t="s">
        <v>603</v>
      </c>
      <c r="Q992" t="s">
        <v>174</v>
      </c>
      <c r="R992" t="s">
        <v>175</v>
      </c>
      <c r="S992" t="s">
        <v>176</v>
      </c>
      <c r="U992" s="1" t="str">
        <f t="shared" si="93"/>
        <v>Madrid</v>
      </c>
      <c r="V992" t="s">
        <v>177</v>
      </c>
      <c r="X992">
        <v>28034</v>
      </c>
      <c r="Y992" s="1" t="str">
        <f t="shared" si="94"/>
        <v>SPAIN</v>
      </c>
      <c r="Z992" s="4" t="str">
        <f t="shared" si="95"/>
        <v>Spain</v>
      </c>
      <c r="AA992" t="s">
        <v>178</v>
      </c>
      <c r="AB992" t="s">
        <v>42</v>
      </c>
      <c r="AC992" t="s">
        <v>179</v>
      </c>
      <c r="AD992" t="s">
        <v>180</v>
      </c>
      <c r="AE992" t="s">
        <v>51</v>
      </c>
    </row>
    <row r="993" spans="1:31" x14ac:dyDescent="0.3">
      <c r="A993">
        <v>10142</v>
      </c>
      <c r="B993">
        <v>47</v>
      </c>
      <c r="C993">
        <v>100</v>
      </c>
      <c r="D993">
        <v>8</v>
      </c>
      <c r="E993" s="4" t="str">
        <f t="shared" si="90"/>
        <v>high sales</v>
      </c>
      <c r="F993">
        <v>6034.33</v>
      </c>
      <c r="G993" t="s">
        <v>1665</v>
      </c>
      <c r="H993" s="1" t="str">
        <f t="shared" si="91"/>
        <v>Shipped</v>
      </c>
      <c r="I993" s="4" t="str">
        <f t="shared" si="92"/>
        <v>completed</v>
      </c>
      <c r="J993" t="s">
        <v>25</v>
      </c>
      <c r="K993">
        <v>3</v>
      </c>
      <c r="L993">
        <v>8</v>
      </c>
      <c r="M993">
        <v>2003</v>
      </c>
      <c r="N993" t="s">
        <v>550</v>
      </c>
      <c r="O993">
        <v>136</v>
      </c>
      <c r="P993" t="s">
        <v>603</v>
      </c>
      <c r="Q993" t="s">
        <v>272</v>
      </c>
      <c r="R993">
        <v>4155551450</v>
      </c>
      <c r="S993" t="s">
        <v>273</v>
      </c>
      <c r="U993" s="1" t="str">
        <f t="shared" si="93"/>
        <v>San Rafael</v>
      </c>
      <c r="V993" t="s">
        <v>274</v>
      </c>
      <c r="W993" t="s">
        <v>55</v>
      </c>
      <c r="X993">
        <v>97562</v>
      </c>
      <c r="Y993" s="1" t="str">
        <f t="shared" si="94"/>
        <v>USA</v>
      </c>
      <c r="Z993" s="4" t="str">
        <f t="shared" si="95"/>
        <v>Usa</v>
      </c>
      <c r="AA993" t="s">
        <v>32</v>
      </c>
      <c r="AB993" t="s">
        <v>33</v>
      </c>
      <c r="AC993" t="s">
        <v>275</v>
      </c>
      <c r="AD993" t="s">
        <v>276</v>
      </c>
      <c r="AE993" t="s">
        <v>51</v>
      </c>
    </row>
    <row r="994" spans="1:31" x14ac:dyDescent="0.3">
      <c r="A994">
        <v>10153</v>
      </c>
      <c r="B994">
        <v>31</v>
      </c>
      <c r="C994">
        <v>100</v>
      </c>
      <c r="D994">
        <v>7</v>
      </c>
      <c r="E994" s="4" t="str">
        <f t="shared" si="90"/>
        <v>low sales</v>
      </c>
      <c r="F994">
        <v>3641.57</v>
      </c>
      <c r="G994" t="s">
        <v>1666</v>
      </c>
      <c r="H994" s="1" t="str">
        <f t="shared" si="91"/>
        <v>Shipped</v>
      </c>
      <c r="I994" s="4" t="str">
        <f t="shared" si="92"/>
        <v>completed</v>
      </c>
      <c r="J994" t="s">
        <v>25</v>
      </c>
      <c r="K994">
        <v>3</v>
      </c>
      <c r="L994">
        <v>9</v>
      </c>
      <c r="M994">
        <v>2003</v>
      </c>
      <c r="N994" t="s">
        <v>550</v>
      </c>
      <c r="O994">
        <v>136</v>
      </c>
      <c r="P994" t="s">
        <v>603</v>
      </c>
      <c r="Q994" t="s">
        <v>174</v>
      </c>
      <c r="R994" t="s">
        <v>175</v>
      </c>
      <c r="S994" t="s">
        <v>176</v>
      </c>
      <c r="U994" s="1" t="str">
        <f t="shared" si="93"/>
        <v>Madrid</v>
      </c>
      <c r="V994" t="s">
        <v>177</v>
      </c>
      <c r="X994">
        <v>28034</v>
      </c>
      <c r="Y994" s="1" t="str">
        <f t="shared" si="94"/>
        <v>SPAIN</v>
      </c>
      <c r="Z994" s="4" t="str">
        <f t="shared" si="95"/>
        <v>Spain</v>
      </c>
      <c r="AA994" t="s">
        <v>178</v>
      </c>
      <c r="AB994" t="s">
        <v>42</v>
      </c>
      <c r="AC994" t="s">
        <v>179</v>
      </c>
      <c r="AD994" t="s">
        <v>180</v>
      </c>
      <c r="AE994" t="s">
        <v>51</v>
      </c>
    </row>
    <row r="995" spans="1:31" x14ac:dyDescent="0.3">
      <c r="A995">
        <v>10166</v>
      </c>
      <c r="B995">
        <v>43</v>
      </c>
      <c r="C995">
        <v>100</v>
      </c>
      <c r="D995">
        <v>2</v>
      </c>
      <c r="E995" s="4" t="str">
        <f t="shared" si="90"/>
        <v>high sales</v>
      </c>
      <c r="F995">
        <v>6930.74</v>
      </c>
      <c r="G995" t="s">
        <v>1667</v>
      </c>
      <c r="H995" s="1" t="str">
        <f t="shared" si="91"/>
        <v>Shipped</v>
      </c>
      <c r="I995" s="4" t="str">
        <f t="shared" si="92"/>
        <v>completed</v>
      </c>
      <c r="J995" t="s">
        <v>25</v>
      </c>
      <c r="K995">
        <v>4</v>
      </c>
      <c r="L995">
        <v>10</v>
      </c>
      <c r="M995">
        <v>2003</v>
      </c>
      <c r="N995" t="s">
        <v>550</v>
      </c>
      <c r="O995">
        <v>136</v>
      </c>
      <c r="P995" t="s">
        <v>603</v>
      </c>
      <c r="Q995" t="s">
        <v>160</v>
      </c>
      <c r="R995">
        <v>5085552555</v>
      </c>
      <c r="S995" t="s">
        <v>161</v>
      </c>
      <c r="U995" s="1" t="str">
        <f t="shared" si="93"/>
        <v>New Bedford</v>
      </c>
      <c r="V995" t="s">
        <v>162</v>
      </c>
      <c r="W995" t="s">
        <v>123</v>
      </c>
      <c r="X995">
        <v>50553</v>
      </c>
      <c r="Y995" s="1" t="str">
        <f t="shared" si="94"/>
        <v>USA</v>
      </c>
      <c r="Z995" s="4" t="str">
        <f t="shared" si="95"/>
        <v>Usa</v>
      </c>
      <c r="AA995" t="s">
        <v>32</v>
      </c>
      <c r="AB995" t="s">
        <v>33</v>
      </c>
      <c r="AC995" t="s">
        <v>163</v>
      </c>
      <c r="AD995" t="s">
        <v>164</v>
      </c>
      <c r="AE995" t="s">
        <v>51</v>
      </c>
    </row>
    <row r="996" spans="1:31" x14ac:dyDescent="0.3">
      <c r="A996">
        <v>10177</v>
      </c>
      <c r="B996">
        <v>23</v>
      </c>
      <c r="C996">
        <v>100</v>
      </c>
      <c r="D996">
        <v>9</v>
      </c>
      <c r="E996" s="4" t="str">
        <f t="shared" si="90"/>
        <v>low sales</v>
      </c>
      <c r="F996">
        <v>3675.63</v>
      </c>
      <c r="G996" t="s">
        <v>1668</v>
      </c>
      <c r="H996" s="1" t="str">
        <f t="shared" si="91"/>
        <v>Shipped</v>
      </c>
      <c r="I996" s="4" t="str">
        <f t="shared" si="92"/>
        <v>completed</v>
      </c>
      <c r="J996" t="s">
        <v>25</v>
      </c>
      <c r="K996">
        <v>4</v>
      </c>
      <c r="L996">
        <v>11</v>
      </c>
      <c r="M996">
        <v>2003</v>
      </c>
      <c r="N996" t="s">
        <v>550</v>
      </c>
      <c r="O996">
        <v>136</v>
      </c>
      <c r="P996" t="s">
        <v>603</v>
      </c>
      <c r="Q996" t="s">
        <v>487</v>
      </c>
      <c r="R996" t="s">
        <v>488</v>
      </c>
      <c r="S996" t="s">
        <v>489</v>
      </c>
      <c r="U996" s="1" t="str">
        <f t="shared" si="93"/>
        <v>Madrid</v>
      </c>
      <c r="V996" t="s">
        <v>177</v>
      </c>
      <c r="X996">
        <v>28023</v>
      </c>
      <c r="Y996" s="1" t="str">
        <f t="shared" si="94"/>
        <v>SPAIN</v>
      </c>
      <c r="Z996" s="4" t="str">
        <f t="shared" si="95"/>
        <v>Spain</v>
      </c>
      <c r="AA996" t="s">
        <v>178</v>
      </c>
      <c r="AB996" t="s">
        <v>42</v>
      </c>
      <c r="AC996" t="s">
        <v>490</v>
      </c>
      <c r="AD996" t="s">
        <v>491</v>
      </c>
      <c r="AE996" t="s">
        <v>51</v>
      </c>
    </row>
    <row r="997" spans="1:31" x14ac:dyDescent="0.3">
      <c r="A997">
        <v>10185</v>
      </c>
      <c r="B997">
        <v>28</v>
      </c>
      <c r="C997">
        <v>100</v>
      </c>
      <c r="D997">
        <v>9</v>
      </c>
      <c r="E997" s="4" t="str">
        <f t="shared" si="90"/>
        <v>low sales</v>
      </c>
      <c r="F997">
        <v>3442.04</v>
      </c>
      <c r="G997" t="s">
        <v>1669</v>
      </c>
      <c r="H997" s="1" t="str">
        <f t="shared" si="91"/>
        <v>Shipped</v>
      </c>
      <c r="I997" s="4" t="str">
        <f t="shared" si="92"/>
        <v>completed</v>
      </c>
      <c r="J997" t="s">
        <v>25</v>
      </c>
      <c r="K997">
        <v>4</v>
      </c>
      <c r="L997">
        <v>11</v>
      </c>
      <c r="M997">
        <v>2003</v>
      </c>
      <c r="N997" t="s">
        <v>550</v>
      </c>
      <c r="O997">
        <v>136</v>
      </c>
      <c r="P997" t="s">
        <v>603</v>
      </c>
      <c r="Q997" t="s">
        <v>335</v>
      </c>
      <c r="R997">
        <v>5085559555</v>
      </c>
      <c r="S997" t="s">
        <v>336</v>
      </c>
      <c r="U997" s="1" t="str">
        <f t="shared" si="93"/>
        <v>New Bedford</v>
      </c>
      <c r="V997" t="s">
        <v>162</v>
      </c>
      <c r="W997" t="s">
        <v>123</v>
      </c>
      <c r="X997">
        <v>50553</v>
      </c>
      <c r="Y997" s="1" t="str">
        <f t="shared" si="94"/>
        <v>USA</v>
      </c>
      <c r="Z997" s="4" t="str">
        <f t="shared" si="95"/>
        <v>Usa</v>
      </c>
      <c r="AA997" t="s">
        <v>32</v>
      </c>
      <c r="AB997" t="s">
        <v>33</v>
      </c>
      <c r="AC997" t="s">
        <v>337</v>
      </c>
      <c r="AD997" t="s">
        <v>338</v>
      </c>
      <c r="AE997" t="s">
        <v>51</v>
      </c>
    </row>
    <row r="998" spans="1:31" x14ac:dyDescent="0.3">
      <c r="A998">
        <v>10196</v>
      </c>
      <c r="B998">
        <v>49</v>
      </c>
      <c r="C998">
        <v>100</v>
      </c>
      <c r="D998">
        <v>1</v>
      </c>
      <c r="E998" s="4" t="str">
        <f t="shared" si="90"/>
        <v>high sales</v>
      </c>
      <c r="F998">
        <v>6893.81</v>
      </c>
      <c r="G998" t="s">
        <v>1670</v>
      </c>
      <c r="H998" s="1" t="str">
        <f t="shared" si="91"/>
        <v>Shipped</v>
      </c>
      <c r="I998" s="4" t="str">
        <f t="shared" si="92"/>
        <v>completed</v>
      </c>
      <c r="J998" t="s">
        <v>25</v>
      </c>
      <c r="K998">
        <v>4</v>
      </c>
      <c r="L998">
        <v>11</v>
      </c>
      <c r="M998">
        <v>2003</v>
      </c>
      <c r="N998" t="s">
        <v>550</v>
      </c>
      <c r="O998">
        <v>136</v>
      </c>
      <c r="P998" t="s">
        <v>603</v>
      </c>
      <c r="Q998" t="s">
        <v>242</v>
      </c>
      <c r="R998">
        <v>2035559545</v>
      </c>
      <c r="S998" t="s">
        <v>243</v>
      </c>
      <c r="U998" s="1" t="str">
        <f t="shared" si="93"/>
        <v>New Haven</v>
      </c>
      <c r="V998" t="s">
        <v>244</v>
      </c>
      <c r="W998" t="s">
        <v>112</v>
      </c>
      <c r="X998">
        <v>97823</v>
      </c>
      <c r="Y998" s="1" t="str">
        <f t="shared" si="94"/>
        <v>USA</v>
      </c>
      <c r="Z998" s="4" t="str">
        <f t="shared" si="95"/>
        <v>Usa</v>
      </c>
      <c r="AA998" t="s">
        <v>32</v>
      </c>
      <c r="AB998" t="s">
        <v>33</v>
      </c>
      <c r="AC998" t="s">
        <v>83</v>
      </c>
      <c r="AD998" t="s">
        <v>245</v>
      </c>
      <c r="AE998" t="s">
        <v>51</v>
      </c>
    </row>
    <row r="999" spans="1:31" x14ac:dyDescent="0.3">
      <c r="A999">
        <v>10208</v>
      </c>
      <c r="B999">
        <v>24</v>
      </c>
      <c r="C999">
        <v>100</v>
      </c>
      <c r="D999">
        <v>9</v>
      </c>
      <c r="E999" s="4" t="str">
        <f t="shared" si="90"/>
        <v>low sales</v>
      </c>
      <c r="F999">
        <v>2622.48</v>
      </c>
      <c r="G999" t="s">
        <v>1671</v>
      </c>
      <c r="H999" s="1" t="str">
        <f t="shared" si="91"/>
        <v>Shipped</v>
      </c>
      <c r="I999" s="4" t="str">
        <f t="shared" si="92"/>
        <v>completed</v>
      </c>
      <c r="J999" t="s">
        <v>25</v>
      </c>
      <c r="K999">
        <v>1</v>
      </c>
      <c r="L999">
        <v>1</v>
      </c>
      <c r="M999">
        <v>2004</v>
      </c>
      <c r="N999" t="s">
        <v>550</v>
      </c>
      <c r="O999">
        <v>136</v>
      </c>
      <c r="P999" t="s">
        <v>603</v>
      </c>
      <c r="Q999" t="s">
        <v>219</v>
      </c>
      <c r="R999" t="s">
        <v>220</v>
      </c>
      <c r="S999" t="s">
        <v>221</v>
      </c>
      <c r="U999" s="1" t="str">
        <f t="shared" si="93"/>
        <v>Lyon</v>
      </c>
      <c r="V999" t="s">
        <v>222</v>
      </c>
      <c r="X999">
        <v>69004</v>
      </c>
      <c r="Y999" s="1" t="str">
        <f t="shared" si="94"/>
        <v>FRANCE</v>
      </c>
      <c r="Z999" s="4" t="str">
        <f t="shared" si="95"/>
        <v>France</v>
      </c>
      <c r="AA999" t="s">
        <v>41</v>
      </c>
      <c r="AB999" t="s">
        <v>42</v>
      </c>
      <c r="AC999" t="s">
        <v>223</v>
      </c>
      <c r="AD999" t="s">
        <v>224</v>
      </c>
      <c r="AE999" t="s">
        <v>36</v>
      </c>
    </row>
    <row r="1000" spans="1:31" x14ac:dyDescent="0.3">
      <c r="A1000">
        <v>10221</v>
      </c>
      <c r="B1000">
        <v>33</v>
      </c>
      <c r="C1000">
        <v>100</v>
      </c>
      <c r="D1000">
        <v>3</v>
      </c>
      <c r="E1000" s="4" t="str">
        <f t="shared" si="90"/>
        <v>high sales</v>
      </c>
      <c r="F1000">
        <v>4417.38</v>
      </c>
      <c r="G1000" t="s">
        <v>1672</v>
      </c>
      <c r="H1000" s="1" t="str">
        <f t="shared" si="91"/>
        <v>Shipped</v>
      </c>
      <c r="I1000" s="4" t="str">
        <f t="shared" si="92"/>
        <v>completed</v>
      </c>
      <c r="J1000" t="s">
        <v>25</v>
      </c>
      <c r="K1000">
        <v>1</v>
      </c>
      <c r="L1000">
        <v>2</v>
      </c>
      <c r="M1000">
        <v>2004</v>
      </c>
      <c r="N1000" t="s">
        <v>550</v>
      </c>
      <c r="O1000">
        <v>136</v>
      </c>
      <c r="P1000" t="s">
        <v>603</v>
      </c>
      <c r="Q1000" t="s">
        <v>365</v>
      </c>
      <c r="R1000" t="s">
        <v>366</v>
      </c>
      <c r="S1000" t="s">
        <v>367</v>
      </c>
      <c r="U1000" s="1" t="str">
        <f t="shared" si="93"/>
        <v>Bruxelles</v>
      </c>
      <c r="V1000" t="s">
        <v>368</v>
      </c>
      <c r="X1000" t="s">
        <v>369</v>
      </c>
      <c r="Y1000" s="1" t="str">
        <f t="shared" si="94"/>
        <v>BELGIUM</v>
      </c>
      <c r="Z1000" s="4" t="str">
        <f t="shared" si="95"/>
        <v>Belgium</v>
      </c>
      <c r="AA1000" t="s">
        <v>370</v>
      </c>
      <c r="AB1000" t="s">
        <v>42</v>
      </c>
      <c r="AC1000" t="s">
        <v>371</v>
      </c>
      <c r="AD1000" t="s">
        <v>372</v>
      </c>
      <c r="AE1000" t="s">
        <v>51</v>
      </c>
    </row>
    <row r="1001" spans="1:31" x14ac:dyDescent="0.3">
      <c r="A1001">
        <v>10232</v>
      </c>
      <c r="B1001">
        <v>22</v>
      </c>
      <c r="C1001">
        <v>100</v>
      </c>
      <c r="D1001">
        <v>6</v>
      </c>
      <c r="E1001" s="4" t="str">
        <f t="shared" si="90"/>
        <v>low sales</v>
      </c>
      <c r="F1001">
        <v>3606.02</v>
      </c>
      <c r="G1001" t="s">
        <v>1673</v>
      </c>
      <c r="H1001" s="1" t="str">
        <f t="shared" si="91"/>
        <v>Shipped</v>
      </c>
      <c r="I1001" s="4" t="str">
        <f t="shared" si="92"/>
        <v>completed</v>
      </c>
      <c r="J1001" t="s">
        <v>25</v>
      </c>
      <c r="K1001">
        <v>1</v>
      </c>
      <c r="L1001">
        <v>3</v>
      </c>
      <c r="M1001">
        <v>2004</v>
      </c>
      <c r="N1001" t="s">
        <v>550</v>
      </c>
      <c r="O1001">
        <v>136</v>
      </c>
      <c r="P1001" t="s">
        <v>603</v>
      </c>
      <c r="Q1001" t="s">
        <v>383</v>
      </c>
      <c r="R1001" t="s">
        <v>384</v>
      </c>
      <c r="S1001" t="s">
        <v>385</v>
      </c>
      <c r="U1001" s="1" t="str">
        <f t="shared" si="93"/>
        <v>Cowes</v>
      </c>
      <c r="V1001" t="s">
        <v>386</v>
      </c>
      <c r="W1001" t="s">
        <v>387</v>
      </c>
      <c r="X1001" t="s">
        <v>388</v>
      </c>
      <c r="Y1001" s="1" t="str">
        <f t="shared" si="94"/>
        <v>UK</v>
      </c>
      <c r="Z1001" s="4" t="str">
        <f t="shared" si="95"/>
        <v>Uk</v>
      </c>
      <c r="AA1001" t="s">
        <v>170</v>
      </c>
      <c r="AB1001" t="s">
        <v>42</v>
      </c>
      <c r="AC1001" t="s">
        <v>389</v>
      </c>
      <c r="AD1001" t="s">
        <v>390</v>
      </c>
      <c r="AE1001" t="s">
        <v>51</v>
      </c>
    </row>
    <row r="1002" spans="1:31" x14ac:dyDescent="0.3">
      <c r="A1002">
        <v>10248</v>
      </c>
      <c r="B1002">
        <v>32</v>
      </c>
      <c r="C1002">
        <v>100</v>
      </c>
      <c r="D1002">
        <v>12</v>
      </c>
      <c r="E1002" s="4" t="str">
        <f t="shared" si="90"/>
        <v>low sales</v>
      </c>
      <c r="F1002">
        <v>3802.56</v>
      </c>
      <c r="G1002" t="s">
        <v>1674</v>
      </c>
      <c r="H1002" s="1" t="str">
        <f t="shared" si="91"/>
        <v>Cancelled</v>
      </c>
      <c r="I1002" s="4" t="str">
        <f t="shared" si="92"/>
        <v>not completed</v>
      </c>
      <c r="J1002" t="s">
        <v>339</v>
      </c>
      <c r="K1002">
        <v>2</v>
      </c>
      <c r="L1002">
        <v>5</v>
      </c>
      <c r="M1002">
        <v>2004</v>
      </c>
      <c r="N1002" t="s">
        <v>550</v>
      </c>
      <c r="O1002">
        <v>136</v>
      </c>
      <c r="P1002" t="s">
        <v>603</v>
      </c>
      <c r="Q1002" t="s">
        <v>28</v>
      </c>
      <c r="R1002">
        <v>2125557818</v>
      </c>
      <c r="S1002" t="s">
        <v>29</v>
      </c>
      <c r="U1002" s="1" t="str">
        <f t="shared" si="93"/>
        <v>Nyc</v>
      </c>
      <c r="V1002" t="s">
        <v>30</v>
      </c>
      <c r="W1002" t="s">
        <v>31</v>
      </c>
      <c r="X1002">
        <v>10022</v>
      </c>
      <c r="Y1002" s="1" t="str">
        <f t="shared" si="94"/>
        <v>USA</v>
      </c>
      <c r="Z1002" s="4" t="str">
        <f t="shared" si="95"/>
        <v>Usa</v>
      </c>
      <c r="AA1002" t="s">
        <v>32</v>
      </c>
      <c r="AB1002" t="s">
        <v>33</v>
      </c>
      <c r="AC1002" t="s">
        <v>34</v>
      </c>
      <c r="AD1002" t="s">
        <v>35</v>
      </c>
      <c r="AE1002" t="s">
        <v>51</v>
      </c>
    </row>
    <row r="1003" spans="1:31" x14ac:dyDescent="0.3">
      <c r="A1003">
        <v>10273</v>
      </c>
      <c r="B1003">
        <v>40</v>
      </c>
      <c r="C1003">
        <v>100</v>
      </c>
      <c r="D1003">
        <v>13</v>
      </c>
      <c r="E1003" s="4" t="str">
        <f t="shared" si="90"/>
        <v>high sales</v>
      </c>
      <c r="F1003">
        <v>5026.3999999999996</v>
      </c>
      <c r="G1003" t="s">
        <v>1675</v>
      </c>
      <c r="H1003" s="1" t="str">
        <f t="shared" si="91"/>
        <v>Shipped</v>
      </c>
      <c r="I1003" s="4" t="str">
        <f t="shared" si="92"/>
        <v>completed</v>
      </c>
      <c r="J1003" t="s">
        <v>25</v>
      </c>
      <c r="K1003">
        <v>3</v>
      </c>
      <c r="L1003">
        <v>7</v>
      </c>
      <c r="M1003">
        <v>2004</v>
      </c>
      <c r="N1003" t="s">
        <v>550</v>
      </c>
      <c r="O1003">
        <v>136</v>
      </c>
      <c r="P1003" t="s">
        <v>603</v>
      </c>
      <c r="Q1003" t="s">
        <v>365</v>
      </c>
      <c r="R1003" t="s">
        <v>366</v>
      </c>
      <c r="S1003" t="s">
        <v>367</v>
      </c>
      <c r="U1003" s="1" t="str">
        <f t="shared" si="93"/>
        <v>Bruxelles</v>
      </c>
      <c r="V1003" t="s">
        <v>368</v>
      </c>
      <c r="X1003" t="s">
        <v>369</v>
      </c>
      <c r="Y1003" s="1" t="str">
        <f t="shared" si="94"/>
        <v>BELGIUM</v>
      </c>
      <c r="Z1003" s="4" t="str">
        <f t="shared" si="95"/>
        <v>Belgium</v>
      </c>
      <c r="AA1003" t="s">
        <v>370</v>
      </c>
      <c r="AB1003" t="s">
        <v>42</v>
      </c>
      <c r="AC1003" t="s">
        <v>371</v>
      </c>
      <c r="AD1003" t="s">
        <v>372</v>
      </c>
      <c r="AE1003" t="s">
        <v>51</v>
      </c>
    </row>
    <row r="1004" spans="1:31" x14ac:dyDescent="0.3">
      <c r="A1004">
        <v>10282</v>
      </c>
      <c r="B1004">
        <v>43</v>
      </c>
      <c r="C1004">
        <v>100</v>
      </c>
      <c r="D1004">
        <v>1</v>
      </c>
      <c r="E1004" s="4" t="str">
        <f t="shared" si="90"/>
        <v>high sales</v>
      </c>
      <c r="F1004">
        <v>6695.53</v>
      </c>
      <c r="G1004" t="s">
        <v>1676</v>
      </c>
      <c r="H1004" s="1" t="str">
        <f t="shared" si="91"/>
        <v>Shipped</v>
      </c>
      <c r="I1004" s="4" t="str">
        <f t="shared" si="92"/>
        <v>completed</v>
      </c>
      <c r="J1004" t="s">
        <v>25</v>
      </c>
      <c r="K1004">
        <v>3</v>
      </c>
      <c r="L1004">
        <v>8</v>
      </c>
      <c r="M1004">
        <v>2004</v>
      </c>
      <c r="N1004" t="s">
        <v>550</v>
      </c>
      <c r="O1004">
        <v>136</v>
      </c>
      <c r="P1004" t="s">
        <v>603</v>
      </c>
      <c r="Q1004" t="s">
        <v>272</v>
      </c>
      <c r="R1004">
        <v>4155551450</v>
      </c>
      <c r="S1004" t="s">
        <v>273</v>
      </c>
      <c r="U1004" s="1" t="str">
        <f t="shared" si="93"/>
        <v>San Rafael</v>
      </c>
      <c r="V1004" t="s">
        <v>274</v>
      </c>
      <c r="W1004" t="s">
        <v>55</v>
      </c>
      <c r="X1004">
        <v>97562</v>
      </c>
      <c r="Y1004" s="1" t="str">
        <f t="shared" si="94"/>
        <v>USA</v>
      </c>
      <c r="Z1004" s="4" t="str">
        <f t="shared" si="95"/>
        <v>Usa</v>
      </c>
      <c r="AA1004" t="s">
        <v>32</v>
      </c>
      <c r="AB1004" t="s">
        <v>33</v>
      </c>
      <c r="AC1004" t="s">
        <v>275</v>
      </c>
      <c r="AD1004" t="s">
        <v>276</v>
      </c>
      <c r="AE1004" t="s">
        <v>51</v>
      </c>
    </row>
    <row r="1005" spans="1:31" x14ac:dyDescent="0.3">
      <c r="A1005">
        <v>10293</v>
      </c>
      <c r="B1005">
        <v>24</v>
      </c>
      <c r="C1005">
        <v>100</v>
      </c>
      <c r="D1005">
        <v>4</v>
      </c>
      <c r="E1005" s="4" t="str">
        <f t="shared" si="90"/>
        <v>low sales</v>
      </c>
      <c r="F1005">
        <v>2819.28</v>
      </c>
      <c r="G1005" t="s">
        <v>1677</v>
      </c>
      <c r="H1005" s="1" t="str">
        <f t="shared" si="91"/>
        <v>Shipped</v>
      </c>
      <c r="I1005" s="4" t="str">
        <f t="shared" si="92"/>
        <v>completed</v>
      </c>
      <c r="J1005" t="s">
        <v>25</v>
      </c>
      <c r="K1005">
        <v>3</v>
      </c>
      <c r="L1005">
        <v>9</v>
      </c>
      <c r="M1005">
        <v>2004</v>
      </c>
      <c r="N1005" t="s">
        <v>550</v>
      </c>
      <c r="O1005">
        <v>136</v>
      </c>
      <c r="P1005" t="s">
        <v>603</v>
      </c>
      <c r="Q1005" t="s">
        <v>254</v>
      </c>
      <c r="R1005" t="s">
        <v>255</v>
      </c>
      <c r="S1005" t="s">
        <v>256</v>
      </c>
      <c r="U1005" s="1" t="str">
        <f t="shared" si="93"/>
        <v>Torino</v>
      </c>
      <c r="V1005" t="s">
        <v>257</v>
      </c>
      <c r="X1005">
        <v>10100</v>
      </c>
      <c r="Y1005" s="1" t="str">
        <f t="shared" si="94"/>
        <v>ITALY</v>
      </c>
      <c r="Z1005" s="4" t="str">
        <f t="shared" si="95"/>
        <v>Italy</v>
      </c>
      <c r="AA1005" t="s">
        <v>258</v>
      </c>
      <c r="AB1005" t="s">
        <v>42</v>
      </c>
      <c r="AC1005" t="s">
        <v>259</v>
      </c>
      <c r="AD1005" t="s">
        <v>260</v>
      </c>
      <c r="AE1005" t="s">
        <v>36</v>
      </c>
    </row>
    <row r="1006" spans="1:31" x14ac:dyDescent="0.3">
      <c r="A1006">
        <v>10306</v>
      </c>
      <c r="B1006">
        <v>32</v>
      </c>
      <c r="C1006">
        <v>100</v>
      </c>
      <c r="D1006">
        <v>9</v>
      </c>
      <c r="E1006" s="4" t="str">
        <f t="shared" si="90"/>
        <v>low sales</v>
      </c>
      <c r="F1006">
        <v>3759.04</v>
      </c>
      <c r="G1006" t="s">
        <v>1678</v>
      </c>
      <c r="H1006" s="1" t="str">
        <f t="shared" si="91"/>
        <v>Shipped</v>
      </c>
      <c r="I1006" s="4" t="str">
        <f t="shared" si="92"/>
        <v>completed</v>
      </c>
      <c r="J1006" t="s">
        <v>25</v>
      </c>
      <c r="K1006">
        <v>4</v>
      </c>
      <c r="L1006">
        <v>10</v>
      </c>
      <c r="M1006">
        <v>2004</v>
      </c>
      <c r="N1006" t="s">
        <v>550</v>
      </c>
      <c r="O1006">
        <v>136</v>
      </c>
      <c r="P1006" t="s">
        <v>603</v>
      </c>
      <c r="Q1006" t="s">
        <v>492</v>
      </c>
      <c r="R1006" t="s">
        <v>493</v>
      </c>
      <c r="S1006" t="s">
        <v>494</v>
      </c>
      <c r="U1006" s="1" t="str">
        <f t="shared" si="93"/>
        <v>Manchester</v>
      </c>
      <c r="V1006" t="s">
        <v>495</v>
      </c>
      <c r="X1006" t="s">
        <v>496</v>
      </c>
      <c r="Y1006" s="1" t="str">
        <f t="shared" si="94"/>
        <v>UK</v>
      </c>
      <c r="Z1006" s="4" t="str">
        <f t="shared" si="95"/>
        <v>Uk</v>
      </c>
      <c r="AA1006" t="s">
        <v>170</v>
      </c>
      <c r="AB1006" t="s">
        <v>42</v>
      </c>
      <c r="AC1006" t="s">
        <v>497</v>
      </c>
      <c r="AD1006" t="s">
        <v>94</v>
      </c>
      <c r="AE1006" t="s">
        <v>51</v>
      </c>
    </row>
    <row r="1007" spans="1:31" x14ac:dyDescent="0.3">
      <c r="A1007">
        <v>10314</v>
      </c>
      <c r="B1007">
        <v>20</v>
      </c>
      <c r="C1007">
        <v>100</v>
      </c>
      <c r="D1007">
        <v>1</v>
      </c>
      <c r="E1007" s="4" t="str">
        <f t="shared" si="90"/>
        <v>low sales</v>
      </c>
      <c r="F1007">
        <v>2731.8</v>
      </c>
      <c r="G1007" t="s">
        <v>1679</v>
      </c>
      <c r="H1007" s="1" t="str">
        <f t="shared" si="91"/>
        <v>Shipped</v>
      </c>
      <c r="I1007" s="4" t="str">
        <f t="shared" si="92"/>
        <v>completed</v>
      </c>
      <c r="J1007" t="s">
        <v>25</v>
      </c>
      <c r="K1007">
        <v>4</v>
      </c>
      <c r="L1007">
        <v>10</v>
      </c>
      <c r="M1007">
        <v>2004</v>
      </c>
      <c r="N1007" t="s">
        <v>550</v>
      </c>
      <c r="O1007">
        <v>136</v>
      </c>
      <c r="P1007" t="s">
        <v>603</v>
      </c>
      <c r="Q1007" t="s">
        <v>498</v>
      </c>
      <c r="R1007" t="s">
        <v>499</v>
      </c>
      <c r="S1007" t="s">
        <v>500</v>
      </c>
      <c r="U1007" s="1" t="str">
        <f t="shared" si="93"/>
        <v>Aaarhus</v>
      </c>
      <c r="V1007" t="s">
        <v>501</v>
      </c>
      <c r="X1007">
        <v>8200</v>
      </c>
      <c r="Y1007" s="1" t="str">
        <f t="shared" si="94"/>
        <v>DENMARK</v>
      </c>
      <c r="Z1007" s="4" t="str">
        <f t="shared" si="95"/>
        <v>Denmark</v>
      </c>
      <c r="AA1007" t="s">
        <v>326</v>
      </c>
      <c r="AB1007" t="s">
        <v>42</v>
      </c>
      <c r="AC1007" t="s">
        <v>502</v>
      </c>
      <c r="AD1007" t="s">
        <v>503</v>
      </c>
      <c r="AE1007" t="s">
        <v>36</v>
      </c>
    </row>
    <row r="1008" spans="1:31" x14ac:dyDescent="0.3">
      <c r="A1008">
        <v>10325</v>
      </c>
      <c r="B1008">
        <v>24</v>
      </c>
      <c r="C1008">
        <v>69.12</v>
      </c>
      <c r="D1008">
        <v>9</v>
      </c>
      <c r="E1008" s="4" t="str">
        <f t="shared" si="90"/>
        <v>low sales</v>
      </c>
      <c r="F1008">
        <v>1658.88</v>
      </c>
      <c r="G1008" t="s">
        <v>1680</v>
      </c>
      <c r="H1008" s="1" t="str">
        <f t="shared" si="91"/>
        <v>Shipped</v>
      </c>
      <c r="I1008" s="4" t="str">
        <f t="shared" si="92"/>
        <v>completed</v>
      </c>
      <c r="J1008" t="s">
        <v>25</v>
      </c>
      <c r="K1008">
        <v>4</v>
      </c>
      <c r="L1008">
        <v>11</v>
      </c>
      <c r="M1008">
        <v>2004</v>
      </c>
      <c r="N1008" t="s">
        <v>550</v>
      </c>
      <c r="O1008">
        <v>136</v>
      </c>
      <c r="P1008" t="s">
        <v>603</v>
      </c>
      <c r="Q1008" t="s">
        <v>133</v>
      </c>
      <c r="R1008" t="s">
        <v>134</v>
      </c>
      <c r="S1008" t="s">
        <v>135</v>
      </c>
      <c r="U1008" s="1" t="str">
        <f t="shared" si="93"/>
        <v>Stavern</v>
      </c>
      <c r="V1008" t="s">
        <v>136</v>
      </c>
      <c r="X1008">
        <v>4110</v>
      </c>
      <c r="Y1008" s="1" t="str">
        <f t="shared" si="94"/>
        <v>NORWAY</v>
      </c>
      <c r="Z1008" s="4" t="str">
        <f t="shared" si="95"/>
        <v>Norway</v>
      </c>
      <c r="AA1008" t="s">
        <v>78</v>
      </c>
      <c r="AB1008" t="s">
        <v>42</v>
      </c>
      <c r="AC1008" t="s">
        <v>137</v>
      </c>
      <c r="AD1008" t="s">
        <v>138</v>
      </c>
      <c r="AE1008" t="s">
        <v>36</v>
      </c>
    </row>
    <row r="1009" spans="1:31" x14ac:dyDescent="0.3">
      <c r="A1009">
        <v>10336</v>
      </c>
      <c r="B1009">
        <v>48</v>
      </c>
      <c r="C1009">
        <v>100</v>
      </c>
      <c r="D1009">
        <v>12</v>
      </c>
      <c r="E1009" s="4" t="str">
        <f t="shared" si="90"/>
        <v>high sales</v>
      </c>
      <c r="F1009">
        <v>5778.24</v>
      </c>
      <c r="G1009" t="s">
        <v>1681</v>
      </c>
      <c r="H1009" s="1" t="str">
        <f t="shared" si="91"/>
        <v>Shipped</v>
      </c>
      <c r="I1009" s="4" t="str">
        <f t="shared" si="92"/>
        <v>completed</v>
      </c>
      <c r="J1009" t="s">
        <v>25</v>
      </c>
      <c r="K1009">
        <v>4</v>
      </c>
      <c r="L1009">
        <v>11</v>
      </c>
      <c r="M1009">
        <v>2004</v>
      </c>
      <c r="N1009" t="s">
        <v>550</v>
      </c>
      <c r="O1009">
        <v>136</v>
      </c>
      <c r="P1009" t="s">
        <v>603</v>
      </c>
      <c r="Q1009" t="s">
        <v>403</v>
      </c>
      <c r="R1009" t="s">
        <v>404</v>
      </c>
      <c r="S1009" t="s">
        <v>405</v>
      </c>
      <c r="U1009" s="1" t="str">
        <f t="shared" si="93"/>
        <v>Paris</v>
      </c>
      <c r="V1009" t="s">
        <v>48</v>
      </c>
      <c r="X1009">
        <v>75012</v>
      </c>
      <c r="Y1009" s="1" t="str">
        <f t="shared" si="94"/>
        <v>FRANCE</v>
      </c>
      <c r="Z1009" s="4" t="str">
        <f t="shared" si="95"/>
        <v>France</v>
      </c>
      <c r="AA1009" t="s">
        <v>41</v>
      </c>
      <c r="AB1009" t="s">
        <v>42</v>
      </c>
      <c r="AC1009" t="s">
        <v>406</v>
      </c>
      <c r="AD1009" t="s">
        <v>407</v>
      </c>
      <c r="AE1009" t="s">
        <v>51</v>
      </c>
    </row>
    <row r="1010" spans="1:31" x14ac:dyDescent="0.3">
      <c r="A1010">
        <v>10350</v>
      </c>
      <c r="B1010">
        <v>44</v>
      </c>
      <c r="C1010">
        <v>100</v>
      </c>
      <c r="D1010">
        <v>1</v>
      </c>
      <c r="E1010" s="4" t="str">
        <f t="shared" si="90"/>
        <v>high sales</v>
      </c>
      <c r="F1010">
        <v>5191.12</v>
      </c>
      <c r="G1010" t="s">
        <v>1682</v>
      </c>
      <c r="H1010" s="1" t="str">
        <f t="shared" si="91"/>
        <v>Shipped</v>
      </c>
      <c r="I1010" s="4" t="str">
        <f t="shared" si="92"/>
        <v>completed</v>
      </c>
      <c r="J1010" t="s">
        <v>25</v>
      </c>
      <c r="K1010">
        <v>4</v>
      </c>
      <c r="L1010">
        <v>12</v>
      </c>
      <c r="M1010">
        <v>2004</v>
      </c>
      <c r="N1010" t="s">
        <v>550</v>
      </c>
      <c r="O1010">
        <v>136</v>
      </c>
      <c r="P1010" t="s">
        <v>603</v>
      </c>
      <c r="Q1010" t="s">
        <v>174</v>
      </c>
      <c r="R1010" t="s">
        <v>175</v>
      </c>
      <c r="S1010" t="s">
        <v>176</v>
      </c>
      <c r="U1010" s="1" t="str">
        <f t="shared" si="93"/>
        <v>Madrid</v>
      </c>
      <c r="V1010" t="s">
        <v>177</v>
      </c>
      <c r="X1010">
        <v>28034</v>
      </c>
      <c r="Y1010" s="1" t="str">
        <f t="shared" si="94"/>
        <v>SPAIN</v>
      </c>
      <c r="Z1010" s="4" t="str">
        <f t="shared" si="95"/>
        <v>Spain</v>
      </c>
      <c r="AA1010" t="s">
        <v>178</v>
      </c>
      <c r="AB1010" t="s">
        <v>42</v>
      </c>
      <c r="AC1010" t="s">
        <v>179</v>
      </c>
      <c r="AD1010" t="s">
        <v>180</v>
      </c>
      <c r="AE1010" t="s">
        <v>51</v>
      </c>
    </row>
    <row r="1011" spans="1:31" x14ac:dyDescent="0.3">
      <c r="A1011">
        <v>10372</v>
      </c>
      <c r="B1011">
        <v>28</v>
      </c>
      <c r="C1011">
        <v>100</v>
      </c>
      <c r="D1011">
        <v>3</v>
      </c>
      <c r="E1011" s="4" t="str">
        <f t="shared" si="90"/>
        <v>low sales</v>
      </c>
      <c r="F1011">
        <v>3862.88</v>
      </c>
      <c r="G1011" t="s">
        <v>1683</v>
      </c>
      <c r="H1011" s="1" t="str">
        <f t="shared" si="91"/>
        <v>Shipped</v>
      </c>
      <c r="I1011" s="4" t="str">
        <f t="shared" si="92"/>
        <v>completed</v>
      </c>
      <c r="J1011" t="s">
        <v>25</v>
      </c>
      <c r="K1011">
        <v>1</v>
      </c>
      <c r="L1011">
        <v>1</v>
      </c>
      <c r="M1011">
        <v>2005</v>
      </c>
      <c r="N1011" t="s">
        <v>550</v>
      </c>
      <c r="O1011">
        <v>136</v>
      </c>
      <c r="P1011" t="s">
        <v>603</v>
      </c>
      <c r="Q1011" t="s">
        <v>246</v>
      </c>
      <c r="R1011" t="s">
        <v>247</v>
      </c>
      <c r="S1011" t="s">
        <v>248</v>
      </c>
      <c r="U1011" s="1" t="str">
        <f t="shared" si="93"/>
        <v>Minato-Ku</v>
      </c>
      <c r="V1011" t="s">
        <v>249</v>
      </c>
      <c r="W1011" t="s">
        <v>250</v>
      </c>
      <c r="X1011" t="s">
        <v>251</v>
      </c>
      <c r="Y1011" s="1" t="str">
        <f t="shared" si="94"/>
        <v>JAPAN</v>
      </c>
      <c r="Z1011" s="4" t="str">
        <f t="shared" si="95"/>
        <v>Japan</v>
      </c>
      <c r="AA1011" t="s">
        <v>200</v>
      </c>
      <c r="AB1011" t="s">
        <v>200</v>
      </c>
      <c r="AC1011" t="s">
        <v>252</v>
      </c>
      <c r="AD1011" t="s">
        <v>253</v>
      </c>
      <c r="AE1011" t="s">
        <v>51</v>
      </c>
    </row>
    <row r="1012" spans="1:31" x14ac:dyDescent="0.3">
      <c r="A1012">
        <v>10383</v>
      </c>
      <c r="B1012">
        <v>24</v>
      </c>
      <c r="C1012">
        <v>61.52</v>
      </c>
      <c r="D1012">
        <v>9</v>
      </c>
      <c r="E1012" s="4" t="str">
        <f t="shared" si="90"/>
        <v>low sales</v>
      </c>
      <c r="F1012">
        <v>1476.48</v>
      </c>
      <c r="G1012" t="s">
        <v>1684</v>
      </c>
      <c r="H1012" s="1" t="str">
        <f t="shared" si="91"/>
        <v>Shipped</v>
      </c>
      <c r="I1012" s="4" t="str">
        <f t="shared" si="92"/>
        <v>completed</v>
      </c>
      <c r="J1012" t="s">
        <v>25</v>
      </c>
      <c r="K1012">
        <v>1</v>
      </c>
      <c r="L1012">
        <v>2</v>
      </c>
      <c r="M1012">
        <v>2005</v>
      </c>
      <c r="N1012" t="s">
        <v>550</v>
      </c>
      <c r="O1012">
        <v>136</v>
      </c>
      <c r="P1012" t="s">
        <v>603</v>
      </c>
      <c r="Q1012" t="s">
        <v>174</v>
      </c>
      <c r="R1012" t="s">
        <v>175</v>
      </c>
      <c r="S1012" t="s">
        <v>176</v>
      </c>
      <c r="U1012" s="1" t="str">
        <f t="shared" si="93"/>
        <v>Madrid</v>
      </c>
      <c r="V1012" t="s">
        <v>177</v>
      </c>
      <c r="X1012">
        <v>28034</v>
      </c>
      <c r="Y1012" s="1" t="str">
        <f t="shared" si="94"/>
        <v>SPAIN</v>
      </c>
      <c r="Z1012" s="4" t="str">
        <f t="shared" si="95"/>
        <v>Spain</v>
      </c>
      <c r="AA1012" t="s">
        <v>178</v>
      </c>
      <c r="AB1012" t="s">
        <v>42</v>
      </c>
      <c r="AC1012" t="s">
        <v>179</v>
      </c>
      <c r="AD1012" t="s">
        <v>180</v>
      </c>
      <c r="AE1012" t="s">
        <v>36</v>
      </c>
    </row>
    <row r="1013" spans="1:31" x14ac:dyDescent="0.3">
      <c r="A1013">
        <v>10396</v>
      </c>
      <c r="B1013">
        <v>33</v>
      </c>
      <c r="C1013">
        <v>100</v>
      </c>
      <c r="D1013">
        <v>2</v>
      </c>
      <c r="E1013" s="4" t="str">
        <f t="shared" si="90"/>
        <v>high sales</v>
      </c>
      <c r="F1013">
        <v>5273.73</v>
      </c>
      <c r="G1013" t="s">
        <v>1685</v>
      </c>
      <c r="H1013" s="1" t="str">
        <f t="shared" si="91"/>
        <v>Shipped</v>
      </c>
      <c r="I1013" s="4" t="str">
        <f t="shared" si="92"/>
        <v>completed</v>
      </c>
      <c r="J1013" t="s">
        <v>25</v>
      </c>
      <c r="K1013">
        <v>1</v>
      </c>
      <c r="L1013">
        <v>3</v>
      </c>
      <c r="M1013">
        <v>2005</v>
      </c>
      <c r="N1013" t="s">
        <v>550</v>
      </c>
      <c r="O1013">
        <v>136</v>
      </c>
      <c r="P1013" t="s">
        <v>603</v>
      </c>
      <c r="Q1013" t="s">
        <v>272</v>
      </c>
      <c r="R1013">
        <v>4155551450</v>
      </c>
      <c r="S1013" t="s">
        <v>273</v>
      </c>
      <c r="U1013" s="1" t="str">
        <f t="shared" si="93"/>
        <v>San Rafael</v>
      </c>
      <c r="V1013" t="s">
        <v>274</v>
      </c>
      <c r="W1013" t="s">
        <v>55</v>
      </c>
      <c r="X1013">
        <v>97562</v>
      </c>
      <c r="Y1013" s="1" t="str">
        <f t="shared" si="94"/>
        <v>USA</v>
      </c>
      <c r="Z1013" s="4" t="str">
        <f t="shared" si="95"/>
        <v>Usa</v>
      </c>
      <c r="AA1013" t="s">
        <v>32</v>
      </c>
      <c r="AB1013" t="s">
        <v>33</v>
      </c>
      <c r="AC1013" t="s">
        <v>275</v>
      </c>
      <c r="AD1013" t="s">
        <v>276</v>
      </c>
      <c r="AE1013" t="s">
        <v>51</v>
      </c>
    </row>
    <row r="1014" spans="1:31" x14ac:dyDescent="0.3">
      <c r="A1014">
        <v>10414</v>
      </c>
      <c r="B1014">
        <v>41</v>
      </c>
      <c r="C1014">
        <v>100</v>
      </c>
      <c r="D1014">
        <v>12</v>
      </c>
      <c r="E1014" s="4" t="str">
        <f t="shared" si="90"/>
        <v>high sales</v>
      </c>
      <c r="F1014">
        <v>4872.03</v>
      </c>
      <c r="G1014" t="s">
        <v>1686</v>
      </c>
      <c r="H1014" s="1" t="str">
        <f t="shared" si="91"/>
        <v>On Hold</v>
      </c>
      <c r="I1014" s="4" t="str">
        <f t="shared" si="92"/>
        <v>not completed</v>
      </c>
      <c r="J1014" t="s">
        <v>401</v>
      </c>
      <c r="K1014">
        <v>2</v>
      </c>
      <c r="L1014">
        <v>5</v>
      </c>
      <c r="M1014">
        <v>2005</v>
      </c>
      <c r="N1014" t="s">
        <v>550</v>
      </c>
      <c r="O1014">
        <v>136</v>
      </c>
      <c r="P1014" t="s">
        <v>603</v>
      </c>
      <c r="Q1014" t="s">
        <v>379</v>
      </c>
      <c r="R1014">
        <v>6175559555</v>
      </c>
      <c r="S1014" t="s">
        <v>380</v>
      </c>
      <c r="U1014" s="1" t="str">
        <f t="shared" si="93"/>
        <v>Boston</v>
      </c>
      <c r="V1014" t="s">
        <v>381</v>
      </c>
      <c r="W1014" t="s">
        <v>123</v>
      </c>
      <c r="X1014">
        <v>51003</v>
      </c>
      <c r="Y1014" s="1" t="str">
        <f t="shared" si="94"/>
        <v>USA</v>
      </c>
      <c r="Z1014" s="4" t="str">
        <f t="shared" si="95"/>
        <v>Usa</v>
      </c>
      <c r="AA1014" t="s">
        <v>32</v>
      </c>
      <c r="AB1014" t="s">
        <v>33</v>
      </c>
      <c r="AC1014" t="s">
        <v>382</v>
      </c>
      <c r="AD1014" t="s">
        <v>66</v>
      </c>
      <c r="AE1014" t="s">
        <v>51</v>
      </c>
    </row>
    <row r="1015" spans="1:31" x14ac:dyDescent="0.3">
      <c r="A1015">
        <v>10104</v>
      </c>
      <c r="B1015">
        <v>23</v>
      </c>
      <c r="C1015">
        <v>100</v>
      </c>
      <c r="D1015">
        <v>13</v>
      </c>
      <c r="E1015" s="4" t="str">
        <f t="shared" si="90"/>
        <v>high sales</v>
      </c>
      <c r="F1015">
        <v>4556.99</v>
      </c>
      <c r="G1015" t="s">
        <v>1687</v>
      </c>
      <c r="H1015" s="1" t="str">
        <f t="shared" si="91"/>
        <v>Shipped</v>
      </c>
      <c r="I1015" s="4" t="str">
        <f t="shared" si="92"/>
        <v>completed</v>
      </c>
      <c r="J1015" t="s">
        <v>25</v>
      </c>
      <c r="K1015">
        <v>1</v>
      </c>
      <c r="L1015">
        <v>1</v>
      </c>
      <c r="M1015">
        <v>2003</v>
      </c>
      <c r="N1015" t="s">
        <v>181</v>
      </c>
      <c r="O1015">
        <v>169</v>
      </c>
      <c r="P1015" t="s">
        <v>604</v>
      </c>
      <c r="Q1015" t="s">
        <v>174</v>
      </c>
      <c r="R1015" t="s">
        <v>175</v>
      </c>
      <c r="S1015" t="s">
        <v>176</v>
      </c>
      <c r="U1015" s="1" t="str">
        <f t="shared" si="93"/>
        <v>Madrid</v>
      </c>
      <c r="V1015" t="s">
        <v>177</v>
      </c>
      <c r="X1015">
        <v>28034</v>
      </c>
      <c r="Y1015" s="1" t="str">
        <f t="shared" si="94"/>
        <v>SPAIN</v>
      </c>
      <c r="Z1015" s="4" t="str">
        <f t="shared" si="95"/>
        <v>Spain</v>
      </c>
      <c r="AA1015" t="s">
        <v>178</v>
      </c>
      <c r="AB1015" t="s">
        <v>42</v>
      </c>
      <c r="AC1015" t="s">
        <v>179</v>
      </c>
      <c r="AD1015" t="s">
        <v>180</v>
      </c>
      <c r="AE1015" t="s">
        <v>51</v>
      </c>
    </row>
    <row r="1016" spans="1:31" x14ac:dyDescent="0.3">
      <c r="A1016">
        <v>10109</v>
      </c>
      <c r="B1016">
        <v>46</v>
      </c>
      <c r="C1016">
        <v>100</v>
      </c>
      <c r="D1016">
        <v>5</v>
      </c>
      <c r="E1016" s="4" t="str">
        <f t="shared" si="90"/>
        <v>high sales</v>
      </c>
      <c r="F1016">
        <v>8257</v>
      </c>
      <c r="G1016" t="s">
        <v>1688</v>
      </c>
      <c r="H1016" s="1" t="str">
        <f t="shared" si="91"/>
        <v>Shipped</v>
      </c>
      <c r="I1016" s="4" t="str">
        <f t="shared" si="92"/>
        <v>completed</v>
      </c>
      <c r="J1016" t="s">
        <v>25</v>
      </c>
      <c r="K1016">
        <v>1</v>
      </c>
      <c r="L1016">
        <v>3</v>
      </c>
      <c r="M1016">
        <v>2003</v>
      </c>
      <c r="N1016" t="s">
        <v>181</v>
      </c>
      <c r="O1016">
        <v>169</v>
      </c>
      <c r="P1016" t="s">
        <v>604</v>
      </c>
      <c r="Q1016" t="s">
        <v>309</v>
      </c>
      <c r="R1016">
        <v>2155559857</v>
      </c>
      <c r="S1016" t="s">
        <v>310</v>
      </c>
      <c r="U1016" s="1" t="str">
        <f t="shared" si="93"/>
        <v>Philadelphia</v>
      </c>
      <c r="V1016" t="s">
        <v>216</v>
      </c>
      <c r="W1016" t="s">
        <v>142</v>
      </c>
      <c r="X1016">
        <v>71270</v>
      </c>
      <c r="Y1016" s="1" t="str">
        <f t="shared" si="94"/>
        <v>USA</v>
      </c>
      <c r="Z1016" s="4" t="str">
        <f t="shared" si="95"/>
        <v>Usa</v>
      </c>
      <c r="AA1016" t="s">
        <v>32</v>
      </c>
      <c r="AB1016" t="s">
        <v>33</v>
      </c>
      <c r="AC1016" t="s">
        <v>124</v>
      </c>
      <c r="AD1016" t="s">
        <v>311</v>
      </c>
      <c r="AE1016" t="s">
        <v>151</v>
      </c>
    </row>
    <row r="1017" spans="1:31" x14ac:dyDescent="0.3">
      <c r="A1017">
        <v>10114</v>
      </c>
      <c r="B1017">
        <v>48</v>
      </c>
      <c r="C1017">
        <v>100</v>
      </c>
      <c r="D1017">
        <v>4</v>
      </c>
      <c r="E1017" s="4" t="str">
        <f t="shared" si="90"/>
        <v>high sales</v>
      </c>
      <c r="F1017">
        <v>8209.44</v>
      </c>
      <c r="G1017" t="s">
        <v>1689</v>
      </c>
      <c r="H1017" s="1" t="str">
        <f t="shared" si="91"/>
        <v>Shipped</v>
      </c>
      <c r="I1017" s="4" t="str">
        <f t="shared" si="92"/>
        <v>completed</v>
      </c>
      <c r="J1017" t="s">
        <v>25</v>
      </c>
      <c r="K1017">
        <v>2</v>
      </c>
      <c r="L1017">
        <v>4</v>
      </c>
      <c r="M1017">
        <v>2003</v>
      </c>
      <c r="N1017" t="s">
        <v>181</v>
      </c>
      <c r="O1017">
        <v>169</v>
      </c>
      <c r="P1017" t="s">
        <v>604</v>
      </c>
      <c r="Q1017" t="s">
        <v>403</v>
      </c>
      <c r="R1017" t="s">
        <v>404</v>
      </c>
      <c r="S1017" t="s">
        <v>405</v>
      </c>
      <c r="U1017" s="1" t="str">
        <f t="shared" si="93"/>
        <v>Paris</v>
      </c>
      <c r="V1017" t="s">
        <v>48</v>
      </c>
      <c r="X1017">
        <v>75012</v>
      </c>
      <c r="Y1017" s="1" t="str">
        <f t="shared" si="94"/>
        <v>FRANCE</v>
      </c>
      <c r="Z1017" s="4" t="str">
        <f t="shared" si="95"/>
        <v>France</v>
      </c>
      <c r="AA1017" t="s">
        <v>41</v>
      </c>
      <c r="AB1017" t="s">
        <v>42</v>
      </c>
      <c r="AC1017" t="s">
        <v>406</v>
      </c>
      <c r="AD1017" t="s">
        <v>407</v>
      </c>
      <c r="AE1017" t="s">
        <v>151</v>
      </c>
    </row>
    <row r="1018" spans="1:31" x14ac:dyDescent="0.3">
      <c r="A1018">
        <v>10122</v>
      </c>
      <c r="B1018">
        <v>25</v>
      </c>
      <c r="C1018">
        <v>100</v>
      </c>
      <c r="D1018">
        <v>3</v>
      </c>
      <c r="E1018" s="4" t="str">
        <f t="shared" si="90"/>
        <v>low sales</v>
      </c>
      <c r="F1018">
        <v>3598.5</v>
      </c>
      <c r="G1018" t="s">
        <v>1690</v>
      </c>
      <c r="H1018" s="1" t="str">
        <f t="shared" si="91"/>
        <v>Shipped</v>
      </c>
      <c r="I1018" s="4" t="str">
        <f t="shared" si="92"/>
        <v>completed</v>
      </c>
      <c r="J1018" t="s">
        <v>25</v>
      </c>
      <c r="K1018">
        <v>2</v>
      </c>
      <c r="L1018">
        <v>5</v>
      </c>
      <c r="M1018">
        <v>2003</v>
      </c>
      <c r="N1018" t="s">
        <v>181</v>
      </c>
      <c r="O1018">
        <v>169</v>
      </c>
      <c r="P1018" t="s">
        <v>604</v>
      </c>
      <c r="Q1018" t="s">
        <v>433</v>
      </c>
      <c r="R1018" t="s">
        <v>434</v>
      </c>
      <c r="S1018" t="s">
        <v>435</v>
      </c>
      <c r="U1018" s="1" t="str">
        <f t="shared" si="93"/>
        <v>Marseille</v>
      </c>
      <c r="V1018" t="s">
        <v>436</v>
      </c>
      <c r="X1018">
        <v>13008</v>
      </c>
      <c r="Y1018" s="1" t="str">
        <f t="shared" si="94"/>
        <v>FRANCE</v>
      </c>
      <c r="Z1018" s="4" t="str">
        <f t="shared" si="95"/>
        <v>France</v>
      </c>
      <c r="AA1018" t="s">
        <v>41</v>
      </c>
      <c r="AB1018" t="s">
        <v>42</v>
      </c>
      <c r="AC1018" t="s">
        <v>437</v>
      </c>
      <c r="AD1018" t="s">
        <v>438</v>
      </c>
      <c r="AE1018" t="s">
        <v>51</v>
      </c>
    </row>
    <row r="1019" spans="1:31" x14ac:dyDescent="0.3">
      <c r="A1019">
        <v>10127</v>
      </c>
      <c r="B1019">
        <v>22</v>
      </c>
      <c r="C1019">
        <v>100</v>
      </c>
      <c r="D1019">
        <v>15</v>
      </c>
      <c r="E1019" s="4" t="str">
        <f t="shared" si="90"/>
        <v>low sales</v>
      </c>
      <c r="F1019">
        <v>3837.24</v>
      </c>
      <c r="G1019" t="s">
        <v>1691</v>
      </c>
      <c r="H1019" s="1" t="str">
        <f t="shared" si="91"/>
        <v>Shipped</v>
      </c>
      <c r="I1019" s="4" t="str">
        <f t="shared" si="92"/>
        <v>completed</v>
      </c>
      <c r="J1019" t="s">
        <v>25</v>
      </c>
      <c r="K1019">
        <v>2</v>
      </c>
      <c r="L1019">
        <v>6</v>
      </c>
      <c r="M1019">
        <v>2003</v>
      </c>
      <c r="N1019" t="s">
        <v>181</v>
      </c>
      <c r="O1019">
        <v>169</v>
      </c>
      <c r="P1019" t="s">
        <v>604</v>
      </c>
      <c r="Q1019" t="s">
        <v>475</v>
      </c>
      <c r="R1019">
        <v>2125557413</v>
      </c>
      <c r="S1019" t="s">
        <v>476</v>
      </c>
      <c r="T1019" t="s">
        <v>477</v>
      </c>
      <c r="U1019" s="1" t="str">
        <f t="shared" si="93"/>
        <v>Nyc</v>
      </c>
      <c r="V1019" t="s">
        <v>30</v>
      </c>
      <c r="W1019" t="s">
        <v>31</v>
      </c>
      <c r="X1019">
        <v>10022</v>
      </c>
      <c r="Y1019" s="1" t="str">
        <f t="shared" si="94"/>
        <v>USA</v>
      </c>
      <c r="Z1019" s="4" t="str">
        <f t="shared" si="95"/>
        <v>Usa</v>
      </c>
      <c r="AA1019" t="s">
        <v>32</v>
      </c>
      <c r="AB1019" t="s">
        <v>33</v>
      </c>
      <c r="AC1019" t="s">
        <v>56</v>
      </c>
      <c r="AD1019" t="s">
        <v>478</v>
      </c>
      <c r="AE1019" t="s">
        <v>51</v>
      </c>
    </row>
    <row r="1020" spans="1:31" x14ac:dyDescent="0.3">
      <c r="A1020">
        <v>10136</v>
      </c>
      <c r="B1020">
        <v>41</v>
      </c>
      <c r="C1020">
        <v>100</v>
      </c>
      <c r="D1020">
        <v>3</v>
      </c>
      <c r="E1020" s="4" t="str">
        <f t="shared" si="90"/>
        <v>high sales</v>
      </c>
      <c r="F1020">
        <v>8331.61</v>
      </c>
      <c r="G1020" t="s">
        <v>1692</v>
      </c>
      <c r="H1020" s="1" t="str">
        <f t="shared" si="91"/>
        <v>Shipped</v>
      </c>
      <c r="I1020" s="4" t="str">
        <f t="shared" si="92"/>
        <v>completed</v>
      </c>
      <c r="J1020" t="s">
        <v>25</v>
      </c>
      <c r="K1020">
        <v>3</v>
      </c>
      <c r="L1020">
        <v>7</v>
      </c>
      <c r="M1020">
        <v>2003</v>
      </c>
      <c r="N1020" t="s">
        <v>181</v>
      </c>
      <c r="O1020">
        <v>169</v>
      </c>
      <c r="P1020" t="s">
        <v>604</v>
      </c>
      <c r="Q1020" t="s">
        <v>340</v>
      </c>
      <c r="R1020" t="s">
        <v>341</v>
      </c>
      <c r="S1020" t="s">
        <v>342</v>
      </c>
      <c r="U1020" s="1" t="str">
        <f t="shared" si="93"/>
        <v>Toulouse</v>
      </c>
      <c r="V1020" t="s">
        <v>343</v>
      </c>
      <c r="X1020">
        <v>31000</v>
      </c>
      <c r="Y1020" s="1" t="str">
        <f t="shared" si="94"/>
        <v>FRANCE</v>
      </c>
      <c r="Z1020" s="4" t="str">
        <f t="shared" si="95"/>
        <v>France</v>
      </c>
      <c r="AA1020" t="s">
        <v>41</v>
      </c>
      <c r="AB1020" t="s">
        <v>42</v>
      </c>
      <c r="AC1020" t="s">
        <v>344</v>
      </c>
      <c r="AD1020" t="s">
        <v>345</v>
      </c>
      <c r="AE1020" t="s">
        <v>151</v>
      </c>
    </row>
    <row r="1021" spans="1:31" x14ac:dyDescent="0.3">
      <c r="A1021">
        <v>10141</v>
      </c>
      <c r="B1021">
        <v>34</v>
      </c>
      <c r="C1021">
        <v>100</v>
      </c>
      <c r="D1021">
        <v>9</v>
      </c>
      <c r="E1021" s="4" t="str">
        <f t="shared" si="90"/>
        <v>high sales</v>
      </c>
      <c r="F1021">
        <v>4836.5</v>
      </c>
      <c r="G1021" t="s">
        <v>1693</v>
      </c>
      <c r="H1021" s="1" t="str">
        <f t="shared" si="91"/>
        <v>Shipped</v>
      </c>
      <c r="I1021" s="4" t="str">
        <f t="shared" si="92"/>
        <v>completed</v>
      </c>
      <c r="J1021" t="s">
        <v>25</v>
      </c>
      <c r="K1021">
        <v>3</v>
      </c>
      <c r="L1021">
        <v>8</v>
      </c>
      <c r="M1021">
        <v>2003</v>
      </c>
      <c r="N1021" t="s">
        <v>181</v>
      </c>
      <c r="O1021">
        <v>169</v>
      </c>
      <c r="P1021" t="s">
        <v>604</v>
      </c>
      <c r="Q1021" t="s">
        <v>467</v>
      </c>
      <c r="R1021" t="s">
        <v>468</v>
      </c>
      <c r="S1021" t="s">
        <v>469</v>
      </c>
      <c r="U1021" s="1" t="str">
        <f t="shared" si="93"/>
        <v>Espoo</v>
      </c>
      <c r="V1021" t="s">
        <v>470</v>
      </c>
      <c r="X1021" t="s">
        <v>471</v>
      </c>
      <c r="Y1021" s="1" t="str">
        <f t="shared" si="94"/>
        <v>FINLAND</v>
      </c>
      <c r="Z1021" s="4" t="str">
        <f t="shared" si="95"/>
        <v>Finland</v>
      </c>
      <c r="AA1021" t="s">
        <v>130</v>
      </c>
      <c r="AB1021" t="s">
        <v>42</v>
      </c>
      <c r="AC1021" t="s">
        <v>472</v>
      </c>
      <c r="AD1021" t="s">
        <v>473</v>
      </c>
      <c r="AE1021" t="s">
        <v>51</v>
      </c>
    </row>
    <row r="1022" spans="1:31" x14ac:dyDescent="0.3">
      <c r="A1022">
        <v>10148</v>
      </c>
      <c r="B1022">
        <v>32</v>
      </c>
      <c r="C1022">
        <v>100</v>
      </c>
      <c r="D1022">
        <v>14</v>
      </c>
      <c r="E1022" s="4" t="str">
        <f t="shared" si="90"/>
        <v>high sales</v>
      </c>
      <c r="F1022">
        <v>5418.88</v>
      </c>
      <c r="G1022" t="s">
        <v>1694</v>
      </c>
      <c r="H1022" s="1" t="str">
        <f t="shared" si="91"/>
        <v>Shipped</v>
      </c>
      <c r="I1022" s="4" t="str">
        <f t="shared" si="92"/>
        <v>completed</v>
      </c>
      <c r="J1022" t="s">
        <v>25</v>
      </c>
      <c r="K1022">
        <v>3</v>
      </c>
      <c r="L1022">
        <v>9</v>
      </c>
      <c r="M1022">
        <v>2003</v>
      </c>
      <c r="N1022" t="s">
        <v>181</v>
      </c>
      <c r="O1022">
        <v>169</v>
      </c>
      <c r="P1022" t="s">
        <v>604</v>
      </c>
      <c r="Q1022" t="s">
        <v>285</v>
      </c>
      <c r="R1022" t="s">
        <v>286</v>
      </c>
      <c r="S1022" t="s">
        <v>287</v>
      </c>
      <c r="T1022" t="s">
        <v>288</v>
      </c>
      <c r="U1022" s="1" t="str">
        <f t="shared" si="93"/>
        <v>North Sydney</v>
      </c>
      <c r="V1022" t="s">
        <v>289</v>
      </c>
      <c r="W1022" t="s">
        <v>157</v>
      </c>
      <c r="X1022">
        <v>2060</v>
      </c>
      <c r="Y1022" s="1" t="str">
        <f t="shared" si="94"/>
        <v>AUSTRALIA</v>
      </c>
      <c r="Z1022" s="4" t="str">
        <f t="shared" si="95"/>
        <v>Australia</v>
      </c>
      <c r="AA1022" t="s">
        <v>95</v>
      </c>
      <c r="AB1022" t="s">
        <v>96</v>
      </c>
      <c r="AC1022" t="s">
        <v>290</v>
      </c>
      <c r="AD1022" t="s">
        <v>291</v>
      </c>
      <c r="AE1022" t="s">
        <v>51</v>
      </c>
    </row>
    <row r="1023" spans="1:31" x14ac:dyDescent="0.3">
      <c r="A1023">
        <v>10151</v>
      </c>
      <c r="B1023">
        <v>21</v>
      </c>
      <c r="C1023">
        <v>100</v>
      </c>
      <c r="D1023">
        <v>7</v>
      </c>
      <c r="E1023" s="4" t="str">
        <f t="shared" si="90"/>
        <v>low sales</v>
      </c>
      <c r="F1023">
        <v>3734.01</v>
      </c>
      <c r="G1023" t="s">
        <v>1695</v>
      </c>
      <c r="H1023" s="1" t="str">
        <f t="shared" si="91"/>
        <v>Shipped</v>
      </c>
      <c r="I1023" s="4" t="str">
        <f t="shared" si="92"/>
        <v>completed</v>
      </c>
      <c r="J1023" t="s">
        <v>25</v>
      </c>
      <c r="K1023">
        <v>3</v>
      </c>
      <c r="L1023">
        <v>9</v>
      </c>
      <c r="M1023">
        <v>2003</v>
      </c>
      <c r="N1023" t="s">
        <v>181</v>
      </c>
      <c r="O1023">
        <v>169</v>
      </c>
      <c r="P1023" t="s">
        <v>604</v>
      </c>
      <c r="Q1023" t="s">
        <v>391</v>
      </c>
      <c r="R1023" t="s">
        <v>392</v>
      </c>
      <c r="S1023" t="s">
        <v>393</v>
      </c>
      <c r="U1023" s="1" t="str">
        <f t="shared" si="93"/>
        <v>Oulu</v>
      </c>
      <c r="V1023" t="s">
        <v>394</v>
      </c>
      <c r="X1023">
        <v>90110</v>
      </c>
      <c r="Y1023" s="1" t="str">
        <f t="shared" si="94"/>
        <v>FINLAND</v>
      </c>
      <c r="Z1023" s="4" t="str">
        <f t="shared" si="95"/>
        <v>Finland</v>
      </c>
      <c r="AA1023" t="s">
        <v>130</v>
      </c>
      <c r="AB1023" t="s">
        <v>42</v>
      </c>
      <c r="AC1023" t="s">
        <v>395</v>
      </c>
      <c r="AD1023" t="s">
        <v>396</v>
      </c>
      <c r="AE1023" t="s">
        <v>51</v>
      </c>
    </row>
    <row r="1024" spans="1:31" x14ac:dyDescent="0.3">
      <c r="A1024">
        <v>10160</v>
      </c>
      <c r="B1024">
        <v>20</v>
      </c>
      <c r="C1024">
        <v>100</v>
      </c>
      <c r="D1024">
        <v>1</v>
      </c>
      <c r="E1024" s="4" t="str">
        <f t="shared" si="90"/>
        <v>low sales</v>
      </c>
      <c r="F1024">
        <v>3996.4</v>
      </c>
      <c r="G1024" t="s">
        <v>1696</v>
      </c>
      <c r="H1024" s="1" t="str">
        <f t="shared" si="91"/>
        <v>Shipped</v>
      </c>
      <c r="I1024" s="4" t="str">
        <f t="shared" si="92"/>
        <v>completed</v>
      </c>
      <c r="J1024" t="s">
        <v>25</v>
      </c>
      <c r="K1024">
        <v>4</v>
      </c>
      <c r="L1024">
        <v>10</v>
      </c>
      <c r="M1024">
        <v>2003</v>
      </c>
      <c r="N1024" t="s">
        <v>181</v>
      </c>
      <c r="O1024">
        <v>169</v>
      </c>
      <c r="P1024" t="s">
        <v>604</v>
      </c>
      <c r="Q1024" t="s">
        <v>358</v>
      </c>
      <c r="R1024">
        <v>2155554369</v>
      </c>
      <c r="S1024" t="s">
        <v>359</v>
      </c>
      <c r="U1024" s="1" t="str">
        <f t="shared" si="93"/>
        <v>Los Angeles</v>
      </c>
      <c r="V1024" t="s">
        <v>360</v>
      </c>
      <c r="W1024" t="s">
        <v>55</v>
      </c>
      <c r="Y1024" s="1" t="str">
        <f t="shared" si="94"/>
        <v>USA</v>
      </c>
      <c r="Z1024" s="4" t="str">
        <f t="shared" si="95"/>
        <v>Usa</v>
      </c>
      <c r="AA1024" t="s">
        <v>32</v>
      </c>
      <c r="AB1024" t="s">
        <v>33</v>
      </c>
      <c r="AC1024" t="s">
        <v>361</v>
      </c>
      <c r="AD1024" t="s">
        <v>103</v>
      </c>
      <c r="AE1024" t="s">
        <v>51</v>
      </c>
    </row>
    <row r="1025" spans="1:31" x14ac:dyDescent="0.3">
      <c r="A1025">
        <v>10165</v>
      </c>
      <c r="B1025">
        <v>47</v>
      </c>
      <c r="C1025">
        <v>100</v>
      </c>
      <c r="D1025">
        <v>16</v>
      </c>
      <c r="E1025" s="4" t="str">
        <f t="shared" si="90"/>
        <v>high sales</v>
      </c>
      <c r="F1025">
        <v>8754.69</v>
      </c>
      <c r="G1025" t="s">
        <v>1697</v>
      </c>
      <c r="H1025" s="1" t="str">
        <f t="shared" si="91"/>
        <v>Shipped</v>
      </c>
      <c r="I1025" s="4" t="str">
        <f t="shared" si="92"/>
        <v>completed</v>
      </c>
      <c r="J1025" t="s">
        <v>25</v>
      </c>
      <c r="K1025">
        <v>4</v>
      </c>
      <c r="L1025">
        <v>10</v>
      </c>
      <c r="M1025">
        <v>2003</v>
      </c>
      <c r="N1025" t="s">
        <v>181</v>
      </c>
      <c r="O1025">
        <v>169</v>
      </c>
      <c r="P1025" t="s">
        <v>604</v>
      </c>
      <c r="Q1025" t="s">
        <v>196</v>
      </c>
      <c r="R1025" t="s">
        <v>197</v>
      </c>
      <c r="S1025" t="s">
        <v>198</v>
      </c>
      <c r="U1025" s="1" t="str">
        <f t="shared" si="93"/>
        <v>Singapore</v>
      </c>
      <c r="V1025" t="s">
        <v>199</v>
      </c>
      <c r="X1025">
        <v>79903</v>
      </c>
      <c r="Y1025" s="1" t="str">
        <f t="shared" si="94"/>
        <v>SINGAPORE</v>
      </c>
      <c r="Z1025" s="4" t="str">
        <f t="shared" si="95"/>
        <v>Singapore</v>
      </c>
      <c r="AA1025" t="s">
        <v>199</v>
      </c>
      <c r="AB1025" t="s">
        <v>200</v>
      </c>
      <c r="AC1025" t="s">
        <v>201</v>
      </c>
      <c r="AD1025" t="s">
        <v>202</v>
      </c>
      <c r="AE1025" t="s">
        <v>151</v>
      </c>
    </row>
    <row r="1026" spans="1:31" x14ac:dyDescent="0.3">
      <c r="A1026">
        <v>10171</v>
      </c>
      <c r="B1026">
        <v>39</v>
      </c>
      <c r="C1026">
        <v>100</v>
      </c>
      <c r="D1026">
        <v>3</v>
      </c>
      <c r="E1026" s="4" t="str">
        <f t="shared" si="90"/>
        <v>high sales</v>
      </c>
      <c r="F1026">
        <v>5481.45</v>
      </c>
      <c r="G1026" t="s">
        <v>1698</v>
      </c>
      <c r="H1026" s="1" t="str">
        <f t="shared" si="91"/>
        <v>Shipped</v>
      </c>
      <c r="I1026" s="4" t="str">
        <f t="shared" si="92"/>
        <v>completed</v>
      </c>
      <c r="J1026" t="s">
        <v>25</v>
      </c>
      <c r="K1026">
        <v>4</v>
      </c>
      <c r="L1026">
        <v>11</v>
      </c>
      <c r="M1026">
        <v>2003</v>
      </c>
      <c r="N1026" t="s">
        <v>181</v>
      </c>
      <c r="O1026">
        <v>169</v>
      </c>
      <c r="P1026" t="s">
        <v>604</v>
      </c>
      <c r="Q1026" t="s">
        <v>292</v>
      </c>
      <c r="R1026" t="s">
        <v>293</v>
      </c>
      <c r="S1026" t="s">
        <v>294</v>
      </c>
      <c r="U1026" s="1" t="str">
        <f t="shared" si="93"/>
        <v>Montreal</v>
      </c>
      <c r="V1026" t="s">
        <v>295</v>
      </c>
      <c r="W1026" t="s">
        <v>296</v>
      </c>
      <c r="X1026" t="s">
        <v>297</v>
      </c>
      <c r="Y1026" s="1" t="str">
        <f t="shared" si="94"/>
        <v>CANADA</v>
      </c>
      <c r="Z1026" s="4" t="str">
        <f t="shared" si="95"/>
        <v>Canada</v>
      </c>
      <c r="AA1026" t="s">
        <v>231</v>
      </c>
      <c r="AB1026" t="s">
        <v>33</v>
      </c>
      <c r="AC1026" t="s">
        <v>298</v>
      </c>
      <c r="AD1026" t="s">
        <v>299</v>
      </c>
      <c r="AE1026" t="s">
        <v>51</v>
      </c>
    </row>
    <row r="1027" spans="1:31" x14ac:dyDescent="0.3">
      <c r="A1027">
        <v>10175</v>
      </c>
      <c r="B1027">
        <v>29</v>
      </c>
      <c r="C1027">
        <v>100</v>
      </c>
      <c r="D1027">
        <v>5</v>
      </c>
      <c r="E1027" s="4" t="str">
        <f t="shared" ref="E1027:E1090" si="96">IF(F1027&gt;4000,"high sales","low sales")</f>
        <v>high sales</v>
      </c>
      <c r="F1027">
        <v>4419.8900000000003</v>
      </c>
      <c r="G1027" t="s">
        <v>1699</v>
      </c>
      <c r="H1027" s="1" t="str">
        <f t="shared" ref="H1027:H1090" si="97">PROPER(TRIM(J1027))</f>
        <v>Shipped</v>
      </c>
      <c r="I1027" s="4" t="str">
        <f t="shared" ref="I1027:I1090" si="98">IF(J1027="shipped","completed","not completed")</f>
        <v>completed</v>
      </c>
      <c r="J1027" t="s">
        <v>25</v>
      </c>
      <c r="K1027">
        <v>4</v>
      </c>
      <c r="L1027">
        <v>11</v>
      </c>
      <c r="M1027">
        <v>2003</v>
      </c>
      <c r="N1027" t="s">
        <v>181</v>
      </c>
      <c r="O1027">
        <v>169</v>
      </c>
      <c r="P1027" t="s">
        <v>604</v>
      </c>
      <c r="Q1027" t="s">
        <v>329</v>
      </c>
      <c r="R1027" t="s">
        <v>330</v>
      </c>
      <c r="S1027" t="s">
        <v>331</v>
      </c>
      <c r="U1027" s="1" t="str">
        <f t="shared" ref="U1027:U1090" si="99">PROPER(TRIM(V1027))</f>
        <v>London</v>
      </c>
      <c r="V1027" t="s">
        <v>332</v>
      </c>
      <c r="X1027" t="s">
        <v>333</v>
      </c>
      <c r="Y1027" s="1" t="str">
        <f t="shared" ref="Y1027:Y1090" si="100">UPPER(TRIM(AA1027))</f>
        <v>UK</v>
      </c>
      <c r="Z1027" s="4" t="str">
        <f t="shared" ref="Z1027:Z1090" si="101">PROPER(TRIM(AA1027))</f>
        <v>Uk</v>
      </c>
      <c r="AA1027" t="s">
        <v>170</v>
      </c>
      <c r="AB1027" t="s">
        <v>42</v>
      </c>
      <c r="AC1027" t="s">
        <v>61</v>
      </c>
      <c r="AD1027" t="s">
        <v>334</v>
      </c>
      <c r="AE1027" t="s">
        <v>51</v>
      </c>
    </row>
    <row r="1028" spans="1:31" x14ac:dyDescent="0.3">
      <c r="A1028">
        <v>10181</v>
      </c>
      <c r="B1028">
        <v>45</v>
      </c>
      <c r="C1028">
        <v>100</v>
      </c>
      <c r="D1028">
        <v>7</v>
      </c>
      <c r="E1028" s="4" t="str">
        <f t="shared" si="96"/>
        <v>high sales</v>
      </c>
      <c r="F1028">
        <v>6324.75</v>
      </c>
      <c r="G1028" t="s">
        <v>1700</v>
      </c>
      <c r="H1028" s="1" t="str">
        <f t="shared" si="97"/>
        <v>Shipped</v>
      </c>
      <c r="I1028" s="4" t="str">
        <f t="shared" si="98"/>
        <v>completed</v>
      </c>
      <c r="J1028" t="s">
        <v>25</v>
      </c>
      <c r="K1028">
        <v>4</v>
      </c>
      <c r="L1028">
        <v>11</v>
      </c>
      <c r="M1028">
        <v>2003</v>
      </c>
      <c r="N1028" t="s">
        <v>181</v>
      </c>
      <c r="O1028">
        <v>169</v>
      </c>
      <c r="P1028" t="s">
        <v>604</v>
      </c>
      <c r="Q1028" t="s">
        <v>73</v>
      </c>
      <c r="R1028" t="s">
        <v>74</v>
      </c>
      <c r="S1028" t="s">
        <v>75</v>
      </c>
      <c r="U1028" s="1" t="str">
        <f t="shared" si="99"/>
        <v>Bergen</v>
      </c>
      <c r="V1028" t="s">
        <v>76</v>
      </c>
      <c r="X1028" t="s">
        <v>77</v>
      </c>
      <c r="Y1028" s="1" t="str">
        <f t="shared" si="100"/>
        <v>NORWAY</v>
      </c>
      <c r="Z1028" s="4" t="str">
        <f t="shared" si="101"/>
        <v>Norway</v>
      </c>
      <c r="AA1028" t="s">
        <v>78</v>
      </c>
      <c r="AB1028" t="s">
        <v>42</v>
      </c>
      <c r="AC1028" t="s">
        <v>79</v>
      </c>
      <c r="AD1028" t="s">
        <v>80</v>
      </c>
      <c r="AE1028" t="s">
        <v>51</v>
      </c>
    </row>
    <row r="1029" spans="1:31" x14ac:dyDescent="0.3">
      <c r="A1029">
        <v>10184</v>
      </c>
      <c r="B1029">
        <v>28</v>
      </c>
      <c r="C1029">
        <v>100</v>
      </c>
      <c r="D1029">
        <v>10</v>
      </c>
      <c r="E1029" s="4" t="str">
        <f t="shared" si="96"/>
        <v>high sales</v>
      </c>
      <c r="F1029">
        <v>4409.72</v>
      </c>
      <c r="G1029" t="s">
        <v>1701</v>
      </c>
      <c r="H1029" s="1" t="str">
        <f t="shared" si="97"/>
        <v>Shipped</v>
      </c>
      <c r="I1029" s="4" t="str">
        <f t="shared" si="98"/>
        <v>completed</v>
      </c>
      <c r="J1029" t="s">
        <v>25</v>
      </c>
      <c r="K1029">
        <v>4</v>
      </c>
      <c r="L1029">
        <v>11</v>
      </c>
      <c r="M1029">
        <v>2003</v>
      </c>
      <c r="N1029" t="s">
        <v>181</v>
      </c>
      <c r="O1029">
        <v>169</v>
      </c>
      <c r="P1029" t="s">
        <v>604</v>
      </c>
      <c r="Q1029" t="s">
        <v>520</v>
      </c>
      <c r="R1029" t="s">
        <v>521</v>
      </c>
      <c r="S1029" t="s">
        <v>522</v>
      </c>
      <c r="U1029" s="1" t="str">
        <f t="shared" si="99"/>
        <v>Sevilla</v>
      </c>
      <c r="V1029" t="s">
        <v>523</v>
      </c>
      <c r="X1029">
        <v>41101</v>
      </c>
      <c r="Y1029" s="1" t="str">
        <f t="shared" si="100"/>
        <v>SPAIN</v>
      </c>
      <c r="Z1029" s="4" t="str">
        <f t="shared" si="101"/>
        <v>Spain</v>
      </c>
      <c r="AA1029" t="s">
        <v>178</v>
      </c>
      <c r="AB1029" t="s">
        <v>42</v>
      </c>
      <c r="AC1029" t="s">
        <v>524</v>
      </c>
      <c r="AD1029" t="s">
        <v>525</v>
      </c>
      <c r="AE1029" t="s">
        <v>51</v>
      </c>
    </row>
    <row r="1030" spans="1:31" x14ac:dyDescent="0.3">
      <c r="A1030">
        <v>10192</v>
      </c>
      <c r="B1030">
        <v>26</v>
      </c>
      <c r="C1030">
        <v>100</v>
      </c>
      <c r="D1030">
        <v>12</v>
      </c>
      <c r="E1030" s="4" t="str">
        <f t="shared" si="96"/>
        <v>low sales</v>
      </c>
      <c r="F1030">
        <v>3918.46</v>
      </c>
      <c r="G1030" t="s">
        <v>1702</v>
      </c>
      <c r="H1030" s="1" t="str">
        <f t="shared" si="97"/>
        <v>Shipped</v>
      </c>
      <c r="I1030" s="4" t="str">
        <f t="shared" si="98"/>
        <v>completed</v>
      </c>
      <c r="J1030" t="s">
        <v>25</v>
      </c>
      <c r="K1030">
        <v>4</v>
      </c>
      <c r="L1030">
        <v>11</v>
      </c>
      <c r="M1030">
        <v>2003</v>
      </c>
      <c r="N1030" t="s">
        <v>181</v>
      </c>
      <c r="O1030">
        <v>169</v>
      </c>
      <c r="P1030" t="s">
        <v>604</v>
      </c>
      <c r="Q1030" t="s">
        <v>277</v>
      </c>
      <c r="R1030">
        <v>6035558647</v>
      </c>
      <c r="S1030" t="s">
        <v>278</v>
      </c>
      <c r="U1030" s="1" t="str">
        <f t="shared" si="99"/>
        <v>Nashua</v>
      </c>
      <c r="V1030" t="s">
        <v>279</v>
      </c>
      <c r="W1030" t="s">
        <v>280</v>
      </c>
      <c r="X1030">
        <v>62005</v>
      </c>
      <c r="Y1030" s="1" t="str">
        <f t="shared" si="100"/>
        <v>USA</v>
      </c>
      <c r="Z1030" s="4" t="str">
        <f t="shared" si="101"/>
        <v>Usa</v>
      </c>
      <c r="AA1030" t="s">
        <v>32</v>
      </c>
      <c r="AB1030" t="s">
        <v>33</v>
      </c>
      <c r="AC1030" t="s">
        <v>56</v>
      </c>
      <c r="AD1030" t="s">
        <v>276</v>
      </c>
      <c r="AE1030" t="s">
        <v>51</v>
      </c>
    </row>
    <row r="1031" spans="1:31" x14ac:dyDescent="0.3">
      <c r="A1031">
        <v>10195</v>
      </c>
      <c r="B1031">
        <v>50</v>
      </c>
      <c r="C1031">
        <v>100</v>
      </c>
      <c r="D1031">
        <v>10</v>
      </c>
      <c r="E1031" s="4" t="str">
        <f t="shared" si="96"/>
        <v>high sales</v>
      </c>
      <c r="F1031">
        <v>7620.5</v>
      </c>
      <c r="G1031" t="s">
        <v>1703</v>
      </c>
      <c r="H1031" s="1" t="str">
        <f t="shared" si="97"/>
        <v>Shipped</v>
      </c>
      <c r="I1031" s="4" t="str">
        <f t="shared" si="98"/>
        <v>completed</v>
      </c>
      <c r="J1031" t="s">
        <v>25</v>
      </c>
      <c r="K1031">
        <v>4</v>
      </c>
      <c r="L1031">
        <v>11</v>
      </c>
      <c r="M1031">
        <v>2003</v>
      </c>
      <c r="N1031" t="s">
        <v>181</v>
      </c>
      <c r="O1031">
        <v>169</v>
      </c>
      <c r="P1031" t="s">
        <v>604</v>
      </c>
      <c r="Q1031" t="s">
        <v>317</v>
      </c>
      <c r="R1031">
        <v>9145554562</v>
      </c>
      <c r="S1031" t="s">
        <v>318</v>
      </c>
      <c r="U1031" s="1" t="str">
        <f t="shared" si="99"/>
        <v>White Plains</v>
      </c>
      <c r="V1031" t="s">
        <v>319</v>
      </c>
      <c r="W1031" t="s">
        <v>31</v>
      </c>
      <c r="X1031">
        <v>24067</v>
      </c>
      <c r="Y1031" s="1" t="str">
        <f t="shared" si="100"/>
        <v>USA</v>
      </c>
      <c r="Z1031" s="4" t="str">
        <f t="shared" si="101"/>
        <v>Usa</v>
      </c>
      <c r="AA1031" t="s">
        <v>32</v>
      </c>
      <c r="AB1031" t="s">
        <v>33</v>
      </c>
      <c r="AC1031" t="s">
        <v>102</v>
      </c>
      <c r="AD1031" t="s">
        <v>238</v>
      </c>
      <c r="AE1031" t="s">
        <v>151</v>
      </c>
    </row>
    <row r="1032" spans="1:31" x14ac:dyDescent="0.3">
      <c r="A1032">
        <v>10203</v>
      </c>
      <c r="B1032">
        <v>48</v>
      </c>
      <c r="C1032">
        <v>100</v>
      </c>
      <c r="D1032">
        <v>1</v>
      </c>
      <c r="E1032" s="4" t="str">
        <f t="shared" si="96"/>
        <v>high sales</v>
      </c>
      <c r="F1032">
        <v>8291.0400000000009</v>
      </c>
      <c r="G1032" t="s">
        <v>1704</v>
      </c>
      <c r="H1032" s="1" t="str">
        <f t="shared" si="97"/>
        <v>Shipped</v>
      </c>
      <c r="I1032" s="4" t="str">
        <f t="shared" si="98"/>
        <v>completed</v>
      </c>
      <c r="J1032" t="s">
        <v>25</v>
      </c>
      <c r="K1032">
        <v>4</v>
      </c>
      <c r="L1032">
        <v>12</v>
      </c>
      <c r="M1032">
        <v>2003</v>
      </c>
      <c r="N1032" t="s">
        <v>181</v>
      </c>
      <c r="O1032">
        <v>169</v>
      </c>
      <c r="P1032" t="s">
        <v>604</v>
      </c>
      <c r="Q1032" t="s">
        <v>174</v>
      </c>
      <c r="R1032" t="s">
        <v>175</v>
      </c>
      <c r="S1032" t="s">
        <v>176</v>
      </c>
      <c r="U1032" s="1" t="str">
        <f t="shared" si="99"/>
        <v>Madrid</v>
      </c>
      <c r="V1032" t="s">
        <v>177</v>
      </c>
      <c r="X1032">
        <v>28034</v>
      </c>
      <c r="Y1032" s="1" t="str">
        <f t="shared" si="100"/>
        <v>SPAIN</v>
      </c>
      <c r="Z1032" s="4" t="str">
        <f t="shared" si="101"/>
        <v>Spain</v>
      </c>
      <c r="AA1032" t="s">
        <v>178</v>
      </c>
      <c r="AB1032" t="s">
        <v>42</v>
      </c>
      <c r="AC1032" t="s">
        <v>179</v>
      </c>
      <c r="AD1032" t="s">
        <v>180</v>
      </c>
      <c r="AE1032" t="s">
        <v>151</v>
      </c>
    </row>
    <row r="1033" spans="1:31" x14ac:dyDescent="0.3">
      <c r="A1033">
        <v>10207</v>
      </c>
      <c r="B1033">
        <v>25</v>
      </c>
      <c r="C1033">
        <v>100</v>
      </c>
      <c r="D1033">
        <v>11</v>
      </c>
      <c r="E1033" s="4" t="str">
        <f t="shared" si="96"/>
        <v>low sales</v>
      </c>
      <c r="F1033">
        <v>3937.25</v>
      </c>
      <c r="G1033" t="s">
        <v>1705</v>
      </c>
      <c r="H1033" s="1" t="str">
        <f t="shared" si="97"/>
        <v>Shipped</v>
      </c>
      <c r="I1033" s="4" t="str">
        <f t="shared" si="98"/>
        <v>completed</v>
      </c>
      <c r="J1033" t="s">
        <v>25</v>
      </c>
      <c r="K1033">
        <v>4</v>
      </c>
      <c r="L1033">
        <v>12</v>
      </c>
      <c r="M1033">
        <v>2003</v>
      </c>
      <c r="N1033" t="s">
        <v>181</v>
      </c>
      <c r="O1033">
        <v>169</v>
      </c>
      <c r="P1033" t="s">
        <v>604</v>
      </c>
      <c r="Q1033" t="s">
        <v>415</v>
      </c>
      <c r="R1033">
        <v>6175552555</v>
      </c>
      <c r="S1033" t="s">
        <v>416</v>
      </c>
      <c r="U1033" s="1" t="str">
        <f t="shared" si="99"/>
        <v>Boston</v>
      </c>
      <c r="V1033" t="s">
        <v>381</v>
      </c>
      <c r="W1033" t="s">
        <v>123</v>
      </c>
      <c r="X1033">
        <v>51003</v>
      </c>
      <c r="Y1033" s="1" t="str">
        <f t="shared" si="100"/>
        <v>USA</v>
      </c>
      <c r="Z1033" s="4" t="str">
        <f t="shared" si="101"/>
        <v>Usa</v>
      </c>
      <c r="AA1033" t="s">
        <v>32</v>
      </c>
      <c r="AB1033" t="s">
        <v>33</v>
      </c>
      <c r="AC1033" t="s">
        <v>417</v>
      </c>
      <c r="AD1033" t="s">
        <v>276</v>
      </c>
      <c r="AE1033" t="s">
        <v>51</v>
      </c>
    </row>
    <row r="1034" spans="1:31" x14ac:dyDescent="0.3">
      <c r="A1034">
        <v>10212</v>
      </c>
      <c r="B1034">
        <v>40</v>
      </c>
      <c r="C1034">
        <v>100</v>
      </c>
      <c r="D1034">
        <v>11</v>
      </c>
      <c r="E1034" s="4" t="str">
        <f t="shared" si="96"/>
        <v>high sales</v>
      </c>
      <c r="F1034">
        <v>5554.4</v>
      </c>
      <c r="G1034" t="s">
        <v>1706</v>
      </c>
      <c r="H1034" s="1" t="str">
        <f t="shared" si="97"/>
        <v>Shipped</v>
      </c>
      <c r="I1034" s="4" t="str">
        <f t="shared" si="98"/>
        <v>completed</v>
      </c>
      <c r="J1034" t="s">
        <v>25</v>
      </c>
      <c r="K1034">
        <v>1</v>
      </c>
      <c r="L1034">
        <v>1</v>
      </c>
      <c r="M1034">
        <v>2004</v>
      </c>
      <c r="N1034" t="s">
        <v>181</v>
      </c>
      <c r="O1034">
        <v>169</v>
      </c>
      <c r="P1034" t="s">
        <v>604</v>
      </c>
      <c r="Q1034" t="s">
        <v>174</v>
      </c>
      <c r="R1034" t="s">
        <v>175</v>
      </c>
      <c r="S1034" t="s">
        <v>176</v>
      </c>
      <c r="U1034" s="1" t="str">
        <f t="shared" si="99"/>
        <v>Madrid</v>
      </c>
      <c r="V1034" t="s">
        <v>177</v>
      </c>
      <c r="X1034">
        <v>28034</v>
      </c>
      <c r="Y1034" s="1" t="str">
        <f t="shared" si="100"/>
        <v>SPAIN</v>
      </c>
      <c r="Z1034" s="4" t="str">
        <f t="shared" si="101"/>
        <v>Spain</v>
      </c>
      <c r="AA1034" t="s">
        <v>178</v>
      </c>
      <c r="AB1034" t="s">
        <v>42</v>
      </c>
      <c r="AC1034" t="s">
        <v>179</v>
      </c>
      <c r="AD1034" t="s">
        <v>180</v>
      </c>
      <c r="AE1034" t="s">
        <v>51</v>
      </c>
    </row>
    <row r="1035" spans="1:31" x14ac:dyDescent="0.3">
      <c r="A1035">
        <v>10225</v>
      </c>
      <c r="B1035">
        <v>43</v>
      </c>
      <c r="C1035">
        <v>100</v>
      </c>
      <c r="D1035">
        <v>2</v>
      </c>
      <c r="E1035" s="4" t="str">
        <f t="shared" si="96"/>
        <v>high sales</v>
      </c>
      <c r="F1035">
        <v>6407.86</v>
      </c>
      <c r="G1035" t="s">
        <v>1707</v>
      </c>
      <c r="H1035" s="1" t="str">
        <f t="shared" si="97"/>
        <v>Shipped</v>
      </c>
      <c r="I1035" s="4" t="str">
        <f t="shared" si="98"/>
        <v>completed</v>
      </c>
      <c r="J1035" t="s">
        <v>25</v>
      </c>
      <c r="K1035">
        <v>1</v>
      </c>
      <c r="L1035">
        <v>2</v>
      </c>
      <c r="M1035">
        <v>2004</v>
      </c>
      <c r="N1035" t="s">
        <v>181</v>
      </c>
      <c r="O1035">
        <v>169</v>
      </c>
      <c r="P1035" t="s">
        <v>604</v>
      </c>
      <c r="Q1035" t="s">
        <v>446</v>
      </c>
      <c r="R1035" t="s">
        <v>447</v>
      </c>
      <c r="S1035" t="s">
        <v>448</v>
      </c>
      <c r="U1035" s="1" t="str">
        <f t="shared" si="99"/>
        <v>Gensve</v>
      </c>
      <c r="V1035" t="s">
        <v>449</v>
      </c>
      <c r="X1035">
        <v>1203</v>
      </c>
      <c r="Y1035" s="1" t="str">
        <f t="shared" si="100"/>
        <v>SWITZERLAND</v>
      </c>
      <c r="Z1035" s="4" t="str">
        <f t="shared" si="101"/>
        <v>Switzerland</v>
      </c>
      <c r="AA1035" t="s">
        <v>450</v>
      </c>
      <c r="AB1035" t="s">
        <v>42</v>
      </c>
      <c r="AC1035" t="s">
        <v>451</v>
      </c>
      <c r="AD1035" t="s">
        <v>103</v>
      </c>
      <c r="AE1035" t="s">
        <v>51</v>
      </c>
    </row>
    <row r="1036" spans="1:31" x14ac:dyDescent="0.3">
      <c r="A1036">
        <v>10229</v>
      </c>
      <c r="B1036">
        <v>22</v>
      </c>
      <c r="C1036">
        <v>100</v>
      </c>
      <c r="D1036">
        <v>5</v>
      </c>
      <c r="E1036" s="4" t="str">
        <f t="shared" si="96"/>
        <v>high sales</v>
      </c>
      <c r="F1036">
        <v>4172.5200000000004</v>
      </c>
      <c r="G1036" t="s">
        <v>1708</v>
      </c>
      <c r="H1036" s="1" t="str">
        <f t="shared" si="97"/>
        <v>Shipped</v>
      </c>
      <c r="I1036" s="4" t="str">
        <f t="shared" si="98"/>
        <v>completed</v>
      </c>
      <c r="J1036" t="s">
        <v>25</v>
      </c>
      <c r="K1036">
        <v>1</v>
      </c>
      <c r="L1036">
        <v>3</v>
      </c>
      <c r="M1036">
        <v>2004</v>
      </c>
      <c r="N1036" t="s">
        <v>181</v>
      </c>
      <c r="O1036">
        <v>169</v>
      </c>
      <c r="P1036" t="s">
        <v>604</v>
      </c>
      <c r="Q1036" t="s">
        <v>272</v>
      </c>
      <c r="R1036">
        <v>4155551450</v>
      </c>
      <c r="S1036" t="s">
        <v>273</v>
      </c>
      <c r="U1036" s="1" t="str">
        <f t="shared" si="99"/>
        <v>San Rafael</v>
      </c>
      <c r="V1036" t="s">
        <v>274</v>
      </c>
      <c r="W1036" t="s">
        <v>55</v>
      </c>
      <c r="X1036">
        <v>97562</v>
      </c>
      <c r="Y1036" s="1" t="str">
        <f t="shared" si="100"/>
        <v>USA</v>
      </c>
      <c r="Z1036" s="4" t="str">
        <f t="shared" si="101"/>
        <v>Usa</v>
      </c>
      <c r="AA1036" t="s">
        <v>32</v>
      </c>
      <c r="AB1036" t="s">
        <v>33</v>
      </c>
      <c r="AC1036" t="s">
        <v>275</v>
      </c>
      <c r="AD1036" t="s">
        <v>276</v>
      </c>
      <c r="AE1036" t="s">
        <v>51</v>
      </c>
    </row>
    <row r="1037" spans="1:31" x14ac:dyDescent="0.3">
      <c r="A1037">
        <v>10239</v>
      </c>
      <c r="B1037">
        <v>47</v>
      </c>
      <c r="C1037">
        <v>100</v>
      </c>
      <c r="D1037">
        <v>1</v>
      </c>
      <c r="E1037" s="4" t="str">
        <f t="shared" si="96"/>
        <v>high sales</v>
      </c>
      <c r="F1037">
        <v>7083.37</v>
      </c>
      <c r="G1037" t="s">
        <v>1709</v>
      </c>
      <c r="H1037" s="1" t="str">
        <f t="shared" si="97"/>
        <v>Shipped</v>
      </c>
      <c r="I1037" s="4" t="str">
        <f t="shared" si="98"/>
        <v>completed</v>
      </c>
      <c r="J1037" t="s">
        <v>25</v>
      </c>
      <c r="K1037">
        <v>2</v>
      </c>
      <c r="L1037">
        <v>4</v>
      </c>
      <c r="M1037">
        <v>2004</v>
      </c>
      <c r="N1037" t="s">
        <v>181</v>
      </c>
      <c r="O1037">
        <v>169</v>
      </c>
      <c r="P1037" t="s">
        <v>604</v>
      </c>
      <c r="Q1037" t="s">
        <v>391</v>
      </c>
      <c r="R1037" t="s">
        <v>392</v>
      </c>
      <c r="S1037" t="s">
        <v>393</v>
      </c>
      <c r="U1037" s="1" t="str">
        <f t="shared" si="99"/>
        <v>Oulu</v>
      </c>
      <c r="V1037" t="s">
        <v>394</v>
      </c>
      <c r="X1037">
        <v>90110</v>
      </c>
      <c r="Y1037" s="1" t="str">
        <f t="shared" si="100"/>
        <v>FINLAND</v>
      </c>
      <c r="Z1037" s="4" t="str">
        <f t="shared" si="101"/>
        <v>Finland</v>
      </c>
      <c r="AA1037" t="s">
        <v>130</v>
      </c>
      <c r="AB1037" t="s">
        <v>42</v>
      </c>
      <c r="AC1037" t="s">
        <v>395</v>
      </c>
      <c r="AD1037" t="s">
        <v>396</v>
      </c>
      <c r="AE1037" t="s">
        <v>151</v>
      </c>
    </row>
    <row r="1038" spans="1:31" x14ac:dyDescent="0.3">
      <c r="A1038">
        <v>10246</v>
      </c>
      <c r="B1038">
        <v>36</v>
      </c>
      <c r="C1038">
        <v>100</v>
      </c>
      <c r="D1038">
        <v>9</v>
      </c>
      <c r="E1038" s="4" t="str">
        <f t="shared" si="96"/>
        <v>high sales</v>
      </c>
      <c r="F1038">
        <v>7132.68</v>
      </c>
      <c r="G1038" t="s">
        <v>1710</v>
      </c>
      <c r="H1038" s="1" t="str">
        <f t="shared" si="97"/>
        <v>Shipped</v>
      </c>
      <c r="I1038" s="4" t="str">
        <f t="shared" si="98"/>
        <v>completed</v>
      </c>
      <c r="J1038" t="s">
        <v>25</v>
      </c>
      <c r="K1038">
        <v>2</v>
      </c>
      <c r="L1038">
        <v>5</v>
      </c>
      <c r="M1038">
        <v>2004</v>
      </c>
      <c r="N1038" t="s">
        <v>181</v>
      </c>
      <c r="O1038">
        <v>169</v>
      </c>
      <c r="P1038" t="s">
        <v>604</v>
      </c>
      <c r="Q1038" t="s">
        <v>174</v>
      </c>
      <c r="R1038" t="s">
        <v>175</v>
      </c>
      <c r="S1038" t="s">
        <v>176</v>
      </c>
      <c r="U1038" s="1" t="str">
        <f t="shared" si="99"/>
        <v>Madrid</v>
      </c>
      <c r="V1038" t="s">
        <v>177</v>
      </c>
      <c r="X1038">
        <v>28034</v>
      </c>
      <c r="Y1038" s="1" t="str">
        <f t="shared" si="100"/>
        <v>SPAIN</v>
      </c>
      <c r="Z1038" s="4" t="str">
        <f t="shared" si="101"/>
        <v>Spain</v>
      </c>
      <c r="AA1038" t="s">
        <v>178</v>
      </c>
      <c r="AB1038" t="s">
        <v>42</v>
      </c>
      <c r="AC1038" t="s">
        <v>179</v>
      </c>
      <c r="AD1038" t="s">
        <v>180</v>
      </c>
      <c r="AE1038" t="s">
        <v>151</v>
      </c>
    </row>
    <row r="1039" spans="1:31" x14ac:dyDescent="0.3">
      <c r="A1039">
        <v>10253</v>
      </c>
      <c r="B1039">
        <v>40</v>
      </c>
      <c r="C1039">
        <v>100</v>
      </c>
      <c r="D1039">
        <v>6</v>
      </c>
      <c r="E1039" s="4" t="str">
        <f t="shared" si="96"/>
        <v>high sales</v>
      </c>
      <c r="F1039">
        <v>6773.6</v>
      </c>
      <c r="G1039" t="s">
        <v>1711</v>
      </c>
      <c r="H1039" s="1" t="str">
        <f t="shared" si="97"/>
        <v>Cancelled</v>
      </c>
      <c r="I1039" s="4" t="str">
        <f t="shared" si="98"/>
        <v>not completed</v>
      </c>
      <c r="J1039" t="s">
        <v>339</v>
      </c>
      <c r="K1039">
        <v>2</v>
      </c>
      <c r="L1039">
        <v>6</v>
      </c>
      <c r="M1039">
        <v>2004</v>
      </c>
      <c r="N1039" t="s">
        <v>181</v>
      </c>
      <c r="O1039">
        <v>169</v>
      </c>
      <c r="P1039" t="s">
        <v>604</v>
      </c>
      <c r="Q1039" t="s">
        <v>165</v>
      </c>
      <c r="R1039" t="s">
        <v>166</v>
      </c>
      <c r="S1039" t="s">
        <v>167</v>
      </c>
      <c r="U1039" s="1" t="str">
        <f t="shared" si="99"/>
        <v>Liverpool</v>
      </c>
      <c r="V1039" t="s">
        <v>168</v>
      </c>
      <c r="X1039" t="s">
        <v>169</v>
      </c>
      <c r="Y1039" s="1" t="str">
        <f t="shared" si="100"/>
        <v>UK</v>
      </c>
      <c r="Z1039" s="4" t="str">
        <f t="shared" si="101"/>
        <v>Uk</v>
      </c>
      <c r="AA1039" t="s">
        <v>170</v>
      </c>
      <c r="AB1039" t="s">
        <v>42</v>
      </c>
      <c r="AC1039" t="s">
        <v>171</v>
      </c>
      <c r="AD1039" t="s">
        <v>172</v>
      </c>
      <c r="AE1039" t="s">
        <v>51</v>
      </c>
    </row>
    <row r="1040" spans="1:31" x14ac:dyDescent="0.3">
      <c r="A1040">
        <v>10259</v>
      </c>
      <c r="B1040">
        <v>27</v>
      </c>
      <c r="C1040">
        <v>100</v>
      </c>
      <c r="D1040">
        <v>8</v>
      </c>
      <c r="E1040" s="4" t="str">
        <f t="shared" si="96"/>
        <v>low sales</v>
      </c>
      <c r="F1040">
        <v>3657.69</v>
      </c>
      <c r="G1040" t="s">
        <v>1712</v>
      </c>
      <c r="H1040" s="1" t="str">
        <f t="shared" si="97"/>
        <v>Shipped</v>
      </c>
      <c r="I1040" s="4" t="str">
        <f t="shared" si="98"/>
        <v>completed</v>
      </c>
      <c r="J1040" t="s">
        <v>25</v>
      </c>
      <c r="K1040">
        <v>2</v>
      </c>
      <c r="L1040">
        <v>6</v>
      </c>
      <c r="M1040">
        <v>2004</v>
      </c>
      <c r="N1040" t="s">
        <v>181</v>
      </c>
      <c r="O1040">
        <v>169</v>
      </c>
      <c r="P1040" t="s">
        <v>604</v>
      </c>
      <c r="Q1040" t="s">
        <v>418</v>
      </c>
      <c r="R1040" t="s">
        <v>419</v>
      </c>
      <c r="S1040" t="s">
        <v>420</v>
      </c>
      <c r="T1040" t="s">
        <v>421</v>
      </c>
      <c r="U1040" s="1" t="str">
        <f t="shared" si="99"/>
        <v>Singapore</v>
      </c>
      <c r="V1040" t="s">
        <v>199</v>
      </c>
      <c r="X1040">
        <v>69045</v>
      </c>
      <c r="Y1040" s="1" t="str">
        <f t="shared" si="100"/>
        <v>SINGAPORE</v>
      </c>
      <c r="Z1040" s="4" t="str">
        <f t="shared" si="101"/>
        <v>Singapore</v>
      </c>
      <c r="AA1040" t="s">
        <v>199</v>
      </c>
      <c r="AB1040" t="s">
        <v>96</v>
      </c>
      <c r="AC1040" t="s">
        <v>422</v>
      </c>
      <c r="AD1040" t="s">
        <v>423</v>
      </c>
      <c r="AE1040" t="s">
        <v>51</v>
      </c>
    </row>
    <row r="1041" spans="1:31" x14ac:dyDescent="0.3">
      <c r="A1041">
        <v>10266</v>
      </c>
      <c r="B1041">
        <v>29</v>
      </c>
      <c r="C1041">
        <v>100</v>
      </c>
      <c r="D1041">
        <v>7</v>
      </c>
      <c r="E1041" s="4" t="str">
        <f t="shared" si="96"/>
        <v>high sales</v>
      </c>
      <c r="F1041">
        <v>4812.55</v>
      </c>
      <c r="G1041" t="s">
        <v>1713</v>
      </c>
      <c r="H1041" s="1" t="str">
        <f t="shared" si="97"/>
        <v>Shipped</v>
      </c>
      <c r="I1041" s="4" t="str">
        <f t="shared" si="98"/>
        <v>completed</v>
      </c>
      <c r="J1041" t="s">
        <v>25</v>
      </c>
      <c r="K1041">
        <v>3</v>
      </c>
      <c r="L1041">
        <v>7</v>
      </c>
      <c r="M1041">
        <v>2004</v>
      </c>
      <c r="N1041" t="s">
        <v>181</v>
      </c>
      <c r="O1041">
        <v>169</v>
      </c>
      <c r="P1041" t="s">
        <v>604</v>
      </c>
      <c r="Q1041" t="s">
        <v>452</v>
      </c>
      <c r="R1041" t="s">
        <v>453</v>
      </c>
      <c r="S1041" t="s">
        <v>454</v>
      </c>
      <c r="U1041" s="1" t="str">
        <f t="shared" si="99"/>
        <v>Reggio Emilia</v>
      </c>
      <c r="V1041" t="s">
        <v>455</v>
      </c>
      <c r="X1041">
        <v>42100</v>
      </c>
      <c r="Y1041" s="1" t="str">
        <f t="shared" si="100"/>
        <v>ITALY</v>
      </c>
      <c r="Z1041" s="4" t="str">
        <f t="shared" si="101"/>
        <v>Italy</v>
      </c>
      <c r="AA1041" t="s">
        <v>258</v>
      </c>
      <c r="AB1041" t="s">
        <v>42</v>
      </c>
      <c r="AC1041" t="s">
        <v>456</v>
      </c>
      <c r="AD1041" t="s">
        <v>457</v>
      </c>
      <c r="AE1041" t="s">
        <v>51</v>
      </c>
    </row>
    <row r="1042" spans="1:31" x14ac:dyDescent="0.3">
      <c r="A1042">
        <v>10271</v>
      </c>
      <c r="B1042">
        <v>20</v>
      </c>
      <c r="C1042">
        <v>100</v>
      </c>
      <c r="D1042">
        <v>9</v>
      </c>
      <c r="E1042" s="4" t="str">
        <f t="shared" si="96"/>
        <v>low sales</v>
      </c>
      <c r="F1042">
        <v>3928.6</v>
      </c>
      <c r="G1042" t="s">
        <v>1714</v>
      </c>
      <c r="H1042" s="1" t="str">
        <f t="shared" si="97"/>
        <v>Shipped</v>
      </c>
      <c r="I1042" s="4" t="str">
        <f t="shared" si="98"/>
        <v>completed</v>
      </c>
      <c r="J1042" t="s">
        <v>25</v>
      </c>
      <c r="K1042">
        <v>3</v>
      </c>
      <c r="L1042">
        <v>7</v>
      </c>
      <c r="M1042">
        <v>2004</v>
      </c>
      <c r="N1042" t="s">
        <v>181</v>
      </c>
      <c r="O1042">
        <v>169</v>
      </c>
      <c r="P1042" t="s">
        <v>604</v>
      </c>
      <c r="Q1042" t="s">
        <v>272</v>
      </c>
      <c r="R1042">
        <v>4155551450</v>
      </c>
      <c r="S1042" t="s">
        <v>273</v>
      </c>
      <c r="U1042" s="1" t="str">
        <f t="shared" si="99"/>
        <v>San Rafael</v>
      </c>
      <c r="V1042" t="s">
        <v>274</v>
      </c>
      <c r="W1042" t="s">
        <v>55</v>
      </c>
      <c r="X1042">
        <v>97562</v>
      </c>
      <c r="Y1042" s="1" t="str">
        <f t="shared" si="100"/>
        <v>USA</v>
      </c>
      <c r="Z1042" s="4" t="str">
        <f t="shared" si="101"/>
        <v>Usa</v>
      </c>
      <c r="AA1042" t="s">
        <v>32</v>
      </c>
      <c r="AB1042" t="s">
        <v>33</v>
      </c>
      <c r="AC1042" t="s">
        <v>275</v>
      </c>
      <c r="AD1042" t="s">
        <v>276</v>
      </c>
      <c r="AE1042" t="s">
        <v>51</v>
      </c>
    </row>
    <row r="1043" spans="1:31" x14ac:dyDescent="0.3">
      <c r="A1043">
        <v>10278</v>
      </c>
      <c r="B1043">
        <v>42</v>
      </c>
      <c r="C1043">
        <v>100</v>
      </c>
      <c r="D1043">
        <v>7</v>
      </c>
      <c r="E1043" s="4" t="str">
        <f t="shared" si="96"/>
        <v>high sales</v>
      </c>
      <c r="F1043">
        <v>6401.22</v>
      </c>
      <c r="G1043" t="s">
        <v>1715</v>
      </c>
      <c r="H1043" s="1" t="str">
        <f t="shared" si="97"/>
        <v>Shipped</v>
      </c>
      <c r="I1043" s="4" t="str">
        <f t="shared" si="98"/>
        <v>completed</v>
      </c>
      <c r="J1043" t="s">
        <v>25</v>
      </c>
      <c r="K1043">
        <v>3</v>
      </c>
      <c r="L1043">
        <v>8</v>
      </c>
      <c r="M1043">
        <v>2004</v>
      </c>
      <c r="N1043" t="s">
        <v>181</v>
      </c>
      <c r="O1043">
        <v>169</v>
      </c>
      <c r="P1043" t="s">
        <v>604</v>
      </c>
      <c r="Q1043" t="s">
        <v>539</v>
      </c>
      <c r="R1043">
        <v>7025551838</v>
      </c>
      <c r="S1043" t="s">
        <v>540</v>
      </c>
      <c r="U1043" s="1" t="str">
        <f t="shared" si="99"/>
        <v>Las Vegas</v>
      </c>
      <c r="V1043" t="s">
        <v>541</v>
      </c>
      <c r="W1043" t="s">
        <v>542</v>
      </c>
      <c r="X1043">
        <v>83030</v>
      </c>
      <c r="Y1043" s="1" t="str">
        <f t="shared" si="100"/>
        <v>USA</v>
      </c>
      <c r="Z1043" s="4" t="str">
        <f t="shared" si="101"/>
        <v>Usa</v>
      </c>
      <c r="AA1043" t="s">
        <v>32</v>
      </c>
      <c r="AB1043" t="s">
        <v>33</v>
      </c>
      <c r="AC1043" t="s">
        <v>113</v>
      </c>
      <c r="AD1043" t="s">
        <v>400</v>
      </c>
      <c r="AE1043" t="s">
        <v>51</v>
      </c>
    </row>
    <row r="1044" spans="1:31" x14ac:dyDescent="0.3">
      <c r="A1044">
        <v>10281</v>
      </c>
      <c r="B1044">
        <v>25</v>
      </c>
      <c r="C1044">
        <v>100</v>
      </c>
      <c r="D1044">
        <v>5</v>
      </c>
      <c r="E1044" s="4" t="str">
        <f t="shared" si="96"/>
        <v>high sales</v>
      </c>
      <c r="F1044">
        <v>4191.25</v>
      </c>
      <c r="G1044" t="s">
        <v>1716</v>
      </c>
      <c r="H1044" s="1" t="str">
        <f t="shared" si="97"/>
        <v>Shipped</v>
      </c>
      <c r="I1044" s="4" t="str">
        <f t="shared" si="98"/>
        <v>completed</v>
      </c>
      <c r="J1044" t="s">
        <v>25</v>
      </c>
      <c r="K1044">
        <v>3</v>
      </c>
      <c r="L1044">
        <v>8</v>
      </c>
      <c r="M1044">
        <v>2004</v>
      </c>
      <c r="N1044" t="s">
        <v>181</v>
      </c>
      <c r="O1044">
        <v>169</v>
      </c>
      <c r="P1044" t="s">
        <v>604</v>
      </c>
      <c r="Q1044" t="s">
        <v>139</v>
      </c>
      <c r="R1044">
        <v>2155551555</v>
      </c>
      <c r="S1044" t="s">
        <v>140</v>
      </c>
      <c r="U1044" s="1" t="str">
        <f t="shared" si="99"/>
        <v>Allentown</v>
      </c>
      <c r="V1044" t="s">
        <v>141</v>
      </c>
      <c r="W1044" t="s">
        <v>142</v>
      </c>
      <c r="X1044">
        <v>70267</v>
      </c>
      <c r="Y1044" s="1" t="str">
        <f t="shared" si="100"/>
        <v>USA</v>
      </c>
      <c r="Z1044" s="4" t="str">
        <f t="shared" si="101"/>
        <v>Usa</v>
      </c>
      <c r="AA1044" t="s">
        <v>32</v>
      </c>
      <c r="AB1044" t="s">
        <v>33</v>
      </c>
      <c r="AC1044" t="s">
        <v>34</v>
      </c>
      <c r="AD1044" t="s">
        <v>143</v>
      </c>
      <c r="AE1044" t="s">
        <v>51</v>
      </c>
    </row>
    <row r="1045" spans="1:31" x14ac:dyDescent="0.3">
      <c r="A1045">
        <v>10287</v>
      </c>
      <c r="B1045">
        <v>36</v>
      </c>
      <c r="C1045">
        <v>100</v>
      </c>
      <c r="D1045">
        <v>5</v>
      </c>
      <c r="E1045" s="4" t="str">
        <f t="shared" si="96"/>
        <v>high sales</v>
      </c>
      <c r="F1045">
        <v>5852.52</v>
      </c>
      <c r="G1045" t="s">
        <v>1717</v>
      </c>
      <c r="H1045" s="1" t="str">
        <f t="shared" si="97"/>
        <v>Shipped</v>
      </c>
      <c r="I1045" s="4" t="str">
        <f t="shared" si="98"/>
        <v>completed</v>
      </c>
      <c r="J1045" t="s">
        <v>25</v>
      </c>
      <c r="K1045">
        <v>3</v>
      </c>
      <c r="L1045">
        <v>8</v>
      </c>
      <c r="M1045">
        <v>2004</v>
      </c>
      <c r="N1045" t="s">
        <v>181</v>
      </c>
      <c r="O1045">
        <v>169</v>
      </c>
      <c r="P1045" t="s">
        <v>604</v>
      </c>
      <c r="Q1045" t="s">
        <v>446</v>
      </c>
      <c r="R1045" t="s">
        <v>447</v>
      </c>
      <c r="S1045" t="s">
        <v>448</v>
      </c>
      <c r="U1045" s="1" t="str">
        <f t="shared" si="99"/>
        <v>Gensve</v>
      </c>
      <c r="V1045" t="s">
        <v>449</v>
      </c>
      <c r="X1045">
        <v>1203</v>
      </c>
      <c r="Y1045" s="1" t="str">
        <f t="shared" si="100"/>
        <v>SWITZERLAND</v>
      </c>
      <c r="Z1045" s="4" t="str">
        <f t="shared" si="101"/>
        <v>Switzerland</v>
      </c>
      <c r="AA1045" t="s">
        <v>450</v>
      </c>
      <c r="AB1045" t="s">
        <v>42</v>
      </c>
      <c r="AC1045" t="s">
        <v>451</v>
      </c>
      <c r="AD1045" t="s">
        <v>103</v>
      </c>
      <c r="AE1045" t="s">
        <v>51</v>
      </c>
    </row>
    <row r="1046" spans="1:31" x14ac:dyDescent="0.3">
      <c r="A1046">
        <v>10292</v>
      </c>
      <c r="B1046">
        <v>21</v>
      </c>
      <c r="C1046">
        <v>100</v>
      </c>
      <c r="D1046">
        <v>12</v>
      </c>
      <c r="E1046" s="4" t="str">
        <f t="shared" si="96"/>
        <v>low sales</v>
      </c>
      <c r="F1046">
        <v>2844.87</v>
      </c>
      <c r="G1046" t="s">
        <v>1718</v>
      </c>
      <c r="H1046" s="1" t="str">
        <f t="shared" si="97"/>
        <v>Shipped</v>
      </c>
      <c r="I1046" s="4" t="str">
        <f t="shared" si="98"/>
        <v>completed</v>
      </c>
      <c r="J1046" t="s">
        <v>25</v>
      </c>
      <c r="K1046">
        <v>3</v>
      </c>
      <c r="L1046">
        <v>9</v>
      </c>
      <c r="M1046">
        <v>2004</v>
      </c>
      <c r="N1046" t="s">
        <v>181</v>
      </c>
      <c r="O1046">
        <v>169</v>
      </c>
      <c r="P1046" t="s">
        <v>604</v>
      </c>
      <c r="Q1046" t="s">
        <v>28</v>
      </c>
      <c r="R1046">
        <v>2125557818</v>
      </c>
      <c r="S1046" t="s">
        <v>29</v>
      </c>
      <c r="U1046" s="1" t="str">
        <f t="shared" si="99"/>
        <v>Nyc</v>
      </c>
      <c r="V1046" t="s">
        <v>30</v>
      </c>
      <c r="W1046" t="s">
        <v>31</v>
      </c>
      <c r="X1046">
        <v>10022</v>
      </c>
      <c r="Y1046" s="1" t="str">
        <f t="shared" si="100"/>
        <v>USA</v>
      </c>
      <c r="Z1046" s="4" t="str">
        <f t="shared" si="101"/>
        <v>Usa</v>
      </c>
      <c r="AA1046" t="s">
        <v>32</v>
      </c>
      <c r="AB1046" t="s">
        <v>33</v>
      </c>
      <c r="AC1046" t="s">
        <v>34</v>
      </c>
      <c r="AD1046" t="s">
        <v>35</v>
      </c>
      <c r="AE1046" t="s">
        <v>36</v>
      </c>
    </row>
    <row r="1047" spans="1:31" x14ac:dyDescent="0.3">
      <c r="A1047">
        <v>10301</v>
      </c>
      <c r="B1047">
        <v>23</v>
      </c>
      <c r="C1047">
        <v>100</v>
      </c>
      <c r="D1047">
        <v>9</v>
      </c>
      <c r="E1047" s="4" t="str">
        <f t="shared" si="96"/>
        <v>high sales</v>
      </c>
      <c r="F1047">
        <v>4011.66</v>
      </c>
      <c r="G1047" t="s">
        <v>1719</v>
      </c>
      <c r="H1047" s="1" t="str">
        <f t="shared" si="97"/>
        <v>Shipped</v>
      </c>
      <c r="I1047" s="4" t="str">
        <f t="shared" si="98"/>
        <v>completed</v>
      </c>
      <c r="J1047" t="s">
        <v>25</v>
      </c>
      <c r="K1047">
        <v>4</v>
      </c>
      <c r="L1047">
        <v>10</v>
      </c>
      <c r="M1047">
        <v>2003</v>
      </c>
      <c r="N1047" t="s">
        <v>181</v>
      </c>
      <c r="O1047">
        <v>169</v>
      </c>
      <c r="P1047" t="s">
        <v>604</v>
      </c>
      <c r="Q1047" t="s">
        <v>543</v>
      </c>
      <c r="R1047" t="s">
        <v>544</v>
      </c>
      <c r="S1047" t="s">
        <v>545</v>
      </c>
      <c r="U1047" s="1" t="str">
        <f t="shared" si="99"/>
        <v>Oslo</v>
      </c>
      <c r="V1047" t="s">
        <v>546</v>
      </c>
      <c r="X1047" t="s">
        <v>547</v>
      </c>
      <c r="Y1047" s="1" t="str">
        <f t="shared" si="100"/>
        <v>NORWAY</v>
      </c>
      <c r="Z1047" s="4" t="str">
        <f t="shared" si="101"/>
        <v>Norway</v>
      </c>
      <c r="AA1047" t="s">
        <v>78</v>
      </c>
      <c r="AB1047" t="s">
        <v>42</v>
      </c>
      <c r="AC1047" t="s">
        <v>548</v>
      </c>
      <c r="AD1047" t="s">
        <v>549</v>
      </c>
      <c r="AE1047" t="s">
        <v>51</v>
      </c>
    </row>
    <row r="1048" spans="1:31" x14ac:dyDescent="0.3">
      <c r="A1048">
        <v>10305</v>
      </c>
      <c r="B1048">
        <v>37</v>
      </c>
      <c r="C1048">
        <v>100</v>
      </c>
      <c r="D1048">
        <v>9</v>
      </c>
      <c r="E1048" s="4" t="str">
        <f t="shared" si="96"/>
        <v>high sales</v>
      </c>
      <c r="F1048">
        <v>7455.87</v>
      </c>
      <c r="G1048" t="s">
        <v>1720</v>
      </c>
      <c r="H1048" s="1" t="str">
        <f t="shared" si="97"/>
        <v>Shipped</v>
      </c>
      <c r="I1048" s="4" t="str">
        <f t="shared" si="98"/>
        <v>completed</v>
      </c>
      <c r="J1048" t="s">
        <v>25</v>
      </c>
      <c r="K1048">
        <v>4</v>
      </c>
      <c r="L1048">
        <v>10</v>
      </c>
      <c r="M1048">
        <v>2004</v>
      </c>
      <c r="N1048" t="s">
        <v>181</v>
      </c>
      <c r="O1048">
        <v>169</v>
      </c>
      <c r="P1048" t="s">
        <v>604</v>
      </c>
      <c r="Q1048" t="s">
        <v>120</v>
      </c>
      <c r="R1048">
        <v>6175558555</v>
      </c>
      <c r="S1048" t="s">
        <v>121</v>
      </c>
      <c r="U1048" s="1" t="str">
        <f t="shared" si="99"/>
        <v>Cambridge</v>
      </c>
      <c r="V1048" t="s">
        <v>122</v>
      </c>
      <c r="W1048" t="s">
        <v>123</v>
      </c>
      <c r="X1048">
        <v>51247</v>
      </c>
      <c r="Y1048" s="1" t="str">
        <f t="shared" si="100"/>
        <v>USA</v>
      </c>
      <c r="Z1048" s="4" t="str">
        <f t="shared" si="101"/>
        <v>Usa</v>
      </c>
      <c r="AA1048" t="s">
        <v>32</v>
      </c>
      <c r="AB1048" t="s">
        <v>33</v>
      </c>
      <c r="AC1048" t="s">
        <v>124</v>
      </c>
      <c r="AD1048" t="s">
        <v>125</v>
      </c>
      <c r="AE1048" t="s">
        <v>151</v>
      </c>
    </row>
    <row r="1049" spans="1:31" x14ac:dyDescent="0.3">
      <c r="A1049">
        <v>10310</v>
      </c>
      <c r="B1049">
        <v>48</v>
      </c>
      <c r="C1049">
        <v>100</v>
      </c>
      <c r="D1049">
        <v>3</v>
      </c>
      <c r="E1049" s="4" t="str">
        <f t="shared" si="96"/>
        <v>high sales</v>
      </c>
      <c r="F1049">
        <v>8940.9599999999991</v>
      </c>
      <c r="G1049" t="s">
        <v>1721</v>
      </c>
      <c r="H1049" s="1" t="str">
        <f t="shared" si="97"/>
        <v>Shipped</v>
      </c>
      <c r="I1049" s="4" t="str">
        <f t="shared" si="98"/>
        <v>completed</v>
      </c>
      <c r="J1049" t="s">
        <v>25</v>
      </c>
      <c r="K1049">
        <v>4</v>
      </c>
      <c r="L1049">
        <v>10</v>
      </c>
      <c r="M1049">
        <v>2004</v>
      </c>
      <c r="N1049" t="s">
        <v>181</v>
      </c>
      <c r="O1049">
        <v>169</v>
      </c>
      <c r="P1049" t="s">
        <v>604</v>
      </c>
      <c r="Q1049" t="s">
        <v>439</v>
      </c>
      <c r="R1049" t="s">
        <v>440</v>
      </c>
      <c r="S1049" t="s">
        <v>441</v>
      </c>
      <c r="U1049" s="1" t="str">
        <f t="shared" si="99"/>
        <v>Koln</v>
      </c>
      <c r="V1049" t="s">
        <v>442</v>
      </c>
      <c r="X1049">
        <v>50739</v>
      </c>
      <c r="Y1049" s="1" t="str">
        <f t="shared" si="100"/>
        <v>GERMANY</v>
      </c>
      <c r="Z1049" s="4" t="str">
        <f t="shared" si="101"/>
        <v>Germany</v>
      </c>
      <c r="AA1049" t="s">
        <v>443</v>
      </c>
      <c r="AB1049" t="s">
        <v>42</v>
      </c>
      <c r="AC1049" t="s">
        <v>444</v>
      </c>
      <c r="AD1049" t="s">
        <v>445</v>
      </c>
      <c r="AE1049" t="s">
        <v>151</v>
      </c>
    </row>
    <row r="1050" spans="1:31" x14ac:dyDescent="0.3">
      <c r="A1050">
        <v>10313</v>
      </c>
      <c r="B1050">
        <v>25</v>
      </c>
      <c r="C1050">
        <v>100</v>
      </c>
      <c r="D1050">
        <v>3</v>
      </c>
      <c r="E1050" s="4" t="str">
        <f t="shared" si="96"/>
        <v>high sales</v>
      </c>
      <c r="F1050">
        <v>4572.25</v>
      </c>
      <c r="G1050" t="s">
        <v>1722</v>
      </c>
      <c r="H1050" s="1" t="str">
        <f t="shared" si="97"/>
        <v>Shipped</v>
      </c>
      <c r="I1050" s="4" t="str">
        <f t="shared" si="98"/>
        <v>completed</v>
      </c>
      <c r="J1050" t="s">
        <v>25</v>
      </c>
      <c r="K1050">
        <v>4</v>
      </c>
      <c r="L1050">
        <v>10</v>
      </c>
      <c r="M1050">
        <v>2004</v>
      </c>
      <c r="N1050" t="s">
        <v>181</v>
      </c>
      <c r="O1050">
        <v>169</v>
      </c>
      <c r="P1050" t="s">
        <v>604</v>
      </c>
      <c r="Q1050" t="s">
        <v>225</v>
      </c>
      <c r="R1050" t="s">
        <v>226</v>
      </c>
      <c r="S1050" t="s">
        <v>227</v>
      </c>
      <c r="U1050" s="1" t="str">
        <f t="shared" si="99"/>
        <v>Vancouver</v>
      </c>
      <c r="V1050" t="s">
        <v>228</v>
      </c>
      <c r="W1050" t="s">
        <v>229</v>
      </c>
      <c r="X1050" t="s">
        <v>230</v>
      </c>
      <c r="Y1050" s="1" t="str">
        <f t="shared" si="100"/>
        <v>CANADA</v>
      </c>
      <c r="Z1050" s="4" t="str">
        <f t="shared" si="101"/>
        <v>Canada</v>
      </c>
      <c r="AA1050" t="s">
        <v>231</v>
      </c>
      <c r="AB1050" t="s">
        <v>33</v>
      </c>
      <c r="AC1050" t="s">
        <v>232</v>
      </c>
      <c r="AD1050" t="s">
        <v>233</v>
      </c>
      <c r="AE1050" t="s">
        <v>51</v>
      </c>
    </row>
    <row r="1051" spans="1:31" x14ac:dyDescent="0.3">
      <c r="A1051">
        <v>10321</v>
      </c>
      <c r="B1051">
        <v>33</v>
      </c>
      <c r="C1051">
        <v>100</v>
      </c>
      <c r="D1051">
        <v>11</v>
      </c>
      <c r="E1051" s="4" t="str">
        <f t="shared" si="96"/>
        <v>high sales</v>
      </c>
      <c r="F1051">
        <v>5700.09</v>
      </c>
      <c r="G1051" t="s">
        <v>1723</v>
      </c>
      <c r="H1051" s="1" t="str">
        <f t="shared" si="97"/>
        <v>Shipped</v>
      </c>
      <c r="I1051" s="4" t="str">
        <f t="shared" si="98"/>
        <v>completed</v>
      </c>
      <c r="J1051" t="s">
        <v>25</v>
      </c>
      <c r="K1051">
        <v>4</v>
      </c>
      <c r="L1051">
        <v>11</v>
      </c>
      <c r="M1051">
        <v>2004</v>
      </c>
      <c r="N1051" t="s">
        <v>181</v>
      </c>
      <c r="O1051">
        <v>169</v>
      </c>
      <c r="P1051" t="s">
        <v>604</v>
      </c>
      <c r="Q1051" t="s">
        <v>160</v>
      </c>
      <c r="R1051">
        <v>5085552555</v>
      </c>
      <c r="S1051" t="s">
        <v>161</v>
      </c>
      <c r="U1051" s="1" t="str">
        <f t="shared" si="99"/>
        <v>New Bedford</v>
      </c>
      <c r="V1051" t="s">
        <v>162</v>
      </c>
      <c r="W1051" t="s">
        <v>123</v>
      </c>
      <c r="X1051">
        <v>50553</v>
      </c>
      <c r="Y1051" s="1" t="str">
        <f t="shared" si="100"/>
        <v>USA</v>
      </c>
      <c r="Z1051" s="4" t="str">
        <f t="shared" si="101"/>
        <v>Usa</v>
      </c>
      <c r="AA1051" t="s">
        <v>32</v>
      </c>
      <c r="AB1051" t="s">
        <v>33</v>
      </c>
      <c r="AC1051" t="s">
        <v>163</v>
      </c>
      <c r="AD1051" t="s">
        <v>164</v>
      </c>
      <c r="AE1051" t="s">
        <v>51</v>
      </c>
    </row>
    <row r="1052" spans="1:31" x14ac:dyDescent="0.3">
      <c r="A1052">
        <v>10324</v>
      </c>
      <c r="B1052">
        <v>27</v>
      </c>
      <c r="C1052">
        <v>100</v>
      </c>
      <c r="D1052">
        <v>12</v>
      </c>
      <c r="E1052" s="4" t="str">
        <f t="shared" si="96"/>
        <v>low sales</v>
      </c>
      <c r="F1052">
        <v>3155.49</v>
      </c>
      <c r="G1052" t="s">
        <v>1724</v>
      </c>
      <c r="H1052" s="1" t="str">
        <f t="shared" si="97"/>
        <v>Shipped</v>
      </c>
      <c r="I1052" s="4" t="str">
        <f t="shared" si="98"/>
        <v>completed</v>
      </c>
      <c r="J1052" t="s">
        <v>25</v>
      </c>
      <c r="K1052">
        <v>4</v>
      </c>
      <c r="L1052">
        <v>11</v>
      </c>
      <c r="M1052">
        <v>2004</v>
      </c>
      <c r="N1052" t="s">
        <v>181</v>
      </c>
      <c r="O1052">
        <v>169</v>
      </c>
      <c r="P1052" t="s">
        <v>604</v>
      </c>
      <c r="Q1052" t="s">
        <v>99</v>
      </c>
      <c r="R1052">
        <v>2125551500</v>
      </c>
      <c r="S1052" t="s">
        <v>100</v>
      </c>
      <c r="T1052" t="s">
        <v>101</v>
      </c>
      <c r="U1052" s="1" t="str">
        <f t="shared" si="99"/>
        <v>Nyc</v>
      </c>
      <c r="V1052" t="s">
        <v>30</v>
      </c>
      <c r="W1052" t="s">
        <v>31</v>
      </c>
      <c r="X1052">
        <v>10022</v>
      </c>
      <c r="Y1052" s="1" t="str">
        <f t="shared" si="100"/>
        <v>USA</v>
      </c>
      <c r="Z1052" s="4" t="str">
        <f t="shared" si="101"/>
        <v>Usa</v>
      </c>
      <c r="AA1052" t="s">
        <v>32</v>
      </c>
      <c r="AB1052" t="s">
        <v>33</v>
      </c>
      <c r="AC1052" t="s">
        <v>102</v>
      </c>
      <c r="AD1052" t="s">
        <v>103</v>
      </c>
      <c r="AE1052" t="s">
        <v>51</v>
      </c>
    </row>
    <row r="1053" spans="1:31" x14ac:dyDescent="0.3">
      <c r="A1053">
        <v>10331</v>
      </c>
      <c r="B1053">
        <v>27</v>
      </c>
      <c r="C1053">
        <v>100</v>
      </c>
      <c r="D1053">
        <v>11</v>
      </c>
      <c r="E1053" s="4" t="str">
        <f t="shared" si="96"/>
        <v>high sales</v>
      </c>
      <c r="F1053">
        <v>4170.6899999999996</v>
      </c>
      <c r="G1053" t="s">
        <v>1725</v>
      </c>
      <c r="H1053" s="1" t="str">
        <f t="shared" si="97"/>
        <v>Shipped</v>
      </c>
      <c r="I1053" s="4" t="str">
        <f t="shared" si="98"/>
        <v>completed</v>
      </c>
      <c r="J1053" t="s">
        <v>25</v>
      </c>
      <c r="K1053">
        <v>4</v>
      </c>
      <c r="L1053">
        <v>11</v>
      </c>
      <c r="M1053">
        <v>2004</v>
      </c>
      <c r="N1053" t="s">
        <v>181</v>
      </c>
      <c r="O1053">
        <v>169</v>
      </c>
      <c r="P1053" t="s">
        <v>604</v>
      </c>
      <c r="Q1053" t="s">
        <v>309</v>
      </c>
      <c r="R1053">
        <v>2155559857</v>
      </c>
      <c r="S1053" t="s">
        <v>310</v>
      </c>
      <c r="U1053" s="1" t="str">
        <f t="shared" si="99"/>
        <v>Philadelphia</v>
      </c>
      <c r="V1053" t="s">
        <v>216</v>
      </c>
      <c r="W1053" t="s">
        <v>142</v>
      </c>
      <c r="X1053">
        <v>71270</v>
      </c>
      <c r="Y1053" s="1" t="str">
        <f t="shared" si="100"/>
        <v>USA</v>
      </c>
      <c r="Z1053" s="4" t="str">
        <f t="shared" si="101"/>
        <v>Usa</v>
      </c>
      <c r="AA1053" t="s">
        <v>32</v>
      </c>
      <c r="AB1053" t="s">
        <v>33</v>
      </c>
      <c r="AC1053" t="s">
        <v>124</v>
      </c>
      <c r="AD1053" t="s">
        <v>311</v>
      </c>
      <c r="AE1053" t="s">
        <v>51</v>
      </c>
    </row>
    <row r="1054" spans="1:31" x14ac:dyDescent="0.3">
      <c r="A1054">
        <v>10334</v>
      </c>
      <c r="B1054">
        <v>20</v>
      </c>
      <c r="C1054">
        <v>100</v>
      </c>
      <c r="D1054">
        <v>3</v>
      </c>
      <c r="E1054" s="4" t="str">
        <f t="shared" si="96"/>
        <v>low sales</v>
      </c>
      <c r="F1054">
        <v>2878.8</v>
      </c>
      <c r="G1054" t="s">
        <v>1726</v>
      </c>
      <c r="H1054" s="1" t="str">
        <f t="shared" si="97"/>
        <v>On Hold</v>
      </c>
      <c r="I1054" s="4" t="str">
        <f t="shared" si="98"/>
        <v>not completed</v>
      </c>
      <c r="J1054" t="s">
        <v>401</v>
      </c>
      <c r="K1054">
        <v>4</v>
      </c>
      <c r="L1054">
        <v>11</v>
      </c>
      <c r="M1054">
        <v>2004</v>
      </c>
      <c r="N1054" t="s">
        <v>181</v>
      </c>
      <c r="O1054">
        <v>169</v>
      </c>
      <c r="P1054" t="s">
        <v>604</v>
      </c>
      <c r="Q1054" t="s">
        <v>183</v>
      </c>
      <c r="R1054" t="s">
        <v>184</v>
      </c>
      <c r="S1054" t="s">
        <v>185</v>
      </c>
      <c r="U1054" s="1" t="str">
        <f t="shared" si="99"/>
        <v>Lule</v>
      </c>
      <c r="V1054" t="s">
        <v>186</v>
      </c>
      <c r="X1054" t="s">
        <v>187</v>
      </c>
      <c r="Y1054" s="1" t="str">
        <f t="shared" si="100"/>
        <v>SWEDEN</v>
      </c>
      <c r="Z1054" s="4" t="str">
        <f t="shared" si="101"/>
        <v>Sweden</v>
      </c>
      <c r="AA1054" t="s">
        <v>188</v>
      </c>
      <c r="AB1054" t="s">
        <v>42</v>
      </c>
      <c r="AC1054" t="s">
        <v>189</v>
      </c>
      <c r="AD1054" t="s">
        <v>190</v>
      </c>
      <c r="AE1054" t="s">
        <v>36</v>
      </c>
    </row>
    <row r="1055" spans="1:31" x14ac:dyDescent="0.3">
      <c r="A1055">
        <v>10342</v>
      </c>
      <c r="B1055">
        <v>30</v>
      </c>
      <c r="C1055">
        <v>100</v>
      </c>
      <c r="D1055">
        <v>4</v>
      </c>
      <c r="E1055" s="4" t="str">
        <f t="shared" si="96"/>
        <v>high sales</v>
      </c>
      <c r="F1055">
        <v>5029.5</v>
      </c>
      <c r="G1055" t="s">
        <v>1727</v>
      </c>
      <c r="H1055" s="1" t="str">
        <f t="shared" si="97"/>
        <v>Shipped</v>
      </c>
      <c r="I1055" s="4" t="str">
        <f t="shared" si="98"/>
        <v>completed</v>
      </c>
      <c r="J1055" t="s">
        <v>25</v>
      </c>
      <c r="K1055">
        <v>4</v>
      </c>
      <c r="L1055">
        <v>11</v>
      </c>
      <c r="M1055">
        <v>2004</v>
      </c>
      <c r="N1055" t="s">
        <v>181</v>
      </c>
      <c r="O1055">
        <v>169</v>
      </c>
      <c r="P1055" t="s">
        <v>604</v>
      </c>
      <c r="Q1055" t="s">
        <v>89</v>
      </c>
      <c r="R1055" t="s">
        <v>90</v>
      </c>
      <c r="S1055" t="s">
        <v>91</v>
      </c>
      <c r="T1055" t="s">
        <v>92</v>
      </c>
      <c r="U1055" s="1" t="str">
        <f t="shared" si="99"/>
        <v>Melbourne</v>
      </c>
      <c r="V1055" t="s">
        <v>93</v>
      </c>
      <c r="W1055" t="s">
        <v>94</v>
      </c>
      <c r="X1055">
        <v>3004</v>
      </c>
      <c r="Y1055" s="1" t="str">
        <f t="shared" si="100"/>
        <v>AUSTRALIA</v>
      </c>
      <c r="Z1055" s="4" t="str">
        <f t="shared" si="101"/>
        <v>Australia</v>
      </c>
      <c r="AA1055" t="s">
        <v>95</v>
      </c>
      <c r="AB1055" t="s">
        <v>96</v>
      </c>
      <c r="AC1055" t="s">
        <v>97</v>
      </c>
      <c r="AD1055" t="s">
        <v>98</v>
      </c>
      <c r="AE1055" t="s">
        <v>51</v>
      </c>
    </row>
    <row r="1056" spans="1:31" x14ac:dyDescent="0.3">
      <c r="A1056">
        <v>10349</v>
      </c>
      <c r="B1056">
        <v>48</v>
      </c>
      <c r="C1056">
        <v>100</v>
      </c>
      <c r="D1056">
        <v>6</v>
      </c>
      <c r="E1056" s="4" t="str">
        <f t="shared" si="96"/>
        <v>high sales</v>
      </c>
      <c r="F1056">
        <v>7396.8</v>
      </c>
      <c r="G1056" t="s">
        <v>1728</v>
      </c>
      <c r="H1056" s="1" t="str">
        <f t="shared" si="97"/>
        <v>Shipped</v>
      </c>
      <c r="I1056" s="4" t="str">
        <f t="shared" si="98"/>
        <v>completed</v>
      </c>
      <c r="J1056" t="s">
        <v>25</v>
      </c>
      <c r="K1056">
        <v>4</v>
      </c>
      <c r="L1056">
        <v>12</v>
      </c>
      <c r="M1056">
        <v>2004</v>
      </c>
      <c r="N1056" t="s">
        <v>181</v>
      </c>
      <c r="O1056">
        <v>169</v>
      </c>
      <c r="P1056" t="s">
        <v>604</v>
      </c>
      <c r="Q1056" t="s">
        <v>475</v>
      </c>
      <c r="R1056">
        <v>2125557413</v>
      </c>
      <c r="S1056" t="s">
        <v>476</v>
      </c>
      <c r="T1056" t="s">
        <v>477</v>
      </c>
      <c r="U1056" s="1" t="str">
        <f t="shared" si="99"/>
        <v>Nyc</v>
      </c>
      <c r="V1056" t="s">
        <v>30</v>
      </c>
      <c r="W1056" t="s">
        <v>31</v>
      </c>
      <c r="X1056">
        <v>10022</v>
      </c>
      <c r="Y1056" s="1" t="str">
        <f t="shared" si="100"/>
        <v>USA</v>
      </c>
      <c r="Z1056" s="4" t="str">
        <f t="shared" si="101"/>
        <v>Usa</v>
      </c>
      <c r="AA1056" t="s">
        <v>32</v>
      </c>
      <c r="AB1056" t="s">
        <v>33</v>
      </c>
      <c r="AC1056" t="s">
        <v>56</v>
      </c>
      <c r="AD1056" t="s">
        <v>478</v>
      </c>
      <c r="AE1056" t="s">
        <v>151</v>
      </c>
    </row>
    <row r="1057" spans="1:31" x14ac:dyDescent="0.3">
      <c r="A1057">
        <v>10358</v>
      </c>
      <c r="B1057">
        <v>32</v>
      </c>
      <c r="C1057">
        <v>93.49</v>
      </c>
      <c r="D1057">
        <v>12</v>
      </c>
      <c r="E1057" s="4" t="str">
        <f t="shared" si="96"/>
        <v>low sales</v>
      </c>
      <c r="F1057">
        <v>2991.68</v>
      </c>
      <c r="G1057" t="s">
        <v>1729</v>
      </c>
      <c r="H1057" s="1" t="str">
        <f t="shared" si="97"/>
        <v>Shipped</v>
      </c>
      <c r="I1057" s="4" t="str">
        <f t="shared" si="98"/>
        <v>completed</v>
      </c>
      <c r="J1057" t="s">
        <v>25</v>
      </c>
      <c r="K1057">
        <v>4</v>
      </c>
      <c r="L1057">
        <v>12</v>
      </c>
      <c r="M1057">
        <v>2004</v>
      </c>
      <c r="N1057" t="s">
        <v>181</v>
      </c>
      <c r="O1057">
        <v>169</v>
      </c>
      <c r="P1057" t="s">
        <v>604</v>
      </c>
      <c r="Q1057" t="s">
        <v>174</v>
      </c>
      <c r="R1057" t="s">
        <v>175</v>
      </c>
      <c r="S1057" t="s">
        <v>176</v>
      </c>
      <c r="U1057" s="1" t="str">
        <f t="shared" si="99"/>
        <v>Madrid</v>
      </c>
      <c r="V1057" t="s">
        <v>177</v>
      </c>
      <c r="X1057">
        <v>28034</v>
      </c>
      <c r="Y1057" s="1" t="str">
        <f t="shared" si="100"/>
        <v>SPAIN</v>
      </c>
      <c r="Z1057" s="4" t="str">
        <f t="shared" si="101"/>
        <v>Spain</v>
      </c>
      <c r="AA1057" t="s">
        <v>178</v>
      </c>
      <c r="AB1057" t="s">
        <v>42</v>
      </c>
      <c r="AC1057" t="s">
        <v>179</v>
      </c>
      <c r="AD1057" t="s">
        <v>180</v>
      </c>
      <c r="AE1057" t="s">
        <v>36</v>
      </c>
    </row>
    <row r="1058" spans="1:31" x14ac:dyDescent="0.3">
      <c r="A1058">
        <v>10366</v>
      </c>
      <c r="B1058">
        <v>34</v>
      </c>
      <c r="C1058">
        <v>100</v>
      </c>
      <c r="D1058">
        <v>1</v>
      </c>
      <c r="E1058" s="4" t="str">
        <f t="shared" si="96"/>
        <v>high sales</v>
      </c>
      <c r="F1058">
        <v>6275.72</v>
      </c>
      <c r="G1058" t="s">
        <v>1730</v>
      </c>
      <c r="H1058" s="1" t="str">
        <f t="shared" si="97"/>
        <v>Shipped</v>
      </c>
      <c r="I1058" s="4" t="str">
        <f t="shared" si="98"/>
        <v>completed</v>
      </c>
      <c r="J1058" t="s">
        <v>25</v>
      </c>
      <c r="K1058">
        <v>1</v>
      </c>
      <c r="L1058">
        <v>1</v>
      </c>
      <c r="M1058">
        <v>2005</v>
      </c>
      <c r="N1058" t="s">
        <v>181</v>
      </c>
      <c r="O1058">
        <v>169</v>
      </c>
      <c r="P1058" t="s">
        <v>604</v>
      </c>
      <c r="Q1058" t="s">
        <v>577</v>
      </c>
      <c r="R1058" t="s">
        <v>578</v>
      </c>
      <c r="S1058" t="s">
        <v>579</v>
      </c>
      <c r="U1058" s="1" t="str">
        <f t="shared" si="99"/>
        <v>Charleroi</v>
      </c>
      <c r="V1058" t="s">
        <v>580</v>
      </c>
      <c r="X1058" t="s">
        <v>581</v>
      </c>
      <c r="Y1058" s="1" t="str">
        <f t="shared" si="100"/>
        <v>BELGIUM</v>
      </c>
      <c r="Z1058" s="4" t="str">
        <f t="shared" si="101"/>
        <v>Belgium</v>
      </c>
      <c r="AA1058" t="s">
        <v>370</v>
      </c>
      <c r="AB1058" t="s">
        <v>42</v>
      </c>
      <c r="AC1058" t="s">
        <v>582</v>
      </c>
      <c r="AD1058" t="s">
        <v>583</v>
      </c>
      <c r="AE1058" t="s">
        <v>51</v>
      </c>
    </row>
    <row r="1059" spans="1:31" x14ac:dyDescent="0.3">
      <c r="A1059">
        <v>10370</v>
      </c>
      <c r="B1059">
        <v>27</v>
      </c>
      <c r="C1059">
        <v>56.85</v>
      </c>
      <c r="D1059">
        <v>9</v>
      </c>
      <c r="E1059" s="4" t="str">
        <f t="shared" si="96"/>
        <v>low sales</v>
      </c>
      <c r="F1059">
        <v>1534.95</v>
      </c>
      <c r="G1059" t="s">
        <v>1731</v>
      </c>
      <c r="H1059" s="1" t="str">
        <f t="shared" si="97"/>
        <v>Shipped</v>
      </c>
      <c r="I1059" s="4" t="str">
        <f t="shared" si="98"/>
        <v>completed</v>
      </c>
      <c r="J1059" t="s">
        <v>25</v>
      </c>
      <c r="K1059">
        <v>1</v>
      </c>
      <c r="L1059">
        <v>1</v>
      </c>
      <c r="M1059">
        <v>2005</v>
      </c>
      <c r="N1059" t="s">
        <v>181</v>
      </c>
      <c r="O1059">
        <v>169</v>
      </c>
      <c r="P1059" t="s">
        <v>604</v>
      </c>
      <c r="Q1059" t="s">
        <v>285</v>
      </c>
      <c r="R1059" t="s">
        <v>286</v>
      </c>
      <c r="S1059" t="s">
        <v>287</v>
      </c>
      <c r="T1059" t="s">
        <v>288</v>
      </c>
      <c r="U1059" s="1" t="str">
        <f t="shared" si="99"/>
        <v>North Sydney</v>
      </c>
      <c r="V1059" t="s">
        <v>289</v>
      </c>
      <c r="W1059" t="s">
        <v>157</v>
      </c>
      <c r="X1059">
        <v>2060</v>
      </c>
      <c r="Y1059" s="1" t="str">
        <f t="shared" si="100"/>
        <v>AUSTRALIA</v>
      </c>
      <c r="Z1059" s="4" t="str">
        <f t="shared" si="101"/>
        <v>Australia</v>
      </c>
      <c r="AA1059" t="s">
        <v>95</v>
      </c>
      <c r="AB1059" t="s">
        <v>96</v>
      </c>
      <c r="AC1059" t="s">
        <v>290</v>
      </c>
      <c r="AD1059" t="s">
        <v>291</v>
      </c>
      <c r="AE1059" t="s">
        <v>36</v>
      </c>
    </row>
    <row r="1060" spans="1:31" x14ac:dyDescent="0.3">
      <c r="A1060">
        <v>10377</v>
      </c>
      <c r="B1060">
        <v>39</v>
      </c>
      <c r="C1060">
        <v>100</v>
      </c>
      <c r="D1060">
        <v>3</v>
      </c>
      <c r="E1060" s="4" t="str">
        <f t="shared" si="96"/>
        <v>high sales</v>
      </c>
      <c r="F1060">
        <v>7264.53</v>
      </c>
      <c r="G1060" t="s">
        <v>1732</v>
      </c>
      <c r="H1060" s="1" t="str">
        <f t="shared" si="97"/>
        <v>Shipped</v>
      </c>
      <c r="I1060" s="4" t="str">
        <f t="shared" si="98"/>
        <v>completed</v>
      </c>
      <c r="J1060" t="s">
        <v>25</v>
      </c>
      <c r="K1060">
        <v>1</v>
      </c>
      <c r="L1060">
        <v>2</v>
      </c>
      <c r="M1060">
        <v>2005</v>
      </c>
      <c r="N1060" t="s">
        <v>181</v>
      </c>
      <c r="O1060">
        <v>169</v>
      </c>
      <c r="P1060" t="s">
        <v>604</v>
      </c>
      <c r="Q1060" t="s">
        <v>126</v>
      </c>
      <c r="R1060" t="s">
        <v>127</v>
      </c>
      <c r="S1060" t="s">
        <v>128</v>
      </c>
      <c r="U1060" s="1" t="str">
        <f t="shared" si="99"/>
        <v>Helsinki</v>
      </c>
      <c r="V1060" t="s">
        <v>129</v>
      </c>
      <c r="X1060">
        <v>21240</v>
      </c>
      <c r="Y1060" s="1" t="str">
        <f t="shared" si="100"/>
        <v>FINLAND</v>
      </c>
      <c r="Z1060" s="4" t="str">
        <f t="shared" si="101"/>
        <v>Finland</v>
      </c>
      <c r="AA1060" t="s">
        <v>130</v>
      </c>
      <c r="AB1060" t="s">
        <v>42</v>
      </c>
      <c r="AC1060" t="s">
        <v>131</v>
      </c>
      <c r="AD1060" t="s">
        <v>132</v>
      </c>
      <c r="AE1060" t="s">
        <v>151</v>
      </c>
    </row>
    <row r="1061" spans="1:31" x14ac:dyDescent="0.3">
      <c r="A1061">
        <v>10383</v>
      </c>
      <c r="B1061">
        <v>47</v>
      </c>
      <c r="C1061">
        <v>100</v>
      </c>
      <c r="D1061">
        <v>6</v>
      </c>
      <c r="E1061" s="4" t="str">
        <f t="shared" si="96"/>
        <v>high sales</v>
      </c>
      <c r="F1061">
        <v>6869.05</v>
      </c>
      <c r="G1061" t="s">
        <v>1733</v>
      </c>
      <c r="H1061" s="1" t="str">
        <f t="shared" si="97"/>
        <v>Shipped</v>
      </c>
      <c r="I1061" s="4" t="str">
        <f t="shared" si="98"/>
        <v>completed</v>
      </c>
      <c r="J1061" t="s">
        <v>25</v>
      </c>
      <c r="K1061">
        <v>1</v>
      </c>
      <c r="L1061">
        <v>2</v>
      </c>
      <c r="M1061">
        <v>2005</v>
      </c>
      <c r="N1061" t="s">
        <v>181</v>
      </c>
      <c r="O1061">
        <v>169</v>
      </c>
      <c r="P1061" t="s">
        <v>604</v>
      </c>
      <c r="Q1061" t="s">
        <v>174</v>
      </c>
      <c r="R1061" t="s">
        <v>175</v>
      </c>
      <c r="S1061" t="s">
        <v>176</v>
      </c>
      <c r="U1061" s="1" t="str">
        <f t="shared" si="99"/>
        <v>Madrid</v>
      </c>
      <c r="V1061" t="s">
        <v>177</v>
      </c>
      <c r="X1061">
        <v>28034</v>
      </c>
      <c r="Y1061" s="1" t="str">
        <f t="shared" si="100"/>
        <v>SPAIN</v>
      </c>
      <c r="Z1061" s="4" t="str">
        <f t="shared" si="101"/>
        <v>Spain</v>
      </c>
      <c r="AA1061" t="s">
        <v>178</v>
      </c>
      <c r="AB1061" t="s">
        <v>42</v>
      </c>
      <c r="AC1061" t="s">
        <v>179</v>
      </c>
      <c r="AD1061" t="s">
        <v>180</v>
      </c>
      <c r="AE1061" t="s">
        <v>51</v>
      </c>
    </row>
    <row r="1062" spans="1:31" x14ac:dyDescent="0.3">
      <c r="A1062">
        <v>10394</v>
      </c>
      <c r="B1062">
        <v>22</v>
      </c>
      <c r="C1062">
        <v>100</v>
      </c>
      <c r="D1062">
        <v>5</v>
      </c>
      <c r="E1062" s="4" t="str">
        <f t="shared" si="96"/>
        <v>low sales</v>
      </c>
      <c r="F1062">
        <v>3353.02</v>
      </c>
      <c r="G1062" t="s">
        <v>1734</v>
      </c>
      <c r="H1062" s="1" t="str">
        <f t="shared" si="97"/>
        <v>Shipped</v>
      </c>
      <c r="I1062" s="4" t="str">
        <f t="shared" si="98"/>
        <v>completed</v>
      </c>
      <c r="J1062" t="s">
        <v>25</v>
      </c>
      <c r="K1062">
        <v>1</v>
      </c>
      <c r="L1062">
        <v>3</v>
      </c>
      <c r="M1062">
        <v>2005</v>
      </c>
      <c r="N1062" t="s">
        <v>181</v>
      </c>
      <c r="O1062">
        <v>169</v>
      </c>
      <c r="P1062" t="s">
        <v>604</v>
      </c>
      <c r="Q1062" t="s">
        <v>174</v>
      </c>
      <c r="R1062" t="s">
        <v>175</v>
      </c>
      <c r="S1062" t="s">
        <v>176</v>
      </c>
      <c r="U1062" s="1" t="str">
        <f t="shared" si="99"/>
        <v>Madrid</v>
      </c>
      <c r="V1062" t="s">
        <v>177</v>
      </c>
      <c r="X1062">
        <v>28034</v>
      </c>
      <c r="Y1062" s="1" t="str">
        <f t="shared" si="100"/>
        <v>SPAIN</v>
      </c>
      <c r="Z1062" s="4" t="str">
        <f t="shared" si="101"/>
        <v>Spain</v>
      </c>
      <c r="AA1062" t="s">
        <v>178</v>
      </c>
      <c r="AB1062" t="s">
        <v>42</v>
      </c>
      <c r="AC1062" t="s">
        <v>179</v>
      </c>
      <c r="AD1062" t="s">
        <v>180</v>
      </c>
      <c r="AE1062" t="s">
        <v>51</v>
      </c>
    </row>
    <row r="1063" spans="1:31" x14ac:dyDescent="0.3">
      <c r="A1063">
        <v>10405</v>
      </c>
      <c r="B1063">
        <v>55</v>
      </c>
      <c r="C1063">
        <v>100</v>
      </c>
      <c r="D1063">
        <v>1</v>
      </c>
      <c r="E1063" s="4" t="str">
        <f t="shared" si="96"/>
        <v>high sales</v>
      </c>
      <c r="F1063">
        <v>8289.0499999999993</v>
      </c>
      <c r="G1063" t="s">
        <v>1735</v>
      </c>
      <c r="H1063" s="1" t="str">
        <f t="shared" si="97"/>
        <v>Shipped</v>
      </c>
      <c r="I1063" s="4" t="str">
        <f t="shared" si="98"/>
        <v>completed</v>
      </c>
      <c r="J1063" t="s">
        <v>25</v>
      </c>
      <c r="K1063">
        <v>2</v>
      </c>
      <c r="L1063">
        <v>4</v>
      </c>
      <c r="M1063">
        <v>2005</v>
      </c>
      <c r="N1063" t="s">
        <v>181</v>
      </c>
      <c r="O1063">
        <v>169</v>
      </c>
      <c r="P1063" t="s">
        <v>604</v>
      </c>
      <c r="Q1063" t="s">
        <v>531</v>
      </c>
      <c r="R1063" t="s">
        <v>532</v>
      </c>
      <c r="S1063" t="s">
        <v>533</v>
      </c>
      <c r="U1063" s="1" t="str">
        <f t="shared" si="99"/>
        <v>Strasbourg</v>
      </c>
      <c r="V1063" t="s">
        <v>534</v>
      </c>
      <c r="X1063">
        <v>67000</v>
      </c>
      <c r="Y1063" s="1" t="str">
        <f t="shared" si="100"/>
        <v>FRANCE</v>
      </c>
      <c r="Z1063" s="4" t="str">
        <f t="shared" si="101"/>
        <v>France</v>
      </c>
      <c r="AA1063" t="s">
        <v>41</v>
      </c>
      <c r="AB1063" t="s">
        <v>42</v>
      </c>
      <c r="AC1063" t="s">
        <v>535</v>
      </c>
      <c r="AD1063" t="s">
        <v>536</v>
      </c>
      <c r="AE1063" t="s">
        <v>151</v>
      </c>
    </row>
    <row r="1064" spans="1:31" x14ac:dyDescent="0.3">
      <c r="A1064">
        <v>10412</v>
      </c>
      <c r="B1064">
        <v>60</v>
      </c>
      <c r="C1064">
        <v>100</v>
      </c>
      <c r="D1064">
        <v>9</v>
      </c>
      <c r="E1064" s="4" t="str">
        <f t="shared" si="96"/>
        <v>high sales</v>
      </c>
      <c r="F1064">
        <v>11887.8</v>
      </c>
      <c r="G1064" t="s">
        <v>1736</v>
      </c>
      <c r="H1064" s="1" t="str">
        <f t="shared" si="97"/>
        <v>Shipped</v>
      </c>
      <c r="I1064" s="4" t="str">
        <f t="shared" si="98"/>
        <v>completed</v>
      </c>
      <c r="J1064" t="s">
        <v>25</v>
      </c>
      <c r="K1064">
        <v>2</v>
      </c>
      <c r="L1064">
        <v>5</v>
      </c>
      <c r="M1064">
        <v>2005</v>
      </c>
      <c r="N1064" t="s">
        <v>181</v>
      </c>
      <c r="O1064">
        <v>169</v>
      </c>
      <c r="P1064" t="s">
        <v>604</v>
      </c>
      <c r="Q1064" t="s">
        <v>174</v>
      </c>
      <c r="R1064" t="s">
        <v>175</v>
      </c>
      <c r="S1064" t="s">
        <v>176</v>
      </c>
      <c r="U1064" s="1" t="str">
        <f t="shared" si="99"/>
        <v>Madrid</v>
      </c>
      <c r="V1064" t="s">
        <v>177</v>
      </c>
      <c r="X1064">
        <v>28034</v>
      </c>
      <c r="Y1064" s="1" t="str">
        <f t="shared" si="100"/>
        <v>SPAIN</v>
      </c>
      <c r="Z1064" s="4" t="str">
        <f t="shared" si="101"/>
        <v>Spain</v>
      </c>
      <c r="AA1064" t="s">
        <v>178</v>
      </c>
      <c r="AB1064" t="s">
        <v>42</v>
      </c>
      <c r="AC1064" t="s">
        <v>179</v>
      </c>
      <c r="AD1064" t="s">
        <v>180</v>
      </c>
      <c r="AE1064" t="s">
        <v>151</v>
      </c>
    </row>
    <row r="1065" spans="1:31" x14ac:dyDescent="0.3">
      <c r="A1065">
        <v>10419</v>
      </c>
      <c r="B1065">
        <v>35</v>
      </c>
      <c r="C1065">
        <v>100</v>
      </c>
      <c r="D1065">
        <v>6</v>
      </c>
      <c r="E1065" s="4" t="str">
        <f t="shared" si="96"/>
        <v>high sales</v>
      </c>
      <c r="F1065">
        <v>5926.9</v>
      </c>
      <c r="G1065" t="s">
        <v>1737</v>
      </c>
      <c r="H1065" s="1" t="str">
        <f t="shared" si="97"/>
        <v>Shipped</v>
      </c>
      <c r="I1065" s="4" t="str">
        <f t="shared" si="98"/>
        <v>completed</v>
      </c>
      <c r="J1065" t="s">
        <v>25</v>
      </c>
      <c r="K1065">
        <v>2</v>
      </c>
      <c r="L1065">
        <v>5</v>
      </c>
      <c r="M1065">
        <v>2005</v>
      </c>
      <c r="N1065" t="s">
        <v>181</v>
      </c>
      <c r="O1065">
        <v>169</v>
      </c>
      <c r="P1065" t="s">
        <v>604</v>
      </c>
      <c r="Q1065" t="s">
        <v>144</v>
      </c>
      <c r="R1065" t="s">
        <v>145</v>
      </c>
      <c r="S1065" t="s">
        <v>146</v>
      </c>
      <c r="U1065" s="1" t="str">
        <f t="shared" si="99"/>
        <v>Salzburg</v>
      </c>
      <c r="V1065" t="s">
        <v>147</v>
      </c>
      <c r="X1065">
        <v>5020</v>
      </c>
      <c r="Y1065" s="1" t="str">
        <f t="shared" si="100"/>
        <v>AUSTRIA</v>
      </c>
      <c r="Z1065" s="4" t="str">
        <f t="shared" si="101"/>
        <v>Austria</v>
      </c>
      <c r="AA1065" t="s">
        <v>148</v>
      </c>
      <c r="AB1065" t="s">
        <v>42</v>
      </c>
      <c r="AC1065" t="s">
        <v>149</v>
      </c>
      <c r="AD1065" t="s">
        <v>150</v>
      </c>
      <c r="AE1065" t="s">
        <v>51</v>
      </c>
    </row>
    <row r="1066" spans="1:31" x14ac:dyDescent="0.3">
      <c r="A1066">
        <v>10425</v>
      </c>
      <c r="B1066">
        <v>28</v>
      </c>
      <c r="C1066">
        <v>100</v>
      </c>
      <c r="D1066">
        <v>8</v>
      </c>
      <c r="E1066" s="4" t="str">
        <f t="shared" si="96"/>
        <v>low sales</v>
      </c>
      <c r="F1066">
        <v>3793.16</v>
      </c>
      <c r="G1066" t="s">
        <v>1738</v>
      </c>
      <c r="H1066" s="1" t="str">
        <f t="shared" si="97"/>
        <v>In Process</v>
      </c>
      <c r="I1066" s="4" t="str">
        <f t="shared" si="98"/>
        <v>not completed</v>
      </c>
      <c r="J1066" t="s">
        <v>300</v>
      </c>
      <c r="K1066">
        <v>2</v>
      </c>
      <c r="L1066">
        <v>5</v>
      </c>
      <c r="M1066">
        <v>2005</v>
      </c>
      <c r="N1066" t="s">
        <v>181</v>
      </c>
      <c r="O1066">
        <v>169</v>
      </c>
      <c r="P1066" t="s">
        <v>604</v>
      </c>
      <c r="Q1066" t="s">
        <v>114</v>
      </c>
      <c r="R1066" t="s">
        <v>115</v>
      </c>
      <c r="S1066" t="s">
        <v>116</v>
      </c>
      <c r="U1066" s="1" t="str">
        <f t="shared" si="99"/>
        <v>Nantes</v>
      </c>
      <c r="V1066" t="s">
        <v>117</v>
      </c>
      <c r="X1066">
        <v>44000</v>
      </c>
      <c r="Y1066" s="1" t="str">
        <f t="shared" si="100"/>
        <v>FRANCE</v>
      </c>
      <c r="Z1066" s="4" t="str">
        <f t="shared" si="101"/>
        <v>France</v>
      </c>
      <c r="AA1066" t="s">
        <v>41</v>
      </c>
      <c r="AB1066" t="s">
        <v>42</v>
      </c>
      <c r="AC1066" t="s">
        <v>118</v>
      </c>
      <c r="AD1066" t="s">
        <v>119</v>
      </c>
      <c r="AE1066" t="s">
        <v>51</v>
      </c>
    </row>
    <row r="1067" spans="1:31" x14ac:dyDescent="0.3">
      <c r="A1067">
        <v>10105</v>
      </c>
      <c r="B1067">
        <v>38</v>
      </c>
      <c r="C1067">
        <v>100</v>
      </c>
      <c r="D1067">
        <v>13</v>
      </c>
      <c r="E1067" s="4" t="str">
        <f t="shared" si="96"/>
        <v>high sales</v>
      </c>
      <c r="F1067">
        <v>4330.1000000000004</v>
      </c>
      <c r="G1067" t="s">
        <v>1739</v>
      </c>
      <c r="H1067" s="1" t="str">
        <f t="shared" si="97"/>
        <v>Shipped</v>
      </c>
      <c r="I1067" s="4" t="str">
        <f t="shared" si="98"/>
        <v>completed</v>
      </c>
      <c r="J1067" t="s">
        <v>25</v>
      </c>
      <c r="K1067">
        <v>1</v>
      </c>
      <c r="L1067">
        <v>2</v>
      </c>
      <c r="M1067">
        <v>2003</v>
      </c>
      <c r="N1067" t="s">
        <v>605</v>
      </c>
      <c r="O1067">
        <v>100</v>
      </c>
      <c r="P1067" t="s">
        <v>606</v>
      </c>
      <c r="Q1067" t="s">
        <v>322</v>
      </c>
      <c r="R1067" t="s">
        <v>323</v>
      </c>
      <c r="S1067" t="s">
        <v>324</v>
      </c>
      <c r="U1067" s="1" t="str">
        <f t="shared" si="99"/>
        <v>Kobenhavn</v>
      </c>
      <c r="V1067" t="s">
        <v>325</v>
      </c>
      <c r="X1067">
        <v>1734</v>
      </c>
      <c r="Y1067" s="1" t="str">
        <f t="shared" si="100"/>
        <v>DENMARK</v>
      </c>
      <c r="Z1067" s="4" t="str">
        <f t="shared" si="101"/>
        <v>Denmark</v>
      </c>
      <c r="AA1067" t="s">
        <v>326</v>
      </c>
      <c r="AB1067" t="s">
        <v>42</v>
      </c>
      <c r="AC1067" t="s">
        <v>327</v>
      </c>
      <c r="AD1067" t="s">
        <v>328</v>
      </c>
      <c r="AE1067" t="s">
        <v>51</v>
      </c>
    </row>
    <row r="1068" spans="1:31" x14ac:dyDescent="0.3">
      <c r="A1068">
        <v>10117</v>
      </c>
      <c r="B1068">
        <v>21</v>
      </c>
      <c r="C1068">
        <v>95.8</v>
      </c>
      <c r="D1068">
        <v>7</v>
      </c>
      <c r="E1068" s="4" t="str">
        <f t="shared" si="96"/>
        <v>low sales</v>
      </c>
      <c r="F1068">
        <v>2011.8</v>
      </c>
      <c r="G1068" t="s">
        <v>1740</v>
      </c>
      <c r="H1068" s="1" t="str">
        <f t="shared" si="97"/>
        <v>Shipped</v>
      </c>
      <c r="I1068" s="4" t="str">
        <f t="shared" si="98"/>
        <v>completed</v>
      </c>
      <c r="J1068" t="s">
        <v>25</v>
      </c>
      <c r="K1068">
        <v>2</v>
      </c>
      <c r="L1068">
        <v>4</v>
      </c>
      <c r="M1068">
        <v>2003</v>
      </c>
      <c r="N1068" t="s">
        <v>605</v>
      </c>
      <c r="O1068">
        <v>100</v>
      </c>
      <c r="P1068" t="s">
        <v>606</v>
      </c>
      <c r="Q1068" t="s">
        <v>196</v>
      </c>
      <c r="R1068" t="s">
        <v>197</v>
      </c>
      <c r="S1068" t="s">
        <v>198</v>
      </c>
      <c r="U1068" s="1" t="str">
        <f t="shared" si="99"/>
        <v>Singapore</v>
      </c>
      <c r="V1068" t="s">
        <v>199</v>
      </c>
      <c r="X1068">
        <v>79903</v>
      </c>
      <c r="Y1068" s="1" t="str">
        <f t="shared" si="100"/>
        <v>SINGAPORE</v>
      </c>
      <c r="Z1068" s="4" t="str">
        <f t="shared" si="101"/>
        <v>Singapore</v>
      </c>
      <c r="AA1068" t="s">
        <v>199</v>
      </c>
      <c r="AB1068" t="s">
        <v>200</v>
      </c>
      <c r="AC1068" t="s">
        <v>201</v>
      </c>
      <c r="AD1068" t="s">
        <v>202</v>
      </c>
      <c r="AE1068" t="s">
        <v>36</v>
      </c>
    </row>
    <row r="1069" spans="1:31" x14ac:dyDescent="0.3">
      <c r="A1069">
        <v>10128</v>
      </c>
      <c r="B1069">
        <v>41</v>
      </c>
      <c r="C1069">
        <v>100</v>
      </c>
      <c r="D1069">
        <v>4</v>
      </c>
      <c r="E1069" s="4" t="str">
        <f t="shared" si="96"/>
        <v>high sales</v>
      </c>
      <c r="F1069">
        <v>4837.18</v>
      </c>
      <c r="G1069" t="s">
        <v>1741</v>
      </c>
      <c r="H1069" s="1" t="str">
        <f t="shared" si="97"/>
        <v>Shipped</v>
      </c>
      <c r="I1069" s="4" t="str">
        <f t="shared" si="98"/>
        <v>completed</v>
      </c>
      <c r="J1069" t="s">
        <v>25</v>
      </c>
      <c r="K1069">
        <v>2</v>
      </c>
      <c r="L1069">
        <v>6</v>
      </c>
      <c r="M1069">
        <v>2003</v>
      </c>
      <c r="N1069" t="s">
        <v>605</v>
      </c>
      <c r="O1069">
        <v>100</v>
      </c>
      <c r="P1069" t="s">
        <v>606</v>
      </c>
      <c r="Q1069" t="s">
        <v>174</v>
      </c>
      <c r="R1069" t="s">
        <v>175</v>
      </c>
      <c r="S1069" t="s">
        <v>176</v>
      </c>
      <c r="U1069" s="1" t="str">
        <f t="shared" si="99"/>
        <v>Madrid</v>
      </c>
      <c r="V1069" t="s">
        <v>177</v>
      </c>
      <c r="X1069">
        <v>28034</v>
      </c>
      <c r="Y1069" s="1" t="str">
        <f t="shared" si="100"/>
        <v>SPAIN</v>
      </c>
      <c r="Z1069" s="4" t="str">
        <f t="shared" si="101"/>
        <v>Spain</v>
      </c>
      <c r="AA1069" t="s">
        <v>178</v>
      </c>
      <c r="AB1069" t="s">
        <v>42</v>
      </c>
      <c r="AC1069" t="s">
        <v>179</v>
      </c>
      <c r="AD1069" t="s">
        <v>180</v>
      </c>
      <c r="AE1069" t="s">
        <v>51</v>
      </c>
    </row>
    <row r="1070" spans="1:31" x14ac:dyDescent="0.3">
      <c r="A1070">
        <v>10142</v>
      </c>
      <c r="B1070">
        <v>22</v>
      </c>
      <c r="C1070">
        <v>97.81</v>
      </c>
      <c r="D1070">
        <v>10</v>
      </c>
      <c r="E1070" s="4" t="str">
        <f t="shared" si="96"/>
        <v>low sales</v>
      </c>
      <c r="F1070">
        <v>2151.8200000000002</v>
      </c>
      <c r="G1070" t="s">
        <v>1742</v>
      </c>
      <c r="H1070" s="1" t="str">
        <f t="shared" si="97"/>
        <v>Shipped</v>
      </c>
      <c r="I1070" s="4" t="str">
        <f t="shared" si="98"/>
        <v>completed</v>
      </c>
      <c r="J1070" t="s">
        <v>25</v>
      </c>
      <c r="K1070">
        <v>3</v>
      </c>
      <c r="L1070">
        <v>8</v>
      </c>
      <c r="M1070">
        <v>2003</v>
      </c>
      <c r="N1070" t="s">
        <v>605</v>
      </c>
      <c r="O1070">
        <v>100</v>
      </c>
      <c r="P1070" t="s">
        <v>606</v>
      </c>
      <c r="Q1070" t="s">
        <v>272</v>
      </c>
      <c r="R1070">
        <v>4155551450</v>
      </c>
      <c r="S1070" t="s">
        <v>273</v>
      </c>
      <c r="U1070" s="1" t="str">
        <f t="shared" si="99"/>
        <v>San Rafael</v>
      </c>
      <c r="V1070" t="s">
        <v>274</v>
      </c>
      <c r="W1070" t="s">
        <v>55</v>
      </c>
      <c r="X1070">
        <v>97562</v>
      </c>
      <c r="Y1070" s="1" t="str">
        <f t="shared" si="100"/>
        <v>USA</v>
      </c>
      <c r="Z1070" s="4" t="str">
        <f t="shared" si="101"/>
        <v>Usa</v>
      </c>
      <c r="AA1070" t="s">
        <v>32</v>
      </c>
      <c r="AB1070" t="s">
        <v>33</v>
      </c>
      <c r="AC1070" t="s">
        <v>275</v>
      </c>
      <c r="AD1070" t="s">
        <v>276</v>
      </c>
      <c r="AE1070" t="s">
        <v>36</v>
      </c>
    </row>
    <row r="1071" spans="1:31" x14ac:dyDescent="0.3">
      <c r="A1071">
        <v>10153</v>
      </c>
      <c r="B1071">
        <v>29</v>
      </c>
      <c r="C1071">
        <v>88.74</v>
      </c>
      <c r="D1071">
        <v>9</v>
      </c>
      <c r="E1071" s="4" t="str">
        <f t="shared" si="96"/>
        <v>low sales</v>
      </c>
      <c r="F1071">
        <v>2573.46</v>
      </c>
      <c r="G1071" t="s">
        <v>1743</v>
      </c>
      <c r="H1071" s="1" t="str">
        <f t="shared" si="97"/>
        <v>Shipped</v>
      </c>
      <c r="I1071" s="4" t="str">
        <f t="shared" si="98"/>
        <v>completed</v>
      </c>
      <c r="J1071" t="s">
        <v>25</v>
      </c>
      <c r="K1071">
        <v>3</v>
      </c>
      <c r="L1071">
        <v>9</v>
      </c>
      <c r="M1071">
        <v>2003</v>
      </c>
      <c r="N1071" t="s">
        <v>605</v>
      </c>
      <c r="O1071">
        <v>100</v>
      </c>
      <c r="P1071" t="s">
        <v>606</v>
      </c>
      <c r="Q1071" t="s">
        <v>174</v>
      </c>
      <c r="R1071" t="s">
        <v>175</v>
      </c>
      <c r="S1071" t="s">
        <v>176</v>
      </c>
      <c r="U1071" s="1" t="str">
        <f t="shared" si="99"/>
        <v>Madrid</v>
      </c>
      <c r="V1071" t="s">
        <v>177</v>
      </c>
      <c r="X1071">
        <v>28034</v>
      </c>
      <c r="Y1071" s="1" t="str">
        <f t="shared" si="100"/>
        <v>SPAIN</v>
      </c>
      <c r="Z1071" s="4" t="str">
        <f t="shared" si="101"/>
        <v>Spain</v>
      </c>
      <c r="AA1071" t="s">
        <v>178</v>
      </c>
      <c r="AB1071" t="s">
        <v>42</v>
      </c>
      <c r="AC1071" t="s">
        <v>179</v>
      </c>
      <c r="AD1071" t="s">
        <v>180</v>
      </c>
      <c r="AE1071" t="s">
        <v>36</v>
      </c>
    </row>
    <row r="1072" spans="1:31" x14ac:dyDescent="0.3">
      <c r="A1072">
        <v>10165</v>
      </c>
      <c r="B1072">
        <v>50</v>
      </c>
      <c r="C1072">
        <v>100</v>
      </c>
      <c r="D1072">
        <v>1</v>
      </c>
      <c r="E1072" s="4" t="str">
        <f t="shared" si="96"/>
        <v>high sales</v>
      </c>
      <c r="F1072">
        <v>5344.5</v>
      </c>
      <c r="G1072" t="s">
        <v>1744</v>
      </c>
      <c r="H1072" s="1" t="str">
        <f t="shared" si="97"/>
        <v>Shipped</v>
      </c>
      <c r="I1072" s="4" t="str">
        <f t="shared" si="98"/>
        <v>completed</v>
      </c>
      <c r="J1072" t="s">
        <v>25</v>
      </c>
      <c r="K1072">
        <v>4</v>
      </c>
      <c r="L1072">
        <v>10</v>
      </c>
      <c r="M1072">
        <v>2003</v>
      </c>
      <c r="N1072" t="s">
        <v>605</v>
      </c>
      <c r="O1072">
        <v>100</v>
      </c>
      <c r="P1072" t="s">
        <v>606</v>
      </c>
      <c r="Q1072" t="s">
        <v>196</v>
      </c>
      <c r="R1072" t="s">
        <v>197</v>
      </c>
      <c r="S1072" t="s">
        <v>198</v>
      </c>
      <c r="U1072" s="1" t="str">
        <f t="shared" si="99"/>
        <v>Singapore</v>
      </c>
      <c r="V1072" t="s">
        <v>199</v>
      </c>
      <c r="X1072">
        <v>79903</v>
      </c>
      <c r="Y1072" s="1" t="str">
        <f t="shared" si="100"/>
        <v>SINGAPORE</v>
      </c>
      <c r="Z1072" s="4" t="str">
        <f t="shared" si="101"/>
        <v>Singapore</v>
      </c>
      <c r="AA1072" t="s">
        <v>199</v>
      </c>
      <c r="AB1072" t="s">
        <v>200</v>
      </c>
      <c r="AC1072" t="s">
        <v>201</v>
      </c>
      <c r="AD1072" t="s">
        <v>202</v>
      </c>
      <c r="AE1072" t="s">
        <v>51</v>
      </c>
    </row>
    <row r="1073" spans="1:31" x14ac:dyDescent="0.3">
      <c r="A1073">
        <v>10177</v>
      </c>
      <c r="B1073">
        <v>29</v>
      </c>
      <c r="C1073">
        <v>100</v>
      </c>
      <c r="D1073">
        <v>11</v>
      </c>
      <c r="E1073" s="4" t="str">
        <f t="shared" si="96"/>
        <v>low sales</v>
      </c>
      <c r="F1073">
        <v>3070.52</v>
      </c>
      <c r="G1073" t="s">
        <v>1745</v>
      </c>
      <c r="H1073" s="1" t="str">
        <f t="shared" si="97"/>
        <v>Shipped</v>
      </c>
      <c r="I1073" s="4" t="str">
        <f t="shared" si="98"/>
        <v>completed</v>
      </c>
      <c r="J1073" t="s">
        <v>25</v>
      </c>
      <c r="K1073">
        <v>4</v>
      </c>
      <c r="L1073">
        <v>11</v>
      </c>
      <c r="M1073">
        <v>2003</v>
      </c>
      <c r="N1073" t="s">
        <v>605</v>
      </c>
      <c r="O1073">
        <v>100</v>
      </c>
      <c r="P1073" t="s">
        <v>606</v>
      </c>
      <c r="Q1073" t="s">
        <v>487</v>
      </c>
      <c r="R1073" t="s">
        <v>488</v>
      </c>
      <c r="S1073" t="s">
        <v>489</v>
      </c>
      <c r="U1073" s="1" t="str">
        <f t="shared" si="99"/>
        <v>Madrid</v>
      </c>
      <c r="V1073" t="s">
        <v>177</v>
      </c>
      <c r="X1073">
        <v>28023</v>
      </c>
      <c r="Y1073" s="1" t="str">
        <f t="shared" si="100"/>
        <v>SPAIN</v>
      </c>
      <c r="Z1073" s="4" t="str">
        <f t="shared" si="101"/>
        <v>Spain</v>
      </c>
      <c r="AA1073" t="s">
        <v>178</v>
      </c>
      <c r="AB1073" t="s">
        <v>42</v>
      </c>
      <c r="AC1073" t="s">
        <v>490</v>
      </c>
      <c r="AD1073" t="s">
        <v>491</v>
      </c>
      <c r="AE1073" t="s">
        <v>51</v>
      </c>
    </row>
    <row r="1074" spans="1:31" x14ac:dyDescent="0.3">
      <c r="A1074">
        <v>10185</v>
      </c>
      <c r="B1074">
        <v>49</v>
      </c>
      <c r="C1074">
        <v>80.67</v>
      </c>
      <c r="D1074">
        <v>11</v>
      </c>
      <c r="E1074" s="4" t="str">
        <f t="shared" si="96"/>
        <v>low sales</v>
      </c>
      <c r="F1074">
        <v>3952.83</v>
      </c>
      <c r="G1074" t="s">
        <v>1746</v>
      </c>
      <c r="H1074" s="1" t="str">
        <f t="shared" si="97"/>
        <v>Shipped</v>
      </c>
      <c r="I1074" s="4" t="str">
        <f t="shared" si="98"/>
        <v>completed</v>
      </c>
      <c r="J1074" t="s">
        <v>25</v>
      </c>
      <c r="K1074">
        <v>4</v>
      </c>
      <c r="L1074">
        <v>11</v>
      </c>
      <c r="M1074">
        <v>2003</v>
      </c>
      <c r="N1074" t="s">
        <v>605</v>
      </c>
      <c r="O1074">
        <v>100</v>
      </c>
      <c r="P1074" t="s">
        <v>606</v>
      </c>
      <c r="Q1074" t="s">
        <v>335</v>
      </c>
      <c r="R1074">
        <v>5085559555</v>
      </c>
      <c r="S1074" t="s">
        <v>336</v>
      </c>
      <c r="U1074" s="1" t="str">
        <f t="shared" si="99"/>
        <v>New Bedford</v>
      </c>
      <c r="V1074" t="s">
        <v>162</v>
      </c>
      <c r="W1074" t="s">
        <v>123</v>
      </c>
      <c r="X1074">
        <v>50553</v>
      </c>
      <c r="Y1074" s="1" t="str">
        <f t="shared" si="100"/>
        <v>USA</v>
      </c>
      <c r="Z1074" s="4" t="str">
        <f t="shared" si="101"/>
        <v>Usa</v>
      </c>
      <c r="AA1074" t="s">
        <v>32</v>
      </c>
      <c r="AB1074" t="s">
        <v>33</v>
      </c>
      <c r="AC1074" t="s">
        <v>337</v>
      </c>
      <c r="AD1074" t="s">
        <v>338</v>
      </c>
      <c r="AE1074" t="s">
        <v>51</v>
      </c>
    </row>
    <row r="1075" spans="1:31" x14ac:dyDescent="0.3">
      <c r="A1075">
        <v>10196</v>
      </c>
      <c r="B1075">
        <v>35</v>
      </c>
      <c r="C1075">
        <v>100</v>
      </c>
      <c r="D1075">
        <v>3</v>
      </c>
      <c r="E1075" s="4" t="str">
        <f t="shared" si="96"/>
        <v>low sales</v>
      </c>
      <c r="F1075">
        <v>3564.75</v>
      </c>
      <c r="G1075" t="s">
        <v>1747</v>
      </c>
      <c r="H1075" s="1" t="str">
        <f t="shared" si="97"/>
        <v>Shipped</v>
      </c>
      <c r="I1075" s="4" t="str">
        <f t="shared" si="98"/>
        <v>completed</v>
      </c>
      <c r="J1075" t="s">
        <v>25</v>
      </c>
      <c r="K1075">
        <v>4</v>
      </c>
      <c r="L1075">
        <v>11</v>
      </c>
      <c r="M1075">
        <v>2003</v>
      </c>
      <c r="N1075" t="s">
        <v>605</v>
      </c>
      <c r="O1075">
        <v>100</v>
      </c>
      <c r="P1075" t="s">
        <v>606</v>
      </c>
      <c r="Q1075" t="s">
        <v>242</v>
      </c>
      <c r="R1075">
        <v>2035559545</v>
      </c>
      <c r="S1075" t="s">
        <v>243</v>
      </c>
      <c r="U1075" s="1" t="str">
        <f t="shared" si="99"/>
        <v>New Haven</v>
      </c>
      <c r="V1075" t="s">
        <v>244</v>
      </c>
      <c r="W1075" t="s">
        <v>112</v>
      </c>
      <c r="X1075">
        <v>97823</v>
      </c>
      <c r="Y1075" s="1" t="str">
        <f t="shared" si="100"/>
        <v>USA</v>
      </c>
      <c r="Z1075" s="4" t="str">
        <f t="shared" si="101"/>
        <v>Usa</v>
      </c>
      <c r="AA1075" t="s">
        <v>32</v>
      </c>
      <c r="AB1075" t="s">
        <v>33</v>
      </c>
      <c r="AC1075" t="s">
        <v>83</v>
      </c>
      <c r="AD1075" t="s">
        <v>245</v>
      </c>
      <c r="AE1075" t="s">
        <v>51</v>
      </c>
    </row>
    <row r="1076" spans="1:31" x14ac:dyDescent="0.3">
      <c r="A1076">
        <v>10208</v>
      </c>
      <c r="B1076">
        <v>48</v>
      </c>
      <c r="C1076">
        <v>100</v>
      </c>
      <c r="D1076">
        <v>11</v>
      </c>
      <c r="E1076" s="4" t="str">
        <f t="shared" si="96"/>
        <v>high sales</v>
      </c>
      <c r="F1076">
        <v>5614.56</v>
      </c>
      <c r="G1076" t="s">
        <v>1748</v>
      </c>
      <c r="H1076" s="1" t="str">
        <f t="shared" si="97"/>
        <v>Shipped</v>
      </c>
      <c r="I1076" s="4" t="str">
        <f t="shared" si="98"/>
        <v>completed</v>
      </c>
      <c r="J1076" t="s">
        <v>25</v>
      </c>
      <c r="K1076">
        <v>1</v>
      </c>
      <c r="L1076">
        <v>1</v>
      </c>
      <c r="M1076">
        <v>2004</v>
      </c>
      <c r="N1076" t="s">
        <v>605</v>
      </c>
      <c r="O1076">
        <v>100</v>
      </c>
      <c r="P1076" t="s">
        <v>606</v>
      </c>
      <c r="Q1076" t="s">
        <v>219</v>
      </c>
      <c r="R1076" t="s">
        <v>220</v>
      </c>
      <c r="S1076" t="s">
        <v>221</v>
      </c>
      <c r="U1076" s="1" t="str">
        <f t="shared" si="99"/>
        <v>Lyon</v>
      </c>
      <c r="V1076" t="s">
        <v>222</v>
      </c>
      <c r="X1076">
        <v>69004</v>
      </c>
      <c r="Y1076" s="1" t="str">
        <f t="shared" si="100"/>
        <v>FRANCE</v>
      </c>
      <c r="Z1076" s="4" t="str">
        <f t="shared" si="101"/>
        <v>France</v>
      </c>
      <c r="AA1076" t="s">
        <v>41</v>
      </c>
      <c r="AB1076" t="s">
        <v>42</v>
      </c>
      <c r="AC1076" t="s">
        <v>223</v>
      </c>
      <c r="AD1076" t="s">
        <v>224</v>
      </c>
      <c r="AE1076" t="s">
        <v>51</v>
      </c>
    </row>
    <row r="1077" spans="1:31" x14ac:dyDescent="0.3">
      <c r="A1077">
        <v>10221</v>
      </c>
      <c r="B1077">
        <v>23</v>
      </c>
      <c r="C1077">
        <v>80.67</v>
      </c>
      <c r="D1077">
        <v>5</v>
      </c>
      <c r="E1077" s="4" t="str">
        <f t="shared" si="96"/>
        <v>low sales</v>
      </c>
      <c r="F1077">
        <v>1855.41</v>
      </c>
      <c r="G1077" t="s">
        <v>1749</v>
      </c>
      <c r="H1077" s="1" t="str">
        <f t="shared" si="97"/>
        <v>Shipped</v>
      </c>
      <c r="I1077" s="4" t="str">
        <f t="shared" si="98"/>
        <v>completed</v>
      </c>
      <c r="J1077" t="s">
        <v>25</v>
      </c>
      <c r="K1077">
        <v>1</v>
      </c>
      <c r="L1077">
        <v>2</v>
      </c>
      <c r="M1077">
        <v>2004</v>
      </c>
      <c r="N1077" t="s">
        <v>605</v>
      </c>
      <c r="O1077">
        <v>100</v>
      </c>
      <c r="P1077" t="s">
        <v>606</v>
      </c>
      <c r="Q1077" t="s">
        <v>365</v>
      </c>
      <c r="R1077" t="s">
        <v>366</v>
      </c>
      <c r="S1077" t="s">
        <v>367</v>
      </c>
      <c r="U1077" s="1" t="str">
        <f t="shared" si="99"/>
        <v>Bruxelles</v>
      </c>
      <c r="V1077" t="s">
        <v>368</v>
      </c>
      <c r="X1077" t="s">
        <v>369</v>
      </c>
      <c r="Y1077" s="1" t="str">
        <f t="shared" si="100"/>
        <v>BELGIUM</v>
      </c>
      <c r="Z1077" s="4" t="str">
        <f t="shared" si="101"/>
        <v>Belgium</v>
      </c>
      <c r="AA1077" t="s">
        <v>370</v>
      </c>
      <c r="AB1077" t="s">
        <v>42</v>
      </c>
      <c r="AC1077" t="s">
        <v>371</v>
      </c>
      <c r="AD1077" t="s">
        <v>372</v>
      </c>
      <c r="AE1077" t="s">
        <v>36</v>
      </c>
    </row>
    <row r="1078" spans="1:31" x14ac:dyDescent="0.3">
      <c r="A1078">
        <v>10232</v>
      </c>
      <c r="B1078">
        <v>48</v>
      </c>
      <c r="C1078">
        <v>95.8</v>
      </c>
      <c r="D1078">
        <v>8</v>
      </c>
      <c r="E1078" s="4" t="str">
        <f t="shared" si="96"/>
        <v>high sales</v>
      </c>
      <c r="F1078">
        <v>4598.3999999999996</v>
      </c>
      <c r="G1078" t="s">
        <v>1750</v>
      </c>
      <c r="H1078" s="1" t="str">
        <f t="shared" si="97"/>
        <v>Shipped</v>
      </c>
      <c r="I1078" s="4" t="str">
        <f t="shared" si="98"/>
        <v>completed</v>
      </c>
      <c r="J1078" t="s">
        <v>25</v>
      </c>
      <c r="K1078">
        <v>1</v>
      </c>
      <c r="L1078">
        <v>3</v>
      </c>
      <c r="M1078">
        <v>2004</v>
      </c>
      <c r="N1078" t="s">
        <v>605</v>
      </c>
      <c r="O1078">
        <v>100</v>
      </c>
      <c r="P1078" t="s">
        <v>606</v>
      </c>
      <c r="Q1078" t="s">
        <v>383</v>
      </c>
      <c r="R1078" t="s">
        <v>384</v>
      </c>
      <c r="S1078" t="s">
        <v>385</v>
      </c>
      <c r="U1078" s="1" t="str">
        <f t="shared" si="99"/>
        <v>Cowes</v>
      </c>
      <c r="V1078" t="s">
        <v>386</v>
      </c>
      <c r="W1078" t="s">
        <v>387</v>
      </c>
      <c r="X1078" t="s">
        <v>388</v>
      </c>
      <c r="Y1078" s="1" t="str">
        <f t="shared" si="100"/>
        <v>UK</v>
      </c>
      <c r="Z1078" s="4" t="str">
        <f t="shared" si="101"/>
        <v>Uk</v>
      </c>
      <c r="AA1078" t="s">
        <v>170</v>
      </c>
      <c r="AB1078" t="s">
        <v>42</v>
      </c>
      <c r="AC1078" t="s">
        <v>389</v>
      </c>
      <c r="AD1078" t="s">
        <v>390</v>
      </c>
      <c r="AE1078" t="s">
        <v>51</v>
      </c>
    </row>
    <row r="1079" spans="1:31" x14ac:dyDescent="0.3">
      <c r="A1079">
        <v>10248</v>
      </c>
      <c r="B1079">
        <v>42</v>
      </c>
      <c r="C1079">
        <v>100</v>
      </c>
      <c r="D1079">
        <v>14</v>
      </c>
      <c r="E1079" s="4" t="str">
        <f t="shared" si="96"/>
        <v>high sales</v>
      </c>
      <c r="F1079">
        <v>5082.42</v>
      </c>
      <c r="G1079" t="s">
        <v>1751</v>
      </c>
      <c r="H1079" s="1" t="str">
        <f t="shared" si="97"/>
        <v>Cancelled</v>
      </c>
      <c r="I1079" s="4" t="str">
        <f t="shared" si="98"/>
        <v>not completed</v>
      </c>
      <c r="J1079" t="s">
        <v>339</v>
      </c>
      <c r="K1079">
        <v>2</v>
      </c>
      <c r="L1079">
        <v>5</v>
      </c>
      <c r="M1079">
        <v>2004</v>
      </c>
      <c r="N1079" t="s">
        <v>605</v>
      </c>
      <c r="O1079">
        <v>100</v>
      </c>
      <c r="P1079" t="s">
        <v>606</v>
      </c>
      <c r="Q1079" t="s">
        <v>28</v>
      </c>
      <c r="R1079">
        <v>2125557818</v>
      </c>
      <c r="S1079" t="s">
        <v>29</v>
      </c>
      <c r="U1079" s="1" t="str">
        <f t="shared" si="99"/>
        <v>Nyc</v>
      </c>
      <c r="V1079" t="s">
        <v>30</v>
      </c>
      <c r="W1079" t="s">
        <v>31</v>
      </c>
      <c r="X1079">
        <v>10022</v>
      </c>
      <c r="Y1079" s="1" t="str">
        <f t="shared" si="100"/>
        <v>USA</v>
      </c>
      <c r="Z1079" s="4" t="str">
        <f t="shared" si="101"/>
        <v>Usa</v>
      </c>
      <c r="AA1079" t="s">
        <v>32</v>
      </c>
      <c r="AB1079" t="s">
        <v>33</v>
      </c>
      <c r="AC1079" t="s">
        <v>34</v>
      </c>
      <c r="AD1079" t="s">
        <v>35</v>
      </c>
      <c r="AE1079" t="s">
        <v>51</v>
      </c>
    </row>
    <row r="1080" spans="1:31" x14ac:dyDescent="0.3">
      <c r="A1080">
        <v>10273</v>
      </c>
      <c r="B1080">
        <v>47</v>
      </c>
      <c r="C1080">
        <v>100</v>
      </c>
      <c r="D1080">
        <v>15</v>
      </c>
      <c r="E1080" s="4" t="str">
        <f t="shared" si="96"/>
        <v>high sales</v>
      </c>
      <c r="F1080">
        <v>5450.59</v>
      </c>
      <c r="G1080" t="s">
        <v>1752</v>
      </c>
      <c r="H1080" s="1" t="str">
        <f t="shared" si="97"/>
        <v>Shipped</v>
      </c>
      <c r="I1080" s="4" t="str">
        <f t="shared" si="98"/>
        <v>completed</v>
      </c>
      <c r="J1080" t="s">
        <v>25</v>
      </c>
      <c r="K1080">
        <v>3</v>
      </c>
      <c r="L1080">
        <v>7</v>
      </c>
      <c r="M1080">
        <v>2004</v>
      </c>
      <c r="N1080" t="s">
        <v>605</v>
      </c>
      <c r="O1080">
        <v>100</v>
      </c>
      <c r="P1080" t="s">
        <v>606</v>
      </c>
      <c r="Q1080" t="s">
        <v>365</v>
      </c>
      <c r="R1080" t="s">
        <v>366</v>
      </c>
      <c r="S1080" t="s">
        <v>367</v>
      </c>
      <c r="U1080" s="1" t="str">
        <f t="shared" si="99"/>
        <v>Bruxelles</v>
      </c>
      <c r="V1080" t="s">
        <v>368</v>
      </c>
      <c r="X1080" t="s">
        <v>369</v>
      </c>
      <c r="Y1080" s="1" t="str">
        <f t="shared" si="100"/>
        <v>BELGIUM</v>
      </c>
      <c r="Z1080" s="4" t="str">
        <f t="shared" si="101"/>
        <v>Belgium</v>
      </c>
      <c r="AA1080" t="s">
        <v>370</v>
      </c>
      <c r="AB1080" t="s">
        <v>42</v>
      </c>
      <c r="AC1080" t="s">
        <v>371</v>
      </c>
      <c r="AD1080" t="s">
        <v>372</v>
      </c>
      <c r="AE1080" t="s">
        <v>51</v>
      </c>
    </row>
    <row r="1081" spans="1:31" x14ac:dyDescent="0.3">
      <c r="A1081">
        <v>10282</v>
      </c>
      <c r="B1081">
        <v>36</v>
      </c>
      <c r="C1081">
        <v>100</v>
      </c>
      <c r="D1081">
        <v>3</v>
      </c>
      <c r="E1081" s="4" t="str">
        <f t="shared" si="96"/>
        <v>high sales</v>
      </c>
      <c r="F1081">
        <v>4174.92</v>
      </c>
      <c r="G1081" t="s">
        <v>1753</v>
      </c>
      <c r="H1081" s="1" t="str">
        <f t="shared" si="97"/>
        <v>Shipped</v>
      </c>
      <c r="I1081" s="4" t="str">
        <f t="shared" si="98"/>
        <v>completed</v>
      </c>
      <c r="J1081" t="s">
        <v>25</v>
      </c>
      <c r="K1081">
        <v>3</v>
      </c>
      <c r="L1081">
        <v>8</v>
      </c>
      <c r="M1081">
        <v>2004</v>
      </c>
      <c r="N1081" t="s">
        <v>605</v>
      </c>
      <c r="O1081">
        <v>100</v>
      </c>
      <c r="P1081" t="s">
        <v>606</v>
      </c>
      <c r="Q1081" t="s">
        <v>272</v>
      </c>
      <c r="R1081">
        <v>4155551450</v>
      </c>
      <c r="S1081" t="s">
        <v>273</v>
      </c>
      <c r="U1081" s="1" t="str">
        <f t="shared" si="99"/>
        <v>San Rafael</v>
      </c>
      <c r="V1081" t="s">
        <v>274</v>
      </c>
      <c r="W1081" t="s">
        <v>55</v>
      </c>
      <c r="X1081">
        <v>97562</v>
      </c>
      <c r="Y1081" s="1" t="str">
        <f t="shared" si="100"/>
        <v>USA</v>
      </c>
      <c r="Z1081" s="4" t="str">
        <f t="shared" si="101"/>
        <v>Usa</v>
      </c>
      <c r="AA1081" t="s">
        <v>32</v>
      </c>
      <c r="AB1081" t="s">
        <v>33</v>
      </c>
      <c r="AC1081" t="s">
        <v>275</v>
      </c>
      <c r="AD1081" t="s">
        <v>276</v>
      </c>
      <c r="AE1081" t="s">
        <v>51</v>
      </c>
    </row>
    <row r="1082" spans="1:31" x14ac:dyDescent="0.3">
      <c r="A1082">
        <v>10293</v>
      </c>
      <c r="B1082">
        <v>22</v>
      </c>
      <c r="C1082">
        <v>100</v>
      </c>
      <c r="D1082">
        <v>6</v>
      </c>
      <c r="E1082" s="4" t="str">
        <f t="shared" si="96"/>
        <v>low sales</v>
      </c>
      <c r="F1082">
        <v>2418.2399999999998</v>
      </c>
      <c r="G1082" t="s">
        <v>1754</v>
      </c>
      <c r="H1082" s="1" t="str">
        <f t="shared" si="97"/>
        <v>Shipped</v>
      </c>
      <c r="I1082" s="4" t="str">
        <f t="shared" si="98"/>
        <v>completed</v>
      </c>
      <c r="J1082" t="s">
        <v>25</v>
      </c>
      <c r="K1082">
        <v>3</v>
      </c>
      <c r="L1082">
        <v>9</v>
      </c>
      <c r="M1082">
        <v>2004</v>
      </c>
      <c r="N1082" t="s">
        <v>605</v>
      </c>
      <c r="O1082">
        <v>100</v>
      </c>
      <c r="P1082" t="s">
        <v>606</v>
      </c>
      <c r="Q1082" t="s">
        <v>254</v>
      </c>
      <c r="R1082" t="s">
        <v>255</v>
      </c>
      <c r="S1082" t="s">
        <v>256</v>
      </c>
      <c r="U1082" s="1" t="str">
        <f t="shared" si="99"/>
        <v>Torino</v>
      </c>
      <c r="V1082" t="s">
        <v>257</v>
      </c>
      <c r="X1082">
        <v>10100</v>
      </c>
      <c r="Y1082" s="1" t="str">
        <f t="shared" si="100"/>
        <v>ITALY</v>
      </c>
      <c r="Z1082" s="4" t="str">
        <f t="shared" si="101"/>
        <v>Italy</v>
      </c>
      <c r="AA1082" t="s">
        <v>258</v>
      </c>
      <c r="AB1082" t="s">
        <v>42</v>
      </c>
      <c r="AC1082" t="s">
        <v>259</v>
      </c>
      <c r="AD1082" t="s">
        <v>260</v>
      </c>
      <c r="AE1082" t="s">
        <v>36</v>
      </c>
    </row>
    <row r="1083" spans="1:31" x14ac:dyDescent="0.3">
      <c r="A1083">
        <v>10306</v>
      </c>
      <c r="B1083">
        <v>40</v>
      </c>
      <c r="C1083">
        <v>91.76</v>
      </c>
      <c r="D1083">
        <v>11</v>
      </c>
      <c r="E1083" s="4" t="str">
        <f t="shared" si="96"/>
        <v>low sales</v>
      </c>
      <c r="F1083">
        <v>3670.4</v>
      </c>
      <c r="G1083" t="s">
        <v>1755</v>
      </c>
      <c r="H1083" s="1" t="str">
        <f t="shared" si="97"/>
        <v>Shipped</v>
      </c>
      <c r="I1083" s="4" t="str">
        <f t="shared" si="98"/>
        <v>completed</v>
      </c>
      <c r="J1083" t="s">
        <v>25</v>
      </c>
      <c r="K1083">
        <v>4</v>
      </c>
      <c r="L1083">
        <v>10</v>
      </c>
      <c r="M1083">
        <v>2004</v>
      </c>
      <c r="N1083" t="s">
        <v>605</v>
      </c>
      <c r="O1083">
        <v>100</v>
      </c>
      <c r="P1083" t="s">
        <v>606</v>
      </c>
      <c r="Q1083" t="s">
        <v>492</v>
      </c>
      <c r="R1083" t="s">
        <v>493</v>
      </c>
      <c r="S1083" t="s">
        <v>494</v>
      </c>
      <c r="U1083" s="1" t="str">
        <f t="shared" si="99"/>
        <v>Manchester</v>
      </c>
      <c r="V1083" t="s">
        <v>495</v>
      </c>
      <c r="X1083" t="s">
        <v>496</v>
      </c>
      <c r="Y1083" s="1" t="str">
        <f t="shared" si="100"/>
        <v>UK</v>
      </c>
      <c r="Z1083" s="4" t="str">
        <f t="shared" si="101"/>
        <v>Uk</v>
      </c>
      <c r="AA1083" t="s">
        <v>170</v>
      </c>
      <c r="AB1083" t="s">
        <v>42</v>
      </c>
      <c r="AC1083" t="s">
        <v>497</v>
      </c>
      <c r="AD1083" t="s">
        <v>94</v>
      </c>
      <c r="AE1083" t="s">
        <v>51</v>
      </c>
    </row>
    <row r="1084" spans="1:31" x14ac:dyDescent="0.3">
      <c r="A1084">
        <v>10314</v>
      </c>
      <c r="B1084">
        <v>23</v>
      </c>
      <c r="C1084">
        <v>100</v>
      </c>
      <c r="D1084">
        <v>3</v>
      </c>
      <c r="E1084" s="4" t="str">
        <f t="shared" si="96"/>
        <v>low sales</v>
      </c>
      <c r="F1084">
        <v>2481.6999999999998</v>
      </c>
      <c r="G1084" t="s">
        <v>1756</v>
      </c>
      <c r="H1084" s="1" t="str">
        <f t="shared" si="97"/>
        <v>Shipped</v>
      </c>
      <c r="I1084" s="4" t="str">
        <f t="shared" si="98"/>
        <v>completed</v>
      </c>
      <c r="J1084" t="s">
        <v>25</v>
      </c>
      <c r="K1084">
        <v>4</v>
      </c>
      <c r="L1084">
        <v>10</v>
      </c>
      <c r="M1084">
        <v>2004</v>
      </c>
      <c r="N1084" t="s">
        <v>605</v>
      </c>
      <c r="O1084">
        <v>100</v>
      </c>
      <c r="P1084" t="s">
        <v>606</v>
      </c>
      <c r="Q1084" t="s">
        <v>498</v>
      </c>
      <c r="R1084" t="s">
        <v>499</v>
      </c>
      <c r="S1084" t="s">
        <v>500</v>
      </c>
      <c r="U1084" s="1" t="str">
        <f t="shared" si="99"/>
        <v>Aaarhus</v>
      </c>
      <c r="V1084" t="s">
        <v>501</v>
      </c>
      <c r="X1084">
        <v>8200</v>
      </c>
      <c r="Y1084" s="1" t="str">
        <f t="shared" si="100"/>
        <v>DENMARK</v>
      </c>
      <c r="Z1084" s="4" t="str">
        <f t="shared" si="101"/>
        <v>Denmark</v>
      </c>
      <c r="AA1084" t="s">
        <v>326</v>
      </c>
      <c r="AB1084" t="s">
        <v>42</v>
      </c>
      <c r="AC1084" t="s">
        <v>502</v>
      </c>
      <c r="AD1084" t="s">
        <v>503</v>
      </c>
      <c r="AE1084" t="s">
        <v>36</v>
      </c>
    </row>
    <row r="1085" spans="1:31" x14ac:dyDescent="0.3">
      <c r="A1085">
        <v>10326</v>
      </c>
      <c r="B1085">
        <v>32</v>
      </c>
      <c r="C1085">
        <v>100</v>
      </c>
      <c r="D1085">
        <v>6</v>
      </c>
      <c r="E1085" s="4" t="str">
        <f t="shared" si="96"/>
        <v>low sales</v>
      </c>
      <c r="F1085">
        <v>3807.68</v>
      </c>
      <c r="G1085" t="s">
        <v>1757</v>
      </c>
      <c r="H1085" s="1" t="str">
        <f t="shared" si="97"/>
        <v>Shipped</v>
      </c>
      <c r="I1085" s="4" t="str">
        <f t="shared" si="98"/>
        <v>completed</v>
      </c>
      <c r="J1085" t="s">
        <v>25</v>
      </c>
      <c r="K1085">
        <v>4</v>
      </c>
      <c r="L1085">
        <v>11</v>
      </c>
      <c r="M1085">
        <v>2004</v>
      </c>
      <c r="N1085" t="s">
        <v>605</v>
      </c>
      <c r="O1085">
        <v>100</v>
      </c>
      <c r="P1085" t="s">
        <v>606</v>
      </c>
      <c r="Q1085" t="s">
        <v>183</v>
      </c>
      <c r="R1085" t="s">
        <v>184</v>
      </c>
      <c r="S1085" t="s">
        <v>185</v>
      </c>
      <c r="U1085" s="1" t="str">
        <f t="shared" si="99"/>
        <v>Lule</v>
      </c>
      <c r="V1085" t="s">
        <v>186</v>
      </c>
      <c r="X1085" t="s">
        <v>187</v>
      </c>
      <c r="Y1085" s="1" t="str">
        <f t="shared" si="100"/>
        <v>SWEDEN</v>
      </c>
      <c r="Z1085" s="4" t="str">
        <f t="shared" si="101"/>
        <v>Sweden</v>
      </c>
      <c r="AA1085" t="s">
        <v>188</v>
      </c>
      <c r="AB1085" t="s">
        <v>42</v>
      </c>
      <c r="AC1085" t="s">
        <v>189</v>
      </c>
      <c r="AD1085" t="s">
        <v>190</v>
      </c>
      <c r="AE1085" t="s">
        <v>51</v>
      </c>
    </row>
    <row r="1086" spans="1:31" x14ac:dyDescent="0.3">
      <c r="A1086">
        <v>10336</v>
      </c>
      <c r="B1086">
        <v>21</v>
      </c>
      <c r="C1086">
        <v>100</v>
      </c>
      <c r="D1086">
        <v>7</v>
      </c>
      <c r="E1086" s="4" t="str">
        <f t="shared" si="96"/>
        <v>low sales</v>
      </c>
      <c r="F1086">
        <v>2230.41</v>
      </c>
      <c r="G1086" t="s">
        <v>1758</v>
      </c>
      <c r="H1086" s="1" t="str">
        <f t="shared" si="97"/>
        <v>Shipped</v>
      </c>
      <c r="I1086" s="4" t="str">
        <f t="shared" si="98"/>
        <v>completed</v>
      </c>
      <c r="J1086" t="s">
        <v>25</v>
      </c>
      <c r="K1086">
        <v>4</v>
      </c>
      <c r="L1086">
        <v>11</v>
      </c>
      <c r="M1086">
        <v>2004</v>
      </c>
      <c r="N1086" t="s">
        <v>605</v>
      </c>
      <c r="O1086">
        <v>100</v>
      </c>
      <c r="P1086" t="s">
        <v>606</v>
      </c>
      <c r="Q1086" t="s">
        <v>403</v>
      </c>
      <c r="R1086" t="s">
        <v>404</v>
      </c>
      <c r="S1086" t="s">
        <v>405</v>
      </c>
      <c r="U1086" s="1" t="str">
        <f t="shared" si="99"/>
        <v>Paris</v>
      </c>
      <c r="V1086" t="s">
        <v>48</v>
      </c>
      <c r="X1086">
        <v>75012</v>
      </c>
      <c r="Y1086" s="1" t="str">
        <f t="shared" si="100"/>
        <v>FRANCE</v>
      </c>
      <c r="Z1086" s="4" t="str">
        <f t="shared" si="101"/>
        <v>France</v>
      </c>
      <c r="AA1086" t="s">
        <v>41</v>
      </c>
      <c r="AB1086" t="s">
        <v>42</v>
      </c>
      <c r="AC1086" t="s">
        <v>406</v>
      </c>
      <c r="AD1086" t="s">
        <v>407</v>
      </c>
      <c r="AE1086" t="s">
        <v>36</v>
      </c>
    </row>
    <row r="1087" spans="1:31" x14ac:dyDescent="0.3">
      <c r="A1087">
        <v>10350</v>
      </c>
      <c r="B1087">
        <v>41</v>
      </c>
      <c r="C1087">
        <v>93.04</v>
      </c>
      <c r="D1087">
        <v>2</v>
      </c>
      <c r="E1087" s="4" t="str">
        <f t="shared" si="96"/>
        <v>low sales</v>
      </c>
      <c r="F1087">
        <v>3814.64</v>
      </c>
      <c r="G1087" t="s">
        <v>1759</v>
      </c>
      <c r="H1087" s="1" t="str">
        <f t="shared" si="97"/>
        <v>Shipped</v>
      </c>
      <c r="I1087" s="4" t="str">
        <f t="shared" si="98"/>
        <v>completed</v>
      </c>
      <c r="J1087" t="s">
        <v>25</v>
      </c>
      <c r="K1087">
        <v>4</v>
      </c>
      <c r="L1087">
        <v>12</v>
      </c>
      <c r="M1087">
        <v>2004</v>
      </c>
      <c r="N1087" t="s">
        <v>605</v>
      </c>
      <c r="O1087">
        <v>100</v>
      </c>
      <c r="P1087" t="s">
        <v>606</v>
      </c>
      <c r="Q1087" t="s">
        <v>174</v>
      </c>
      <c r="R1087" t="s">
        <v>175</v>
      </c>
      <c r="S1087" t="s">
        <v>176</v>
      </c>
      <c r="U1087" s="1" t="str">
        <f t="shared" si="99"/>
        <v>Madrid</v>
      </c>
      <c r="V1087" t="s">
        <v>177</v>
      </c>
      <c r="X1087">
        <v>28034</v>
      </c>
      <c r="Y1087" s="1" t="str">
        <f t="shared" si="100"/>
        <v>SPAIN</v>
      </c>
      <c r="Z1087" s="4" t="str">
        <f t="shared" si="101"/>
        <v>Spain</v>
      </c>
      <c r="AA1087" t="s">
        <v>178</v>
      </c>
      <c r="AB1087" t="s">
        <v>42</v>
      </c>
      <c r="AC1087" t="s">
        <v>179</v>
      </c>
      <c r="AD1087" t="s">
        <v>180</v>
      </c>
      <c r="AE1087" t="s">
        <v>51</v>
      </c>
    </row>
    <row r="1088" spans="1:31" x14ac:dyDescent="0.3">
      <c r="A1088">
        <v>10372</v>
      </c>
      <c r="B1088">
        <v>25</v>
      </c>
      <c r="C1088">
        <v>84.71</v>
      </c>
      <c r="D1088">
        <v>5</v>
      </c>
      <c r="E1088" s="4" t="str">
        <f t="shared" si="96"/>
        <v>low sales</v>
      </c>
      <c r="F1088">
        <v>2117.75</v>
      </c>
      <c r="G1088" t="s">
        <v>1760</v>
      </c>
      <c r="H1088" s="1" t="str">
        <f t="shared" si="97"/>
        <v>Shipped</v>
      </c>
      <c r="I1088" s="4" t="str">
        <f t="shared" si="98"/>
        <v>completed</v>
      </c>
      <c r="J1088" t="s">
        <v>25</v>
      </c>
      <c r="K1088">
        <v>1</v>
      </c>
      <c r="L1088">
        <v>1</v>
      </c>
      <c r="M1088">
        <v>2005</v>
      </c>
      <c r="N1088" t="s">
        <v>605</v>
      </c>
      <c r="O1088">
        <v>100</v>
      </c>
      <c r="P1088" t="s">
        <v>606</v>
      </c>
      <c r="Q1088" t="s">
        <v>246</v>
      </c>
      <c r="R1088" t="s">
        <v>247</v>
      </c>
      <c r="S1088" t="s">
        <v>248</v>
      </c>
      <c r="U1088" s="1" t="str">
        <f t="shared" si="99"/>
        <v>Minato-Ku</v>
      </c>
      <c r="V1088" t="s">
        <v>249</v>
      </c>
      <c r="W1088" t="s">
        <v>250</v>
      </c>
      <c r="X1088" t="s">
        <v>251</v>
      </c>
      <c r="Y1088" s="1" t="str">
        <f t="shared" si="100"/>
        <v>JAPAN</v>
      </c>
      <c r="Z1088" s="4" t="str">
        <f t="shared" si="101"/>
        <v>Japan</v>
      </c>
      <c r="AA1088" t="s">
        <v>200</v>
      </c>
      <c r="AB1088" t="s">
        <v>200</v>
      </c>
      <c r="AC1088" t="s">
        <v>252</v>
      </c>
      <c r="AD1088" t="s">
        <v>253</v>
      </c>
      <c r="AE1088" t="s">
        <v>36</v>
      </c>
    </row>
    <row r="1089" spans="1:31" x14ac:dyDescent="0.3">
      <c r="A1089">
        <v>10383</v>
      </c>
      <c r="B1089">
        <v>26</v>
      </c>
      <c r="C1089">
        <v>100</v>
      </c>
      <c r="D1089">
        <v>12</v>
      </c>
      <c r="E1089" s="4" t="str">
        <f t="shared" si="96"/>
        <v>low sales</v>
      </c>
      <c r="F1089">
        <v>3340.48</v>
      </c>
      <c r="G1089" t="s">
        <v>1761</v>
      </c>
      <c r="H1089" s="1" t="str">
        <f t="shared" si="97"/>
        <v>Shipped</v>
      </c>
      <c r="I1089" s="4" t="str">
        <f t="shared" si="98"/>
        <v>completed</v>
      </c>
      <c r="J1089" t="s">
        <v>25</v>
      </c>
      <c r="K1089">
        <v>1</v>
      </c>
      <c r="L1089">
        <v>2</v>
      </c>
      <c r="M1089">
        <v>2005</v>
      </c>
      <c r="N1089" t="s">
        <v>605</v>
      </c>
      <c r="O1089">
        <v>100</v>
      </c>
      <c r="P1089" t="s">
        <v>606</v>
      </c>
      <c r="Q1089" t="s">
        <v>174</v>
      </c>
      <c r="R1089" t="s">
        <v>175</v>
      </c>
      <c r="S1089" t="s">
        <v>176</v>
      </c>
      <c r="U1089" s="1" t="str">
        <f t="shared" si="99"/>
        <v>Madrid</v>
      </c>
      <c r="V1089" t="s">
        <v>177</v>
      </c>
      <c r="X1089">
        <v>28034</v>
      </c>
      <c r="Y1089" s="1" t="str">
        <f t="shared" si="100"/>
        <v>SPAIN</v>
      </c>
      <c r="Z1089" s="4" t="str">
        <f t="shared" si="101"/>
        <v>Spain</v>
      </c>
      <c r="AA1089" t="s">
        <v>178</v>
      </c>
      <c r="AB1089" t="s">
        <v>42</v>
      </c>
      <c r="AC1089" t="s">
        <v>179</v>
      </c>
      <c r="AD1089" t="s">
        <v>180</v>
      </c>
      <c r="AE1089" t="s">
        <v>51</v>
      </c>
    </row>
    <row r="1090" spans="1:31" x14ac:dyDescent="0.3">
      <c r="A1090">
        <v>10396</v>
      </c>
      <c r="B1090">
        <v>24</v>
      </c>
      <c r="C1090">
        <v>89.75</v>
      </c>
      <c r="D1090">
        <v>4</v>
      </c>
      <c r="E1090" s="4" t="str">
        <f t="shared" si="96"/>
        <v>low sales</v>
      </c>
      <c r="F1090">
        <v>2154</v>
      </c>
      <c r="G1090" t="s">
        <v>1762</v>
      </c>
      <c r="H1090" s="1" t="str">
        <f t="shared" si="97"/>
        <v>Shipped</v>
      </c>
      <c r="I1090" s="4" t="str">
        <f t="shared" si="98"/>
        <v>completed</v>
      </c>
      <c r="J1090" t="s">
        <v>25</v>
      </c>
      <c r="K1090">
        <v>1</v>
      </c>
      <c r="L1090">
        <v>3</v>
      </c>
      <c r="M1090">
        <v>2005</v>
      </c>
      <c r="N1090" t="s">
        <v>605</v>
      </c>
      <c r="O1090">
        <v>100</v>
      </c>
      <c r="P1090" t="s">
        <v>606</v>
      </c>
      <c r="Q1090" t="s">
        <v>272</v>
      </c>
      <c r="R1090">
        <v>4155551450</v>
      </c>
      <c r="S1090" t="s">
        <v>273</v>
      </c>
      <c r="U1090" s="1" t="str">
        <f t="shared" si="99"/>
        <v>San Rafael</v>
      </c>
      <c r="V1090" t="s">
        <v>274</v>
      </c>
      <c r="W1090" t="s">
        <v>55</v>
      </c>
      <c r="X1090">
        <v>97562</v>
      </c>
      <c r="Y1090" s="1" t="str">
        <f t="shared" si="100"/>
        <v>USA</v>
      </c>
      <c r="Z1090" s="4" t="str">
        <f t="shared" si="101"/>
        <v>Usa</v>
      </c>
      <c r="AA1090" t="s">
        <v>32</v>
      </c>
      <c r="AB1090" t="s">
        <v>33</v>
      </c>
      <c r="AC1090" t="s">
        <v>275</v>
      </c>
      <c r="AD1090" t="s">
        <v>276</v>
      </c>
      <c r="AE1090" t="s">
        <v>36</v>
      </c>
    </row>
    <row r="1091" spans="1:31" x14ac:dyDescent="0.3">
      <c r="A1091">
        <v>10414</v>
      </c>
      <c r="B1091">
        <v>48</v>
      </c>
      <c r="C1091">
        <v>100</v>
      </c>
      <c r="D1091">
        <v>14</v>
      </c>
      <c r="E1091" s="4" t="str">
        <f t="shared" ref="E1091:E1154" si="102">IF(F1091&gt;4000,"high sales","low sales")</f>
        <v>high sales</v>
      </c>
      <c r="F1091">
        <v>5808.48</v>
      </c>
      <c r="G1091" t="s">
        <v>1763</v>
      </c>
      <c r="H1091" s="1" t="str">
        <f t="shared" ref="H1091:H1154" si="103">PROPER(TRIM(J1091))</f>
        <v>On Hold</v>
      </c>
      <c r="I1091" s="4" t="str">
        <f t="shared" ref="I1091:I1154" si="104">IF(J1091="shipped","completed","not completed")</f>
        <v>not completed</v>
      </c>
      <c r="J1091" t="s">
        <v>401</v>
      </c>
      <c r="K1091">
        <v>2</v>
      </c>
      <c r="L1091">
        <v>5</v>
      </c>
      <c r="M1091">
        <v>2005</v>
      </c>
      <c r="N1091" t="s">
        <v>605</v>
      </c>
      <c r="O1091">
        <v>100</v>
      </c>
      <c r="P1091" t="s">
        <v>606</v>
      </c>
      <c r="Q1091" t="s">
        <v>379</v>
      </c>
      <c r="R1091">
        <v>6175559555</v>
      </c>
      <c r="S1091" t="s">
        <v>380</v>
      </c>
      <c r="U1091" s="1" t="str">
        <f t="shared" ref="U1091:U1154" si="105">PROPER(TRIM(V1091))</f>
        <v>Boston</v>
      </c>
      <c r="V1091" t="s">
        <v>381</v>
      </c>
      <c r="W1091" t="s">
        <v>123</v>
      </c>
      <c r="X1091">
        <v>51003</v>
      </c>
      <c r="Y1091" s="1" t="str">
        <f t="shared" ref="Y1091:Y1154" si="106">UPPER(TRIM(AA1091))</f>
        <v>USA</v>
      </c>
      <c r="Z1091" s="4" t="str">
        <f t="shared" ref="Z1091:Z1154" si="107">PROPER(TRIM(AA1091))</f>
        <v>Usa</v>
      </c>
      <c r="AA1091" t="s">
        <v>32</v>
      </c>
      <c r="AB1091" t="s">
        <v>33</v>
      </c>
      <c r="AC1091" t="s">
        <v>382</v>
      </c>
      <c r="AD1091" t="s">
        <v>66</v>
      </c>
      <c r="AE1091" t="s">
        <v>51</v>
      </c>
    </row>
    <row r="1092" spans="1:31" x14ac:dyDescent="0.3">
      <c r="A1092">
        <v>10108</v>
      </c>
      <c r="B1092">
        <v>26</v>
      </c>
      <c r="C1092">
        <v>68.349999999999994</v>
      </c>
      <c r="D1092">
        <v>9</v>
      </c>
      <c r="E1092" s="4" t="str">
        <f t="shared" si="102"/>
        <v>low sales</v>
      </c>
      <c r="F1092">
        <v>1777.1</v>
      </c>
      <c r="G1092" t="s">
        <v>1764</v>
      </c>
      <c r="H1092" s="1" t="str">
        <f t="shared" si="103"/>
        <v>Shipped</v>
      </c>
      <c r="I1092" s="4" t="str">
        <f t="shared" si="104"/>
        <v>completed</v>
      </c>
      <c r="J1092" t="s">
        <v>25</v>
      </c>
      <c r="K1092">
        <v>1</v>
      </c>
      <c r="L1092">
        <v>3</v>
      </c>
      <c r="M1092">
        <v>2003</v>
      </c>
      <c r="N1092" t="s">
        <v>181</v>
      </c>
      <c r="O1092">
        <v>80</v>
      </c>
      <c r="P1092" t="s">
        <v>607</v>
      </c>
      <c r="Q1092" t="s">
        <v>425</v>
      </c>
      <c r="R1092" t="s">
        <v>426</v>
      </c>
      <c r="S1092" t="s">
        <v>427</v>
      </c>
      <c r="U1092" s="1" t="str">
        <f t="shared" si="105"/>
        <v>Makati City</v>
      </c>
      <c r="V1092" t="s">
        <v>428</v>
      </c>
      <c r="X1092" t="s">
        <v>429</v>
      </c>
      <c r="Y1092" s="1" t="str">
        <f t="shared" si="106"/>
        <v>PHILIPPINES</v>
      </c>
      <c r="Z1092" s="4" t="str">
        <f t="shared" si="107"/>
        <v>Philippines</v>
      </c>
      <c r="AA1092" t="s">
        <v>430</v>
      </c>
      <c r="AB1092" t="s">
        <v>200</v>
      </c>
      <c r="AC1092" t="s">
        <v>431</v>
      </c>
      <c r="AD1092" t="s">
        <v>432</v>
      </c>
      <c r="AE1092" t="s">
        <v>36</v>
      </c>
    </row>
    <row r="1093" spans="1:31" x14ac:dyDescent="0.3">
      <c r="A1093">
        <v>10122</v>
      </c>
      <c r="B1093">
        <v>21</v>
      </c>
      <c r="C1093">
        <v>73.17</v>
      </c>
      <c r="D1093">
        <v>13</v>
      </c>
      <c r="E1093" s="4" t="str">
        <f t="shared" si="102"/>
        <v>low sales</v>
      </c>
      <c r="F1093">
        <v>1536.57</v>
      </c>
      <c r="G1093" t="s">
        <v>1765</v>
      </c>
      <c r="H1093" s="1" t="str">
        <f t="shared" si="103"/>
        <v>Shipped</v>
      </c>
      <c r="I1093" s="4" t="str">
        <f t="shared" si="104"/>
        <v>completed</v>
      </c>
      <c r="J1093" t="s">
        <v>25</v>
      </c>
      <c r="K1093">
        <v>2</v>
      </c>
      <c r="L1093">
        <v>5</v>
      </c>
      <c r="M1093">
        <v>2003</v>
      </c>
      <c r="N1093" t="s">
        <v>181</v>
      </c>
      <c r="O1093">
        <v>80</v>
      </c>
      <c r="P1093" t="s">
        <v>607</v>
      </c>
      <c r="Q1093" t="s">
        <v>433</v>
      </c>
      <c r="R1093" t="s">
        <v>434</v>
      </c>
      <c r="S1093" t="s">
        <v>435</v>
      </c>
      <c r="U1093" s="1" t="str">
        <f t="shared" si="105"/>
        <v>Marseille</v>
      </c>
      <c r="V1093" t="s">
        <v>436</v>
      </c>
      <c r="X1093">
        <v>13008</v>
      </c>
      <c r="Y1093" s="1" t="str">
        <f t="shared" si="106"/>
        <v>FRANCE</v>
      </c>
      <c r="Z1093" s="4" t="str">
        <f t="shared" si="107"/>
        <v>France</v>
      </c>
      <c r="AA1093" t="s">
        <v>41</v>
      </c>
      <c r="AB1093" t="s">
        <v>42</v>
      </c>
      <c r="AC1093" t="s">
        <v>437</v>
      </c>
      <c r="AD1093" t="s">
        <v>438</v>
      </c>
      <c r="AE1093" t="s">
        <v>36</v>
      </c>
    </row>
    <row r="1094" spans="1:31" x14ac:dyDescent="0.3">
      <c r="A1094">
        <v>10135</v>
      </c>
      <c r="B1094">
        <v>45</v>
      </c>
      <c r="C1094">
        <v>78</v>
      </c>
      <c r="D1094">
        <v>10</v>
      </c>
      <c r="E1094" s="4" t="str">
        <f t="shared" si="102"/>
        <v>low sales</v>
      </c>
      <c r="F1094">
        <v>3510</v>
      </c>
      <c r="G1094" t="s">
        <v>1766</v>
      </c>
      <c r="H1094" s="1" t="str">
        <f t="shared" si="103"/>
        <v>Shipped</v>
      </c>
      <c r="I1094" s="4" t="str">
        <f t="shared" si="104"/>
        <v>completed</v>
      </c>
      <c r="J1094" t="s">
        <v>25</v>
      </c>
      <c r="K1094">
        <v>3</v>
      </c>
      <c r="L1094">
        <v>7</v>
      </c>
      <c r="M1094">
        <v>2003</v>
      </c>
      <c r="N1094" t="s">
        <v>181</v>
      </c>
      <c r="O1094">
        <v>80</v>
      </c>
      <c r="P1094" t="s">
        <v>607</v>
      </c>
      <c r="Q1094" t="s">
        <v>272</v>
      </c>
      <c r="R1094">
        <v>4155551450</v>
      </c>
      <c r="S1094" t="s">
        <v>273</v>
      </c>
      <c r="U1094" s="1" t="str">
        <f t="shared" si="105"/>
        <v>San Rafael</v>
      </c>
      <c r="V1094" t="s">
        <v>274</v>
      </c>
      <c r="W1094" t="s">
        <v>55</v>
      </c>
      <c r="X1094">
        <v>97562</v>
      </c>
      <c r="Y1094" s="1" t="str">
        <f t="shared" si="106"/>
        <v>USA</v>
      </c>
      <c r="Z1094" s="4" t="str">
        <f t="shared" si="107"/>
        <v>Usa</v>
      </c>
      <c r="AA1094" t="s">
        <v>32</v>
      </c>
      <c r="AB1094" t="s">
        <v>33</v>
      </c>
      <c r="AC1094" t="s">
        <v>275</v>
      </c>
      <c r="AD1094" t="s">
        <v>276</v>
      </c>
      <c r="AE1094" t="s">
        <v>51</v>
      </c>
    </row>
    <row r="1095" spans="1:31" x14ac:dyDescent="0.3">
      <c r="A1095">
        <v>10147</v>
      </c>
      <c r="B1095">
        <v>36</v>
      </c>
      <c r="C1095">
        <v>86.04</v>
      </c>
      <c r="D1095">
        <v>10</v>
      </c>
      <c r="E1095" s="4" t="str">
        <f t="shared" si="102"/>
        <v>low sales</v>
      </c>
      <c r="F1095">
        <v>3097.44</v>
      </c>
      <c r="G1095" t="s">
        <v>1767</v>
      </c>
      <c r="H1095" s="1" t="str">
        <f t="shared" si="103"/>
        <v>Shipped</v>
      </c>
      <c r="I1095" s="4" t="str">
        <f t="shared" si="104"/>
        <v>completed</v>
      </c>
      <c r="J1095" t="s">
        <v>25</v>
      </c>
      <c r="K1095">
        <v>3</v>
      </c>
      <c r="L1095">
        <v>9</v>
      </c>
      <c r="M1095">
        <v>2003</v>
      </c>
      <c r="N1095" t="s">
        <v>181</v>
      </c>
      <c r="O1095">
        <v>80</v>
      </c>
      <c r="P1095" t="s">
        <v>607</v>
      </c>
      <c r="Q1095" t="s">
        <v>281</v>
      </c>
      <c r="R1095">
        <v>6175558555</v>
      </c>
      <c r="S1095" t="s">
        <v>282</v>
      </c>
      <c r="U1095" s="1" t="str">
        <f t="shared" si="105"/>
        <v>Brickhaven</v>
      </c>
      <c r="V1095" t="s">
        <v>283</v>
      </c>
      <c r="W1095" t="s">
        <v>123</v>
      </c>
      <c r="X1095">
        <v>58339</v>
      </c>
      <c r="Y1095" s="1" t="str">
        <f t="shared" si="106"/>
        <v>USA</v>
      </c>
      <c r="Z1095" s="4" t="str">
        <f t="shared" si="107"/>
        <v>Usa</v>
      </c>
      <c r="AA1095" t="s">
        <v>32</v>
      </c>
      <c r="AB1095" t="s">
        <v>33</v>
      </c>
      <c r="AC1095" t="s">
        <v>275</v>
      </c>
      <c r="AD1095" t="s">
        <v>284</v>
      </c>
      <c r="AE1095" t="s">
        <v>51</v>
      </c>
    </row>
    <row r="1096" spans="1:31" x14ac:dyDescent="0.3">
      <c r="A1096">
        <v>10159</v>
      </c>
      <c r="B1096">
        <v>21</v>
      </c>
      <c r="C1096">
        <v>81.209999999999994</v>
      </c>
      <c r="D1096">
        <v>5</v>
      </c>
      <c r="E1096" s="4" t="str">
        <f t="shared" si="102"/>
        <v>low sales</v>
      </c>
      <c r="F1096">
        <v>1705.41</v>
      </c>
      <c r="G1096" t="s">
        <v>1768</v>
      </c>
      <c r="H1096" s="1" t="str">
        <f t="shared" si="103"/>
        <v>Shipped</v>
      </c>
      <c r="I1096" s="4" t="str">
        <f t="shared" si="104"/>
        <v>completed</v>
      </c>
      <c r="J1096" t="s">
        <v>25</v>
      </c>
      <c r="K1096">
        <v>4</v>
      </c>
      <c r="L1096">
        <v>10</v>
      </c>
      <c r="M1096">
        <v>2003</v>
      </c>
      <c r="N1096" t="s">
        <v>181</v>
      </c>
      <c r="O1096">
        <v>80</v>
      </c>
      <c r="P1096" t="s">
        <v>607</v>
      </c>
      <c r="Q1096" t="s">
        <v>58</v>
      </c>
      <c r="R1096">
        <v>6505551386</v>
      </c>
      <c r="S1096" t="s">
        <v>59</v>
      </c>
      <c r="U1096" s="1" t="str">
        <f t="shared" si="105"/>
        <v>San Francisco</v>
      </c>
      <c r="V1096" t="s">
        <v>60</v>
      </c>
      <c r="W1096" t="s">
        <v>55</v>
      </c>
      <c r="Y1096" s="1" t="str">
        <f t="shared" si="106"/>
        <v>USA</v>
      </c>
      <c r="Z1096" s="4" t="str">
        <f t="shared" si="107"/>
        <v>Usa</v>
      </c>
      <c r="AA1096" t="s">
        <v>32</v>
      </c>
      <c r="AB1096" t="s">
        <v>33</v>
      </c>
      <c r="AC1096" t="s">
        <v>61</v>
      </c>
      <c r="AD1096" t="s">
        <v>57</v>
      </c>
      <c r="AE1096" t="s">
        <v>36</v>
      </c>
    </row>
    <row r="1097" spans="1:31" x14ac:dyDescent="0.3">
      <c r="A1097">
        <v>10169</v>
      </c>
      <c r="B1097">
        <v>32</v>
      </c>
      <c r="C1097">
        <v>70.760000000000005</v>
      </c>
      <c r="D1097">
        <v>5</v>
      </c>
      <c r="E1097" s="4" t="str">
        <f t="shared" si="102"/>
        <v>low sales</v>
      </c>
      <c r="F1097">
        <v>2264.3200000000002</v>
      </c>
      <c r="G1097" t="s">
        <v>1769</v>
      </c>
      <c r="H1097" s="1" t="str">
        <f t="shared" si="103"/>
        <v>Shipped</v>
      </c>
      <c r="I1097" s="4" t="str">
        <f t="shared" si="104"/>
        <v>completed</v>
      </c>
      <c r="J1097" t="s">
        <v>25</v>
      </c>
      <c r="K1097">
        <v>4</v>
      </c>
      <c r="L1097">
        <v>11</v>
      </c>
      <c r="M1097">
        <v>2003</v>
      </c>
      <c r="N1097" t="s">
        <v>181</v>
      </c>
      <c r="O1097">
        <v>80</v>
      </c>
      <c r="P1097" t="s">
        <v>607</v>
      </c>
      <c r="Q1097" t="s">
        <v>285</v>
      </c>
      <c r="R1097" t="s">
        <v>286</v>
      </c>
      <c r="S1097" t="s">
        <v>287</v>
      </c>
      <c r="T1097" t="s">
        <v>288</v>
      </c>
      <c r="U1097" s="1" t="str">
        <f t="shared" si="105"/>
        <v>North Sydney</v>
      </c>
      <c r="V1097" t="s">
        <v>289</v>
      </c>
      <c r="W1097" t="s">
        <v>157</v>
      </c>
      <c r="X1097">
        <v>2060</v>
      </c>
      <c r="Y1097" s="1" t="str">
        <f t="shared" si="106"/>
        <v>AUSTRALIA</v>
      </c>
      <c r="Z1097" s="4" t="str">
        <f t="shared" si="107"/>
        <v>Australia</v>
      </c>
      <c r="AA1097" t="s">
        <v>95</v>
      </c>
      <c r="AB1097" t="s">
        <v>96</v>
      </c>
      <c r="AC1097" t="s">
        <v>290</v>
      </c>
      <c r="AD1097" t="s">
        <v>291</v>
      </c>
      <c r="AE1097" t="s">
        <v>36</v>
      </c>
    </row>
    <row r="1098" spans="1:31" x14ac:dyDescent="0.3">
      <c r="A1098">
        <v>10181</v>
      </c>
      <c r="B1098">
        <v>30</v>
      </c>
      <c r="C1098">
        <v>82.82</v>
      </c>
      <c r="D1098">
        <v>17</v>
      </c>
      <c r="E1098" s="4" t="str">
        <f t="shared" si="102"/>
        <v>low sales</v>
      </c>
      <c r="F1098">
        <v>2484.6</v>
      </c>
      <c r="G1098" t="s">
        <v>1770</v>
      </c>
      <c r="H1098" s="1" t="str">
        <f t="shared" si="103"/>
        <v>Shipped</v>
      </c>
      <c r="I1098" s="4" t="str">
        <f t="shared" si="104"/>
        <v>completed</v>
      </c>
      <c r="J1098" t="s">
        <v>25</v>
      </c>
      <c r="K1098">
        <v>4</v>
      </c>
      <c r="L1098">
        <v>11</v>
      </c>
      <c r="M1098">
        <v>2003</v>
      </c>
      <c r="N1098" t="s">
        <v>181</v>
      </c>
      <c r="O1098">
        <v>80</v>
      </c>
      <c r="P1098" t="s">
        <v>607</v>
      </c>
      <c r="Q1098" t="s">
        <v>73</v>
      </c>
      <c r="R1098" t="s">
        <v>74</v>
      </c>
      <c r="S1098" t="s">
        <v>75</v>
      </c>
      <c r="U1098" s="1" t="str">
        <f t="shared" si="105"/>
        <v>Bergen</v>
      </c>
      <c r="V1098" t="s">
        <v>76</v>
      </c>
      <c r="X1098" t="s">
        <v>77</v>
      </c>
      <c r="Y1098" s="1" t="str">
        <f t="shared" si="106"/>
        <v>NORWAY</v>
      </c>
      <c r="Z1098" s="4" t="str">
        <f t="shared" si="107"/>
        <v>Norway</v>
      </c>
      <c r="AA1098" t="s">
        <v>78</v>
      </c>
      <c r="AB1098" t="s">
        <v>42</v>
      </c>
      <c r="AC1098" t="s">
        <v>79</v>
      </c>
      <c r="AD1098" t="s">
        <v>80</v>
      </c>
      <c r="AE1098" t="s">
        <v>36</v>
      </c>
    </row>
    <row r="1099" spans="1:31" x14ac:dyDescent="0.3">
      <c r="A1099">
        <v>10191</v>
      </c>
      <c r="B1099">
        <v>36</v>
      </c>
      <c r="C1099">
        <v>94.88</v>
      </c>
      <c r="D1099">
        <v>6</v>
      </c>
      <c r="E1099" s="4" t="str">
        <f t="shared" si="102"/>
        <v>low sales</v>
      </c>
      <c r="F1099">
        <v>3415.68</v>
      </c>
      <c r="G1099" t="s">
        <v>1771</v>
      </c>
      <c r="H1099" s="1" t="str">
        <f t="shared" si="103"/>
        <v>Shipped</v>
      </c>
      <c r="I1099" s="4" t="str">
        <f t="shared" si="104"/>
        <v>completed</v>
      </c>
      <c r="J1099" t="s">
        <v>25</v>
      </c>
      <c r="K1099">
        <v>4</v>
      </c>
      <c r="L1099">
        <v>11</v>
      </c>
      <c r="M1099">
        <v>2003</v>
      </c>
      <c r="N1099" t="s">
        <v>181</v>
      </c>
      <c r="O1099">
        <v>80</v>
      </c>
      <c r="P1099" t="s">
        <v>607</v>
      </c>
      <c r="Q1099" t="s">
        <v>439</v>
      </c>
      <c r="R1099" t="s">
        <v>440</v>
      </c>
      <c r="S1099" t="s">
        <v>441</v>
      </c>
      <c r="U1099" s="1" t="str">
        <f t="shared" si="105"/>
        <v>Koln</v>
      </c>
      <c r="V1099" t="s">
        <v>442</v>
      </c>
      <c r="X1099">
        <v>50739</v>
      </c>
      <c r="Y1099" s="1" t="str">
        <f t="shared" si="106"/>
        <v>GERMANY</v>
      </c>
      <c r="Z1099" s="4" t="str">
        <f t="shared" si="107"/>
        <v>Germany</v>
      </c>
      <c r="AA1099" t="s">
        <v>443</v>
      </c>
      <c r="AB1099" t="s">
        <v>42</v>
      </c>
      <c r="AC1099" t="s">
        <v>444</v>
      </c>
      <c r="AD1099" t="s">
        <v>445</v>
      </c>
      <c r="AE1099" t="s">
        <v>51</v>
      </c>
    </row>
    <row r="1100" spans="1:31" x14ac:dyDescent="0.3">
      <c r="A1100">
        <v>10203</v>
      </c>
      <c r="B1100">
        <v>33</v>
      </c>
      <c r="C1100">
        <v>86.04</v>
      </c>
      <c r="D1100">
        <v>11</v>
      </c>
      <c r="E1100" s="4" t="str">
        <f t="shared" si="102"/>
        <v>low sales</v>
      </c>
      <c r="F1100">
        <v>2839.32</v>
      </c>
      <c r="G1100" t="s">
        <v>1772</v>
      </c>
      <c r="H1100" s="1" t="str">
        <f t="shared" si="103"/>
        <v>Shipped</v>
      </c>
      <c r="I1100" s="4" t="str">
        <f t="shared" si="104"/>
        <v>completed</v>
      </c>
      <c r="J1100" t="s">
        <v>25</v>
      </c>
      <c r="K1100">
        <v>4</v>
      </c>
      <c r="L1100">
        <v>12</v>
      </c>
      <c r="M1100">
        <v>2003</v>
      </c>
      <c r="N1100" t="s">
        <v>181</v>
      </c>
      <c r="O1100">
        <v>80</v>
      </c>
      <c r="P1100" t="s">
        <v>607</v>
      </c>
      <c r="Q1100" t="s">
        <v>174</v>
      </c>
      <c r="R1100" t="s">
        <v>175</v>
      </c>
      <c r="S1100" t="s">
        <v>176</v>
      </c>
      <c r="U1100" s="1" t="str">
        <f t="shared" si="105"/>
        <v>Madrid</v>
      </c>
      <c r="V1100" t="s">
        <v>177</v>
      </c>
      <c r="X1100">
        <v>28034</v>
      </c>
      <c r="Y1100" s="1" t="str">
        <f t="shared" si="106"/>
        <v>SPAIN</v>
      </c>
      <c r="Z1100" s="4" t="str">
        <f t="shared" si="107"/>
        <v>Spain</v>
      </c>
      <c r="AA1100" t="s">
        <v>178</v>
      </c>
      <c r="AB1100" t="s">
        <v>42</v>
      </c>
      <c r="AC1100" t="s">
        <v>179</v>
      </c>
      <c r="AD1100" t="s">
        <v>180</v>
      </c>
      <c r="AE1100" t="s">
        <v>36</v>
      </c>
    </row>
    <row r="1101" spans="1:31" x14ac:dyDescent="0.3">
      <c r="A1101">
        <v>10211</v>
      </c>
      <c r="B1101">
        <v>35</v>
      </c>
      <c r="C1101">
        <v>78</v>
      </c>
      <c r="D1101">
        <v>5</v>
      </c>
      <c r="E1101" s="4" t="str">
        <f t="shared" si="102"/>
        <v>low sales</v>
      </c>
      <c r="F1101">
        <v>2730</v>
      </c>
      <c r="G1101" t="s">
        <v>1773</v>
      </c>
      <c r="H1101" s="1" t="str">
        <f t="shared" si="103"/>
        <v>Shipped</v>
      </c>
      <c r="I1101" s="4" t="str">
        <f t="shared" si="104"/>
        <v>completed</v>
      </c>
      <c r="J1101" t="s">
        <v>25</v>
      </c>
      <c r="K1101">
        <v>1</v>
      </c>
      <c r="L1101">
        <v>1</v>
      </c>
      <c r="M1101">
        <v>2004</v>
      </c>
      <c r="N1101" t="s">
        <v>181</v>
      </c>
      <c r="O1101">
        <v>80</v>
      </c>
      <c r="P1101" t="s">
        <v>607</v>
      </c>
      <c r="Q1101" t="s">
        <v>84</v>
      </c>
      <c r="R1101" t="s">
        <v>85</v>
      </c>
      <c r="S1101" t="s">
        <v>86</v>
      </c>
      <c r="U1101" s="1" t="str">
        <f t="shared" si="105"/>
        <v>Paris</v>
      </c>
      <c r="V1101" t="s">
        <v>48</v>
      </c>
      <c r="X1101">
        <v>75016</v>
      </c>
      <c r="Y1101" s="1" t="str">
        <f t="shared" si="106"/>
        <v>FRANCE</v>
      </c>
      <c r="Z1101" s="4" t="str">
        <f t="shared" si="107"/>
        <v>France</v>
      </c>
      <c r="AA1101" t="s">
        <v>41</v>
      </c>
      <c r="AB1101" t="s">
        <v>42</v>
      </c>
      <c r="AC1101" t="s">
        <v>87</v>
      </c>
      <c r="AD1101" t="s">
        <v>88</v>
      </c>
      <c r="AE1101" t="s">
        <v>36</v>
      </c>
    </row>
    <row r="1102" spans="1:31" x14ac:dyDescent="0.3">
      <c r="A1102">
        <v>10225</v>
      </c>
      <c r="B1102">
        <v>37</v>
      </c>
      <c r="C1102">
        <v>95.69</v>
      </c>
      <c r="D1102">
        <v>12</v>
      </c>
      <c r="E1102" s="4" t="str">
        <f t="shared" si="102"/>
        <v>low sales</v>
      </c>
      <c r="F1102">
        <v>3540.53</v>
      </c>
      <c r="G1102" t="s">
        <v>1774</v>
      </c>
      <c r="H1102" s="1" t="str">
        <f t="shared" si="103"/>
        <v>Shipped</v>
      </c>
      <c r="I1102" s="4" t="str">
        <f t="shared" si="104"/>
        <v>completed</v>
      </c>
      <c r="J1102" t="s">
        <v>25</v>
      </c>
      <c r="K1102">
        <v>1</v>
      </c>
      <c r="L1102">
        <v>2</v>
      </c>
      <c r="M1102">
        <v>2004</v>
      </c>
      <c r="N1102" t="s">
        <v>181</v>
      </c>
      <c r="O1102">
        <v>80</v>
      </c>
      <c r="P1102" t="s">
        <v>607</v>
      </c>
      <c r="Q1102" t="s">
        <v>446</v>
      </c>
      <c r="R1102" t="s">
        <v>447</v>
      </c>
      <c r="S1102" t="s">
        <v>448</v>
      </c>
      <c r="U1102" s="1" t="str">
        <f t="shared" si="105"/>
        <v>Gensve</v>
      </c>
      <c r="V1102" t="s">
        <v>449</v>
      </c>
      <c r="X1102">
        <v>1203</v>
      </c>
      <c r="Y1102" s="1" t="str">
        <f t="shared" si="106"/>
        <v>SWITZERLAND</v>
      </c>
      <c r="Z1102" s="4" t="str">
        <f t="shared" si="107"/>
        <v>Switzerland</v>
      </c>
      <c r="AA1102" t="s">
        <v>450</v>
      </c>
      <c r="AB1102" t="s">
        <v>42</v>
      </c>
      <c r="AC1102" t="s">
        <v>451</v>
      </c>
      <c r="AD1102" t="s">
        <v>103</v>
      </c>
      <c r="AE1102" t="s">
        <v>51</v>
      </c>
    </row>
    <row r="1103" spans="1:31" x14ac:dyDescent="0.3">
      <c r="A1103">
        <v>10238</v>
      </c>
      <c r="B1103">
        <v>41</v>
      </c>
      <c r="C1103">
        <v>73.17</v>
      </c>
      <c r="D1103">
        <v>6</v>
      </c>
      <c r="E1103" s="4" t="str">
        <f t="shared" si="102"/>
        <v>low sales</v>
      </c>
      <c r="F1103">
        <v>2999.97</v>
      </c>
      <c r="G1103" t="s">
        <v>1775</v>
      </c>
      <c r="H1103" s="1" t="str">
        <f t="shared" si="103"/>
        <v>Shipped</v>
      </c>
      <c r="I1103" s="4" t="str">
        <f t="shared" si="104"/>
        <v>completed</v>
      </c>
      <c r="J1103" t="s">
        <v>25</v>
      </c>
      <c r="K1103">
        <v>2</v>
      </c>
      <c r="L1103">
        <v>4</v>
      </c>
      <c r="M1103">
        <v>2004</v>
      </c>
      <c r="N1103" t="s">
        <v>181</v>
      </c>
      <c r="O1103">
        <v>80</v>
      </c>
      <c r="P1103" t="s">
        <v>607</v>
      </c>
      <c r="Q1103" t="s">
        <v>322</v>
      </c>
      <c r="R1103" t="s">
        <v>323</v>
      </c>
      <c r="S1103" t="s">
        <v>324</v>
      </c>
      <c r="U1103" s="1" t="str">
        <f t="shared" si="105"/>
        <v>Kobenhavn</v>
      </c>
      <c r="V1103" t="s">
        <v>325</v>
      </c>
      <c r="X1103">
        <v>1734</v>
      </c>
      <c r="Y1103" s="1" t="str">
        <f t="shared" si="106"/>
        <v>DENMARK</v>
      </c>
      <c r="Z1103" s="4" t="str">
        <f t="shared" si="107"/>
        <v>Denmark</v>
      </c>
      <c r="AA1103" t="s">
        <v>326</v>
      </c>
      <c r="AB1103" t="s">
        <v>42</v>
      </c>
      <c r="AC1103" t="s">
        <v>327</v>
      </c>
      <c r="AD1103" t="s">
        <v>328</v>
      </c>
      <c r="AE1103" t="s">
        <v>36</v>
      </c>
    </row>
    <row r="1104" spans="1:31" x14ac:dyDescent="0.3">
      <c r="A1104">
        <v>10252</v>
      </c>
      <c r="B1104">
        <v>20</v>
      </c>
      <c r="C1104">
        <v>76.39</v>
      </c>
      <c r="D1104">
        <v>2</v>
      </c>
      <c r="E1104" s="4" t="str">
        <f t="shared" si="102"/>
        <v>low sales</v>
      </c>
      <c r="F1104">
        <v>1527.8</v>
      </c>
      <c r="G1104" t="s">
        <v>1776</v>
      </c>
      <c r="H1104" s="1" t="str">
        <f t="shared" si="103"/>
        <v>Shipped</v>
      </c>
      <c r="I1104" s="4" t="str">
        <f t="shared" si="104"/>
        <v>completed</v>
      </c>
      <c r="J1104" t="s">
        <v>25</v>
      </c>
      <c r="K1104">
        <v>2</v>
      </c>
      <c r="L1104">
        <v>5</v>
      </c>
      <c r="M1104">
        <v>2004</v>
      </c>
      <c r="N1104" t="s">
        <v>181</v>
      </c>
      <c r="O1104">
        <v>80</v>
      </c>
      <c r="P1104" t="s">
        <v>607</v>
      </c>
      <c r="Q1104" t="s">
        <v>84</v>
      </c>
      <c r="R1104" t="s">
        <v>85</v>
      </c>
      <c r="S1104" t="s">
        <v>86</v>
      </c>
      <c r="U1104" s="1" t="str">
        <f t="shared" si="105"/>
        <v>Paris</v>
      </c>
      <c r="V1104" t="s">
        <v>48</v>
      </c>
      <c r="X1104">
        <v>75016</v>
      </c>
      <c r="Y1104" s="1" t="str">
        <f t="shared" si="106"/>
        <v>FRANCE</v>
      </c>
      <c r="Z1104" s="4" t="str">
        <f t="shared" si="107"/>
        <v>France</v>
      </c>
      <c r="AA1104" t="s">
        <v>41</v>
      </c>
      <c r="AB1104" t="s">
        <v>42</v>
      </c>
      <c r="AC1104" t="s">
        <v>87</v>
      </c>
      <c r="AD1104" t="s">
        <v>88</v>
      </c>
      <c r="AE1104" t="s">
        <v>36</v>
      </c>
    </row>
    <row r="1105" spans="1:31" x14ac:dyDescent="0.3">
      <c r="A1105">
        <v>10265</v>
      </c>
      <c r="B1105">
        <v>45</v>
      </c>
      <c r="C1105">
        <v>86.84</v>
      </c>
      <c r="D1105">
        <v>2</v>
      </c>
      <c r="E1105" s="4" t="str">
        <f t="shared" si="102"/>
        <v>low sales</v>
      </c>
      <c r="F1105">
        <v>3907.8</v>
      </c>
      <c r="G1105" t="s">
        <v>1777</v>
      </c>
      <c r="H1105" s="1" t="str">
        <f t="shared" si="103"/>
        <v>Shipped</v>
      </c>
      <c r="I1105" s="4" t="str">
        <f t="shared" si="104"/>
        <v>completed</v>
      </c>
      <c r="J1105" t="s">
        <v>25</v>
      </c>
      <c r="K1105">
        <v>3</v>
      </c>
      <c r="L1105">
        <v>7</v>
      </c>
      <c r="M1105">
        <v>2004</v>
      </c>
      <c r="N1105" t="s">
        <v>181</v>
      </c>
      <c r="O1105">
        <v>80</v>
      </c>
      <c r="P1105" t="s">
        <v>607</v>
      </c>
      <c r="Q1105" t="s">
        <v>558</v>
      </c>
      <c r="R1105" t="s">
        <v>559</v>
      </c>
      <c r="S1105" t="s">
        <v>560</v>
      </c>
      <c r="U1105" s="1" t="str">
        <f t="shared" si="105"/>
        <v>Glen Waverly</v>
      </c>
      <c r="V1105" t="s">
        <v>561</v>
      </c>
      <c r="W1105" t="s">
        <v>94</v>
      </c>
      <c r="X1105">
        <v>3150</v>
      </c>
      <c r="Y1105" s="1" t="str">
        <f t="shared" si="106"/>
        <v>AUSTRALIA</v>
      </c>
      <c r="Z1105" s="4" t="str">
        <f t="shared" si="107"/>
        <v>Australia</v>
      </c>
      <c r="AA1105" t="s">
        <v>95</v>
      </c>
      <c r="AB1105" t="s">
        <v>96</v>
      </c>
      <c r="AC1105" t="s">
        <v>562</v>
      </c>
      <c r="AD1105" t="s">
        <v>563</v>
      </c>
      <c r="AE1105" t="s">
        <v>51</v>
      </c>
    </row>
    <row r="1106" spans="1:31" x14ac:dyDescent="0.3">
      <c r="A1106">
        <v>10276</v>
      </c>
      <c r="B1106">
        <v>38</v>
      </c>
      <c r="C1106">
        <v>69.959999999999994</v>
      </c>
      <c r="D1106">
        <v>6</v>
      </c>
      <c r="E1106" s="4" t="str">
        <f t="shared" si="102"/>
        <v>low sales</v>
      </c>
      <c r="F1106">
        <v>2658.48</v>
      </c>
      <c r="G1106" t="s">
        <v>1778</v>
      </c>
      <c r="H1106" s="1" t="str">
        <f t="shared" si="103"/>
        <v>Shipped</v>
      </c>
      <c r="I1106" s="4" t="str">
        <f t="shared" si="104"/>
        <v>completed</v>
      </c>
      <c r="J1106" t="s">
        <v>25</v>
      </c>
      <c r="K1106">
        <v>3</v>
      </c>
      <c r="L1106">
        <v>8</v>
      </c>
      <c r="M1106">
        <v>2004</v>
      </c>
      <c r="N1106" t="s">
        <v>181</v>
      </c>
      <c r="O1106">
        <v>80</v>
      </c>
      <c r="P1106" t="s">
        <v>607</v>
      </c>
      <c r="Q1106" t="s">
        <v>458</v>
      </c>
      <c r="R1106">
        <v>6175557555</v>
      </c>
      <c r="S1106" t="s">
        <v>459</v>
      </c>
      <c r="U1106" s="1" t="str">
        <f t="shared" si="105"/>
        <v>Brickhaven</v>
      </c>
      <c r="V1106" t="s">
        <v>283</v>
      </c>
      <c r="W1106" t="s">
        <v>123</v>
      </c>
      <c r="X1106">
        <v>58339</v>
      </c>
      <c r="Y1106" s="1" t="str">
        <f t="shared" si="106"/>
        <v>USA</v>
      </c>
      <c r="Z1106" s="4" t="str">
        <f t="shared" si="107"/>
        <v>Usa</v>
      </c>
      <c r="AA1106" t="s">
        <v>32</v>
      </c>
      <c r="AB1106" t="s">
        <v>33</v>
      </c>
      <c r="AC1106" t="s">
        <v>460</v>
      </c>
      <c r="AD1106" t="s">
        <v>461</v>
      </c>
      <c r="AE1106" t="s">
        <v>36</v>
      </c>
    </row>
    <row r="1107" spans="1:31" x14ac:dyDescent="0.3">
      <c r="A1107">
        <v>10287</v>
      </c>
      <c r="B1107">
        <v>43</v>
      </c>
      <c r="C1107">
        <v>70.760000000000005</v>
      </c>
      <c r="D1107">
        <v>15</v>
      </c>
      <c r="E1107" s="4" t="str">
        <f t="shared" si="102"/>
        <v>low sales</v>
      </c>
      <c r="F1107">
        <v>3042.68</v>
      </c>
      <c r="G1107" t="s">
        <v>1779</v>
      </c>
      <c r="H1107" s="1" t="str">
        <f t="shared" si="103"/>
        <v>Shipped</v>
      </c>
      <c r="I1107" s="4" t="str">
        <f t="shared" si="104"/>
        <v>completed</v>
      </c>
      <c r="J1107" t="s">
        <v>25</v>
      </c>
      <c r="K1107">
        <v>3</v>
      </c>
      <c r="L1107">
        <v>8</v>
      </c>
      <c r="M1107">
        <v>2004</v>
      </c>
      <c r="N1107" t="s">
        <v>181</v>
      </c>
      <c r="O1107">
        <v>80</v>
      </c>
      <c r="P1107" t="s">
        <v>607</v>
      </c>
      <c r="Q1107" t="s">
        <v>446</v>
      </c>
      <c r="R1107" t="s">
        <v>447</v>
      </c>
      <c r="S1107" t="s">
        <v>448</v>
      </c>
      <c r="U1107" s="1" t="str">
        <f t="shared" si="105"/>
        <v>Gensve</v>
      </c>
      <c r="V1107" t="s">
        <v>449</v>
      </c>
      <c r="X1107">
        <v>1203</v>
      </c>
      <c r="Y1107" s="1" t="str">
        <f t="shared" si="106"/>
        <v>SWITZERLAND</v>
      </c>
      <c r="Z1107" s="4" t="str">
        <f t="shared" si="107"/>
        <v>Switzerland</v>
      </c>
      <c r="AA1107" t="s">
        <v>450</v>
      </c>
      <c r="AB1107" t="s">
        <v>42</v>
      </c>
      <c r="AC1107" t="s">
        <v>451</v>
      </c>
      <c r="AD1107" t="s">
        <v>103</v>
      </c>
      <c r="AE1107" t="s">
        <v>51</v>
      </c>
    </row>
    <row r="1108" spans="1:31" x14ac:dyDescent="0.3">
      <c r="A1108">
        <v>10300</v>
      </c>
      <c r="B1108">
        <v>49</v>
      </c>
      <c r="C1108">
        <v>78.8</v>
      </c>
      <c r="D1108">
        <v>8</v>
      </c>
      <c r="E1108" s="4" t="str">
        <f t="shared" si="102"/>
        <v>low sales</v>
      </c>
      <c r="F1108">
        <v>3861.2</v>
      </c>
      <c r="G1108" t="s">
        <v>1780</v>
      </c>
      <c r="H1108" s="1" t="str">
        <f t="shared" si="103"/>
        <v>Shipped</v>
      </c>
      <c r="I1108" s="4" t="str">
        <f t="shared" si="104"/>
        <v>completed</v>
      </c>
      <c r="J1108" t="s">
        <v>25</v>
      </c>
      <c r="K1108">
        <v>4</v>
      </c>
      <c r="L1108">
        <v>10</v>
      </c>
      <c r="M1108">
        <v>2003</v>
      </c>
      <c r="N1108" t="s">
        <v>181</v>
      </c>
      <c r="O1108">
        <v>80</v>
      </c>
      <c r="P1108" t="s">
        <v>607</v>
      </c>
      <c r="Q1108" t="s">
        <v>462</v>
      </c>
      <c r="R1108" t="s">
        <v>463</v>
      </c>
      <c r="S1108" t="s">
        <v>464</v>
      </c>
      <c r="U1108" s="1" t="str">
        <f t="shared" si="105"/>
        <v>Frankfurt</v>
      </c>
      <c r="V1108" t="s">
        <v>465</v>
      </c>
      <c r="X1108">
        <v>60528</v>
      </c>
      <c r="Y1108" s="1" t="str">
        <f t="shared" si="106"/>
        <v>GERMANY</v>
      </c>
      <c r="Z1108" s="4" t="str">
        <f t="shared" si="107"/>
        <v>Germany</v>
      </c>
      <c r="AA1108" t="s">
        <v>443</v>
      </c>
      <c r="AB1108" t="s">
        <v>42</v>
      </c>
      <c r="AC1108" t="s">
        <v>466</v>
      </c>
      <c r="AD1108" t="s">
        <v>414</v>
      </c>
      <c r="AE1108" t="s">
        <v>51</v>
      </c>
    </row>
    <row r="1109" spans="1:31" x14ac:dyDescent="0.3">
      <c r="A1109">
        <v>10310</v>
      </c>
      <c r="B1109">
        <v>27</v>
      </c>
      <c r="C1109">
        <v>80.41</v>
      </c>
      <c r="D1109">
        <v>13</v>
      </c>
      <c r="E1109" s="4" t="str">
        <f t="shared" si="102"/>
        <v>low sales</v>
      </c>
      <c r="F1109">
        <v>2171.0700000000002</v>
      </c>
      <c r="G1109" t="s">
        <v>1781</v>
      </c>
      <c r="H1109" s="1" t="str">
        <f t="shared" si="103"/>
        <v>Shipped</v>
      </c>
      <c r="I1109" s="4" t="str">
        <f t="shared" si="104"/>
        <v>completed</v>
      </c>
      <c r="J1109" t="s">
        <v>25</v>
      </c>
      <c r="K1109">
        <v>4</v>
      </c>
      <c r="L1109">
        <v>10</v>
      </c>
      <c r="M1109">
        <v>2004</v>
      </c>
      <c r="N1109" t="s">
        <v>181</v>
      </c>
      <c r="O1109">
        <v>80</v>
      </c>
      <c r="P1109" t="s">
        <v>607</v>
      </c>
      <c r="Q1109" t="s">
        <v>439</v>
      </c>
      <c r="R1109" t="s">
        <v>440</v>
      </c>
      <c r="S1109" t="s">
        <v>441</v>
      </c>
      <c r="U1109" s="1" t="str">
        <f t="shared" si="105"/>
        <v>Koln</v>
      </c>
      <c r="V1109" t="s">
        <v>442</v>
      </c>
      <c r="X1109">
        <v>50739</v>
      </c>
      <c r="Y1109" s="1" t="str">
        <f t="shared" si="106"/>
        <v>GERMANY</v>
      </c>
      <c r="Z1109" s="4" t="str">
        <f t="shared" si="107"/>
        <v>Germany</v>
      </c>
      <c r="AA1109" t="s">
        <v>443</v>
      </c>
      <c r="AB1109" t="s">
        <v>42</v>
      </c>
      <c r="AC1109" t="s">
        <v>444</v>
      </c>
      <c r="AD1109" t="s">
        <v>445</v>
      </c>
      <c r="AE1109" t="s">
        <v>36</v>
      </c>
    </row>
    <row r="1110" spans="1:31" x14ac:dyDescent="0.3">
      <c r="A1110">
        <v>10319</v>
      </c>
      <c r="B1110">
        <v>46</v>
      </c>
      <c r="C1110">
        <v>73.98</v>
      </c>
      <c r="D1110">
        <v>1</v>
      </c>
      <c r="E1110" s="4" t="str">
        <f t="shared" si="102"/>
        <v>low sales</v>
      </c>
      <c r="F1110">
        <v>3403.08</v>
      </c>
      <c r="G1110" t="s">
        <v>1782</v>
      </c>
      <c r="H1110" s="1" t="str">
        <f t="shared" si="103"/>
        <v>Shipped</v>
      </c>
      <c r="I1110" s="4" t="str">
        <f t="shared" si="104"/>
        <v>completed</v>
      </c>
      <c r="J1110" t="s">
        <v>25</v>
      </c>
      <c r="K1110">
        <v>4</v>
      </c>
      <c r="L1110">
        <v>11</v>
      </c>
      <c r="M1110">
        <v>2004</v>
      </c>
      <c r="N1110" t="s">
        <v>181</v>
      </c>
      <c r="O1110">
        <v>80</v>
      </c>
      <c r="P1110" t="s">
        <v>607</v>
      </c>
      <c r="Q1110" t="s">
        <v>507</v>
      </c>
      <c r="R1110">
        <v>2125551957</v>
      </c>
      <c r="S1110" t="s">
        <v>508</v>
      </c>
      <c r="T1110" t="s">
        <v>509</v>
      </c>
      <c r="U1110" s="1" t="str">
        <f t="shared" si="105"/>
        <v>Nyc</v>
      </c>
      <c r="V1110" t="s">
        <v>30</v>
      </c>
      <c r="W1110" t="s">
        <v>31</v>
      </c>
      <c r="X1110">
        <v>10022</v>
      </c>
      <c r="Y1110" s="1" t="str">
        <f t="shared" si="106"/>
        <v>USA</v>
      </c>
      <c r="Z1110" s="4" t="str">
        <f t="shared" si="107"/>
        <v>Usa</v>
      </c>
      <c r="AA1110" t="s">
        <v>32</v>
      </c>
      <c r="AB1110" t="s">
        <v>33</v>
      </c>
      <c r="AC1110" t="s">
        <v>510</v>
      </c>
      <c r="AD1110" t="s">
        <v>511</v>
      </c>
      <c r="AE1110" t="s">
        <v>51</v>
      </c>
    </row>
    <row r="1111" spans="1:31" x14ac:dyDescent="0.3">
      <c r="A1111">
        <v>10329</v>
      </c>
      <c r="B1111">
        <v>38</v>
      </c>
      <c r="C1111">
        <v>59.1</v>
      </c>
      <c r="D1111">
        <v>10</v>
      </c>
      <c r="E1111" s="4" t="str">
        <f t="shared" si="102"/>
        <v>low sales</v>
      </c>
      <c r="F1111">
        <v>2245.8000000000002</v>
      </c>
      <c r="G1111" t="s">
        <v>1783</v>
      </c>
      <c r="H1111" s="1" t="str">
        <f t="shared" si="103"/>
        <v>Shipped</v>
      </c>
      <c r="I1111" s="4" t="str">
        <f t="shared" si="104"/>
        <v>completed</v>
      </c>
      <c r="J1111" t="s">
        <v>25</v>
      </c>
      <c r="K1111">
        <v>4</v>
      </c>
      <c r="L1111">
        <v>11</v>
      </c>
      <c r="M1111">
        <v>2004</v>
      </c>
      <c r="N1111" t="s">
        <v>181</v>
      </c>
      <c r="O1111">
        <v>80</v>
      </c>
      <c r="P1111" t="s">
        <v>607</v>
      </c>
      <c r="Q1111" t="s">
        <v>28</v>
      </c>
      <c r="R1111">
        <v>2125557818</v>
      </c>
      <c r="S1111" t="s">
        <v>29</v>
      </c>
      <c r="U1111" s="1" t="str">
        <f t="shared" si="105"/>
        <v>Nyc</v>
      </c>
      <c r="V1111" t="s">
        <v>30</v>
      </c>
      <c r="W1111" t="s">
        <v>31</v>
      </c>
      <c r="X1111">
        <v>10022</v>
      </c>
      <c r="Y1111" s="1" t="str">
        <f t="shared" si="106"/>
        <v>USA</v>
      </c>
      <c r="Z1111" s="4" t="str">
        <f t="shared" si="107"/>
        <v>Usa</v>
      </c>
      <c r="AA1111" t="s">
        <v>32</v>
      </c>
      <c r="AB1111" t="s">
        <v>33</v>
      </c>
      <c r="AC1111" t="s">
        <v>34</v>
      </c>
      <c r="AD1111" t="s">
        <v>35</v>
      </c>
      <c r="AE1111" t="s">
        <v>36</v>
      </c>
    </row>
    <row r="1112" spans="1:31" x14ac:dyDescent="0.3">
      <c r="A1112">
        <v>10342</v>
      </c>
      <c r="B1112">
        <v>25</v>
      </c>
      <c r="C1112">
        <v>66.739999999999995</v>
      </c>
      <c r="D1112">
        <v>5</v>
      </c>
      <c r="E1112" s="4" t="str">
        <f t="shared" si="102"/>
        <v>low sales</v>
      </c>
      <c r="F1112">
        <v>1668.5</v>
      </c>
      <c r="G1112" t="s">
        <v>1784</v>
      </c>
      <c r="H1112" s="1" t="str">
        <f t="shared" si="103"/>
        <v>Shipped</v>
      </c>
      <c r="I1112" s="4" t="str">
        <f t="shared" si="104"/>
        <v>completed</v>
      </c>
      <c r="J1112" t="s">
        <v>25</v>
      </c>
      <c r="K1112">
        <v>4</v>
      </c>
      <c r="L1112">
        <v>11</v>
      </c>
      <c r="M1112">
        <v>2004</v>
      </c>
      <c r="N1112" t="s">
        <v>181</v>
      </c>
      <c r="O1112">
        <v>80</v>
      </c>
      <c r="P1112" t="s">
        <v>607</v>
      </c>
      <c r="Q1112" t="s">
        <v>89</v>
      </c>
      <c r="R1112" t="s">
        <v>90</v>
      </c>
      <c r="S1112" t="s">
        <v>91</v>
      </c>
      <c r="T1112" t="s">
        <v>92</v>
      </c>
      <c r="U1112" s="1" t="str">
        <f t="shared" si="105"/>
        <v>Melbourne</v>
      </c>
      <c r="V1112" t="s">
        <v>93</v>
      </c>
      <c r="W1112" t="s">
        <v>94</v>
      </c>
      <c r="X1112">
        <v>3004</v>
      </c>
      <c r="Y1112" s="1" t="str">
        <f t="shared" si="106"/>
        <v>AUSTRALIA</v>
      </c>
      <c r="Z1112" s="4" t="str">
        <f t="shared" si="107"/>
        <v>Australia</v>
      </c>
      <c r="AA1112" t="s">
        <v>95</v>
      </c>
      <c r="AB1112" t="s">
        <v>96</v>
      </c>
      <c r="AC1112" t="s">
        <v>97</v>
      </c>
      <c r="AD1112" t="s">
        <v>98</v>
      </c>
      <c r="AE1112" t="s">
        <v>36</v>
      </c>
    </row>
    <row r="1113" spans="1:31" x14ac:dyDescent="0.3">
      <c r="A1113">
        <v>10363</v>
      </c>
      <c r="B1113">
        <v>46</v>
      </c>
      <c r="C1113">
        <v>60.3</v>
      </c>
      <c r="D1113">
        <v>10</v>
      </c>
      <c r="E1113" s="4" t="str">
        <f t="shared" si="102"/>
        <v>low sales</v>
      </c>
      <c r="F1113">
        <v>2773.8</v>
      </c>
      <c r="G1113" t="s">
        <v>1785</v>
      </c>
      <c r="H1113" s="1" t="str">
        <f t="shared" si="103"/>
        <v>Shipped</v>
      </c>
      <c r="I1113" s="4" t="str">
        <f t="shared" si="104"/>
        <v>completed</v>
      </c>
      <c r="J1113" t="s">
        <v>25</v>
      </c>
      <c r="K1113">
        <v>1</v>
      </c>
      <c r="L1113">
        <v>1</v>
      </c>
      <c r="M1113">
        <v>2005</v>
      </c>
      <c r="N1113" t="s">
        <v>181</v>
      </c>
      <c r="O1113">
        <v>80</v>
      </c>
      <c r="P1113" t="s">
        <v>607</v>
      </c>
      <c r="Q1113" t="s">
        <v>467</v>
      </c>
      <c r="R1113" t="s">
        <v>468</v>
      </c>
      <c r="S1113" t="s">
        <v>469</v>
      </c>
      <c r="U1113" s="1" t="str">
        <f t="shared" si="105"/>
        <v>Espoo</v>
      </c>
      <c r="V1113" t="s">
        <v>470</v>
      </c>
      <c r="X1113" t="s">
        <v>471</v>
      </c>
      <c r="Y1113" s="1" t="str">
        <f t="shared" si="106"/>
        <v>FINLAND</v>
      </c>
      <c r="Z1113" s="4" t="str">
        <f t="shared" si="107"/>
        <v>Finland</v>
      </c>
      <c r="AA1113" t="s">
        <v>130</v>
      </c>
      <c r="AB1113" t="s">
        <v>42</v>
      </c>
      <c r="AC1113" t="s">
        <v>472</v>
      </c>
      <c r="AD1113" t="s">
        <v>473</v>
      </c>
      <c r="AE1113" t="s">
        <v>36</v>
      </c>
    </row>
    <row r="1114" spans="1:31" x14ac:dyDescent="0.3">
      <c r="A1114">
        <v>10378</v>
      </c>
      <c r="B1114">
        <v>22</v>
      </c>
      <c r="C1114">
        <v>100</v>
      </c>
      <c r="D1114">
        <v>4</v>
      </c>
      <c r="E1114" s="4" t="str">
        <f t="shared" si="102"/>
        <v>low sales</v>
      </c>
      <c r="F1114">
        <v>2464</v>
      </c>
      <c r="G1114" t="s">
        <v>1786</v>
      </c>
      <c r="H1114" s="1" t="str">
        <f t="shared" si="103"/>
        <v>Shipped</v>
      </c>
      <c r="I1114" s="4" t="str">
        <f t="shared" si="104"/>
        <v>completed</v>
      </c>
      <c r="J1114" t="s">
        <v>25</v>
      </c>
      <c r="K1114">
        <v>1</v>
      </c>
      <c r="L1114">
        <v>2</v>
      </c>
      <c r="M1114">
        <v>2005</v>
      </c>
      <c r="N1114" t="s">
        <v>181</v>
      </c>
      <c r="O1114">
        <v>80</v>
      </c>
      <c r="P1114" t="s">
        <v>607</v>
      </c>
      <c r="Q1114" t="s">
        <v>174</v>
      </c>
      <c r="R1114" t="s">
        <v>175</v>
      </c>
      <c r="S1114" t="s">
        <v>176</v>
      </c>
      <c r="U1114" s="1" t="str">
        <f t="shared" si="105"/>
        <v>Madrid</v>
      </c>
      <c r="V1114" t="s">
        <v>177</v>
      </c>
      <c r="X1114">
        <v>28034</v>
      </c>
      <c r="Y1114" s="1" t="str">
        <f t="shared" si="106"/>
        <v>SPAIN</v>
      </c>
      <c r="Z1114" s="4" t="str">
        <f t="shared" si="107"/>
        <v>Spain</v>
      </c>
      <c r="AA1114" t="s">
        <v>178</v>
      </c>
      <c r="AB1114" t="s">
        <v>42</v>
      </c>
      <c r="AC1114" t="s">
        <v>179</v>
      </c>
      <c r="AD1114" t="s">
        <v>180</v>
      </c>
      <c r="AE1114" t="s">
        <v>36</v>
      </c>
    </row>
    <row r="1115" spans="1:31" x14ac:dyDescent="0.3">
      <c r="A1115">
        <v>10390</v>
      </c>
      <c r="B1115">
        <v>40</v>
      </c>
      <c r="C1115">
        <v>100</v>
      </c>
      <c r="D1115">
        <v>9</v>
      </c>
      <c r="E1115" s="4" t="str">
        <f t="shared" si="102"/>
        <v>high sales</v>
      </c>
      <c r="F1115">
        <v>5491.6</v>
      </c>
      <c r="G1115" t="s">
        <v>1787</v>
      </c>
      <c r="H1115" s="1" t="str">
        <f t="shared" si="103"/>
        <v>Shipped</v>
      </c>
      <c r="I1115" s="4" t="str">
        <f t="shared" si="104"/>
        <v>completed</v>
      </c>
      <c r="J1115" t="s">
        <v>25</v>
      </c>
      <c r="K1115">
        <v>1</v>
      </c>
      <c r="L1115">
        <v>3</v>
      </c>
      <c r="M1115">
        <v>2005</v>
      </c>
      <c r="N1115" t="s">
        <v>181</v>
      </c>
      <c r="O1115">
        <v>80</v>
      </c>
      <c r="P1115" t="s">
        <v>607</v>
      </c>
      <c r="Q1115" t="s">
        <v>272</v>
      </c>
      <c r="R1115">
        <v>4155551450</v>
      </c>
      <c r="S1115" t="s">
        <v>273</v>
      </c>
      <c r="U1115" s="1" t="str">
        <f t="shared" si="105"/>
        <v>San Rafael</v>
      </c>
      <c r="V1115" t="s">
        <v>274</v>
      </c>
      <c r="W1115" t="s">
        <v>55</v>
      </c>
      <c r="X1115">
        <v>97562</v>
      </c>
      <c r="Y1115" s="1" t="str">
        <f t="shared" si="106"/>
        <v>USA</v>
      </c>
      <c r="Z1115" s="4" t="str">
        <f t="shared" si="107"/>
        <v>Usa</v>
      </c>
      <c r="AA1115" t="s">
        <v>32</v>
      </c>
      <c r="AB1115" t="s">
        <v>33</v>
      </c>
      <c r="AC1115" t="s">
        <v>275</v>
      </c>
      <c r="AD1115" t="s">
        <v>276</v>
      </c>
      <c r="AE1115" t="s">
        <v>51</v>
      </c>
    </row>
    <row r="1116" spans="1:31" x14ac:dyDescent="0.3">
      <c r="A1116">
        <v>10103</v>
      </c>
      <c r="B1116">
        <v>46</v>
      </c>
      <c r="C1116">
        <v>100</v>
      </c>
      <c r="D1116">
        <v>16</v>
      </c>
      <c r="E1116" s="4" t="str">
        <f t="shared" si="102"/>
        <v>high sales</v>
      </c>
      <c r="F1116">
        <v>4791.82</v>
      </c>
      <c r="G1116" t="s">
        <v>1788</v>
      </c>
      <c r="H1116" s="1" t="str">
        <f t="shared" si="103"/>
        <v>Shipped</v>
      </c>
      <c r="I1116" s="4" t="str">
        <f t="shared" si="104"/>
        <v>completed</v>
      </c>
      <c r="J1116" t="s">
        <v>25</v>
      </c>
      <c r="K1116">
        <v>1</v>
      </c>
      <c r="L1116">
        <v>1</v>
      </c>
      <c r="M1116">
        <v>2003</v>
      </c>
      <c r="N1116" t="s">
        <v>550</v>
      </c>
      <c r="O1116">
        <v>99</v>
      </c>
      <c r="P1116" t="s">
        <v>608</v>
      </c>
      <c r="Q1116" t="s">
        <v>133</v>
      </c>
      <c r="R1116" t="s">
        <v>134</v>
      </c>
      <c r="S1116" t="s">
        <v>135</v>
      </c>
      <c r="U1116" s="1" t="str">
        <f t="shared" si="105"/>
        <v>Stavern</v>
      </c>
      <c r="V1116" t="s">
        <v>136</v>
      </c>
      <c r="X1116">
        <v>4110</v>
      </c>
      <c r="Y1116" s="1" t="str">
        <f t="shared" si="106"/>
        <v>NORWAY</v>
      </c>
      <c r="Z1116" s="4" t="str">
        <f t="shared" si="107"/>
        <v>Norway</v>
      </c>
      <c r="AA1116" t="s">
        <v>78</v>
      </c>
      <c r="AB1116" t="s">
        <v>42</v>
      </c>
      <c r="AC1116" t="s">
        <v>137</v>
      </c>
      <c r="AD1116" t="s">
        <v>138</v>
      </c>
      <c r="AE1116" t="s">
        <v>51</v>
      </c>
    </row>
    <row r="1117" spans="1:31" x14ac:dyDescent="0.3">
      <c r="A1117">
        <v>10111</v>
      </c>
      <c r="B1117">
        <v>39</v>
      </c>
      <c r="C1117">
        <v>100</v>
      </c>
      <c r="D1117">
        <v>4</v>
      </c>
      <c r="E1117" s="4" t="str">
        <f t="shared" si="102"/>
        <v>high sales</v>
      </c>
      <c r="F1117">
        <v>4178.8500000000004</v>
      </c>
      <c r="G1117" t="s">
        <v>1789</v>
      </c>
      <c r="H1117" s="1" t="str">
        <f t="shared" si="103"/>
        <v>Shipped</v>
      </c>
      <c r="I1117" s="4" t="str">
        <f t="shared" si="104"/>
        <v>completed</v>
      </c>
      <c r="J1117" t="s">
        <v>25</v>
      </c>
      <c r="K1117">
        <v>1</v>
      </c>
      <c r="L1117">
        <v>3</v>
      </c>
      <c r="M1117">
        <v>2003</v>
      </c>
      <c r="N1117" t="s">
        <v>550</v>
      </c>
      <c r="O1117">
        <v>99</v>
      </c>
      <c r="P1117" t="s">
        <v>608</v>
      </c>
      <c r="Q1117" t="s">
        <v>81</v>
      </c>
      <c r="R1117">
        <v>6505555787</v>
      </c>
      <c r="S1117" t="s">
        <v>82</v>
      </c>
      <c r="U1117" s="1" t="str">
        <f t="shared" si="105"/>
        <v>San Francisco</v>
      </c>
      <c r="V1117" t="s">
        <v>60</v>
      </c>
      <c r="W1117" t="s">
        <v>55</v>
      </c>
      <c r="Y1117" s="1" t="str">
        <f t="shared" si="106"/>
        <v>USA</v>
      </c>
      <c r="Z1117" s="4" t="str">
        <f t="shared" si="107"/>
        <v>Usa</v>
      </c>
      <c r="AA1117" t="s">
        <v>32</v>
      </c>
      <c r="AB1117" t="s">
        <v>33</v>
      </c>
      <c r="AC1117" t="s">
        <v>83</v>
      </c>
      <c r="AD1117" t="s">
        <v>57</v>
      </c>
      <c r="AE1117" t="s">
        <v>51</v>
      </c>
    </row>
    <row r="1118" spans="1:31" x14ac:dyDescent="0.3">
      <c r="A1118">
        <v>10126</v>
      </c>
      <c r="B1118">
        <v>38</v>
      </c>
      <c r="C1118">
        <v>82.34</v>
      </c>
      <c r="D1118">
        <v>16</v>
      </c>
      <c r="E1118" s="4" t="str">
        <f t="shared" si="102"/>
        <v>low sales</v>
      </c>
      <c r="F1118">
        <v>3128.92</v>
      </c>
      <c r="G1118" t="s">
        <v>1790</v>
      </c>
      <c r="H1118" s="1" t="str">
        <f t="shared" si="103"/>
        <v>Shipped</v>
      </c>
      <c r="I1118" s="4" t="str">
        <f t="shared" si="104"/>
        <v>completed</v>
      </c>
      <c r="J1118" t="s">
        <v>25</v>
      </c>
      <c r="K1118">
        <v>2</v>
      </c>
      <c r="L1118">
        <v>5</v>
      </c>
      <c r="M1118">
        <v>2003</v>
      </c>
      <c r="N1118" t="s">
        <v>550</v>
      </c>
      <c r="O1118">
        <v>99</v>
      </c>
      <c r="P1118" t="s">
        <v>608</v>
      </c>
      <c r="Q1118" t="s">
        <v>191</v>
      </c>
      <c r="R1118" t="s">
        <v>192</v>
      </c>
      <c r="S1118" t="s">
        <v>193</v>
      </c>
      <c r="U1118" s="1" t="str">
        <f t="shared" si="105"/>
        <v>Madrid</v>
      </c>
      <c r="V1118" t="s">
        <v>177</v>
      </c>
      <c r="X1118">
        <v>28023</v>
      </c>
      <c r="Y1118" s="1" t="str">
        <f t="shared" si="106"/>
        <v>SPAIN</v>
      </c>
      <c r="Z1118" s="4" t="str">
        <f t="shared" si="107"/>
        <v>Spain</v>
      </c>
      <c r="AA1118" t="s">
        <v>178</v>
      </c>
      <c r="AB1118" t="s">
        <v>42</v>
      </c>
      <c r="AC1118" t="s">
        <v>194</v>
      </c>
      <c r="AD1118" t="s">
        <v>195</v>
      </c>
      <c r="AE1118" t="s">
        <v>51</v>
      </c>
    </row>
    <row r="1119" spans="1:31" x14ac:dyDescent="0.3">
      <c r="A1119">
        <v>10139</v>
      </c>
      <c r="B1119">
        <v>30</v>
      </c>
      <c r="C1119">
        <v>100</v>
      </c>
      <c r="D1119">
        <v>5</v>
      </c>
      <c r="E1119" s="4" t="str">
        <f t="shared" si="102"/>
        <v>low sales</v>
      </c>
      <c r="F1119">
        <v>3095.4</v>
      </c>
      <c r="G1119" t="s">
        <v>1791</v>
      </c>
      <c r="H1119" s="1" t="str">
        <f t="shared" si="103"/>
        <v>Shipped</v>
      </c>
      <c r="I1119" s="4" t="str">
        <f t="shared" si="104"/>
        <v>completed</v>
      </c>
      <c r="J1119" t="s">
        <v>25</v>
      </c>
      <c r="K1119">
        <v>3</v>
      </c>
      <c r="L1119">
        <v>7</v>
      </c>
      <c r="M1119">
        <v>2003</v>
      </c>
      <c r="N1119" t="s">
        <v>550</v>
      </c>
      <c r="O1119">
        <v>99</v>
      </c>
      <c r="P1119" t="s">
        <v>608</v>
      </c>
      <c r="Q1119" t="s">
        <v>152</v>
      </c>
      <c r="R1119" t="s">
        <v>153</v>
      </c>
      <c r="S1119" t="s">
        <v>154</v>
      </c>
      <c r="T1119" t="s">
        <v>155</v>
      </c>
      <c r="U1119" s="1" t="str">
        <f t="shared" si="105"/>
        <v>Chatswood</v>
      </c>
      <c r="V1119" t="s">
        <v>156</v>
      </c>
      <c r="W1119" t="s">
        <v>157</v>
      </c>
      <c r="X1119">
        <v>2067</v>
      </c>
      <c r="Y1119" s="1" t="str">
        <f t="shared" si="106"/>
        <v>AUSTRALIA</v>
      </c>
      <c r="Z1119" s="4" t="str">
        <f t="shared" si="107"/>
        <v>Australia</v>
      </c>
      <c r="AA1119" t="s">
        <v>95</v>
      </c>
      <c r="AB1119" t="s">
        <v>96</v>
      </c>
      <c r="AC1119" t="s">
        <v>158</v>
      </c>
      <c r="AD1119" t="s">
        <v>159</v>
      </c>
      <c r="AE1119" t="s">
        <v>51</v>
      </c>
    </row>
    <row r="1120" spans="1:31" x14ac:dyDescent="0.3">
      <c r="A1120">
        <v>10149</v>
      </c>
      <c r="B1120">
        <v>42</v>
      </c>
      <c r="C1120">
        <v>94.25</v>
      </c>
      <c r="D1120">
        <v>2</v>
      </c>
      <c r="E1120" s="4" t="str">
        <f t="shared" si="102"/>
        <v>low sales</v>
      </c>
      <c r="F1120">
        <v>3958.5</v>
      </c>
      <c r="G1120" t="s">
        <v>1792</v>
      </c>
      <c r="H1120" s="1" t="str">
        <f t="shared" si="103"/>
        <v>Shipped</v>
      </c>
      <c r="I1120" s="4" t="str">
        <f t="shared" si="104"/>
        <v>completed</v>
      </c>
      <c r="J1120" t="s">
        <v>25</v>
      </c>
      <c r="K1120">
        <v>3</v>
      </c>
      <c r="L1120">
        <v>9</v>
      </c>
      <c r="M1120">
        <v>2003</v>
      </c>
      <c r="N1120" t="s">
        <v>550</v>
      </c>
      <c r="O1120">
        <v>99</v>
      </c>
      <c r="P1120" t="s">
        <v>608</v>
      </c>
      <c r="Q1120" t="s">
        <v>526</v>
      </c>
      <c r="R1120">
        <v>4155554312</v>
      </c>
      <c r="S1120" t="s">
        <v>527</v>
      </c>
      <c r="U1120" s="1" t="str">
        <f t="shared" si="105"/>
        <v>Brisbane</v>
      </c>
      <c r="V1120" t="s">
        <v>528</v>
      </c>
      <c r="W1120" t="s">
        <v>55</v>
      </c>
      <c r="X1120">
        <v>94217</v>
      </c>
      <c r="Y1120" s="1" t="str">
        <f t="shared" si="106"/>
        <v>USA</v>
      </c>
      <c r="Z1120" s="4" t="str">
        <f t="shared" si="107"/>
        <v>Usa</v>
      </c>
      <c r="AA1120" t="s">
        <v>32</v>
      </c>
      <c r="AB1120" t="s">
        <v>33</v>
      </c>
      <c r="AC1120" t="s">
        <v>529</v>
      </c>
      <c r="AD1120" t="s">
        <v>400</v>
      </c>
      <c r="AE1120" t="s">
        <v>51</v>
      </c>
    </row>
    <row r="1121" spans="1:31" x14ac:dyDescent="0.3">
      <c r="A1121">
        <v>10163</v>
      </c>
      <c r="B1121">
        <v>43</v>
      </c>
      <c r="C1121">
        <v>100</v>
      </c>
      <c r="D1121">
        <v>6</v>
      </c>
      <c r="E1121" s="4" t="str">
        <f t="shared" si="102"/>
        <v>high sales</v>
      </c>
      <c r="F1121">
        <v>4991.4399999999996</v>
      </c>
      <c r="G1121" t="s">
        <v>1793</v>
      </c>
      <c r="H1121" s="1" t="str">
        <f t="shared" si="103"/>
        <v>Shipped</v>
      </c>
      <c r="I1121" s="4" t="str">
        <f t="shared" si="104"/>
        <v>completed</v>
      </c>
      <c r="J1121" t="s">
        <v>25</v>
      </c>
      <c r="K1121">
        <v>4</v>
      </c>
      <c r="L1121">
        <v>10</v>
      </c>
      <c r="M1121">
        <v>2003</v>
      </c>
      <c r="N1121" t="s">
        <v>550</v>
      </c>
      <c r="O1121">
        <v>99</v>
      </c>
      <c r="P1121" t="s">
        <v>608</v>
      </c>
      <c r="Q1121" t="s">
        <v>203</v>
      </c>
      <c r="R1121">
        <v>2125558493</v>
      </c>
      <c r="S1121" t="s">
        <v>204</v>
      </c>
      <c r="T1121" t="s">
        <v>205</v>
      </c>
      <c r="U1121" s="1" t="str">
        <f t="shared" si="105"/>
        <v>Nyc</v>
      </c>
      <c r="V1121" t="s">
        <v>30</v>
      </c>
      <c r="W1121" t="s">
        <v>31</v>
      </c>
      <c r="X1121">
        <v>10022</v>
      </c>
      <c r="Y1121" s="1" t="str">
        <f t="shared" si="106"/>
        <v>USA</v>
      </c>
      <c r="Z1121" s="4" t="str">
        <f t="shared" si="107"/>
        <v>Usa</v>
      </c>
      <c r="AA1121" t="s">
        <v>32</v>
      </c>
      <c r="AB1121" t="s">
        <v>33</v>
      </c>
      <c r="AC1121" t="s">
        <v>124</v>
      </c>
      <c r="AD1121" t="s">
        <v>206</v>
      </c>
      <c r="AE1121" t="s">
        <v>51</v>
      </c>
    </row>
    <row r="1122" spans="1:31" x14ac:dyDescent="0.3">
      <c r="A1122">
        <v>10173</v>
      </c>
      <c r="B1122">
        <v>29</v>
      </c>
      <c r="C1122">
        <v>95.24</v>
      </c>
      <c r="D1122">
        <v>4</v>
      </c>
      <c r="E1122" s="4" t="str">
        <f t="shared" si="102"/>
        <v>low sales</v>
      </c>
      <c r="F1122">
        <v>2761.96</v>
      </c>
      <c r="G1122" t="s">
        <v>1794</v>
      </c>
      <c r="H1122" s="1" t="str">
        <f t="shared" si="103"/>
        <v>Shipped</v>
      </c>
      <c r="I1122" s="4" t="str">
        <f t="shared" si="104"/>
        <v>completed</v>
      </c>
      <c r="J1122" t="s">
        <v>25</v>
      </c>
      <c r="K1122">
        <v>4</v>
      </c>
      <c r="L1122">
        <v>11</v>
      </c>
      <c r="M1122">
        <v>2003</v>
      </c>
      <c r="N1122" t="s">
        <v>550</v>
      </c>
      <c r="O1122">
        <v>99</v>
      </c>
      <c r="P1122" t="s">
        <v>608</v>
      </c>
      <c r="Q1122" t="s">
        <v>552</v>
      </c>
      <c r="R1122" t="s">
        <v>553</v>
      </c>
      <c r="S1122" t="s">
        <v>554</v>
      </c>
      <c r="U1122" s="1" t="str">
        <f t="shared" si="105"/>
        <v>Bergamo</v>
      </c>
      <c r="V1122" t="s">
        <v>555</v>
      </c>
      <c r="X1122">
        <v>24100</v>
      </c>
      <c r="Y1122" s="1" t="str">
        <f t="shared" si="106"/>
        <v>ITALY</v>
      </c>
      <c r="Z1122" s="4" t="str">
        <f t="shared" si="107"/>
        <v>Italy</v>
      </c>
      <c r="AA1122" t="s">
        <v>258</v>
      </c>
      <c r="AB1122" t="s">
        <v>42</v>
      </c>
      <c r="AC1122" t="s">
        <v>556</v>
      </c>
      <c r="AD1122" t="s">
        <v>557</v>
      </c>
      <c r="AE1122" t="s">
        <v>36</v>
      </c>
    </row>
    <row r="1123" spans="1:31" x14ac:dyDescent="0.3">
      <c r="A1123">
        <v>10182</v>
      </c>
      <c r="B1123">
        <v>33</v>
      </c>
      <c r="C1123">
        <v>86.31</v>
      </c>
      <c r="D1123">
        <v>1</v>
      </c>
      <c r="E1123" s="4" t="str">
        <f t="shared" si="102"/>
        <v>low sales</v>
      </c>
      <c r="F1123">
        <v>2848.23</v>
      </c>
      <c r="G1123" t="s">
        <v>1795</v>
      </c>
      <c r="H1123" s="1" t="str">
        <f t="shared" si="103"/>
        <v>Shipped</v>
      </c>
      <c r="I1123" s="4" t="str">
        <f t="shared" si="104"/>
        <v>completed</v>
      </c>
      <c r="J1123" t="s">
        <v>25</v>
      </c>
      <c r="K1123">
        <v>4</v>
      </c>
      <c r="L1123">
        <v>11</v>
      </c>
      <c r="M1123">
        <v>2003</v>
      </c>
      <c r="N1123" t="s">
        <v>550</v>
      </c>
      <c r="O1123">
        <v>99</v>
      </c>
      <c r="P1123" t="s">
        <v>608</v>
      </c>
      <c r="Q1123" t="s">
        <v>272</v>
      </c>
      <c r="R1123">
        <v>4155551450</v>
      </c>
      <c r="S1123" t="s">
        <v>273</v>
      </c>
      <c r="U1123" s="1" t="str">
        <f t="shared" si="105"/>
        <v>San Rafael</v>
      </c>
      <c r="V1123" t="s">
        <v>274</v>
      </c>
      <c r="W1123" t="s">
        <v>55</v>
      </c>
      <c r="X1123">
        <v>97562</v>
      </c>
      <c r="Y1123" s="1" t="str">
        <f t="shared" si="106"/>
        <v>USA</v>
      </c>
      <c r="Z1123" s="4" t="str">
        <f t="shared" si="107"/>
        <v>Usa</v>
      </c>
      <c r="AA1123" t="s">
        <v>32</v>
      </c>
      <c r="AB1123" t="s">
        <v>33</v>
      </c>
      <c r="AC1123" t="s">
        <v>275</v>
      </c>
      <c r="AD1123" t="s">
        <v>276</v>
      </c>
      <c r="AE1123" t="s">
        <v>36</v>
      </c>
    </row>
    <row r="1124" spans="1:31" x14ac:dyDescent="0.3">
      <c r="A1124">
        <v>10193</v>
      </c>
      <c r="B1124">
        <v>32</v>
      </c>
      <c r="C1124">
        <v>79.37</v>
      </c>
      <c r="D1124">
        <v>5</v>
      </c>
      <c r="E1124" s="4" t="str">
        <f t="shared" si="102"/>
        <v>low sales</v>
      </c>
      <c r="F1124">
        <v>2539.84</v>
      </c>
      <c r="G1124" t="s">
        <v>1796</v>
      </c>
      <c r="H1124" s="1" t="str">
        <f t="shared" si="103"/>
        <v>Shipped</v>
      </c>
      <c r="I1124" s="4" t="str">
        <f t="shared" si="104"/>
        <v>completed</v>
      </c>
      <c r="J1124" t="s">
        <v>25</v>
      </c>
      <c r="K1124">
        <v>4</v>
      </c>
      <c r="L1124">
        <v>11</v>
      </c>
      <c r="M1124">
        <v>2003</v>
      </c>
      <c r="N1124" t="s">
        <v>550</v>
      </c>
      <c r="O1124">
        <v>99</v>
      </c>
      <c r="P1124" t="s">
        <v>608</v>
      </c>
      <c r="Q1124" t="s">
        <v>558</v>
      </c>
      <c r="R1124" t="s">
        <v>559</v>
      </c>
      <c r="S1124" t="s">
        <v>560</v>
      </c>
      <c r="U1124" s="1" t="str">
        <f t="shared" si="105"/>
        <v>Glen Waverly</v>
      </c>
      <c r="V1124" t="s">
        <v>561</v>
      </c>
      <c r="W1124" t="s">
        <v>94</v>
      </c>
      <c r="X1124">
        <v>3150</v>
      </c>
      <c r="Y1124" s="1" t="str">
        <f t="shared" si="106"/>
        <v>AUSTRALIA</v>
      </c>
      <c r="Z1124" s="4" t="str">
        <f t="shared" si="107"/>
        <v>Australia</v>
      </c>
      <c r="AA1124" t="s">
        <v>95</v>
      </c>
      <c r="AB1124" t="s">
        <v>96</v>
      </c>
      <c r="AC1124" t="s">
        <v>562</v>
      </c>
      <c r="AD1124" t="s">
        <v>563</v>
      </c>
      <c r="AE1124" t="s">
        <v>36</v>
      </c>
    </row>
    <row r="1125" spans="1:31" x14ac:dyDescent="0.3">
      <c r="A1125">
        <v>10206</v>
      </c>
      <c r="B1125">
        <v>28</v>
      </c>
      <c r="C1125">
        <v>87.3</v>
      </c>
      <c r="D1125">
        <v>11</v>
      </c>
      <c r="E1125" s="4" t="str">
        <f t="shared" si="102"/>
        <v>low sales</v>
      </c>
      <c r="F1125">
        <v>2444.4</v>
      </c>
      <c r="G1125" t="s">
        <v>1797</v>
      </c>
      <c r="H1125" s="1" t="str">
        <f t="shared" si="103"/>
        <v>Shipped</v>
      </c>
      <c r="I1125" s="4" t="str">
        <f t="shared" si="104"/>
        <v>completed</v>
      </c>
      <c r="J1125" t="s">
        <v>25</v>
      </c>
      <c r="K1125">
        <v>4</v>
      </c>
      <c r="L1125">
        <v>12</v>
      </c>
      <c r="M1125">
        <v>2003</v>
      </c>
      <c r="N1125" t="s">
        <v>550</v>
      </c>
      <c r="O1125">
        <v>99</v>
      </c>
      <c r="P1125" t="s">
        <v>608</v>
      </c>
      <c r="Q1125" t="s">
        <v>225</v>
      </c>
      <c r="R1125" t="s">
        <v>226</v>
      </c>
      <c r="S1125" t="s">
        <v>227</v>
      </c>
      <c r="U1125" s="1" t="str">
        <f t="shared" si="105"/>
        <v>Vancouver</v>
      </c>
      <c r="V1125" t="s">
        <v>228</v>
      </c>
      <c r="W1125" t="s">
        <v>229</v>
      </c>
      <c r="X1125" t="s">
        <v>230</v>
      </c>
      <c r="Y1125" s="1" t="str">
        <f t="shared" si="106"/>
        <v>CANADA</v>
      </c>
      <c r="Z1125" s="4" t="str">
        <f t="shared" si="107"/>
        <v>Canada</v>
      </c>
      <c r="AA1125" t="s">
        <v>231</v>
      </c>
      <c r="AB1125" t="s">
        <v>33</v>
      </c>
      <c r="AC1125" t="s">
        <v>232</v>
      </c>
      <c r="AD1125" t="s">
        <v>233</v>
      </c>
      <c r="AE1125" t="s">
        <v>36</v>
      </c>
    </row>
    <row r="1126" spans="1:31" x14ac:dyDescent="0.3">
      <c r="A1126">
        <v>10215</v>
      </c>
      <c r="B1126">
        <v>41</v>
      </c>
      <c r="C1126">
        <v>100</v>
      </c>
      <c r="D1126">
        <v>8</v>
      </c>
      <c r="E1126" s="4" t="str">
        <f t="shared" si="102"/>
        <v>high sales</v>
      </c>
      <c r="F1126">
        <v>4555.92</v>
      </c>
      <c r="G1126" t="s">
        <v>1798</v>
      </c>
      <c r="H1126" s="1" t="str">
        <f t="shared" si="103"/>
        <v>Shipped</v>
      </c>
      <c r="I1126" s="4" t="str">
        <f t="shared" si="104"/>
        <v>completed</v>
      </c>
      <c r="J1126" t="s">
        <v>25</v>
      </c>
      <c r="K1126">
        <v>1</v>
      </c>
      <c r="L1126">
        <v>1</v>
      </c>
      <c r="M1126">
        <v>2004</v>
      </c>
      <c r="N1126" t="s">
        <v>550</v>
      </c>
      <c r="O1126">
        <v>99</v>
      </c>
      <c r="P1126" t="s">
        <v>608</v>
      </c>
      <c r="Q1126" t="s">
        <v>234</v>
      </c>
      <c r="R1126">
        <v>3105553722</v>
      </c>
      <c r="S1126" t="s">
        <v>235</v>
      </c>
      <c r="U1126" s="1" t="str">
        <f t="shared" si="105"/>
        <v>Burbank</v>
      </c>
      <c r="V1126" t="s">
        <v>236</v>
      </c>
      <c r="W1126" t="s">
        <v>55</v>
      </c>
      <c r="X1126">
        <v>94019</v>
      </c>
      <c r="Y1126" s="1" t="str">
        <f t="shared" si="106"/>
        <v>USA</v>
      </c>
      <c r="Z1126" s="4" t="str">
        <f t="shared" si="107"/>
        <v>Usa</v>
      </c>
      <c r="AA1126" t="s">
        <v>32</v>
      </c>
      <c r="AB1126" t="s">
        <v>33</v>
      </c>
      <c r="AC1126" t="s">
        <v>237</v>
      </c>
      <c r="AD1126" t="s">
        <v>238</v>
      </c>
      <c r="AE1126" t="s">
        <v>51</v>
      </c>
    </row>
    <row r="1127" spans="1:31" x14ac:dyDescent="0.3">
      <c r="A1127">
        <v>10227</v>
      </c>
      <c r="B1127">
        <v>33</v>
      </c>
      <c r="C1127">
        <v>100</v>
      </c>
      <c r="D1127">
        <v>1</v>
      </c>
      <c r="E1127" s="4" t="str">
        <f t="shared" si="102"/>
        <v>low sales</v>
      </c>
      <c r="F1127">
        <v>3666.96</v>
      </c>
      <c r="G1127" t="s">
        <v>1799</v>
      </c>
      <c r="H1127" s="1" t="str">
        <f t="shared" si="103"/>
        <v>Shipped</v>
      </c>
      <c r="I1127" s="4" t="str">
        <f t="shared" si="104"/>
        <v>completed</v>
      </c>
      <c r="J1127" t="s">
        <v>25</v>
      </c>
      <c r="K1127">
        <v>1</v>
      </c>
      <c r="L1127">
        <v>3</v>
      </c>
      <c r="M1127">
        <v>2004</v>
      </c>
      <c r="N1127" t="s">
        <v>550</v>
      </c>
      <c r="O1127">
        <v>99</v>
      </c>
      <c r="P1127" t="s">
        <v>608</v>
      </c>
      <c r="Q1127" t="s">
        <v>219</v>
      </c>
      <c r="R1127" t="s">
        <v>220</v>
      </c>
      <c r="S1127" t="s">
        <v>221</v>
      </c>
      <c r="U1127" s="1" t="str">
        <f t="shared" si="105"/>
        <v>Lyon</v>
      </c>
      <c r="V1127" t="s">
        <v>222</v>
      </c>
      <c r="X1127">
        <v>69004</v>
      </c>
      <c r="Y1127" s="1" t="str">
        <f t="shared" si="106"/>
        <v>FRANCE</v>
      </c>
      <c r="Z1127" s="4" t="str">
        <f t="shared" si="107"/>
        <v>France</v>
      </c>
      <c r="AA1127" t="s">
        <v>41</v>
      </c>
      <c r="AB1127" t="s">
        <v>42</v>
      </c>
      <c r="AC1127" t="s">
        <v>223</v>
      </c>
      <c r="AD1127" t="s">
        <v>224</v>
      </c>
      <c r="AE1127" t="s">
        <v>51</v>
      </c>
    </row>
    <row r="1128" spans="1:31" x14ac:dyDescent="0.3">
      <c r="A1128">
        <v>10244</v>
      </c>
      <c r="B1128">
        <v>36</v>
      </c>
      <c r="C1128">
        <v>84.33</v>
      </c>
      <c r="D1128">
        <v>5</v>
      </c>
      <c r="E1128" s="4" t="str">
        <f t="shared" si="102"/>
        <v>low sales</v>
      </c>
      <c r="F1128">
        <v>3035.88</v>
      </c>
      <c r="G1128" t="s">
        <v>1800</v>
      </c>
      <c r="H1128" s="1" t="str">
        <f t="shared" si="103"/>
        <v>Shipped</v>
      </c>
      <c r="I1128" s="4" t="str">
        <f t="shared" si="104"/>
        <v>completed</v>
      </c>
      <c r="J1128" t="s">
        <v>25</v>
      </c>
      <c r="K1128">
        <v>2</v>
      </c>
      <c r="L1128">
        <v>4</v>
      </c>
      <c r="M1128">
        <v>2004</v>
      </c>
      <c r="N1128" t="s">
        <v>550</v>
      </c>
      <c r="O1128">
        <v>99</v>
      </c>
      <c r="P1128" t="s">
        <v>608</v>
      </c>
      <c r="Q1128" t="s">
        <v>174</v>
      </c>
      <c r="R1128" t="s">
        <v>175</v>
      </c>
      <c r="S1128" t="s">
        <v>176</v>
      </c>
      <c r="U1128" s="1" t="str">
        <f t="shared" si="105"/>
        <v>Madrid</v>
      </c>
      <c r="V1128" t="s">
        <v>177</v>
      </c>
      <c r="X1128">
        <v>28034</v>
      </c>
      <c r="Y1128" s="1" t="str">
        <f t="shared" si="106"/>
        <v>SPAIN</v>
      </c>
      <c r="Z1128" s="4" t="str">
        <f t="shared" si="107"/>
        <v>Spain</v>
      </c>
      <c r="AA1128" t="s">
        <v>178</v>
      </c>
      <c r="AB1128" t="s">
        <v>42</v>
      </c>
      <c r="AC1128" t="s">
        <v>179</v>
      </c>
      <c r="AD1128" t="s">
        <v>180</v>
      </c>
      <c r="AE1128" t="s">
        <v>51</v>
      </c>
    </row>
    <row r="1129" spans="1:31" x14ac:dyDescent="0.3">
      <c r="A1129">
        <v>10257</v>
      </c>
      <c r="B1129">
        <v>26</v>
      </c>
      <c r="C1129">
        <v>89.29</v>
      </c>
      <c r="D1129">
        <v>5</v>
      </c>
      <c r="E1129" s="4" t="str">
        <f t="shared" si="102"/>
        <v>low sales</v>
      </c>
      <c r="F1129">
        <v>2321.54</v>
      </c>
      <c r="G1129" t="s">
        <v>1801</v>
      </c>
      <c r="H1129" s="1" t="str">
        <f t="shared" si="103"/>
        <v>Shipped</v>
      </c>
      <c r="I1129" s="4" t="str">
        <f t="shared" si="104"/>
        <v>completed</v>
      </c>
      <c r="J1129" t="s">
        <v>25</v>
      </c>
      <c r="K1129">
        <v>2</v>
      </c>
      <c r="L1129">
        <v>6</v>
      </c>
      <c r="M1129">
        <v>2004</v>
      </c>
      <c r="N1129" t="s">
        <v>550</v>
      </c>
      <c r="O1129">
        <v>99</v>
      </c>
      <c r="P1129" t="s">
        <v>608</v>
      </c>
      <c r="Q1129" t="s">
        <v>397</v>
      </c>
      <c r="R1129">
        <v>4085553659</v>
      </c>
      <c r="S1129" t="s">
        <v>398</v>
      </c>
      <c r="U1129" s="1" t="str">
        <f t="shared" si="105"/>
        <v>San Jose</v>
      </c>
      <c r="V1129" t="s">
        <v>399</v>
      </c>
      <c r="W1129" t="s">
        <v>55</v>
      </c>
      <c r="X1129">
        <v>94217</v>
      </c>
      <c r="Y1129" s="1" t="str">
        <f t="shared" si="106"/>
        <v>USA</v>
      </c>
      <c r="Z1129" s="4" t="str">
        <f t="shared" si="107"/>
        <v>Usa</v>
      </c>
      <c r="AA1129" t="s">
        <v>32</v>
      </c>
      <c r="AB1129" t="s">
        <v>33</v>
      </c>
      <c r="AC1129" t="s">
        <v>102</v>
      </c>
      <c r="AD1129" t="s">
        <v>400</v>
      </c>
      <c r="AE1129" t="s">
        <v>36</v>
      </c>
    </row>
    <row r="1130" spans="1:31" x14ac:dyDescent="0.3">
      <c r="A1130">
        <v>10280</v>
      </c>
      <c r="B1130">
        <v>34</v>
      </c>
      <c r="C1130">
        <v>100</v>
      </c>
      <c r="D1130">
        <v>7</v>
      </c>
      <c r="E1130" s="4" t="str">
        <f t="shared" si="102"/>
        <v>low sales</v>
      </c>
      <c r="F1130">
        <v>3474.46</v>
      </c>
      <c r="G1130" t="s">
        <v>1802</v>
      </c>
      <c r="H1130" s="1" t="str">
        <f t="shared" si="103"/>
        <v>Shipped</v>
      </c>
      <c r="I1130" s="4" t="str">
        <f t="shared" si="104"/>
        <v>completed</v>
      </c>
      <c r="J1130" t="s">
        <v>25</v>
      </c>
      <c r="K1130">
        <v>3</v>
      </c>
      <c r="L1130">
        <v>8</v>
      </c>
      <c r="M1130">
        <v>2004</v>
      </c>
      <c r="N1130" t="s">
        <v>550</v>
      </c>
      <c r="O1130">
        <v>99</v>
      </c>
      <c r="P1130" t="s">
        <v>608</v>
      </c>
      <c r="Q1130" t="s">
        <v>254</v>
      </c>
      <c r="R1130" t="s">
        <v>255</v>
      </c>
      <c r="S1130" t="s">
        <v>256</v>
      </c>
      <c r="U1130" s="1" t="str">
        <f t="shared" si="105"/>
        <v>Torino</v>
      </c>
      <c r="V1130" t="s">
        <v>257</v>
      </c>
      <c r="X1130">
        <v>10100</v>
      </c>
      <c r="Y1130" s="1" t="str">
        <f t="shared" si="106"/>
        <v>ITALY</v>
      </c>
      <c r="Z1130" s="4" t="str">
        <f t="shared" si="107"/>
        <v>Italy</v>
      </c>
      <c r="AA1130" t="s">
        <v>258</v>
      </c>
      <c r="AB1130" t="s">
        <v>42</v>
      </c>
      <c r="AC1130" t="s">
        <v>259</v>
      </c>
      <c r="AD1130" t="s">
        <v>260</v>
      </c>
      <c r="AE1130" t="s">
        <v>51</v>
      </c>
    </row>
    <row r="1131" spans="1:31" x14ac:dyDescent="0.3">
      <c r="A1131">
        <v>10290</v>
      </c>
      <c r="B1131">
        <v>26</v>
      </c>
      <c r="C1131">
        <v>96.23</v>
      </c>
      <c r="D1131">
        <v>2</v>
      </c>
      <c r="E1131" s="4" t="str">
        <f t="shared" si="102"/>
        <v>low sales</v>
      </c>
      <c r="F1131">
        <v>2501.98</v>
      </c>
      <c r="G1131" t="s">
        <v>1803</v>
      </c>
      <c r="H1131" s="1" t="str">
        <f t="shared" si="103"/>
        <v>Shipped</v>
      </c>
      <c r="I1131" s="4" t="str">
        <f t="shared" si="104"/>
        <v>completed</v>
      </c>
      <c r="J1131" t="s">
        <v>25</v>
      </c>
      <c r="K1131">
        <v>3</v>
      </c>
      <c r="L1131">
        <v>9</v>
      </c>
      <c r="M1131">
        <v>2004</v>
      </c>
      <c r="N1131" t="s">
        <v>550</v>
      </c>
      <c r="O1131">
        <v>99</v>
      </c>
      <c r="P1131" t="s">
        <v>608</v>
      </c>
      <c r="Q1131" t="s">
        <v>600</v>
      </c>
      <c r="R1131">
        <v>6175558428</v>
      </c>
      <c r="S1131" t="s">
        <v>601</v>
      </c>
      <c r="U1131" s="1" t="str">
        <f t="shared" si="105"/>
        <v>Brickhaven</v>
      </c>
      <c r="V1131" t="s">
        <v>283</v>
      </c>
      <c r="W1131" t="s">
        <v>123</v>
      </c>
      <c r="X1131">
        <v>58339</v>
      </c>
      <c r="Y1131" s="1" t="str">
        <f t="shared" si="106"/>
        <v>USA</v>
      </c>
      <c r="Z1131" s="4" t="str">
        <f t="shared" si="107"/>
        <v>Usa</v>
      </c>
      <c r="AA1131" t="s">
        <v>32</v>
      </c>
      <c r="AB1131" t="s">
        <v>33</v>
      </c>
      <c r="AC1131" t="s">
        <v>529</v>
      </c>
      <c r="AD1131" t="s">
        <v>245</v>
      </c>
      <c r="AE1131" t="s">
        <v>36</v>
      </c>
    </row>
    <row r="1132" spans="1:31" x14ac:dyDescent="0.3">
      <c r="A1132">
        <v>10304</v>
      </c>
      <c r="B1132">
        <v>38</v>
      </c>
      <c r="C1132">
        <v>100</v>
      </c>
      <c r="D1132">
        <v>11</v>
      </c>
      <c r="E1132" s="4" t="str">
        <f t="shared" si="102"/>
        <v>low sales</v>
      </c>
      <c r="F1132">
        <v>3958.46</v>
      </c>
      <c r="G1132" t="s">
        <v>1804</v>
      </c>
      <c r="H1132" s="1" t="str">
        <f t="shared" si="103"/>
        <v>Shipped</v>
      </c>
      <c r="I1132" s="4" t="str">
        <f t="shared" si="104"/>
        <v>completed</v>
      </c>
      <c r="J1132" t="s">
        <v>25</v>
      </c>
      <c r="K1132">
        <v>4</v>
      </c>
      <c r="L1132">
        <v>10</v>
      </c>
      <c r="M1132">
        <v>2004</v>
      </c>
      <c r="N1132" t="s">
        <v>550</v>
      </c>
      <c r="O1132">
        <v>99</v>
      </c>
      <c r="P1132" t="s">
        <v>608</v>
      </c>
      <c r="Q1132" t="s">
        <v>267</v>
      </c>
      <c r="R1132" t="s">
        <v>268</v>
      </c>
      <c r="S1132" t="s">
        <v>269</v>
      </c>
      <c r="U1132" s="1" t="str">
        <f t="shared" si="105"/>
        <v>Versailles</v>
      </c>
      <c r="V1132" t="s">
        <v>270</v>
      </c>
      <c r="X1132">
        <v>78000</v>
      </c>
      <c r="Y1132" s="1" t="str">
        <f t="shared" si="106"/>
        <v>FRANCE</v>
      </c>
      <c r="Z1132" s="4" t="str">
        <f t="shared" si="107"/>
        <v>France</v>
      </c>
      <c r="AA1132" t="s">
        <v>41</v>
      </c>
      <c r="AB1132" t="s">
        <v>42</v>
      </c>
      <c r="AC1132" t="s">
        <v>271</v>
      </c>
      <c r="AD1132" t="s">
        <v>50</v>
      </c>
      <c r="AE1132" t="s">
        <v>51</v>
      </c>
    </row>
    <row r="1133" spans="1:31" x14ac:dyDescent="0.3">
      <c r="A1133">
        <v>10312</v>
      </c>
      <c r="B1133">
        <v>33</v>
      </c>
      <c r="C1133">
        <v>100</v>
      </c>
      <c r="D1133">
        <v>8</v>
      </c>
      <c r="E1133" s="4" t="str">
        <f t="shared" si="102"/>
        <v>low sales</v>
      </c>
      <c r="F1133">
        <v>3535.95</v>
      </c>
      <c r="G1133" t="s">
        <v>1805</v>
      </c>
      <c r="H1133" s="1" t="str">
        <f t="shared" si="103"/>
        <v>Shipped</v>
      </c>
      <c r="I1133" s="4" t="str">
        <f t="shared" si="104"/>
        <v>completed</v>
      </c>
      <c r="J1133" t="s">
        <v>25</v>
      </c>
      <c r="K1133">
        <v>4</v>
      </c>
      <c r="L1133">
        <v>10</v>
      </c>
      <c r="M1133">
        <v>2004</v>
      </c>
      <c r="N1133" t="s">
        <v>550</v>
      </c>
      <c r="O1133">
        <v>99</v>
      </c>
      <c r="P1133" t="s">
        <v>608</v>
      </c>
      <c r="Q1133" t="s">
        <v>272</v>
      </c>
      <c r="R1133">
        <v>4155551450</v>
      </c>
      <c r="S1133" t="s">
        <v>273</v>
      </c>
      <c r="U1133" s="1" t="str">
        <f t="shared" si="105"/>
        <v>San Rafael</v>
      </c>
      <c r="V1133" t="s">
        <v>274</v>
      </c>
      <c r="W1133" t="s">
        <v>55</v>
      </c>
      <c r="X1133">
        <v>97562</v>
      </c>
      <c r="Y1133" s="1" t="str">
        <f t="shared" si="106"/>
        <v>USA</v>
      </c>
      <c r="Z1133" s="4" t="str">
        <f t="shared" si="107"/>
        <v>Usa</v>
      </c>
      <c r="AA1133" t="s">
        <v>32</v>
      </c>
      <c r="AB1133" t="s">
        <v>33</v>
      </c>
      <c r="AC1133" t="s">
        <v>275</v>
      </c>
      <c r="AD1133" t="s">
        <v>276</v>
      </c>
      <c r="AE1133" t="s">
        <v>51</v>
      </c>
    </row>
    <row r="1134" spans="1:31" x14ac:dyDescent="0.3">
      <c r="A1134">
        <v>10323</v>
      </c>
      <c r="B1134">
        <v>33</v>
      </c>
      <c r="C1134">
        <v>91.27</v>
      </c>
      <c r="D1134">
        <v>2</v>
      </c>
      <c r="E1134" s="4" t="str">
        <f t="shared" si="102"/>
        <v>low sales</v>
      </c>
      <c r="F1134">
        <v>3011.91</v>
      </c>
      <c r="G1134" t="s">
        <v>1806</v>
      </c>
      <c r="H1134" s="1" t="str">
        <f t="shared" si="103"/>
        <v>Shipped</v>
      </c>
      <c r="I1134" s="4" t="str">
        <f t="shared" si="104"/>
        <v>completed</v>
      </c>
      <c r="J1134" t="s">
        <v>25</v>
      </c>
      <c r="K1134">
        <v>4</v>
      </c>
      <c r="L1134">
        <v>11</v>
      </c>
      <c r="M1134">
        <v>2004</v>
      </c>
      <c r="N1134" t="s">
        <v>550</v>
      </c>
      <c r="O1134">
        <v>99</v>
      </c>
      <c r="P1134" t="s">
        <v>608</v>
      </c>
      <c r="Q1134" t="s">
        <v>462</v>
      </c>
      <c r="R1134" t="s">
        <v>463</v>
      </c>
      <c r="S1134" t="s">
        <v>464</v>
      </c>
      <c r="U1134" s="1" t="str">
        <f t="shared" si="105"/>
        <v>Frankfurt</v>
      </c>
      <c r="V1134" t="s">
        <v>465</v>
      </c>
      <c r="X1134">
        <v>60528</v>
      </c>
      <c r="Y1134" s="1" t="str">
        <f t="shared" si="106"/>
        <v>GERMANY</v>
      </c>
      <c r="Z1134" s="4" t="str">
        <f t="shared" si="107"/>
        <v>Germany</v>
      </c>
      <c r="AA1134" t="s">
        <v>443</v>
      </c>
      <c r="AB1134" t="s">
        <v>42</v>
      </c>
      <c r="AC1134" t="s">
        <v>466</v>
      </c>
      <c r="AD1134" t="s">
        <v>414</v>
      </c>
      <c r="AE1134" t="s">
        <v>51</v>
      </c>
    </row>
    <row r="1135" spans="1:31" x14ac:dyDescent="0.3">
      <c r="A1135">
        <v>10333</v>
      </c>
      <c r="B1135">
        <v>46</v>
      </c>
      <c r="C1135">
        <v>100</v>
      </c>
      <c r="D1135">
        <v>2</v>
      </c>
      <c r="E1135" s="4" t="str">
        <f t="shared" si="102"/>
        <v>high sales</v>
      </c>
      <c r="F1135">
        <v>11336.7</v>
      </c>
      <c r="G1135" t="s">
        <v>1807</v>
      </c>
      <c r="H1135" s="1" t="str">
        <f t="shared" si="103"/>
        <v>Shipped</v>
      </c>
      <c r="I1135" s="4" t="str">
        <f t="shared" si="104"/>
        <v>completed</v>
      </c>
      <c r="J1135" t="s">
        <v>25</v>
      </c>
      <c r="K1135">
        <v>4</v>
      </c>
      <c r="L1135">
        <v>11</v>
      </c>
      <c r="M1135">
        <v>2004</v>
      </c>
      <c r="N1135" t="s">
        <v>550</v>
      </c>
      <c r="O1135">
        <v>99</v>
      </c>
      <c r="P1135" t="s">
        <v>608</v>
      </c>
      <c r="Q1135" t="s">
        <v>81</v>
      </c>
      <c r="R1135">
        <v>6505555787</v>
      </c>
      <c r="S1135" t="s">
        <v>82</v>
      </c>
      <c r="U1135" s="1" t="str">
        <f t="shared" si="105"/>
        <v>San Francisco</v>
      </c>
      <c r="V1135" t="s">
        <v>60</v>
      </c>
      <c r="W1135" t="s">
        <v>55</v>
      </c>
      <c r="Y1135" s="1" t="str">
        <f t="shared" si="106"/>
        <v>USA</v>
      </c>
      <c r="Z1135" s="4" t="str">
        <f t="shared" si="107"/>
        <v>Usa</v>
      </c>
      <c r="AA1135" t="s">
        <v>32</v>
      </c>
      <c r="AB1135" t="s">
        <v>33</v>
      </c>
      <c r="AC1135" t="s">
        <v>83</v>
      </c>
      <c r="AD1135" t="s">
        <v>57</v>
      </c>
      <c r="AE1135" t="s">
        <v>151</v>
      </c>
    </row>
    <row r="1136" spans="1:31" x14ac:dyDescent="0.3">
      <c r="A1136">
        <v>10347</v>
      </c>
      <c r="B1136">
        <v>26</v>
      </c>
      <c r="C1136">
        <v>100</v>
      </c>
      <c r="D1136">
        <v>12</v>
      </c>
      <c r="E1136" s="4" t="str">
        <f t="shared" si="102"/>
        <v>low sales</v>
      </c>
      <c r="F1136">
        <v>2656.94</v>
      </c>
      <c r="G1136" t="s">
        <v>1808</v>
      </c>
      <c r="H1136" s="1" t="str">
        <f t="shared" si="103"/>
        <v>Shipped</v>
      </c>
      <c r="I1136" s="4" t="str">
        <f t="shared" si="104"/>
        <v>completed</v>
      </c>
      <c r="J1136" t="s">
        <v>25</v>
      </c>
      <c r="K1136">
        <v>4</v>
      </c>
      <c r="L1136">
        <v>11</v>
      </c>
      <c r="M1136">
        <v>2004</v>
      </c>
      <c r="N1136" t="s">
        <v>550</v>
      </c>
      <c r="O1136">
        <v>99</v>
      </c>
      <c r="P1136" t="s">
        <v>608</v>
      </c>
      <c r="Q1136" t="s">
        <v>89</v>
      </c>
      <c r="R1136" t="s">
        <v>90</v>
      </c>
      <c r="S1136" t="s">
        <v>91</v>
      </c>
      <c r="T1136" t="s">
        <v>92</v>
      </c>
      <c r="U1136" s="1" t="str">
        <f t="shared" si="105"/>
        <v>Melbourne</v>
      </c>
      <c r="V1136" t="s">
        <v>93</v>
      </c>
      <c r="W1136" t="s">
        <v>94</v>
      </c>
      <c r="X1136">
        <v>3004</v>
      </c>
      <c r="Y1136" s="1" t="str">
        <f t="shared" si="106"/>
        <v>AUSTRALIA</v>
      </c>
      <c r="Z1136" s="4" t="str">
        <f t="shared" si="107"/>
        <v>Australia</v>
      </c>
      <c r="AA1136" t="s">
        <v>95</v>
      </c>
      <c r="AB1136" t="s">
        <v>96</v>
      </c>
      <c r="AC1136" t="s">
        <v>97</v>
      </c>
      <c r="AD1136" t="s">
        <v>98</v>
      </c>
      <c r="AE1136" t="s">
        <v>36</v>
      </c>
    </row>
    <row r="1137" spans="1:31" x14ac:dyDescent="0.3">
      <c r="A1137">
        <v>10357</v>
      </c>
      <c r="B1137">
        <v>25</v>
      </c>
      <c r="C1137">
        <v>100</v>
      </c>
      <c r="D1137">
        <v>3</v>
      </c>
      <c r="E1137" s="4" t="str">
        <f t="shared" si="102"/>
        <v>low sales</v>
      </c>
      <c r="F1137">
        <v>2604.25</v>
      </c>
      <c r="G1137" t="s">
        <v>1809</v>
      </c>
      <c r="H1137" s="1" t="str">
        <f t="shared" si="103"/>
        <v>Shipped</v>
      </c>
      <c r="I1137" s="4" t="str">
        <f t="shared" si="104"/>
        <v>completed</v>
      </c>
      <c r="J1137" t="s">
        <v>25</v>
      </c>
      <c r="K1137">
        <v>4</v>
      </c>
      <c r="L1137">
        <v>12</v>
      </c>
      <c r="M1137">
        <v>2004</v>
      </c>
      <c r="N1137" t="s">
        <v>550</v>
      </c>
      <c r="O1137">
        <v>99</v>
      </c>
      <c r="P1137" t="s">
        <v>608</v>
      </c>
      <c r="Q1137" t="s">
        <v>272</v>
      </c>
      <c r="R1137">
        <v>4155551450</v>
      </c>
      <c r="S1137" t="s">
        <v>273</v>
      </c>
      <c r="U1137" s="1" t="str">
        <f t="shared" si="105"/>
        <v>San Rafael</v>
      </c>
      <c r="V1137" t="s">
        <v>274</v>
      </c>
      <c r="W1137" t="s">
        <v>55</v>
      </c>
      <c r="X1137">
        <v>97562</v>
      </c>
      <c r="Y1137" s="1" t="str">
        <f t="shared" si="106"/>
        <v>USA</v>
      </c>
      <c r="Z1137" s="4" t="str">
        <f t="shared" si="107"/>
        <v>Usa</v>
      </c>
      <c r="AA1137" t="s">
        <v>32</v>
      </c>
      <c r="AB1137" t="s">
        <v>33</v>
      </c>
      <c r="AC1137" t="s">
        <v>275</v>
      </c>
      <c r="AD1137" t="s">
        <v>276</v>
      </c>
      <c r="AE1137" t="s">
        <v>36</v>
      </c>
    </row>
    <row r="1138" spans="1:31" x14ac:dyDescent="0.3">
      <c r="A1138">
        <v>10369</v>
      </c>
      <c r="B1138">
        <v>45</v>
      </c>
      <c r="C1138">
        <v>73.08</v>
      </c>
      <c r="D1138">
        <v>4</v>
      </c>
      <c r="E1138" s="4" t="str">
        <f t="shared" si="102"/>
        <v>low sales</v>
      </c>
      <c r="F1138">
        <v>3288.6</v>
      </c>
      <c r="G1138" t="s">
        <v>1810</v>
      </c>
      <c r="H1138" s="1" t="str">
        <f t="shared" si="103"/>
        <v>Shipped</v>
      </c>
      <c r="I1138" s="4" t="str">
        <f t="shared" si="104"/>
        <v>completed</v>
      </c>
      <c r="J1138" t="s">
        <v>25</v>
      </c>
      <c r="K1138">
        <v>1</v>
      </c>
      <c r="L1138">
        <v>1</v>
      </c>
      <c r="M1138">
        <v>2005</v>
      </c>
      <c r="N1138" t="s">
        <v>550</v>
      </c>
      <c r="O1138">
        <v>99</v>
      </c>
      <c r="P1138" t="s">
        <v>608</v>
      </c>
      <c r="Q1138" t="s">
        <v>281</v>
      </c>
      <c r="R1138">
        <v>6175558555</v>
      </c>
      <c r="S1138" t="s">
        <v>282</v>
      </c>
      <c r="U1138" s="1" t="str">
        <f t="shared" si="105"/>
        <v>Brickhaven</v>
      </c>
      <c r="V1138" t="s">
        <v>283</v>
      </c>
      <c r="W1138" t="s">
        <v>123</v>
      </c>
      <c r="X1138">
        <v>58339</v>
      </c>
      <c r="Y1138" s="1" t="str">
        <f t="shared" si="106"/>
        <v>USA</v>
      </c>
      <c r="Z1138" s="4" t="str">
        <f t="shared" si="107"/>
        <v>Usa</v>
      </c>
      <c r="AA1138" t="s">
        <v>32</v>
      </c>
      <c r="AB1138" t="s">
        <v>33</v>
      </c>
      <c r="AC1138" t="s">
        <v>275</v>
      </c>
      <c r="AD1138" t="s">
        <v>284</v>
      </c>
      <c r="AE1138" t="s">
        <v>51</v>
      </c>
    </row>
    <row r="1139" spans="1:31" x14ac:dyDescent="0.3">
      <c r="A1139">
        <v>10382</v>
      </c>
      <c r="B1139">
        <v>50</v>
      </c>
      <c r="C1139">
        <v>100</v>
      </c>
      <c r="D1139">
        <v>7</v>
      </c>
      <c r="E1139" s="4" t="str">
        <f t="shared" si="102"/>
        <v>high sales</v>
      </c>
      <c r="F1139">
        <v>8935.5</v>
      </c>
      <c r="G1139" t="s">
        <v>1811</v>
      </c>
      <c r="H1139" s="1" t="str">
        <f t="shared" si="103"/>
        <v>Shipped</v>
      </c>
      <c r="I1139" s="4" t="str">
        <f t="shared" si="104"/>
        <v>completed</v>
      </c>
      <c r="J1139" t="s">
        <v>25</v>
      </c>
      <c r="K1139">
        <v>1</v>
      </c>
      <c r="L1139">
        <v>2</v>
      </c>
      <c r="M1139">
        <v>2005</v>
      </c>
      <c r="N1139" t="s">
        <v>550</v>
      </c>
      <c r="O1139">
        <v>99</v>
      </c>
      <c r="P1139" t="s">
        <v>608</v>
      </c>
      <c r="Q1139" t="s">
        <v>272</v>
      </c>
      <c r="R1139">
        <v>4155551450</v>
      </c>
      <c r="S1139" t="s">
        <v>273</v>
      </c>
      <c r="U1139" s="1" t="str">
        <f t="shared" si="105"/>
        <v>San Rafael</v>
      </c>
      <c r="V1139" t="s">
        <v>274</v>
      </c>
      <c r="W1139" t="s">
        <v>55</v>
      </c>
      <c r="X1139">
        <v>97562</v>
      </c>
      <c r="Y1139" s="1" t="str">
        <f t="shared" si="106"/>
        <v>USA</v>
      </c>
      <c r="Z1139" s="4" t="str">
        <f t="shared" si="107"/>
        <v>Usa</v>
      </c>
      <c r="AA1139" t="s">
        <v>32</v>
      </c>
      <c r="AB1139" t="s">
        <v>33</v>
      </c>
      <c r="AC1139" t="s">
        <v>275</v>
      </c>
      <c r="AD1139" t="s">
        <v>276</v>
      </c>
      <c r="AE1139" t="s">
        <v>151</v>
      </c>
    </row>
    <row r="1140" spans="1:31" x14ac:dyDescent="0.3">
      <c r="A1140">
        <v>10392</v>
      </c>
      <c r="B1140">
        <v>36</v>
      </c>
      <c r="C1140">
        <v>100</v>
      </c>
      <c r="D1140">
        <v>1</v>
      </c>
      <c r="E1140" s="4" t="str">
        <f t="shared" si="102"/>
        <v>high sales</v>
      </c>
      <c r="F1140">
        <v>4035.96</v>
      </c>
      <c r="G1140" t="s">
        <v>1812</v>
      </c>
      <c r="H1140" s="1" t="str">
        <f t="shared" si="103"/>
        <v>Shipped</v>
      </c>
      <c r="I1140" s="4" t="str">
        <f t="shared" si="104"/>
        <v>completed</v>
      </c>
      <c r="J1140" t="s">
        <v>25</v>
      </c>
      <c r="K1140">
        <v>1</v>
      </c>
      <c r="L1140">
        <v>3</v>
      </c>
      <c r="M1140">
        <v>2005</v>
      </c>
      <c r="N1140" t="s">
        <v>550</v>
      </c>
      <c r="O1140">
        <v>99</v>
      </c>
      <c r="P1140" t="s">
        <v>608</v>
      </c>
      <c r="Q1140" t="s">
        <v>409</v>
      </c>
      <c r="R1140" t="s">
        <v>410</v>
      </c>
      <c r="S1140" t="s">
        <v>411</v>
      </c>
      <c r="U1140" s="1" t="str">
        <f t="shared" si="105"/>
        <v>Graz</v>
      </c>
      <c r="V1140" t="s">
        <v>412</v>
      </c>
      <c r="X1140">
        <v>8010</v>
      </c>
      <c r="Y1140" s="1" t="str">
        <f t="shared" si="106"/>
        <v>AUSTRIA</v>
      </c>
      <c r="Z1140" s="4" t="str">
        <f t="shared" si="107"/>
        <v>Austria</v>
      </c>
      <c r="AA1140" t="s">
        <v>148</v>
      </c>
      <c r="AB1140" t="s">
        <v>42</v>
      </c>
      <c r="AC1140" t="s">
        <v>413</v>
      </c>
      <c r="AD1140" t="s">
        <v>414</v>
      </c>
      <c r="AE1140" t="s">
        <v>51</v>
      </c>
    </row>
    <row r="1141" spans="1:31" x14ac:dyDescent="0.3">
      <c r="A1141">
        <v>10423</v>
      </c>
      <c r="B1141">
        <v>21</v>
      </c>
      <c r="C1141">
        <v>89.29</v>
      </c>
      <c r="D1141">
        <v>5</v>
      </c>
      <c r="E1141" s="4" t="str">
        <f t="shared" si="102"/>
        <v>low sales</v>
      </c>
      <c r="F1141">
        <v>1875.09</v>
      </c>
      <c r="G1141" t="s">
        <v>1813</v>
      </c>
      <c r="H1141" s="1" t="str">
        <f t="shared" si="103"/>
        <v>In Process</v>
      </c>
      <c r="I1141" s="4" t="str">
        <f t="shared" si="104"/>
        <v>not completed</v>
      </c>
      <c r="J1141" t="s">
        <v>300</v>
      </c>
      <c r="K1141">
        <v>2</v>
      </c>
      <c r="L1141">
        <v>5</v>
      </c>
      <c r="M1141">
        <v>2005</v>
      </c>
      <c r="N1141" t="s">
        <v>550</v>
      </c>
      <c r="O1141">
        <v>99</v>
      </c>
      <c r="P1141" t="s">
        <v>608</v>
      </c>
      <c r="Q1141" t="s">
        <v>365</v>
      </c>
      <c r="R1141" t="s">
        <v>366</v>
      </c>
      <c r="S1141" t="s">
        <v>367</v>
      </c>
      <c r="U1141" s="1" t="str">
        <f t="shared" si="105"/>
        <v>Bruxelles</v>
      </c>
      <c r="V1141" t="s">
        <v>368</v>
      </c>
      <c r="X1141" t="s">
        <v>369</v>
      </c>
      <c r="Y1141" s="1" t="str">
        <f t="shared" si="106"/>
        <v>BELGIUM</v>
      </c>
      <c r="Z1141" s="4" t="str">
        <f t="shared" si="107"/>
        <v>Belgium</v>
      </c>
      <c r="AA1141" t="s">
        <v>370</v>
      </c>
      <c r="AB1141" t="s">
        <v>42</v>
      </c>
      <c r="AC1141" t="s">
        <v>371</v>
      </c>
      <c r="AD1141" t="s">
        <v>372</v>
      </c>
      <c r="AE1141" t="s">
        <v>36</v>
      </c>
    </row>
    <row r="1142" spans="1:31" x14ac:dyDescent="0.3">
      <c r="A1142">
        <v>10108</v>
      </c>
      <c r="B1142">
        <v>29</v>
      </c>
      <c r="C1142">
        <v>100</v>
      </c>
      <c r="D1142">
        <v>8</v>
      </c>
      <c r="E1142" s="4" t="str">
        <f t="shared" si="102"/>
        <v>high sales</v>
      </c>
      <c r="F1142">
        <v>4049.56</v>
      </c>
      <c r="G1142" t="s">
        <v>1814</v>
      </c>
      <c r="H1142" s="1" t="str">
        <f t="shared" si="103"/>
        <v>Shipped</v>
      </c>
      <c r="I1142" s="4" t="str">
        <f t="shared" si="104"/>
        <v>completed</v>
      </c>
      <c r="J1142" t="s">
        <v>25</v>
      </c>
      <c r="K1142">
        <v>1</v>
      </c>
      <c r="L1142">
        <v>3</v>
      </c>
      <c r="M1142">
        <v>2003</v>
      </c>
      <c r="N1142" t="s">
        <v>181</v>
      </c>
      <c r="O1142">
        <v>146</v>
      </c>
      <c r="P1142" t="s">
        <v>609</v>
      </c>
      <c r="Q1142" t="s">
        <v>425</v>
      </c>
      <c r="R1142" t="s">
        <v>426</v>
      </c>
      <c r="S1142" t="s">
        <v>427</v>
      </c>
      <c r="U1142" s="1" t="str">
        <f t="shared" si="105"/>
        <v>Makati City</v>
      </c>
      <c r="V1142" t="s">
        <v>428</v>
      </c>
      <c r="X1142" t="s">
        <v>429</v>
      </c>
      <c r="Y1142" s="1" t="str">
        <f t="shared" si="106"/>
        <v>PHILIPPINES</v>
      </c>
      <c r="Z1142" s="4" t="str">
        <f t="shared" si="107"/>
        <v>Philippines</v>
      </c>
      <c r="AA1142" t="s">
        <v>430</v>
      </c>
      <c r="AB1142" t="s">
        <v>200</v>
      </c>
      <c r="AC1142" t="s">
        <v>431</v>
      </c>
      <c r="AD1142" t="s">
        <v>432</v>
      </c>
      <c r="AE1142" t="s">
        <v>51</v>
      </c>
    </row>
    <row r="1143" spans="1:31" x14ac:dyDescent="0.3">
      <c r="A1143">
        <v>10122</v>
      </c>
      <c r="B1143">
        <v>21</v>
      </c>
      <c r="C1143">
        <v>100</v>
      </c>
      <c r="D1143">
        <v>12</v>
      </c>
      <c r="E1143" s="4" t="str">
        <f t="shared" si="102"/>
        <v>low sales</v>
      </c>
      <c r="F1143">
        <v>2469.39</v>
      </c>
      <c r="G1143" t="s">
        <v>1815</v>
      </c>
      <c r="H1143" s="1" t="str">
        <f t="shared" si="103"/>
        <v>Shipped</v>
      </c>
      <c r="I1143" s="4" t="str">
        <f t="shared" si="104"/>
        <v>completed</v>
      </c>
      <c r="J1143" t="s">
        <v>25</v>
      </c>
      <c r="K1143">
        <v>2</v>
      </c>
      <c r="L1143">
        <v>5</v>
      </c>
      <c r="M1143">
        <v>2003</v>
      </c>
      <c r="N1143" t="s">
        <v>181</v>
      </c>
      <c r="O1143">
        <v>146</v>
      </c>
      <c r="P1143" t="s">
        <v>609</v>
      </c>
      <c r="Q1143" t="s">
        <v>433</v>
      </c>
      <c r="R1143" t="s">
        <v>434</v>
      </c>
      <c r="S1143" t="s">
        <v>435</v>
      </c>
      <c r="U1143" s="1" t="str">
        <f t="shared" si="105"/>
        <v>Marseille</v>
      </c>
      <c r="V1143" t="s">
        <v>436</v>
      </c>
      <c r="X1143">
        <v>13008</v>
      </c>
      <c r="Y1143" s="1" t="str">
        <f t="shared" si="106"/>
        <v>FRANCE</v>
      </c>
      <c r="Z1143" s="4" t="str">
        <f t="shared" si="107"/>
        <v>France</v>
      </c>
      <c r="AA1143" t="s">
        <v>41</v>
      </c>
      <c r="AB1143" t="s">
        <v>42</v>
      </c>
      <c r="AC1143" t="s">
        <v>437</v>
      </c>
      <c r="AD1143" t="s">
        <v>438</v>
      </c>
      <c r="AE1143" t="s">
        <v>36</v>
      </c>
    </row>
    <row r="1144" spans="1:31" x14ac:dyDescent="0.3">
      <c r="A1144">
        <v>10135</v>
      </c>
      <c r="B1144">
        <v>42</v>
      </c>
      <c r="C1144">
        <v>100</v>
      </c>
      <c r="D1144">
        <v>9</v>
      </c>
      <c r="E1144" s="4" t="str">
        <f t="shared" si="102"/>
        <v>high sales</v>
      </c>
      <c r="F1144">
        <v>5432.7</v>
      </c>
      <c r="G1144" t="s">
        <v>1816</v>
      </c>
      <c r="H1144" s="1" t="str">
        <f t="shared" si="103"/>
        <v>Shipped</v>
      </c>
      <c r="I1144" s="4" t="str">
        <f t="shared" si="104"/>
        <v>completed</v>
      </c>
      <c r="J1144" t="s">
        <v>25</v>
      </c>
      <c r="K1144">
        <v>3</v>
      </c>
      <c r="L1144">
        <v>7</v>
      </c>
      <c r="M1144">
        <v>2003</v>
      </c>
      <c r="N1144" t="s">
        <v>181</v>
      </c>
      <c r="O1144">
        <v>146</v>
      </c>
      <c r="P1144" t="s">
        <v>609</v>
      </c>
      <c r="Q1144" t="s">
        <v>272</v>
      </c>
      <c r="R1144">
        <v>4155551450</v>
      </c>
      <c r="S1144" t="s">
        <v>273</v>
      </c>
      <c r="U1144" s="1" t="str">
        <f t="shared" si="105"/>
        <v>San Rafael</v>
      </c>
      <c r="V1144" t="s">
        <v>274</v>
      </c>
      <c r="W1144" t="s">
        <v>55</v>
      </c>
      <c r="X1144">
        <v>97562</v>
      </c>
      <c r="Y1144" s="1" t="str">
        <f t="shared" si="106"/>
        <v>USA</v>
      </c>
      <c r="Z1144" s="4" t="str">
        <f t="shared" si="107"/>
        <v>Usa</v>
      </c>
      <c r="AA1144" t="s">
        <v>32</v>
      </c>
      <c r="AB1144" t="s">
        <v>33</v>
      </c>
      <c r="AC1144" t="s">
        <v>275</v>
      </c>
      <c r="AD1144" t="s">
        <v>276</v>
      </c>
      <c r="AE1144" t="s">
        <v>51</v>
      </c>
    </row>
    <row r="1145" spans="1:31" x14ac:dyDescent="0.3">
      <c r="A1145">
        <v>10147</v>
      </c>
      <c r="B1145">
        <v>37</v>
      </c>
      <c r="C1145">
        <v>100</v>
      </c>
      <c r="D1145">
        <v>9</v>
      </c>
      <c r="E1145" s="4" t="str">
        <f t="shared" si="102"/>
        <v>high sales</v>
      </c>
      <c r="F1145">
        <v>4405.22</v>
      </c>
      <c r="G1145" t="s">
        <v>1817</v>
      </c>
      <c r="H1145" s="1" t="str">
        <f t="shared" si="103"/>
        <v>Shipped</v>
      </c>
      <c r="I1145" s="4" t="str">
        <f t="shared" si="104"/>
        <v>completed</v>
      </c>
      <c r="J1145" t="s">
        <v>25</v>
      </c>
      <c r="K1145">
        <v>3</v>
      </c>
      <c r="L1145">
        <v>9</v>
      </c>
      <c r="M1145">
        <v>2003</v>
      </c>
      <c r="N1145" t="s">
        <v>181</v>
      </c>
      <c r="O1145">
        <v>146</v>
      </c>
      <c r="P1145" t="s">
        <v>609</v>
      </c>
      <c r="Q1145" t="s">
        <v>281</v>
      </c>
      <c r="R1145">
        <v>6175558555</v>
      </c>
      <c r="S1145" t="s">
        <v>282</v>
      </c>
      <c r="U1145" s="1" t="str">
        <f t="shared" si="105"/>
        <v>Brickhaven</v>
      </c>
      <c r="V1145" t="s">
        <v>283</v>
      </c>
      <c r="W1145" t="s">
        <v>123</v>
      </c>
      <c r="X1145">
        <v>58339</v>
      </c>
      <c r="Y1145" s="1" t="str">
        <f t="shared" si="106"/>
        <v>USA</v>
      </c>
      <c r="Z1145" s="4" t="str">
        <f t="shared" si="107"/>
        <v>Usa</v>
      </c>
      <c r="AA1145" t="s">
        <v>32</v>
      </c>
      <c r="AB1145" t="s">
        <v>33</v>
      </c>
      <c r="AC1145" t="s">
        <v>275</v>
      </c>
      <c r="AD1145" t="s">
        <v>284</v>
      </c>
      <c r="AE1145" t="s">
        <v>51</v>
      </c>
    </row>
    <row r="1146" spans="1:31" x14ac:dyDescent="0.3">
      <c r="A1146">
        <v>10159</v>
      </c>
      <c r="B1146">
        <v>25</v>
      </c>
      <c r="C1146">
        <v>100</v>
      </c>
      <c r="D1146">
        <v>4</v>
      </c>
      <c r="E1146" s="4" t="str">
        <f t="shared" si="102"/>
        <v>low sales</v>
      </c>
      <c r="F1146">
        <v>3638</v>
      </c>
      <c r="G1146" t="s">
        <v>1818</v>
      </c>
      <c r="H1146" s="1" t="str">
        <f t="shared" si="103"/>
        <v>Shipped</v>
      </c>
      <c r="I1146" s="4" t="str">
        <f t="shared" si="104"/>
        <v>completed</v>
      </c>
      <c r="J1146" t="s">
        <v>25</v>
      </c>
      <c r="K1146">
        <v>4</v>
      </c>
      <c r="L1146">
        <v>10</v>
      </c>
      <c r="M1146">
        <v>2003</v>
      </c>
      <c r="N1146" t="s">
        <v>181</v>
      </c>
      <c r="O1146">
        <v>146</v>
      </c>
      <c r="P1146" t="s">
        <v>609</v>
      </c>
      <c r="Q1146" t="s">
        <v>58</v>
      </c>
      <c r="R1146">
        <v>6505551386</v>
      </c>
      <c r="S1146" t="s">
        <v>59</v>
      </c>
      <c r="U1146" s="1" t="str">
        <f t="shared" si="105"/>
        <v>San Francisco</v>
      </c>
      <c r="V1146" t="s">
        <v>60</v>
      </c>
      <c r="W1146" t="s">
        <v>55</v>
      </c>
      <c r="Y1146" s="1" t="str">
        <f t="shared" si="106"/>
        <v>USA</v>
      </c>
      <c r="Z1146" s="4" t="str">
        <f t="shared" si="107"/>
        <v>Usa</v>
      </c>
      <c r="AA1146" t="s">
        <v>32</v>
      </c>
      <c r="AB1146" t="s">
        <v>33</v>
      </c>
      <c r="AC1146" t="s">
        <v>61</v>
      </c>
      <c r="AD1146" t="s">
        <v>57</v>
      </c>
      <c r="AE1146" t="s">
        <v>51</v>
      </c>
    </row>
    <row r="1147" spans="1:31" x14ac:dyDescent="0.3">
      <c r="A1147">
        <v>10169</v>
      </c>
      <c r="B1147">
        <v>36</v>
      </c>
      <c r="C1147">
        <v>100</v>
      </c>
      <c r="D1147">
        <v>4</v>
      </c>
      <c r="E1147" s="4" t="str">
        <f t="shared" si="102"/>
        <v>high sales</v>
      </c>
      <c r="F1147">
        <v>4444.92</v>
      </c>
      <c r="G1147" t="s">
        <v>1819</v>
      </c>
      <c r="H1147" s="1" t="str">
        <f t="shared" si="103"/>
        <v>Shipped</v>
      </c>
      <c r="I1147" s="4" t="str">
        <f t="shared" si="104"/>
        <v>completed</v>
      </c>
      <c r="J1147" t="s">
        <v>25</v>
      </c>
      <c r="K1147">
        <v>4</v>
      </c>
      <c r="L1147">
        <v>11</v>
      </c>
      <c r="M1147">
        <v>2003</v>
      </c>
      <c r="N1147" t="s">
        <v>181</v>
      </c>
      <c r="O1147">
        <v>146</v>
      </c>
      <c r="P1147" t="s">
        <v>609</v>
      </c>
      <c r="Q1147" t="s">
        <v>285</v>
      </c>
      <c r="R1147" t="s">
        <v>286</v>
      </c>
      <c r="S1147" t="s">
        <v>287</v>
      </c>
      <c r="T1147" t="s">
        <v>288</v>
      </c>
      <c r="U1147" s="1" t="str">
        <f t="shared" si="105"/>
        <v>North Sydney</v>
      </c>
      <c r="V1147" t="s">
        <v>289</v>
      </c>
      <c r="W1147" t="s">
        <v>157</v>
      </c>
      <c r="X1147">
        <v>2060</v>
      </c>
      <c r="Y1147" s="1" t="str">
        <f t="shared" si="106"/>
        <v>AUSTRALIA</v>
      </c>
      <c r="Z1147" s="4" t="str">
        <f t="shared" si="107"/>
        <v>Australia</v>
      </c>
      <c r="AA1147" t="s">
        <v>95</v>
      </c>
      <c r="AB1147" t="s">
        <v>96</v>
      </c>
      <c r="AC1147" t="s">
        <v>290</v>
      </c>
      <c r="AD1147" t="s">
        <v>291</v>
      </c>
      <c r="AE1147" t="s">
        <v>51</v>
      </c>
    </row>
    <row r="1148" spans="1:31" x14ac:dyDescent="0.3">
      <c r="A1148">
        <v>10181</v>
      </c>
      <c r="B1148">
        <v>22</v>
      </c>
      <c r="C1148">
        <v>100</v>
      </c>
      <c r="D1148">
        <v>16</v>
      </c>
      <c r="E1148" s="4" t="str">
        <f t="shared" si="102"/>
        <v>low sales</v>
      </c>
      <c r="F1148">
        <v>3395.48</v>
      </c>
      <c r="G1148" t="s">
        <v>1820</v>
      </c>
      <c r="H1148" s="1" t="str">
        <f t="shared" si="103"/>
        <v>Shipped</v>
      </c>
      <c r="I1148" s="4" t="str">
        <f t="shared" si="104"/>
        <v>completed</v>
      </c>
      <c r="J1148" t="s">
        <v>25</v>
      </c>
      <c r="K1148">
        <v>4</v>
      </c>
      <c r="L1148">
        <v>11</v>
      </c>
      <c r="M1148">
        <v>2003</v>
      </c>
      <c r="N1148" t="s">
        <v>181</v>
      </c>
      <c r="O1148">
        <v>146</v>
      </c>
      <c r="P1148" t="s">
        <v>609</v>
      </c>
      <c r="Q1148" t="s">
        <v>73</v>
      </c>
      <c r="R1148" t="s">
        <v>74</v>
      </c>
      <c r="S1148" t="s">
        <v>75</v>
      </c>
      <c r="U1148" s="1" t="str">
        <f t="shared" si="105"/>
        <v>Bergen</v>
      </c>
      <c r="V1148" t="s">
        <v>76</v>
      </c>
      <c r="X1148" t="s">
        <v>77</v>
      </c>
      <c r="Y1148" s="1" t="str">
        <f t="shared" si="106"/>
        <v>NORWAY</v>
      </c>
      <c r="Z1148" s="4" t="str">
        <f t="shared" si="107"/>
        <v>Norway</v>
      </c>
      <c r="AA1148" t="s">
        <v>78</v>
      </c>
      <c r="AB1148" t="s">
        <v>42</v>
      </c>
      <c r="AC1148" t="s">
        <v>79</v>
      </c>
      <c r="AD1148" t="s">
        <v>80</v>
      </c>
      <c r="AE1148" t="s">
        <v>51</v>
      </c>
    </row>
    <row r="1149" spans="1:31" x14ac:dyDescent="0.3">
      <c r="A1149">
        <v>10191</v>
      </c>
      <c r="B1149">
        <v>23</v>
      </c>
      <c r="C1149">
        <v>100</v>
      </c>
      <c r="D1149">
        <v>5</v>
      </c>
      <c r="E1149" s="4" t="str">
        <f t="shared" si="102"/>
        <v>low sales</v>
      </c>
      <c r="F1149">
        <v>3414.58</v>
      </c>
      <c r="G1149" t="s">
        <v>1821</v>
      </c>
      <c r="H1149" s="1" t="str">
        <f t="shared" si="103"/>
        <v>Shipped</v>
      </c>
      <c r="I1149" s="4" t="str">
        <f t="shared" si="104"/>
        <v>completed</v>
      </c>
      <c r="J1149" t="s">
        <v>25</v>
      </c>
      <c r="K1149">
        <v>4</v>
      </c>
      <c r="L1149">
        <v>11</v>
      </c>
      <c r="M1149">
        <v>2003</v>
      </c>
      <c r="N1149" t="s">
        <v>181</v>
      </c>
      <c r="O1149">
        <v>146</v>
      </c>
      <c r="P1149" t="s">
        <v>609</v>
      </c>
      <c r="Q1149" t="s">
        <v>439</v>
      </c>
      <c r="R1149" t="s">
        <v>440</v>
      </c>
      <c r="S1149" t="s">
        <v>441</v>
      </c>
      <c r="U1149" s="1" t="str">
        <f t="shared" si="105"/>
        <v>Koln</v>
      </c>
      <c r="V1149" t="s">
        <v>442</v>
      </c>
      <c r="X1149">
        <v>50739</v>
      </c>
      <c r="Y1149" s="1" t="str">
        <f t="shared" si="106"/>
        <v>GERMANY</v>
      </c>
      <c r="Z1149" s="4" t="str">
        <f t="shared" si="107"/>
        <v>Germany</v>
      </c>
      <c r="AA1149" t="s">
        <v>443</v>
      </c>
      <c r="AB1149" t="s">
        <v>42</v>
      </c>
      <c r="AC1149" t="s">
        <v>444</v>
      </c>
      <c r="AD1149" t="s">
        <v>445</v>
      </c>
      <c r="AE1149" t="s">
        <v>51</v>
      </c>
    </row>
    <row r="1150" spans="1:31" x14ac:dyDescent="0.3">
      <c r="A1150">
        <v>10203</v>
      </c>
      <c r="B1150">
        <v>32</v>
      </c>
      <c r="C1150">
        <v>100</v>
      </c>
      <c r="D1150">
        <v>10</v>
      </c>
      <c r="E1150" s="4" t="str">
        <f t="shared" si="102"/>
        <v>high sales</v>
      </c>
      <c r="F1150">
        <v>5127.04</v>
      </c>
      <c r="G1150" t="s">
        <v>1822</v>
      </c>
      <c r="H1150" s="1" t="str">
        <f t="shared" si="103"/>
        <v>Shipped</v>
      </c>
      <c r="I1150" s="4" t="str">
        <f t="shared" si="104"/>
        <v>completed</v>
      </c>
      <c r="J1150" t="s">
        <v>25</v>
      </c>
      <c r="K1150">
        <v>4</v>
      </c>
      <c r="L1150">
        <v>12</v>
      </c>
      <c r="M1150">
        <v>2003</v>
      </c>
      <c r="N1150" t="s">
        <v>181</v>
      </c>
      <c r="O1150">
        <v>146</v>
      </c>
      <c r="P1150" t="s">
        <v>609</v>
      </c>
      <c r="Q1150" t="s">
        <v>174</v>
      </c>
      <c r="R1150" t="s">
        <v>175</v>
      </c>
      <c r="S1150" t="s">
        <v>176</v>
      </c>
      <c r="U1150" s="1" t="str">
        <f t="shared" si="105"/>
        <v>Madrid</v>
      </c>
      <c r="V1150" t="s">
        <v>177</v>
      </c>
      <c r="X1150">
        <v>28034</v>
      </c>
      <c r="Y1150" s="1" t="str">
        <f t="shared" si="106"/>
        <v>SPAIN</v>
      </c>
      <c r="Z1150" s="4" t="str">
        <f t="shared" si="107"/>
        <v>Spain</v>
      </c>
      <c r="AA1150" t="s">
        <v>178</v>
      </c>
      <c r="AB1150" t="s">
        <v>42</v>
      </c>
      <c r="AC1150" t="s">
        <v>179</v>
      </c>
      <c r="AD1150" t="s">
        <v>180</v>
      </c>
      <c r="AE1150" t="s">
        <v>51</v>
      </c>
    </row>
    <row r="1151" spans="1:31" x14ac:dyDescent="0.3">
      <c r="A1151">
        <v>10211</v>
      </c>
      <c r="B1151">
        <v>28</v>
      </c>
      <c r="C1151">
        <v>100</v>
      </c>
      <c r="D1151">
        <v>4</v>
      </c>
      <c r="E1151" s="4" t="str">
        <f t="shared" si="102"/>
        <v>low sales</v>
      </c>
      <c r="F1151">
        <v>3745.28</v>
      </c>
      <c r="G1151" t="s">
        <v>1823</v>
      </c>
      <c r="H1151" s="1" t="str">
        <f t="shared" si="103"/>
        <v>Shipped</v>
      </c>
      <c r="I1151" s="4" t="str">
        <f t="shared" si="104"/>
        <v>completed</v>
      </c>
      <c r="J1151" t="s">
        <v>25</v>
      </c>
      <c r="K1151">
        <v>1</v>
      </c>
      <c r="L1151">
        <v>1</v>
      </c>
      <c r="M1151">
        <v>2004</v>
      </c>
      <c r="N1151" t="s">
        <v>181</v>
      </c>
      <c r="O1151">
        <v>146</v>
      </c>
      <c r="P1151" t="s">
        <v>609</v>
      </c>
      <c r="Q1151" t="s">
        <v>84</v>
      </c>
      <c r="R1151" t="s">
        <v>85</v>
      </c>
      <c r="S1151" t="s">
        <v>86</v>
      </c>
      <c r="U1151" s="1" t="str">
        <f t="shared" si="105"/>
        <v>Paris</v>
      </c>
      <c r="V1151" t="s">
        <v>48</v>
      </c>
      <c r="X1151">
        <v>75016</v>
      </c>
      <c r="Y1151" s="1" t="str">
        <f t="shared" si="106"/>
        <v>FRANCE</v>
      </c>
      <c r="Z1151" s="4" t="str">
        <f t="shared" si="107"/>
        <v>France</v>
      </c>
      <c r="AA1151" t="s">
        <v>41</v>
      </c>
      <c r="AB1151" t="s">
        <v>42</v>
      </c>
      <c r="AC1151" t="s">
        <v>87</v>
      </c>
      <c r="AD1151" t="s">
        <v>88</v>
      </c>
      <c r="AE1151" t="s">
        <v>51</v>
      </c>
    </row>
    <row r="1152" spans="1:31" x14ac:dyDescent="0.3">
      <c r="A1152">
        <v>10225</v>
      </c>
      <c r="B1152">
        <v>27</v>
      </c>
      <c r="C1152">
        <v>100</v>
      </c>
      <c r="D1152">
        <v>11</v>
      </c>
      <c r="E1152" s="4" t="str">
        <f t="shared" si="102"/>
        <v>high sales</v>
      </c>
      <c r="F1152">
        <v>4564.08</v>
      </c>
      <c r="G1152" t="s">
        <v>1824</v>
      </c>
      <c r="H1152" s="1" t="str">
        <f t="shared" si="103"/>
        <v>Shipped</v>
      </c>
      <c r="I1152" s="4" t="str">
        <f t="shared" si="104"/>
        <v>completed</v>
      </c>
      <c r="J1152" t="s">
        <v>25</v>
      </c>
      <c r="K1152">
        <v>1</v>
      </c>
      <c r="L1152">
        <v>2</v>
      </c>
      <c r="M1152">
        <v>2004</v>
      </c>
      <c r="N1152" t="s">
        <v>181</v>
      </c>
      <c r="O1152">
        <v>146</v>
      </c>
      <c r="P1152" t="s">
        <v>609</v>
      </c>
      <c r="Q1152" t="s">
        <v>446</v>
      </c>
      <c r="R1152" t="s">
        <v>447</v>
      </c>
      <c r="S1152" t="s">
        <v>448</v>
      </c>
      <c r="U1152" s="1" t="str">
        <f t="shared" si="105"/>
        <v>Gensve</v>
      </c>
      <c r="V1152" t="s">
        <v>449</v>
      </c>
      <c r="X1152">
        <v>1203</v>
      </c>
      <c r="Y1152" s="1" t="str">
        <f t="shared" si="106"/>
        <v>SWITZERLAND</v>
      </c>
      <c r="Z1152" s="4" t="str">
        <f t="shared" si="107"/>
        <v>Switzerland</v>
      </c>
      <c r="AA1152" t="s">
        <v>450</v>
      </c>
      <c r="AB1152" t="s">
        <v>42</v>
      </c>
      <c r="AC1152" t="s">
        <v>451</v>
      </c>
      <c r="AD1152" t="s">
        <v>103</v>
      </c>
      <c r="AE1152" t="s">
        <v>51</v>
      </c>
    </row>
    <row r="1153" spans="1:31" x14ac:dyDescent="0.3">
      <c r="A1153">
        <v>10238</v>
      </c>
      <c r="B1153">
        <v>49</v>
      </c>
      <c r="C1153">
        <v>100</v>
      </c>
      <c r="D1153">
        <v>5</v>
      </c>
      <c r="E1153" s="4" t="str">
        <f t="shared" si="102"/>
        <v>high sales</v>
      </c>
      <c r="F1153">
        <v>6554.24</v>
      </c>
      <c r="G1153" t="s">
        <v>1825</v>
      </c>
      <c r="H1153" s="1" t="str">
        <f t="shared" si="103"/>
        <v>Shipped</v>
      </c>
      <c r="I1153" s="4" t="str">
        <f t="shared" si="104"/>
        <v>completed</v>
      </c>
      <c r="J1153" t="s">
        <v>25</v>
      </c>
      <c r="K1153">
        <v>2</v>
      </c>
      <c r="L1153">
        <v>4</v>
      </c>
      <c r="M1153">
        <v>2004</v>
      </c>
      <c r="N1153" t="s">
        <v>181</v>
      </c>
      <c r="O1153">
        <v>146</v>
      </c>
      <c r="P1153" t="s">
        <v>609</v>
      </c>
      <c r="Q1153" t="s">
        <v>322</v>
      </c>
      <c r="R1153" t="s">
        <v>323</v>
      </c>
      <c r="S1153" t="s">
        <v>324</v>
      </c>
      <c r="U1153" s="1" t="str">
        <f t="shared" si="105"/>
        <v>Kobenhavn</v>
      </c>
      <c r="V1153" t="s">
        <v>325</v>
      </c>
      <c r="X1153">
        <v>1734</v>
      </c>
      <c r="Y1153" s="1" t="str">
        <f t="shared" si="106"/>
        <v>DENMARK</v>
      </c>
      <c r="Z1153" s="4" t="str">
        <f t="shared" si="107"/>
        <v>Denmark</v>
      </c>
      <c r="AA1153" t="s">
        <v>326</v>
      </c>
      <c r="AB1153" t="s">
        <v>42</v>
      </c>
      <c r="AC1153" t="s">
        <v>327</v>
      </c>
      <c r="AD1153" t="s">
        <v>328</v>
      </c>
      <c r="AE1153" t="s">
        <v>51</v>
      </c>
    </row>
    <row r="1154" spans="1:31" x14ac:dyDescent="0.3">
      <c r="A1154">
        <v>10252</v>
      </c>
      <c r="B1154">
        <v>41</v>
      </c>
      <c r="C1154">
        <v>100</v>
      </c>
      <c r="D1154">
        <v>1</v>
      </c>
      <c r="E1154" s="4" t="str">
        <f t="shared" si="102"/>
        <v>high sales</v>
      </c>
      <c r="F1154">
        <v>6749.83</v>
      </c>
      <c r="G1154" t="s">
        <v>1826</v>
      </c>
      <c r="H1154" s="1" t="str">
        <f t="shared" si="103"/>
        <v>Shipped</v>
      </c>
      <c r="I1154" s="4" t="str">
        <f t="shared" si="104"/>
        <v>completed</v>
      </c>
      <c r="J1154" t="s">
        <v>25</v>
      </c>
      <c r="K1154">
        <v>2</v>
      </c>
      <c r="L1154">
        <v>5</v>
      </c>
      <c r="M1154">
        <v>2004</v>
      </c>
      <c r="N1154" t="s">
        <v>181</v>
      </c>
      <c r="O1154">
        <v>146</v>
      </c>
      <c r="P1154" t="s">
        <v>609</v>
      </c>
      <c r="Q1154" t="s">
        <v>84</v>
      </c>
      <c r="R1154" t="s">
        <v>85</v>
      </c>
      <c r="S1154" t="s">
        <v>86</v>
      </c>
      <c r="U1154" s="1" t="str">
        <f t="shared" si="105"/>
        <v>Paris</v>
      </c>
      <c r="V1154" t="s">
        <v>48</v>
      </c>
      <c r="X1154">
        <v>75016</v>
      </c>
      <c r="Y1154" s="1" t="str">
        <f t="shared" si="106"/>
        <v>FRANCE</v>
      </c>
      <c r="Z1154" s="4" t="str">
        <f t="shared" si="107"/>
        <v>France</v>
      </c>
      <c r="AA1154" t="s">
        <v>41</v>
      </c>
      <c r="AB1154" t="s">
        <v>42</v>
      </c>
      <c r="AC1154" t="s">
        <v>87</v>
      </c>
      <c r="AD1154" t="s">
        <v>88</v>
      </c>
      <c r="AE1154" t="s">
        <v>51</v>
      </c>
    </row>
    <row r="1155" spans="1:31" x14ac:dyDescent="0.3">
      <c r="A1155">
        <v>10265</v>
      </c>
      <c r="B1155">
        <v>49</v>
      </c>
      <c r="C1155">
        <v>100</v>
      </c>
      <c r="D1155">
        <v>1</v>
      </c>
      <c r="E1155" s="4" t="str">
        <f t="shared" ref="E1155:E1218" si="108">IF(F1155&gt;4000,"high sales","low sales")</f>
        <v>high sales</v>
      </c>
      <c r="F1155">
        <v>8427.02</v>
      </c>
      <c r="G1155" t="s">
        <v>1827</v>
      </c>
      <c r="H1155" s="1" t="str">
        <f t="shared" ref="H1155:H1218" si="109">PROPER(TRIM(J1155))</f>
        <v>Shipped</v>
      </c>
      <c r="I1155" s="4" t="str">
        <f t="shared" ref="I1155:I1218" si="110">IF(J1155="shipped","completed","not completed")</f>
        <v>completed</v>
      </c>
      <c r="J1155" t="s">
        <v>25</v>
      </c>
      <c r="K1155">
        <v>3</v>
      </c>
      <c r="L1155">
        <v>7</v>
      </c>
      <c r="M1155">
        <v>2004</v>
      </c>
      <c r="N1155" t="s">
        <v>181</v>
      </c>
      <c r="O1155">
        <v>146</v>
      </c>
      <c r="P1155" t="s">
        <v>609</v>
      </c>
      <c r="Q1155" t="s">
        <v>558</v>
      </c>
      <c r="R1155" t="s">
        <v>559</v>
      </c>
      <c r="S1155" t="s">
        <v>560</v>
      </c>
      <c r="U1155" s="1" t="str">
        <f t="shared" ref="U1155:U1218" si="111">PROPER(TRIM(V1155))</f>
        <v>Glen Waverly</v>
      </c>
      <c r="V1155" t="s">
        <v>561</v>
      </c>
      <c r="W1155" t="s">
        <v>94</v>
      </c>
      <c r="X1155">
        <v>3150</v>
      </c>
      <c r="Y1155" s="1" t="str">
        <f t="shared" ref="Y1155:Y1218" si="112">UPPER(TRIM(AA1155))</f>
        <v>AUSTRALIA</v>
      </c>
      <c r="Z1155" s="4" t="str">
        <f t="shared" ref="Z1155:Z1218" si="113">PROPER(TRIM(AA1155))</f>
        <v>Australia</v>
      </c>
      <c r="AA1155" t="s">
        <v>95</v>
      </c>
      <c r="AB1155" t="s">
        <v>96</v>
      </c>
      <c r="AC1155" t="s">
        <v>562</v>
      </c>
      <c r="AD1155" t="s">
        <v>563</v>
      </c>
      <c r="AE1155" t="s">
        <v>151</v>
      </c>
    </row>
    <row r="1156" spans="1:31" x14ac:dyDescent="0.3">
      <c r="A1156">
        <v>10276</v>
      </c>
      <c r="B1156">
        <v>30</v>
      </c>
      <c r="C1156">
        <v>100</v>
      </c>
      <c r="D1156">
        <v>5</v>
      </c>
      <c r="E1156" s="4" t="str">
        <f t="shared" si="108"/>
        <v>low sales</v>
      </c>
      <c r="F1156">
        <v>3924.6</v>
      </c>
      <c r="G1156" t="s">
        <v>1828</v>
      </c>
      <c r="H1156" s="1" t="str">
        <f t="shared" si="109"/>
        <v>Shipped</v>
      </c>
      <c r="I1156" s="4" t="str">
        <f t="shared" si="110"/>
        <v>completed</v>
      </c>
      <c r="J1156" t="s">
        <v>25</v>
      </c>
      <c r="K1156">
        <v>3</v>
      </c>
      <c r="L1156">
        <v>8</v>
      </c>
      <c r="M1156">
        <v>2004</v>
      </c>
      <c r="N1156" t="s">
        <v>181</v>
      </c>
      <c r="O1156">
        <v>146</v>
      </c>
      <c r="P1156" t="s">
        <v>609</v>
      </c>
      <c r="Q1156" t="s">
        <v>458</v>
      </c>
      <c r="R1156">
        <v>6175557555</v>
      </c>
      <c r="S1156" t="s">
        <v>459</v>
      </c>
      <c r="U1156" s="1" t="str">
        <f t="shared" si="111"/>
        <v>Brickhaven</v>
      </c>
      <c r="V1156" t="s">
        <v>283</v>
      </c>
      <c r="W1156" t="s">
        <v>123</v>
      </c>
      <c r="X1156">
        <v>58339</v>
      </c>
      <c r="Y1156" s="1" t="str">
        <f t="shared" si="112"/>
        <v>USA</v>
      </c>
      <c r="Z1156" s="4" t="str">
        <f t="shared" si="113"/>
        <v>Usa</v>
      </c>
      <c r="AA1156" t="s">
        <v>32</v>
      </c>
      <c r="AB1156" t="s">
        <v>33</v>
      </c>
      <c r="AC1156" t="s">
        <v>460</v>
      </c>
      <c r="AD1156" t="s">
        <v>461</v>
      </c>
      <c r="AE1156" t="s">
        <v>51</v>
      </c>
    </row>
    <row r="1157" spans="1:31" x14ac:dyDescent="0.3">
      <c r="A1157">
        <v>10287</v>
      </c>
      <c r="B1157">
        <v>40</v>
      </c>
      <c r="C1157">
        <v>100</v>
      </c>
      <c r="D1157">
        <v>14</v>
      </c>
      <c r="E1157" s="4" t="str">
        <f t="shared" si="108"/>
        <v>high sales</v>
      </c>
      <c r="F1157">
        <v>6761.6</v>
      </c>
      <c r="G1157" t="s">
        <v>1829</v>
      </c>
      <c r="H1157" s="1" t="str">
        <f t="shared" si="109"/>
        <v>Shipped</v>
      </c>
      <c r="I1157" s="4" t="str">
        <f t="shared" si="110"/>
        <v>completed</v>
      </c>
      <c r="J1157" t="s">
        <v>25</v>
      </c>
      <c r="K1157">
        <v>3</v>
      </c>
      <c r="L1157">
        <v>8</v>
      </c>
      <c r="M1157">
        <v>2004</v>
      </c>
      <c r="N1157" t="s">
        <v>181</v>
      </c>
      <c r="O1157">
        <v>146</v>
      </c>
      <c r="P1157" t="s">
        <v>609</v>
      </c>
      <c r="Q1157" t="s">
        <v>446</v>
      </c>
      <c r="R1157" t="s">
        <v>447</v>
      </c>
      <c r="S1157" t="s">
        <v>448</v>
      </c>
      <c r="U1157" s="1" t="str">
        <f t="shared" si="111"/>
        <v>Gensve</v>
      </c>
      <c r="V1157" t="s">
        <v>449</v>
      </c>
      <c r="X1157">
        <v>1203</v>
      </c>
      <c r="Y1157" s="1" t="str">
        <f t="shared" si="112"/>
        <v>SWITZERLAND</v>
      </c>
      <c r="Z1157" s="4" t="str">
        <f t="shared" si="113"/>
        <v>Switzerland</v>
      </c>
      <c r="AA1157" t="s">
        <v>450</v>
      </c>
      <c r="AB1157" t="s">
        <v>42</v>
      </c>
      <c r="AC1157" t="s">
        <v>451</v>
      </c>
      <c r="AD1157" t="s">
        <v>103</v>
      </c>
      <c r="AE1157" t="s">
        <v>51</v>
      </c>
    </row>
    <row r="1158" spans="1:31" x14ac:dyDescent="0.3">
      <c r="A1158">
        <v>10300</v>
      </c>
      <c r="B1158">
        <v>23</v>
      </c>
      <c r="C1158">
        <v>100</v>
      </c>
      <c r="D1158">
        <v>7</v>
      </c>
      <c r="E1158" s="4" t="str">
        <f t="shared" si="108"/>
        <v>low sales</v>
      </c>
      <c r="F1158">
        <v>3786.49</v>
      </c>
      <c r="G1158" t="s">
        <v>1830</v>
      </c>
      <c r="H1158" s="1" t="str">
        <f t="shared" si="109"/>
        <v>Shipped</v>
      </c>
      <c r="I1158" s="4" t="str">
        <f t="shared" si="110"/>
        <v>completed</v>
      </c>
      <c r="J1158" t="s">
        <v>25</v>
      </c>
      <c r="K1158">
        <v>4</v>
      </c>
      <c r="L1158">
        <v>10</v>
      </c>
      <c r="M1158">
        <v>2003</v>
      </c>
      <c r="N1158" t="s">
        <v>181</v>
      </c>
      <c r="O1158">
        <v>146</v>
      </c>
      <c r="P1158" t="s">
        <v>609</v>
      </c>
      <c r="Q1158" t="s">
        <v>462</v>
      </c>
      <c r="R1158" t="s">
        <v>463</v>
      </c>
      <c r="S1158" t="s">
        <v>464</v>
      </c>
      <c r="U1158" s="1" t="str">
        <f t="shared" si="111"/>
        <v>Frankfurt</v>
      </c>
      <c r="V1158" t="s">
        <v>465</v>
      </c>
      <c r="X1158">
        <v>60528</v>
      </c>
      <c r="Y1158" s="1" t="str">
        <f t="shared" si="112"/>
        <v>GERMANY</v>
      </c>
      <c r="Z1158" s="4" t="str">
        <f t="shared" si="113"/>
        <v>Germany</v>
      </c>
      <c r="AA1158" t="s">
        <v>443</v>
      </c>
      <c r="AB1158" t="s">
        <v>42</v>
      </c>
      <c r="AC1158" t="s">
        <v>466</v>
      </c>
      <c r="AD1158" t="s">
        <v>414</v>
      </c>
      <c r="AE1158" t="s">
        <v>51</v>
      </c>
    </row>
    <row r="1159" spans="1:31" x14ac:dyDescent="0.3">
      <c r="A1159">
        <v>10310</v>
      </c>
      <c r="B1159">
        <v>49</v>
      </c>
      <c r="C1159">
        <v>100</v>
      </c>
      <c r="D1159">
        <v>12</v>
      </c>
      <c r="E1159" s="4" t="str">
        <f t="shared" si="108"/>
        <v>high sales</v>
      </c>
      <c r="F1159">
        <v>6266.12</v>
      </c>
      <c r="G1159" t="s">
        <v>1831</v>
      </c>
      <c r="H1159" s="1" t="str">
        <f t="shared" si="109"/>
        <v>Shipped</v>
      </c>
      <c r="I1159" s="4" t="str">
        <f t="shared" si="110"/>
        <v>completed</v>
      </c>
      <c r="J1159" t="s">
        <v>25</v>
      </c>
      <c r="K1159">
        <v>4</v>
      </c>
      <c r="L1159">
        <v>10</v>
      </c>
      <c r="M1159">
        <v>2004</v>
      </c>
      <c r="N1159" t="s">
        <v>181</v>
      </c>
      <c r="O1159">
        <v>146</v>
      </c>
      <c r="P1159" t="s">
        <v>609</v>
      </c>
      <c r="Q1159" t="s">
        <v>439</v>
      </c>
      <c r="R1159" t="s">
        <v>440</v>
      </c>
      <c r="S1159" t="s">
        <v>441</v>
      </c>
      <c r="U1159" s="1" t="str">
        <f t="shared" si="111"/>
        <v>Koln</v>
      </c>
      <c r="V1159" t="s">
        <v>442</v>
      </c>
      <c r="X1159">
        <v>50739</v>
      </c>
      <c r="Y1159" s="1" t="str">
        <f t="shared" si="112"/>
        <v>GERMANY</v>
      </c>
      <c r="Z1159" s="4" t="str">
        <f t="shared" si="113"/>
        <v>Germany</v>
      </c>
      <c r="AA1159" t="s">
        <v>443</v>
      </c>
      <c r="AB1159" t="s">
        <v>42</v>
      </c>
      <c r="AC1159" t="s">
        <v>444</v>
      </c>
      <c r="AD1159" t="s">
        <v>445</v>
      </c>
      <c r="AE1159" t="s">
        <v>51</v>
      </c>
    </row>
    <row r="1160" spans="1:31" x14ac:dyDescent="0.3">
      <c r="A1160">
        <v>10320</v>
      </c>
      <c r="B1160">
        <v>25</v>
      </c>
      <c r="C1160">
        <v>100</v>
      </c>
      <c r="D1160">
        <v>5</v>
      </c>
      <c r="E1160" s="4" t="str">
        <f t="shared" si="108"/>
        <v>low sales</v>
      </c>
      <c r="F1160">
        <v>3491</v>
      </c>
      <c r="G1160" t="s">
        <v>1832</v>
      </c>
      <c r="H1160" s="1" t="str">
        <f t="shared" si="109"/>
        <v>Shipped</v>
      </c>
      <c r="I1160" s="4" t="str">
        <f t="shared" si="110"/>
        <v>completed</v>
      </c>
      <c r="J1160" t="s">
        <v>25</v>
      </c>
      <c r="K1160">
        <v>4</v>
      </c>
      <c r="L1160">
        <v>11</v>
      </c>
      <c r="M1160">
        <v>2004</v>
      </c>
      <c r="N1160" t="s">
        <v>181</v>
      </c>
      <c r="O1160">
        <v>146</v>
      </c>
      <c r="P1160" t="s">
        <v>609</v>
      </c>
      <c r="Q1160" t="s">
        <v>183</v>
      </c>
      <c r="R1160" t="s">
        <v>184</v>
      </c>
      <c r="S1160" t="s">
        <v>185</v>
      </c>
      <c r="U1160" s="1" t="str">
        <f t="shared" si="111"/>
        <v>Lule</v>
      </c>
      <c r="V1160" t="s">
        <v>186</v>
      </c>
      <c r="X1160" t="s">
        <v>187</v>
      </c>
      <c r="Y1160" s="1" t="str">
        <f t="shared" si="112"/>
        <v>SWEDEN</v>
      </c>
      <c r="Z1160" s="4" t="str">
        <f t="shared" si="113"/>
        <v>Sweden</v>
      </c>
      <c r="AA1160" t="s">
        <v>188</v>
      </c>
      <c r="AB1160" t="s">
        <v>42</v>
      </c>
      <c r="AC1160" t="s">
        <v>189</v>
      </c>
      <c r="AD1160" t="s">
        <v>190</v>
      </c>
      <c r="AE1160" t="s">
        <v>51</v>
      </c>
    </row>
    <row r="1161" spans="1:31" x14ac:dyDescent="0.3">
      <c r="A1161">
        <v>10330</v>
      </c>
      <c r="B1161">
        <v>37</v>
      </c>
      <c r="C1161">
        <v>100</v>
      </c>
      <c r="D1161">
        <v>3</v>
      </c>
      <c r="E1161" s="4" t="str">
        <f t="shared" si="108"/>
        <v>high sales</v>
      </c>
      <c r="F1161">
        <v>4405.22</v>
      </c>
      <c r="G1161" t="s">
        <v>1833</v>
      </c>
      <c r="H1161" s="1" t="str">
        <f t="shared" si="109"/>
        <v>Shipped</v>
      </c>
      <c r="I1161" s="4" t="str">
        <f t="shared" si="110"/>
        <v>completed</v>
      </c>
      <c r="J1161" t="s">
        <v>25</v>
      </c>
      <c r="K1161">
        <v>4</v>
      </c>
      <c r="L1161">
        <v>11</v>
      </c>
      <c r="M1161">
        <v>2004</v>
      </c>
      <c r="N1161" t="s">
        <v>181</v>
      </c>
      <c r="O1161">
        <v>146</v>
      </c>
      <c r="P1161" t="s">
        <v>609</v>
      </c>
      <c r="Q1161" t="s">
        <v>425</v>
      </c>
      <c r="R1161" t="s">
        <v>426</v>
      </c>
      <c r="S1161" t="s">
        <v>427</v>
      </c>
      <c r="U1161" s="1" t="str">
        <f t="shared" si="111"/>
        <v>Makati City</v>
      </c>
      <c r="V1161" t="s">
        <v>428</v>
      </c>
      <c r="X1161" t="s">
        <v>429</v>
      </c>
      <c r="Y1161" s="1" t="str">
        <f t="shared" si="112"/>
        <v>PHILIPPINES</v>
      </c>
      <c r="Z1161" s="4" t="str">
        <f t="shared" si="113"/>
        <v>Philippines</v>
      </c>
      <c r="AA1161" t="s">
        <v>430</v>
      </c>
      <c r="AB1161" t="s">
        <v>200</v>
      </c>
      <c r="AC1161" t="s">
        <v>431</v>
      </c>
      <c r="AD1161" t="s">
        <v>432</v>
      </c>
      <c r="AE1161" t="s">
        <v>51</v>
      </c>
    </row>
    <row r="1162" spans="1:31" x14ac:dyDescent="0.3">
      <c r="A1162">
        <v>10342</v>
      </c>
      <c r="B1162">
        <v>55</v>
      </c>
      <c r="C1162">
        <v>100</v>
      </c>
      <c r="D1162">
        <v>7</v>
      </c>
      <c r="E1162" s="4" t="str">
        <f t="shared" si="108"/>
        <v>high sales</v>
      </c>
      <c r="F1162">
        <v>6548.3</v>
      </c>
      <c r="G1162" t="s">
        <v>1834</v>
      </c>
      <c r="H1162" s="1" t="str">
        <f t="shared" si="109"/>
        <v>Shipped</v>
      </c>
      <c r="I1162" s="4" t="str">
        <f t="shared" si="110"/>
        <v>completed</v>
      </c>
      <c r="J1162" t="s">
        <v>25</v>
      </c>
      <c r="K1162">
        <v>4</v>
      </c>
      <c r="L1162">
        <v>11</v>
      </c>
      <c r="M1162">
        <v>2004</v>
      </c>
      <c r="N1162" t="s">
        <v>181</v>
      </c>
      <c r="O1162">
        <v>146</v>
      </c>
      <c r="P1162" t="s">
        <v>609</v>
      </c>
      <c r="Q1162" t="s">
        <v>89</v>
      </c>
      <c r="R1162" t="s">
        <v>90</v>
      </c>
      <c r="S1162" t="s">
        <v>91</v>
      </c>
      <c r="T1162" t="s">
        <v>92</v>
      </c>
      <c r="U1162" s="1" t="str">
        <f t="shared" si="111"/>
        <v>Melbourne</v>
      </c>
      <c r="V1162" t="s">
        <v>93</v>
      </c>
      <c r="W1162" t="s">
        <v>94</v>
      </c>
      <c r="X1162">
        <v>3004</v>
      </c>
      <c r="Y1162" s="1" t="str">
        <f t="shared" si="112"/>
        <v>AUSTRALIA</v>
      </c>
      <c r="Z1162" s="4" t="str">
        <f t="shared" si="113"/>
        <v>Australia</v>
      </c>
      <c r="AA1162" t="s">
        <v>95</v>
      </c>
      <c r="AB1162" t="s">
        <v>96</v>
      </c>
      <c r="AC1162" t="s">
        <v>97</v>
      </c>
      <c r="AD1162" t="s">
        <v>98</v>
      </c>
      <c r="AE1162" t="s">
        <v>51</v>
      </c>
    </row>
    <row r="1163" spans="1:31" x14ac:dyDescent="0.3">
      <c r="A1163">
        <v>10355</v>
      </c>
      <c r="B1163">
        <v>23</v>
      </c>
      <c r="C1163">
        <v>100</v>
      </c>
      <c r="D1163">
        <v>7</v>
      </c>
      <c r="E1163" s="4" t="str">
        <f t="shared" si="108"/>
        <v>low sales</v>
      </c>
      <c r="F1163">
        <v>3177.91</v>
      </c>
      <c r="G1163" t="s">
        <v>1835</v>
      </c>
      <c r="H1163" s="1" t="str">
        <f t="shared" si="109"/>
        <v>Shipped</v>
      </c>
      <c r="I1163" s="4" t="str">
        <f t="shared" si="110"/>
        <v>completed</v>
      </c>
      <c r="J1163" t="s">
        <v>25</v>
      </c>
      <c r="K1163">
        <v>4</v>
      </c>
      <c r="L1163">
        <v>12</v>
      </c>
      <c r="M1163">
        <v>2004</v>
      </c>
      <c r="N1163" t="s">
        <v>181</v>
      </c>
      <c r="O1163">
        <v>146</v>
      </c>
      <c r="P1163" t="s">
        <v>609</v>
      </c>
      <c r="Q1163" t="s">
        <v>174</v>
      </c>
      <c r="R1163" t="s">
        <v>175</v>
      </c>
      <c r="S1163" t="s">
        <v>176</v>
      </c>
      <c r="U1163" s="1" t="str">
        <f t="shared" si="111"/>
        <v>Madrid</v>
      </c>
      <c r="V1163" t="s">
        <v>177</v>
      </c>
      <c r="X1163">
        <v>28034</v>
      </c>
      <c r="Y1163" s="1" t="str">
        <f t="shared" si="112"/>
        <v>SPAIN</v>
      </c>
      <c r="Z1163" s="4" t="str">
        <f t="shared" si="113"/>
        <v>Spain</v>
      </c>
      <c r="AA1163" t="s">
        <v>178</v>
      </c>
      <c r="AB1163" t="s">
        <v>42</v>
      </c>
      <c r="AC1163" t="s">
        <v>179</v>
      </c>
      <c r="AD1163" t="s">
        <v>180</v>
      </c>
      <c r="AE1163" t="s">
        <v>51</v>
      </c>
    </row>
    <row r="1164" spans="1:31" x14ac:dyDescent="0.3">
      <c r="A1164">
        <v>10363</v>
      </c>
      <c r="B1164">
        <v>24</v>
      </c>
      <c r="C1164">
        <v>100</v>
      </c>
      <c r="D1164">
        <v>11</v>
      </c>
      <c r="E1164" s="4" t="str">
        <f t="shared" si="108"/>
        <v>high sales</v>
      </c>
      <c r="F1164">
        <v>4142.6400000000003</v>
      </c>
      <c r="G1164" t="s">
        <v>1836</v>
      </c>
      <c r="H1164" s="1" t="str">
        <f t="shared" si="109"/>
        <v>Shipped</v>
      </c>
      <c r="I1164" s="4" t="str">
        <f t="shared" si="110"/>
        <v>completed</v>
      </c>
      <c r="J1164" t="s">
        <v>25</v>
      </c>
      <c r="K1164">
        <v>1</v>
      </c>
      <c r="L1164">
        <v>1</v>
      </c>
      <c r="M1164">
        <v>2005</v>
      </c>
      <c r="N1164" t="s">
        <v>181</v>
      </c>
      <c r="O1164">
        <v>146</v>
      </c>
      <c r="P1164" t="s">
        <v>609</v>
      </c>
      <c r="Q1164" t="s">
        <v>467</v>
      </c>
      <c r="R1164" t="s">
        <v>468</v>
      </c>
      <c r="S1164" t="s">
        <v>469</v>
      </c>
      <c r="U1164" s="1" t="str">
        <f t="shared" si="111"/>
        <v>Espoo</v>
      </c>
      <c r="V1164" t="s">
        <v>470</v>
      </c>
      <c r="X1164" t="s">
        <v>471</v>
      </c>
      <c r="Y1164" s="1" t="str">
        <f t="shared" si="112"/>
        <v>FINLAND</v>
      </c>
      <c r="Z1164" s="4" t="str">
        <f t="shared" si="113"/>
        <v>Finland</v>
      </c>
      <c r="AA1164" t="s">
        <v>130</v>
      </c>
      <c r="AB1164" t="s">
        <v>42</v>
      </c>
      <c r="AC1164" t="s">
        <v>472</v>
      </c>
      <c r="AD1164" t="s">
        <v>473</v>
      </c>
      <c r="AE1164" t="s">
        <v>51</v>
      </c>
    </row>
    <row r="1165" spans="1:31" x14ac:dyDescent="0.3">
      <c r="A1165">
        <v>10378</v>
      </c>
      <c r="B1165">
        <v>43</v>
      </c>
      <c r="C1165">
        <v>96.49</v>
      </c>
      <c r="D1165">
        <v>10</v>
      </c>
      <c r="E1165" s="4" t="str">
        <f t="shared" si="108"/>
        <v>high sales</v>
      </c>
      <c r="F1165">
        <v>4149.07</v>
      </c>
      <c r="G1165" t="s">
        <v>1837</v>
      </c>
      <c r="H1165" s="1" t="str">
        <f t="shared" si="109"/>
        <v>Shipped</v>
      </c>
      <c r="I1165" s="4" t="str">
        <f t="shared" si="110"/>
        <v>completed</v>
      </c>
      <c r="J1165" t="s">
        <v>25</v>
      </c>
      <c r="K1165">
        <v>1</v>
      </c>
      <c r="L1165">
        <v>2</v>
      </c>
      <c r="M1165">
        <v>2005</v>
      </c>
      <c r="N1165" t="s">
        <v>181</v>
      </c>
      <c r="O1165">
        <v>146</v>
      </c>
      <c r="P1165" t="s">
        <v>609</v>
      </c>
      <c r="Q1165" t="s">
        <v>174</v>
      </c>
      <c r="R1165" t="s">
        <v>175</v>
      </c>
      <c r="S1165" t="s">
        <v>176</v>
      </c>
      <c r="U1165" s="1" t="str">
        <f t="shared" si="111"/>
        <v>Madrid</v>
      </c>
      <c r="V1165" t="s">
        <v>177</v>
      </c>
      <c r="X1165">
        <v>28034</v>
      </c>
      <c r="Y1165" s="1" t="str">
        <f t="shared" si="112"/>
        <v>SPAIN</v>
      </c>
      <c r="Z1165" s="4" t="str">
        <f t="shared" si="113"/>
        <v>Spain</v>
      </c>
      <c r="AA1165" t="s">
        <v>178</v>
      </c>
      <c r="AB1165" t="s">
        <v>42</v>
      </c>
      <c r="AC1165" t="s">
        <v>179</v>
      </c>
      <c r="AD1165" t="s">
        <v>180</v>
      </c>
      <c r="AE1165" t="s">
        <v>51</v>
      </c>
    </row>
    <row r="1166" spans="1:31" x14ac:dyDescent="0.3">
      <c r="A1166">
        <v>10390</v>
      </c>
      <c r="B1166">
        <v>50</v>
      </c>
      <c r="C1166">
        <v>100</v>
      </c>
      <c r="D1166">
        <v>1</v>
      </c>
      <c r="E1166" s="4" t="str">
        <f t="shared" si="108"/>
        <v>high sales</v>
      </c>
      <c r="F1166">
        <v>7397</v>
      </c>
      <c r="G1166" t="s">
        <v>1838</v>
      </c>
      <c r="H1166" s="1" t="str">
        <f t="shared" si="109"/>
        <v>Shipped</v>
      </c>
      <c r="I1166" s="4" t="str">
        <f t="shared" si="110"/>
        <v>completed</v>
      </c>
      <c r="J1166" t="s">
        <v>25</v>
      </c>
      <c r="K1166">
        <v>1</v>
      </c>
      <c r="L1166">
        <v>3</v>
      </c>
      <c r="M1166">
        <v>2005</v>
      </c>
      <c r="N1166" t="s">
        <v>181</v>
      </c>
      <c r="O1166">
        <v>146</v>
      </c>
      <c r="P1166" t="s">
        <v>609</v>
      </c>
      <c r="Q1166" t="s">
        <v>272</v>
      </c>
      <c r="R1166">
        <v>4155551450</v>
      </c>
      <c r="S1166" t="s">
        <v>273</v>
      </c>
      <c r="U1166" s="1" t="str">
        <f t="shared" si="111"/>
        <v>San Rafael</v>
      </c>
      <c r="V1166" t="s">
        <v>274</v>
      </c>
      <c r="W1166" t="s">
        <v>55</v>
      </c>
      <c r="X1166">
        <v>97562</v>
      </c>
      <c r="Y1166" s="1" t="str">
        <f t="shared" si="112"/>
        <v>USA</v>
      </c>
      <c r="Z1166" s="4" t="str">
        <f t="shared" si="113"/>
        <v>Usa</v>
      </c>
      <c r="AA1166" t="s">
        <v>32</v>
      </c>
      <c r="AB1166" t="s">
        <v>33</v>
      </c>
      <c r="AC1166" t="s">
        <v>275</v>
      </c>
      <c r="AD1166" t="s">
        <v>276</v>
      </c>
      <c r="AE1166" t="s">
        <v>151</v>
      </c>
    </row>
    <row r="1167" spans="1:31" x14ac:dyDescent="0.3">
      <c r="A1167">
        <v>10109</v>
      </c>
      <c r="B1167">
        <v>47</v>
      </c>
      <c r="C1167">
        <v>100</v>
      </c>
      <c r="D1167">
        <v>2</v>
      </c>
      <c r="E1167" s="4" t="str">
        <f t="shared" si="108"/>
        <v>high sales</v>
      </c>
      <c r="F1167">
        <v>6241.6</v>
      </c>
      <c r="G1167" t="s">
        <v>1839</v>
      </c>
      <c r="H1167" s="1" t="str">
        <f t="shared" si="109"/>
        <v>Shipped</v>
      </c>
      <c r="I1167" s="4" t="str">
        <f t="shared" si="110"/>
        <v>completed</v>
      </c>
      <c r="J1167" t="s">
        <v>25</v>
      </c>
      <c r="K1167">
        <v>1</v>
      </c>
      <c r="L1167">
        <v>3</v>
      </c>
      <c r="M1167">
        <v>2003</v>
      </c>
      <c r="N1167" t="s">
        <v>181</v>
      </c>
      <c r="O1167">
        <v>141</v>
      </c>
      <c r="P1167" t="s">
        <v>610</v>
      </c>
      <c r="Q1167" t="s">
        <v>309</v>
      </c>
      <c r="R1167">
        <v>2155559857</v>
      </c>
      <c r="S1167" t="s">
        <v>310</v>
      </c>
      <c r="U1167" s="1" t="str">
        <f t="shared" si="111"/>
        <v>Philadelphia</v>
      </c>
      <c r="V1167" t="s">
        <v>216</v>
      </c>
      <c r="W1167" t="s">
        <v>142</v>
      </c>
      <c r="X1167">
        <v>71270</v>
      </c>
      <c r="Y1167" s="1" t="str">
        <f t="shared" si="112"/>
        <v>USA</v>
      </c>
      <c r="Z1167" s="4" t="str">
        <f t="shared" si="113"/>
        <v>Usa</v>
      </c>
      <c r="AA1167" t="s">
        <v>32</v>
      </c>
      <c r="AB1167" t="s">
        <v>33</v>
      </c>
      <c r="AC1167" t="s">
        <v>124</v>
      </c>
      <c r="AD1167" t="s">
        <v>311</v>
      </c>
      <c r="AE1167" t="s">
        <v>51</v>
      </c>
    </row>
    <row r="1168" spans="1:31" x14ac:dyDescent="0.3">
      <c r="A1168">
        <v>10123</v>
      </c>
      <c r="B1168">
        <v>34</v>
      </c>
      <c r="C1168">
        <v>100</v>
      </c>
      <c r="D1168">
        <v>4</v>
      </c>
      <c r="E1168" s="4" t="str">
        <f t="shared" si="108"/>
        <v>high sales</v>
      </c>
      <c r="F1168">
        <v>5331.88</v>
      </c>
      <c r="G1168" t="s">
        <v>1840</v>
      </c>
      <c r="H1168" s="1" t="str">
        <f t="shared" si="109"/>
        <v>Shipped</v>
      </c>
      <c r="I1168" s="4" t="str">
        <f t="shared" si="110"/>
        <v>completed</v>
      </c>
      <c r="J1168" t="s">
        <v>25</v>
      </c>
      <c r="K1168">
        <v>2</v>
      </c>
      <c r="L1168">
        <v>5</v>
      </c>
      <c r="M1168">
        <v>2003</v>
      </c>
      <c r="N1168" t="s">
        <v>181</v>
      </c>
      <c r="O1168">
        <v>141</v>
      </c>
      <c r="P1168" t="s">
        <v>610</v>
      </c>
      <c r="Q1168" t="s">
        <v>312</v>
      </c>
      <c r="R1168" t="s">
        <v>313</v>
      </c>
      <c r="S1168" t="s">
        <v>314</v>
      </c>
      <c r="U1168" s="1" t="str">
        <f t="shared" si="111"/>
        <v>Nantes</v>
      </c>
      <c r="V1168" t="s">
        <v>117</v>
      </c>
      <c r="X1168">
        <v>44000</v>
      </c>
      <c r="Y1168" s="1" t="str">
        <f t="shared" si="112"/>
        <v>FRANCE</v>
      </c>
      <c r="Z1168" s="4" t="str">
        <f t="shared" si="113"/>
        <v>France</v>
      </c>
      <c r="AA1168" t="s">
        <v>41</v>
      </c>
      <c r="AB1168" t="s">
        <v>42</v>
      </c>
      <c r="AC1168" t="s">
        <v>315</v>
      </c>
      <c r="AD1168" t="s">
        <v>316</v>
      </c>
      <c r="AE1168" t="s">
        <v>51</v>
      </c>
    </row>
    <row r="1169" spans="1:31" x14ac:dyDescent="0.3">
      <c r="A1169">
        <v>10137</v>
      </c>
      <c r="B1169">
        <v>31</v>
      </c>
      <c r="C1169">
        <v>100</v>
      </c>
      <c r="D1169">
        <v>4</v>
      </c>
      <c r="E1169" s="4" t="str">
        <f t="shared" si="108"/>
        <v>high sales</v>
      </c>
      <c r="F1169">
        <v>5124.3</v>
      </c>
      <c r="G1169" t="s">
        <v>1841</v>
      </c>
      <c r="H1169" s="1" t="str">
        <f t="shared" si="109"/>
        <v>Shipped</v>
      </c>
      <c r="I1169" s="4" t="str">
        <f t="shared" si="110"/>
        <v>completed</v>
      </c>
      <c r="J1169" t="s">
        <v>25</v>
      </c>
      <c r="K1169">
        <v>3</v>
      </c>
      <c r="L1169">
        <v>7</v>
      </c>
      <c r="M1169">
        <v>2003</v>
      </c>
      <c r="N1169" t="s">
        <v>181</v>
      </c>
      <c r="O1169">
        <v>141</v>
      </c>
      <c r="P1169" t="s">
        <v>610</v>
      </c>
      <c r="Q1169" t="s">
        <v>37</v>
      </c>
      <c r="R1169" t="s">
        <v>38</v>
      </c>
      <c r="S1169" t="s">
        <v>39</v>
      </c>
      <c r="U1169" s="1" t="str">
        <f t="shared" si="111"/>
        <v>Reims</v>
      </c>
      <c r="V1169" t="s">
        <v>40</v>
      </c>
      <c r="X1169">
        <v>51100</v>
      </c>
      <c r="Y1169" s="1" t="str">
        <f t="shared" si="112"/>
        <v>FRANCE</v>
      </c>
      <c r="Z1169" s="4" t="str">
        <f t="shared" si="113"/>
        <v>France</v>
      </c>
      <c r="AA1169" t="s">
        <v>41</v>
      </c>
      <c r="AB1169" t="s">
        <v>42</v>
      </c>
      <c r="AC1169" t="s">
        <v>43</v>
      </c>
      <c r="AD1169" t="s">
        <v>44</v>
      </c>
      <c r="AE1169" t="s">
        <v>51</v>
      </c>
    </row>
    <row r="1170" spans="1:31" x14ac:dyDescent="0.3">
      <c r="A1170">
        <v>10148</v>
      </c>
      <c r="B1170">
        <v>28</v>
      </c>
      <c r="C1170">
        <v>100</v>
      </c>
      <c r="D1170">
        <v>11</v>
      </c>
      <c r="E1170" s="4" t="str">
        <f t="shared" si="108"/>
        <v>low sales</v>
      </c>
      <c r="F1170">
        <v>3639.44</v>
      </c>
      <c r="G1170" t="s">
        <v>1842</v>
      </c>
      <c r="H1170" s="1" t="str">
        <f t="shared" si="109"/>
        <v>Shipped</v>
      </c>
      <c r="I1170" s="4" t="str">
        <f t="shared" si="110"/>
        <v>completed</v>
      </c>
      <c r="J1170" t="s">
        <v>25</v>
      </c>
      <c r="K1170">
        <v>3</v>
      </c>
      <c r="L1170">
        <v>9</v>
      </c>
      <c r="M1170">
        <v>2003</v>
      </c>
      <c r="N1170" t="s">
        <v>181</v>
      </c>
      <c r="O1170">
        <v>141</v>
      </c>
      <c r="P1170" t="s">
        <v>610</v>
      </c>
      <c r="Q1170" t="s">
        <v>285</v>
      </c>
      <c r="R1170" t="s">
        <v>286</v>
      </c>
      <c r="S1170" t="s">
        <v>287</v>
      </c>
      <c r="T1170" t="s">
        <v>288</v>
      </c>
      <c r="U1170" s="1" t="str">
        <f t="shared" si="111"/>
        <v>North Sydney</v>
      </c>
      <c r="V1170" t="s">
        <v>289</v>
      </c>
      <c r="W1170" t="s">
        <v>157</v>
      </c>
      <c r="X1170">
        <v>2060</v>
      </c>
      <c r="Y1170" s="1" t="str">
        <f t="shared" si="112"/>
        <v>AUSTRALIA</v>
      </c>
      <c r="Z1170" s="4" t="str">
        <f t="shared" si="113"/>
        <v>Australia</v>
      </c>
      <c r="AA1170" t="s">
        <v>95</v>
      </c>
      <c r="AB1170" t="s">
        <v>96</v>
      </c>
      <c r="AC1170" t="s">
        <v>290</v>
      </c>
      <c r="AD1170" t="s">
        <v>291</v>
      </c>
      <c r="AE1170" t="s">
        <v>51</v>
      </c>
    </row>
    <row r="1171" spans="1:31" x14ac:dyDescent="0.3">
      <c r="A1171">
        <v>10161</v>
      </c>
      <c r="B1171">
        <v>36</v>
      </c>
      <c r="C1171">
        <v>100</v>
      </c>
      <c r="D1171">
        <v>10</v>
      </c>
      <c r="E1171" s="4" t="str">
        <f t="shared" si="108"/>
        <v>high sales</v>
      </c>
      <c r="F1171">
        <v>5544</v>
      </c>
      <c r="G1171" t="s">
        <v>1843</v>
      </c>
      <c r="H1171" s="1" t="str">
        <f t="shared" si="109"/>
        <v>Shipped</v>
      </c>
      <c r="I1171" s="4" t="str">
        <f t="shared" si="110"/>
        <v>completed</v>
      </c>
      <c r="J1171" t="s">
        <v>25</v>
      </c>
      <c r="K1171">
        <v>4</v>
      </c>
      <c r="L1171">
        <v>10</v>
      </c>
      <c r="M1171">
        <v>2003</v>
      </c>
      <c r="N1171" t="s">
        <v>181</v>
      </c>
      <c r="O1171">
        <v>141</v>
      </c>
      <c r="P1171" t="s">
        <v>610</v>
      </c>
      <c r="Q1171" t="s">
        <v>498</v>
      </c>
      <c r="R1171" t="s">
        <v>499</v>
      </c>
      <c r="S1171" t="s">
        <v>500</v>
      </c>
      <c r="U1171" s="1" t="str">
        <f t="shared" si="111"/>
        <v>Aaarhus</v>
      </c>
      <c r="V1171" t="s">
        <v>501</v>
      </c>
      <c r="X1171">
        <v>8200</v>
      </c>
      <c r="Y1171" s="1" t="str">
        <f t="shared" si="112"/>
        <v>DENMARK</v>
      </c>
      <c r="Z1171" s="4" t="str">
        <f t="shared" si="113"/>
        <v>Denmark</v>
      </c>
      <c r="AA1171" t="s">
        <v>326</v>
      </c>
      <c r="AB1171" t="s">
        <v>42</v>
      </c>
      <c r="AC1171" t="s">
        <v>502</v>
      </c>
      <c r="AD1171" t="s">
        <v>503</v>
      </c>
      <c r="AE1171" t="s">
        <v>51</v>
      </c>
    </row>
    <row r="1172" spans="1:31" x14ac:dyDescent="0.3">
      <c r="A1172">
        <v>10172</v>
      </c>
      <c r="B1172">
        <v>48</v>
      </c>
      <c r="C1172">
        <v>100</v>
      </c>
      <c r="D1172">
        <v>8</v>
      </c>
      <c r="E1172" s="4" t="str">
        <f t="shared" si="108"/>
        <v>high sales</v>
      </c>
      <c r="F1172">
        <v>5493.12</v>
      </c>
      <c r="G1172" t="s">
        <v>1844</v>
      </c>
      <c r="H1172" s="1" t="str">
        <f t="shared" si="109"/>
        <v>Shipped</v>
      </c>
      <c r="I1172" s="4" t="str">
        <f t="shared" si="110"/>
        <v>completed</v>
      </c>
      <c r="J1172" t="s">
        <v>25</v>
      </c>
      <c r="K1172">
        <v>4</v>
      </c>
      <c r="L1172">
        <v>11</v>
      </c>
      <c r="M1172">
        <v>2003</v>
      </c>
      <c r="N1172" t="s">
        <v>181</v>
      </c>
      <c r="O1172">
        <v>141</v>
      </c>
      <c r="P1172" t="s">
        <v>610</v>
      </c>
      <c r="Q1172" t="s">
        <v>109</v>
      </c>
      <c r="R1172">
        <v>2035552570</v>
      </c>
      <c r="S1172" t="s">
        <v>110</v>
      </c>
      <c r="U1172" s="1" t="str">
        <f t="shared" si="111"/>
        <v>Bridgewater</v>
      </c>
      <c r="V1172" t="s">
        <v>111</v>
      </c>
      <c r="W1172" t="s">
        <v>112</v>
      </c>
      <c r="X1172">
        <v>97562</v>
      </c>
      <c r="Y1172" s="1" t="str">
        <f t="shared" si="112"/>
        <v>USA</v>
      </c>
      <c r="Z1172" s="4" t="str">
        <f t="shared" si="113"/>
        <v>Usa</v>
      </c>
      <c r="AA1172" t="s">
        <v>32</v>
      </c>
      <c r="AB1172" t="s">
        <v>33</v>
      </c>
      <c r="AC1172" t="s">
        <v>113</v>
      </c>
      <c r="AD1172" t="s">
        <v>57</v>
      </c>
      <c r="AE1172" t="s">
        <v>51</v>
      </c>
    </row>
    <row r="1173" spans="1:31" x14ac:dyDescent="0.3">
      <c r="A1173">
        <v>10181</v>
      </c>
      <c r="B1173">
        <v>39</v>
      </c>
      <c r="C1173">
        <v>100</v>
      </c>
      <c r="D1173">
        <v>4</v>
      </c>
      <c r="E1173" s="4" t="str">
        <f t="shared" si="108"/>
        <v>high sales</v>
      </c>
      <c r="F1173">
        <v>5785.26</v>
      </c>
      <c r="G1173" t="s">
        <v>1845</v>
      </c>
      <c r="H1173" s="1" t="str">
        <f t="shared" si="109"/>
        <v>Shipped</v>
      </c>
      <c r="I1173" s="4" t="str">
        <f t="shared" si="110"/>
        <v>completed</v>
      </c>
      <c r="J1173" t="s">
        <v>25</v>
      </c>
      <c r="K1173">
        <v>4</v>
      </c>
      <c r="L1173">
        <v>11</v>
      </c>
      <c r="M1173">
        <v>2003</v>
      </c>
      <c r="N1173" t="s">
        <v>181</v>
      </c>
      <c r="O1173">
        <v>141</v>
      </c>
      <c r="P1173" t="s">
        <v>610</v>
      </c>
      <c r="Q1173" t="s">
        <v>73</v>
      </c>
      <c r="R1173" t="s">
        <v>74</v>
      </c>
      <c r="S1173" t="s">
        <v>75</v>
      </c>
      <c r="U1173" s="1" t="str">
        <f t="shared" si="111"/>
        <v>Bergen</v>
      </c>
      <c r="V1173" t="s">
        <v>76</v>
      </c>
      <c r="X1173" t="s">
        <v>77</v>
      </c>
      <c r="Y1173" s="1" t="str">
        <f t="shared" si="112"/>
        <v>NORWAY</v>
      </c>
      <c r="Z1173" s="4" t="str">
        <f t="shared" si="113"/>
        <v>Norway</v>
      </c>
      <c r="AA1173" t="s">
        <v>78</v>
      </c>
      <c r="AB1173" t="s">
        <v>42</v>
      </c>
      <c r="AC1173" t="s">
        <v>79</v>
      </c>
      <c r="AD1173" t="s">
        <v>80</v>
      </c>
      <c r="AE1173" t="s">
        <v>51</v>
      </c>
    </row>
    <row r="1174" spans="1:31" x14ac:dyDescent="0.3">
      <c r="A1174">
        <v>10192</v>
      </c>
      <c r="B1174">
        <v>45</v>
      </c>
      <c r="C1174">
        <v>100</v>
      </c>
      <c r="D1174">
        <v>9</v>
      </c>
      <c r="E1174" s="4" t="str">
        <f t="shared" si="108"/>
        <v>high sales</v>
      </c>
      <c r="F1174">
        <v>5340.6</v>
      </c>
      <c r="G1174" t="s">
        <v>1846</v>
      </c>
      <c r="H1174" s="1" t="str">
        <f t="shared" si="109"/>
        <v>Shipped</v>
      </c>
      <c r="I1174" s="4" t="str">
        <f t="shared" si="110"/>
        <v>completed</v>
      </c>
      <c r="J1174" t="s">
        <v>25</v>
      </c>
      <c r="K1174">
        <v>4</v>
      </c>
      <c r="L1174">
        <v>11</v>
      </c>
      <c r="M1174">
        <v>2003</v>
      </c>
      <c r="N1174" t="s">
        <v>181</v>
      </c>
      <c r="O1174">
        <v>141</v>
      </c>
      <c r="P1174" t="s">
        <v>610</v>
      </c>
      <c r="Q1174" t="s">
        <v>277</v>
      </c>
      <c r="R1174">
        <v>6035558647</v>
      </c>
      <c r="S1174" t="s">
        <v>278</v>
      </c>
      <c r="U1174" s="1" t="str">
        <f t="shared" si="111"/>
        <v>Nashua</v>
      </c>
      <c r="V1174" t="s">
        <v>279</v>
      </c>
      <c r="W1174" t="s">
        <v>280</v>
      </c>
      <c r="X1174">
        <v>62005</v>
      </c>
      <c r="Y1174" s="1" t="str">
        <f t="shared" si="112"/>
        <v>USA</v>
      </c>
      <c r="Z1174" s="4" t="str">
        <f t="shared" si="113"/>
        <v>Usa</v>
      </c>
      <c r="AA1174" t="s">
        <v>32</v>
      </c>
      <c r="AB1174" t="s">
        <v>33</v>
      </c>
      <c r="AC1174" t="s">
        <v>56</v>
      </c>
      <c r="AD1174" t="s">
        <v>276</v>
      </c>
      <c r="AE1174" t="s">
        <v>51</v>
      </c>
    </row>
    <row r="1175" spans="1:31" x14ac:dyDescent="0.3">
      <c r="A1175">
        <v>10204</v>
      </c>
      <c r="B1175">
        <v>35</v>
      </c>
      <c r="C1175">
        <v>100</v>
      </c>
      <c r="D1175">
        <v>15</v>
      </c>
      <c r="E1175" s="4" t="str">
        <f t="shared" si="108"/>
        <v>high sales</v>
      </c>
      <c r="F1175">
        <v>5735.8</v>
      </c>
      <c r="G1175" t="s">
        <v>1847</v>
      </c>
      <c r="H1175" s="1" t="str">
        <f t="shared" si="109"/>
        <v>Shipped</v>
      </c>
      <c r="I1175" s="4" t="str">
        <f t="shared" si="110"/>
        <v>completed</v>
      </c>
      <c r="J1175" t="s">
        <v>25</v>
      </c>
      <c r="K1175">
        <v>4</v>
      </c>
      <c r="L1175">
        <v>12</v>
      </c>
      <c r="M1175">
        <v>2003</v>
      </c>
      <c r="N1175" t="s">
        <v>181</v>
      </c>
      <c r="O1175">
        <v>141</v>
      </c>
      <c r="P1175" t="s">
        <v>610</v>
      </c>
      <c r="Q1175" t="s">
        <v>475</v>
      </c>
      <c r="R1175">
        <v>2125557413</v>
      </c>
      <c r="S1175" t="s">
        <v>476</v>
      </c>
      <c r="T1175" t="s">
        <v>477</v>
      </c>
      <c r="U1175" s="1" t="str">
        <f t="shared" si="111"/>
        <v>Nyc</v>
      </c>
      <c r="V1175" t="s">
        <v>30</v>
      </c>
      <c r="W1175" t="s">
        <v>31</v>
      </c>
      <c r="X1175">
        <v>10022</v>
      </c>
      <c r="Y1175" s="1" t="str">
        <f t="shared" si="112"/>
        <v>USA</v>
      </c>
      <c r="Z1175" s="4" t="str">
        <f t="shared" si="113"/>
        <v>Usa</v>
      </c>
      <c r="AA1175" t="s">
        <v>32</v>
      </c>
      <c r="AB1175" t="s">
        <v>33</v>
      </c>
      <c r="AC1175" t="s">
        <v>56</v>
      </c>
      <c r="AD1175" t="s">
        <v>478</v>
      </c>
      <c r="AE1175" t="s">
        <v>51</v>
      </c>
    </row>
    <row r="1176" spans="1:31" x14ac:dyDescent="0.3">
      <c r="A1176">
        <v>10212</v>
      </c>
      <c r="B1176">
        <v>45</v>
      </c>
      <c r="C1176">
        <v>100</v>
      </c>
      <c r="D1176">
        <v>8</v>
      </c>
      <c r="E1176" s="4" t="str">
        <f t="shared" si="108"/>
        <v>high sales</v>
      </c>
      <c r="F1176">
        <v>6357.6</v>
      </c>
      <c r="G1176" t="s">
        <v>1848</v>
      </c>
      <c r="H1176" s="1" t="str">
        <f t="shared" si="109"/>
        <v>Shipped</v>
      </c>
      <c r="I1176" s="4" t="str">
        <f t="shared" si="110"/>
        <v>completed</v>
      </c>
      <c r="J1176" t="s">
        <v>25</v>
      </c>
      <c r="K1176">
        <v>1</v>
      </c>
      <c r="L1176">
        <v>1</v>
      </c>
      <c r="M1176">
        <v>2004</v>
      </c>
      <c r="N1176" t="s">
        <v>181</v>
      </c>
      <c r="O1176">
        <v>141</v>
      </c>
      <c r="P1176" t="s">
        <v>610</v>
      </c>
      <c r="Q1176" t="s">
        <v>174</v>
      </c>
      <c r="R1176" t="s">
        <v>175</v>
      </c>
      <c r="S1176" t="s">
        <v>176</v>
      </c>
      <c r="U1176" s="1" t="str">
        <f t="shared" si="111"/>
        <v>Madrid</v>
      </c>
      <c r="V1176" t="s">
        <v>177</v>
      </c>
      <c r="X1176">
        <v>28034</v>
      </c>
      <c r="Y1176" s="1" t="str">
        <f t="shared" si="112"/>
        <v>SPAIN</v>
      </c>
      <c r="Z1176" s="4" t="str">
        <f t="shared" si="113"/>
        <v>Spain</v>
      </c>
      <c r="AA1176" t="s">
        <v>178</v>
      </c>
      <c r="AB1176" t="s">
        <v>42</v>
      </c>
      <c r="AC1176" t="s">
        <v>179</v>
      </c>
      <c r="AD1176" t="s">
        <v>180</v>
      </c>
      <c r="AE1176" t="s">
        <v>51</v>
      </c>
    </row>
    <row r="1177" spans="1:31" x14ac:dyDescent="0.3">
      <c r="A1177">
        <v>10226</v>
      </c>
      <c r="B1177">
        <v>46</v>
      </c>
      <c r="C1177">
        <v>100</v>
      </c>
      <c r="D1177">
        <v>6</v>
      </c>
      <c r="E1177" s="4" t="str">
        <f t="shared" si="108"/>
        <v>high sales</v>
      </c>
      <c r="F1177">
        <v>7343.9</v>
      </c>
      <c r="G1177" t="s">
        <v>1849</v>
      </c>
      <c r="H1177" s="1" t="str">
        <f t="shared" si="109"/>
        <v>Shipped</v>
      </c>
      <c r="I1177" s="4" t="str">
        <f t="shared" si="110"/>
        <v>completed</v>
      </c>
      <c r="J1177" t="s">
        <v>25</v>
      </c>
      <c r="K1177">
        <v>1</v>
      </c>
      <c r="L1177">
        <v>2</v>
      </c>
      <c r="M1177">
        <v>2004</v>
      </c>
      <c r="N1177" t="s">
        <v>181</v>
      </c>
      <c r="O1177">
        <v>141</v>
      </c>
      <c r="P1177" t="s">
        <v>610</v>
      </c>
      <c r="Q1177" t="s">
        <v>362</v>
      </c>
      <c r="R1177">
        <v>7605558146</v>
      </c>
      <c r="S1177" t="s">
        <v>363</v>
      </c>
      <c r="U1177" s="1" t="str">
        <f t="shared" si="111"/>
        <v>San Diego</v>
      </c>
      <c r="V1177" t="s">
        <v>364</v>
      </c>
      <c r="W1177" t="s">
        <v>55</v>
      </c>
      <c r="X1177">
        <v>91217</v>
      </c>
      <c r="Y1177" s="1" t="str">
        <f t="shared" si="112"/>
        <v>USA</v>
      </c>
      <c r="Z1177" s="4" t="str">
        <f t="shared" si="113"/>
        <v>Usa</v>
      </c>
      <c r="AA1177" t="s">
        <v>32</v>
      </c>
      <c r="AB1177" t="s">
        <v>33</v>
      </c>
      <c r="AC1177" t="s">
        <v>237</v>
      </c>
      <c r="AD1177" t="s">
        <v>276</v>
      </c>
      <c r="AE1177" t="s">
        <v>151</v>
      </c>
    </row>
    <row r="1178" spans="1:31" x14ac:dyDescent="0.3">
      <c r="A1178">
        <v>10240</v>
      </c>
      <c r="B1178">
        <v>37</v>
      </c>
      <c r="C1178">
        <v>100</v>
      </c>
      <c r="D1178">
        <v>1</v>
      </c>
      <c r="E1178" s="4" t="str">
        <f t="shared" si="108"/>
        <v>high sales</v>
      </c>
      <c r="F1178">
        <v>5959.22</v>
      </c>
      <c r="G1178" t="s">
        <v>1850</v>
      </c>
      <c r="H1178" s="1" t="str">
        <f t="shared" si="109"/>
        <v>Shipped</v>
      </c>
      <c r="I1178" s="4" t="str">
        <f t="shared" si="110"/>
        <v>completed</v>
      </c>
      <c r="J1178" t="s">
        <v>25</v>
      </c>
      <c r="K1178">
        <v>2</v>
      </c>
      <c r="L1178">
        <v>4</v>
      </c>
      <c r="M1178">
        <v>2004</v>
      </c>
      <c r="N1178" t="s">
        <v>181</v>
      </c>
      <c r="O1178">
        <v>141</v>
      </c>
      <c r="P1178" t="s">
        <v>610</v>
      </c>
      <c r="Q1178" t="s">
        <v>302</v>
      </c>
      <c r="R1178" t="s">
        <v>303</v>
      </c>
      <c r="S1178" t="s">
        <v>304</v>
      </c>
      <c r="U1178" s="1" t="str">
        <f t="shared" si="111"/>
        <v>Osaka</v>
      </c>
      <c r="V1178" t="s">
        <v>305</v>
      </c>
      <c r="W1178" t="s">
        <v>305</v>
      </c>
      <c r="X1178" t="s">
        <v>306</v>
      </c>
      <c r="Y1178" s="1" t="str">
        <f t="shared" si="112"/>
        <v>JAPAN</v>
      </c>
      <c r="Z1178" s="4" t="str">
        <f t="shared" si="113"/>
        <v>Japan</v>
      </c>
      <c r="AA1178" t="s">
        <v>200</v>
      </c>
      <c r="AB1178" t="s">
        <v>200</v>
      </c>
      <c r="AC1178" t="s">
        <v>307</v>
      </c>
      <c r="AD1178" t="s">
        <v>308</v>
      </c>
      <c r="AE1178" t="s">
        <v>51</v>
      </c>
    </row>
    <row r="1179" spans="1:31" x14ac:dyDescent="0.3">
      <c r="A1179">
        <v>10253</v>
      </c>
      <c r="B1179">
        <v>31</v>
      </c>
      <c r="C1179">
        <v>100</v>
      </c>
      <c r="D1179">
        <v>3</v>
      </c>
      <c r="E1179" s="4" t="str">
        <f t="shared" si="108"/>
        <v>high sales</v>
      </c>
      <c r="F1179">
        <v>4029.38</v>
      </c>
      <c r="G1179" t="s">
        <v>1851</v>
      </c>
      <c r="H1179" s="1" t="str">
        <f t="shared" si="109"/>
        <v>Cancelled</v>
      </c>
      <c r="I1179" s="4" t="str">
        <f t="shared" si="110"/>
        <v>not completed</v>
      </c>
      <c r="J1179" t="s">
        <v>339</v>
      </c>
      <c r="K1179">
        <v>2</v>
      </c>
      <c r="L1179">
        <v>6</v>
      </c>
      <c r="M1179">
        <v>2004</v>
      </c>
      <c r="N1179" t="s">
        <v>181</v>
      </c>
      <c r="O1179">
        <v>141</v>
      </c>
      <c r="P1179" t="s">
        <v>610</v>
      </c>
      <c r="Q1179" t="s">
        <v>165</v>
      </c>
      <c r="R1179" t="s">
        <v>166</v>
      </c>
      <c r="S1179" t="s">
        <v>167</v>
      </c>
      <c r="U1179" s="1" t="str">
        <f t="shared" si="111"/>
        <v>Liverpool</v>
      </c>
      <c r="V1179" t="s">
        <v>168</v>
      </c>
      <c r="X1179" t="s">
        <v>169</v>
      </c>
      <c r="Y1179" s="1" t="str">
        <f t="shared" si="112"/>
        <v>UK</v>
      </c>
      <c r="Z1179" s="4" t="str">
        <f t="shared" si="113"/>
        <v>Uk</v>
      </c>
      <c r="AA1179" t="s">
        <v>170</v>
      </c>
      <c r="AB1179" t="s">
        <v>42</v>
      </c>
      <c r="AC1179" t="s">
        <v>171</v>
      </c>
      <c r="AD1179" t="s">
        <v>172</v>
      </c>
      <c r="AE1179" t="s">
        <v>51</v>
      </c>
    </row>
    <row r="1180" spans="1:31" x14ac:dyDescent="0.3">
      <c r="A1180">
        <v>10266</v>
      </c>
      <c r="B1180">
        <v>33</v>
      </c>
      <c r="C1180">
        <v>100</v>
      </c>
      <c r="D1180">
        <v>4</v>
      </c>
      <c r="E1180" s="4" t="str">
        <f t="shared" si="108"/>
        <v>high sales</v>
      </c>
      <c r="F1180">
        <v>5035.1400000000003</v>
      </c>
      <c r="G1180" t="s">
        <v>1852</v>
      </c>
      <c r="H1180" s="1" t="str">
        <f t="shared" si="109"/>
        <v>Shipped</v>
      </c>
      <c r="I1180" s="4" t="str">
        <f t="shared" si="110"/>
        <v>completed</v>
      </c>
      <c r="J1180" t="s">
        <v>25</v>
      </c>
      <c r="K1180">
        <v>3</v>
      </c>
      <c r="L1180">
        <v>7</v>
      </c>
      <c r="M1180">
        <v>2004</v>
      </c>
      <c r="N1180" t="s">
        <v>181</v>
      </c>
      <c r="O1180">
        <v>141</v>
      </c>
      <c r="P1180" t="s">
        <v>610</v>
      </c>
      <c r="Q1180" t="s">
        <v>452</v>
      </c>
      <c r="R1180" t="s">
        <v>453</v>
      </c>
      <c r="S1180" t="s">
        <v>454</v>
      </c>
      <c r="U1180" s="1" t="str">
        <f t="shared" si="111"/>
        <v>Reggio Emilia</v>
      </c>
      <c r="V1180" t="s">
        <v>455</v>
      </c>
      <c r="X1180">
        <v>42100</v>
      </c>
      <c r="Y1180" s="1" t="str">
        <f t="shared" si="112"/>
        <v>ITALY</v>
      </c>
      <c r="Z1180" s="4" t="str">
        <f t="shared" si="113"/>
        <v>Italy</v>
      </c>
      <c r="AA1180" t="s">
        <v>258</v>
      </c>
      <c r="AB1180" t="s">
        <v>42</v>
      </c>
      <c r="AC1180" t="s">
        <v>456</v>
      </c>
      <c r="AD1180" t="s">
        <v>457</v>
      </c>
      <c r="AE1180" t="s">
        <v>51</v>
      </c>
    </row>
    <row r="1181" spans="1:31" x14ac:dyDescent="0.3">
      <c r="A1181">
        <v>10278</v>
      </c>
      <c r="B1181">
        <v>31</v>
      </c>
      <c r="C1181">
        <v>100</v>
      </c>
      <c r="D1181">
        <v>4</v>
      </c>
      <c r="E1181" s="4" t="str">
        <f t="shared" si="108"/>
        <v>high sales</v>
      </c>
      <c r="F1181">
        <v>4116.8</v>
      </c>
      <c r="G1181" t="s">
        <v>1853</v>
      </c>
      <c r="H1181" s="1" t="str">
        <f t="shared" si="109"/>
        <v>Shipped</v>
      </c>
      <c r="I1181" s="4" t="str">
        <f t="shared" si="110"/>
        <v>completed</v>
      </c>
      <c r="J1181" t="s">
        <v>25</v>
      </c>
      <c r="K1181">
        <v>3</v>
      </c>
      <c r="L1181">
        <v>8</v>
      </c>
      <c r="M1181">
        <v>2004</v>
      </c>
      <c r="N1181" t="s">
        <v>181</v>
      </c>
      <c r="O1181">
        <v>141</v>
      </c>
      <c r="P1181" t="s">
        <v>610</v>
      </c>
      <c r="Q1181" t="s">
        <v>539</v>
      </c>
      <c r="R1181">
        <v>7025551838</v>
      </c>
      <c r="S1181" t="s">
        <v>540</v>
      </c>
      <c r="U1181" s="1" t="str">
        <f t="shared" si="111"/>
        <v>Las Vegas</v>
      </c>
      <c r="V1181" t="s">
        <v>541</v>
      </c>
      <c r="W1181" t="s">
        <v>542</v>
      </c>
      <c r="X1181">
        <v>83030</v>
      </c>
      <c r="Y1181" s="1" t="str">
        <f t="shared" si="112"/>
        <v>USA</v>
      </c>
      <c r="Z1181" s="4" t="str">
        <f t="shared" si="113"/>
        <v>Usa</v>
      </c>
      <c r="AA1181" t="s">
        <v>32</v>
      </c>
      <c r="AB1181" t="s">
        <v>33</v>
      </c>
      <c r="AC1181" t="s">
        <v>113</v>
      </c>
      <c r="AD1181" t="s">
        <v>400</v>
      </c>
      <c r="AE1181" t="s">
        <v>51</v>
      </c>
    </row>
    <row r="1182" spans="1:31" x14ac:dyDescent="0.3">
      <c r="A1182">
        <v>10287</v>
      </c>
      <c r="B1182">
        <v>27</v>
      </c>
      <c r="C1182">
        <v>100</v>
      </c>
      <c r="D1182">
        <v>2</v>
      </c>
      <c r="E1182" s="4" t="str">
        <f t="shared" si="108"/>
        <v>high sales</v>
      </c>
      <c r="F1182">
        <v>4310.55</v>
      </c>
      <c r="G1182" t="s">
        <v>1854</v>
      </c>
      <c r="H1182" s="1" t="str">
        <f t="shared" si="109"/>
        <v>Shipped</v>
      </c>
      <c r="I1182" s="4" t="str">
        <f t="shared" si="110"/>
        <v>completed</v>
      </c>
      <c r="J1182" t="s">
        <v>25</v>
      </c>
      <c r="K1182">
        <v>3</v>
      </c>
      <c r="L1182">
        <v>8</v>
      </c>
      <c r="M1182">
        <v>2004</v>
      </c>
      <c r="N1182" t="s">
        <v>181</v>
      </c>
      <c r="O1182">
        <v>141</v>
      </c>
      <c r="P1182" t="s">
        <v>610</v>
      </c>
      <c r="Q1182" t="s">
        <v>446</v>
      </c>
      <c r="R1182" t="s">
        <v>447</v>
      </c>
      <c r="S1182" t="s">
        <v>448</v>
      </c>
      <c r="U1182" s="1" t="str">
        <f t="shared" si="111"/>
        <v>Gensve</v>
      </c>
      <c r="V1182" t="s">
        <v>449</v>
      </c>
      <c r="X1182">
        <v>1203</v>
      </c>
      <c r="Y1182" s="1" t="str">
        <f t="shared" si="112"/>
        <v>SWITZERLAND</v>
      </c>
      <c r="Z1182" s="4" t="str">
        <f t="shared" si="113"/>
        <v>Switzerland</v>
      </c>
      <c r="AA1182" t="s">
        <v>450</v>
      </c>
      <c r="AB1182" t="s">
        <v>42</v>
      </c>
      <c r="AC1182" t="s">
        <v>451</v>
      </c>
      <c r="AD1182" t="s">
        <v>103</v>
      </c>
      <c r="AE1182" t="s">
        <v>51</v>
      </c>
    </row>
    <row r="1183" spans="1:31" x14ac:dyDescent="0.3">
      <c r="A1183">
        <v>10301</v>
      </c>
      <c r="B1183">
        <v>39</v>
      </c>
      <c r="C1183">
        <v>100</v>
      </c>
      <c r="D1183">
        <v>6</v>
      </c>
      <c r="E1183" s="4" t="str">
        <f t="shared" si="108"/>
        <v>high sales</v>
      </c>
      <c r="F1183">
        <v>6446.7</v>
      </c>
      <c r="G1183" t="s">
        <v>1855</v>
      </c>
      <c r="H1183" s="1" t="str">
        <f t="shared" si="109"/>
        <v>Shipped</v>
      </c>
      <c r="I1183" s="4" t="str">
        <f t="shared" si="110"/>
        <v>completed</v>
      </c>
      <c r="J1183" t="s">
        <v>25</v>
      </c>
      <c r="K1183">
        <v>4</v>
      </c>
      <c r="L1183">
        <v>10</v>
      </c>
      <c r="M1183">
        <v>2003</v>
      </c>
      <c r="N1183" t="s">
        <v>181</v>
      </c>
      <c r="O1183">
        <v>141</v>
      </c>
      <c r="P1183" t="s">
        <v>610</v>
      </c>
      <c r="Q1183" t="s">
        <v>543</v>
      </c>
      <c r="R1183" t="s">
        <v>544</v>
      </c>
      <c r="S1183" t="s">
        <v>545</v>
      </c>
      <c r="U1183" s="1" t="str">
        <f t="shared" si="111"/>
        <v>Oslo</v>
      </c>
      <c r="V1183" t="s">
        <v>546</v>
      </c>
      <c r="X1183" t="s">
        <v>547</v>
      </c>
      <c r="Y1183" s="1" t="str">
        <f t="shared" si="112"/>
        <v>NORWAY</v>
      </c>
      <c r="Z1183" s="4" t="str">
        <f t="shared" si="113"/>
        <v>Norway</v>
      </c>
      <c r="AA1183" t="s">
        <v>78</v>
      </c>
      <c r="AB1183" t="s">
        <v>42</v>
      </c>
      <c r="AC1183" t="s">
        <v>548</v>
      </c>
      <c r="AD1183" t="s">
        <v>549</v>
      </c>
      <c r="AE1183" t="s">
        <v>51</v>
      </c>
    </row>
    <row r="1184" spans="1:31" x14ac:dyDescent="0.3">
      <c r="A1184">
        <v>10311</v>
      </c>
      <c r="B1184">
        <v>32</v>
      </c>
      <c r="C1184">
        <v>100</v>
      </c>
      <c r="D1184">
        <v>11</v>
      </c>
      <c r="E1184" s="4" t="str">
        <f t="shared" si="108"/>
        <v>low sales</v>
      </c>
      <c r="F1184">
        <v>3616.64</v>
      </c>
      <c r="G1184" t="s">
        <v>1856</v>
      </c>
      <c r="H1184" s="1" t="str">
        <f t="shared" si="109"/>
        <v>Shipped</v>
      </c>
      <c r="I1184" s="4" t="str">
        <f t="shared" si="110"/>
        <v>completed</v>
      </c>
      <c r="J1184" t="s">
        <v>25</v>
      </c>
      <c r="K1184">
        <v>4</v>
      </c>
      <c r="L1184">
        <v>10</v>
      </c>
      <c r="M1184">
        <v>2004</v>
      </c>
      <c r="N1184" t="s">
        <v>181</v>
      </c>
      <c r="O1184">
        <v>141</v>
      </c>
      <c r="P1184" t="s">
        <v>610</v>
      </c>
      <c r="Q1184" t="s">
        <v>174</v>
      </c>
      <c r="R1184" t="s">
        <v>175</v>
      </c>
      <c r="S1184" t="s">
        <v>176</v>
      </c>
      <c r="U1184" s="1" t="str">
        <f t="shared" si="111"/>
        <v>Madrid</v>
      </c>
      <c r="V1184" t="s">
        <v>177</v>
      </c>
      <c r="X1184">
        <v>28034</v>
      </c>
      <c r="Y1184" s="1" t="str">
        <f t="shared" si="112"/>
        <v>SPAIN</v>
      </c>
      <c r="Z1184" s="4" t="str">
        <f t="shared" si="113"/>
        <v>Spain</v>
      </c>
      <c r="AA1184" t="s">
        <v>178</v>
      </c>
      <c r="AB1184" t="s">
        <v>42</v>
      </c>
      <c r="AC1184" t="s">
        <v>179</v>
      </c>
      <c r="AD1184" t="s">
        <v>180</v>
      </c>
      <c r="AE1184" t="s">
        <v>51</v>
      </c>
    </row>
    <row r="1185" spans="1:31" x14ac:dyDescent="0.3">
      <c r="A1185">
        <v>10321</v>
      </c>
      <c r="B1185">
        <v>28</v>
      </c>
      <c r="C1185">
        <v>100</v>
      </c>
      <c r="D1185">
        <v>8</v>
      </c>
      <c r="E1185" s="4" t="str">
        <f t="shared" si="108"/>
        <v>high sales</v>
      </c>
      <c r="F1185">
        <v>4232.76</v>
      </c>
      <c r="G1185" t="s">
        <v>1857</v>
      </c>
      <c r="H1185" s="1" t="str">
        <f t="shared" si="109"/>
        <v>Shipped</v>
      </c>
      <c r="I1185" s="4" t="str">
        <f t="shared" si="110"/>
        <v>completed</v>
      </c>
      <c r="J1185" t="s">
        <v>25</v>
      </c>
      <c r="K1185">
        <v>4</v>
      </c>
      <c r="L1185">
        <v>11</v>
      </c>
      <c r="M1185">
        <v>2004</v>
      </c>
      <c r="N1185" t="s">
        <v>181</v>
      </c>
      <c r="O1185">
        <v>141</v>
      </c>
      <c r="P1185" t="s">
        <v>610</v>
      </c>
      <c r="Q1185" t="s">
        <v>160</v>
      </c>
      <c r="R1185">
        <v>5085552555</v>
      </c>
      <c r="S1185" t="s">
        <v>161</v>
      </c>
      <c r="U1185" s="1" t="str">
        <f t="shared" si="111"/>
        <v>New Bedford</v>
      </c>
      <c r="V1185" t="s">
        <v>162</v>
      </c>
      <c r="W1185" t="s">
        <v>123</v>
      </c>
      <c r="X1185">
        <v>50553</v>
      </c>
      <c r="Y1185" s="1" t="str">
        <f t="shared" si="112"/>
        <v>USA</v>
      </c>
      <c r="Z1185" s="4" t="str">
        <f t="shared" si="113"/>
        <v>Usa</v>
      </c>
      <c r="AA1185" t="s">
        <v>32</v>
      </c>
      <c r="AB1185" t="s">
        <v>33</v>
      </c>
      <c r="AC1185" t="s">
        <v>163</v>
      </c>
      <c r="AD1185" t="s">
        <v>164</v>
      </c>
      <c r="AE1185" t="s">
        <v>51</v>
      </c>
    </row>
    <row r="1186" spans="1:31" x14ac:dyDescent="0.3">
      <c r="A1186">
        <v>10331</v>
      </c>
      <c r="B1186">
        <v>26</v>
      </c>
      <c r="C1186">
        <v>67.91</v>
      </c>
      <c r="D1186">
        <v>12</v>
      </c>
      <c r="E1186" s="4" t="str">
        <f t="shared" si="108"/>
        <v>low sales</v>
      </c>
      <c r="F1186">
        <v>1765.66</v>
      </c>
      <c r="G1186" t="s">
        <v>1858</v>
      </c>
      <c r="H1186" s="1" t="str">
        <f t="shared" si="109"/>
        <v>Shipped</v>
      </c>
      <c r="I1186" s="4" t="str">
        <f t="shared" si="110"/>
        <v>completed</v>
      </c>
      <c r="J1186" t="s">
        <v>25</v>
      </c>
      <c r="K1186">
        <v>4</v>
      </c>
      <c r="L1186">
        <v>11</v>
      </c>
      <c r="M1186">
        <v>2004</v>
      </c>
      <c r="N1186" t="s">
        <v>181</v>
      </c>
      <c r="O1186">
        <v>141</v>
      </c>
      <c r="P1186" t="s">
        <v>610</v>
      </c>
      <c r="Q1186" t="s">
        <v>309</v>
      </c>
      <c r="R1186">
        <v>2155559857</v>
      </c>
      <c r="S1186" t="s">
        <v>310</v>
      </c>
      <c r="U1186" s="1" t="str">
        <f t="shared" si="111"/>
        <v>Philadelphia</v>
      </c>
      <c r="V1186" t="s">
        <v>216</v>
      </c>
      <c r="W1186" t="s">
        <v>142</v>
      </c>
      <c r="X1186">
        <v>71270</v>
      </c>
      <c r="Y1186" s="1" t="str">
        <f t="shared" si="112"/>
        <v>USA</v>
      </c>
      <c r="Z1186" s="4" t="str">
        <f t="shared" si="113"/>
        <v>Usa</v>
      </c>
      <c r="AA1186" t="s">
        <v>32</v>
      </c>
      <c r="AB1186" t="s">
        <v>33</v>
      </c>
      <c r="AC1186" t="s">
        <v>124</v>
      </c>
      <c r="AD1186" t="s">
        <v>311</v>
      </c>
      <c r="AE1186" t="s">
        <v>36</v>
      </c>
    </row>
    <row r="1187" spans="1:31" x14ac:dyDescent="0.3">
      <c r="A1187">
        <v>10343</v>
      </c>
      <c r="B1187">
        <v>44</v>
      </c>
      <c r="C1187">
        <v>84.88</v>
      </c>
      <c r="D1187">
        <v>2</v>
      </c>
      <c r="E1187" s="4" t="str">
        <f t="shared" si="108"/>
        <v>low sales</v>
      </c>
      <c r="F1187">
        <v>3734.72</v>
      </c>
      <c r="G1187" t="s">
        <v>1859</v>
      </c>
      <c r="H1187" s="1" t="str">
        <f t="shared" si="109"/>
        <v>Shipped</v>
      </c>
      <c r="I1187" s="4" t="str">
        <f t="shared" si="110"/>
        <v>completed</v>
      </c>
      <c r="J1187" t="s">
        <v>25</v>
      </c>
      <c r="K1187">
        <v>4</v>
      </c>
      <c r="L1187">
        <v>11</v>
      </c>
      <c r="M1187">
        <v>2004</v>
      </c>
      <c r="N1187" t="s">
        <v>181</v>
      </c>
      <c r="O1187">
        <v>141</v>
      </c>
      <c r="P1187" t="s">
        <v>610</v>
      </c>
      <c r="Q1187" t="s">
        <v>37</v>
      </c>
      <c r="R1187" t="s">
        <v>38</v>
      </c>
      <c r="S1187" t="s">
        <v>39</v>
      </c>
      <c r="U1187" s="1" t="str">
        <f t="shared" si="111"/>
        <v>Reims</v>
      </c>
      <c r="V1187" t="s">
        <v>40</v>
      </c>
      <c r="X1187">
        <v>51100</v>
      </c>
      <c r="Y1187" s="1" t="str">
        <f t="shared" si="112"/>
        <v>FRANCE</v>
      </c>
      <c r="Z1187" s="4" t="str">
        <f t="shared" si="113"/>
        <v>France</v>
      </c>
      <c r="AA1187" t="s">
        <v>41</v>
      </c>
      <c r="AB1187" t="s">
        <v>42</v>
      </c>
      <c r="AC1187" t="s">
        <v>43</v>
      </c>
      <c r="AD1187" t="s">
        <v>44</v>
      </c>
      <c r="AE1187" t="s">
        <v>51</v>
      </c>
    </row>
    <row r="1188" spans="1:31" x14ac:dyDescent="0.3">
      <c r="A1188">
        <v>10367</v>
      </c>
      <c r="B1188">
        <v>46</v>
      </c>
      <c r="C1188">
        <v>100</v>
      </c>
      <c r="D1188">
        <v>6</v>
      </c>
      <c r="E1188" s="4" t="str">
        <f t="shared" si="108"/>
        <v>high sales</v>
      </c>
      <c r="F1188">
        <v>4808.38</v>
      </c>
      <c r="G1188" t="s">
        <v>1860</v>
      </c>
      <c r="H1188" s="1" t="str">
        <f t="shared" si="109"/>
        <v>Resolved</v>
      </c>
      <c r="I1188" s="4" t="str">
        <f t="shared" si="110"/>
        <v>not completed</v>
      </c>
      <c r="J1188" t="s">
        <v>408</v>
      </c>
      <c r="K1188">
        <v>1</v>
      </c>
      <c r="L1188">
        <v>1</v>
      </c>
      <c r="M1188">
        <v>2005</v>
      </c>
      <c r="N1188" t="s">
        <v>181</v>
      </c>
      <c r="O1188">
        <v>141</v>
      </c>
      <c r="P1188" t="s">
        <v>610</v>
      </c>
      <c r="Q1188" t="s">
        <v>52</v>
      </c>
      <c r="R1188">
        <v>6265557265</v>
      </c>
      <c r="S1188" t="s">
        <v>53</v>
      </c>
      <c r="U1188" s="1" t="str">
        <f t="shared" si="111"/>
        <v>Pasadena</v>
      </c>
      <c r="V1188" t="s">
        <v>54</v>
      </c>
      <c r="W1188" t="s">
        <v>55</v>
      </c>
      <c r="X1188">
        <v>90003</v>
      </c>
      <c r="Y1188" s="1" t="str">
        <f t="shared" si="112"/>
        <v>USA</v>
      </c>
      <c r="Z1188" s="4" t="str">
        <f t="shared" si="113"/>
        <v>Usa</v>
      </c>
      <c r="AA1188" t="s">
        <v>32</v>
      </c>
      <c r="AB1188" t="s">
        <v>33</v>
      </c>
      <c r="AC1188" t="s">
        <v>56</v>
      </c>
      <c r="AD1188" t="s">
        <v>57</v>
      </c>
      <c r="AE1188" t="s">
        <v>51</v>
      </c>
    </row>
    <row r="1189" spans="1:31" x14ac:dyDescent="0.3">
      <c r="A1189">
        <v>10379</v>
      </c>
      <c r="B1189">
        <v>32</v>
      </c>
      <c r="C1189">
        <v>70.83</v>
      </c>
      <c r="D1189">
        <v>4</v>
      </c>
      <c r="E1189" s="4" t="str">
        <f t="shared" si="108"/>
        <v>low sales</v>
      </c>
      <c r="F1189">
        <v>2266.56</v>
      </c>
      <c r="G1189" t="s">
        <v>1861</v>
      </c>
      <c r="H1189" s="1" t="str">
        <f t="shared" si="109"/>
        <v>Shipped</v>
      </c>
      <c r="I1189" s="4" t="str">
        <f t="shared" si="110"/>
        <v>completed</v>
      </c>
      <c r="J1189" t="s">
        <v>25</v>
      </c>
      <c r="K1189">
        <v>1</v>
      </c>
      <c r="L1189">
        <v>2</v>
      </c>
      <c r="M1189">
        <v>2005</v>
      </c>
      <c r="N1189" t="s">
        <v>181</v>
      </c>
      <c r="O1189">
        <v>141</v>
      </c>
      <c r="P1189" t="s">
        <v>610</v>
      </c>
      <c r="Q1189" t="s">
        <v>174</v>
      </c>
      <c r="R1189" t="s">
        <v>175</v>
      </c>
      <c r="S1189" t="s">
        <v>176</v>
      </c>
      <c r="U1189" s="1" t="str">
        <f t="shared" si="111"/>
        <v>Madrid</v>
      </c>
      <c r="V1189" t="s">
        <v>177</v>
      </c>
      <c r="X1189">
        <v>28034</v>
      </c>
      <c r="Y1189" s="1" t="str">
        <f t="shared" si="112"/>
        <v>SPAIN</v>
      </c>
      <c r="Z1189" s="4" t="str">
        <f t="shared" si="113"/>
        <v>Spain</v>
      </c>
      <c r="AA1189" t="s">
        <v>178</v>
      </c>
      <c r="AB1189" t="s">
        <v>42</v>
      </c>
      <c r="AC1189" t="s">
        <v>179</v>
      </c>
      <c r="AD1189" t="s">
        <v>180</v>
      </c>
      <c r="AE1189" t="s">
        <v>36</v>
      </c>
    </row>
    <row r="1190" spans="1:31" x14ac:dyDescent="0.3">
      <c r="A1190">
        <v>10406</v>
      </c>
      <c r="B1190">
        <v>65</v>
      </c>
      <c r="C1190">
        <v>100</v>
      </c>
      <c r="D1190">
        <v>1</v>
      </c>
      <c r="E1190" s="4" t="str">
        <f t="shared" si="108"/>
        <v>high sales</v>
      </c>
      <c r="F1190">
        <v>10468.9</v>
      </c>
      <c r="G1190" t="s">
        <v>1862</v>
      </c>
      <c r="H1190" s="1" t="str">
        <f t="shared" si="109"/>
        <v>Disputed</v>
      </c>
      <c r="I1190" s="4" t="str">
        <f t="shared" si="110"/>
        <v>not completed</v>
      </c>
      <c r="J1190" t="s">
        <v>173</v>
      </c>
      <c r="K1190">
        <v>2</v>
      </c>
      <c r="L1190">
        <v>4</v>
      </c>
      <c r="M1190">
        <v>2005</v>
      </c>
      <c r="N1190" t="s">
        <v>181</v>
      </c>
      <c r="O1190">
        <v>141</v>
      </c>
      <c r="P1190" t="s">
        <v>610</v>
      </c>
      <c r="Q1190" t="s">
        <v>322</v>
      </c>
      <c r="R1190" t="s">
        <v>323</v>
      </c>
      <c r="S1190" t="s">
        <v>324</v>
      </c>
      <c r="U1190" s="1" t="str">
        <f t="shared" si="111"/>
        <v>Kobenhavn</v>
      </c>
      <c r="V1190" t="s">
        <v>325</v>
      </c>
      <c r="X1190">
        <v>1734</v>
      </c>
      <c r="Y1190" s="1" t="str">
        <f t="shared" si="112"/>
        <v>DENMARK</v>
      </c>
      <c r="Z1190" s="4" t="str">
        <f t="shared" si="113"/>
        <v>Denmark</v>
      </c>
      <c r="AA1190" t="s">
        <v>326</v>
      </c>
      <c r="AB1190" t="s">
        <v>42</v>
      </c>
      <c r="AC1190" t="s">
        <v>327</v>
      </c>
      <c r="AD1190" t="s">
        <v>328</v>
      </c>
      <c r="AE1190" t="s">
        <v>151</v>
      </c>
    </row>
    <row r="1191" spans="1:31" x14ac:dyDescent="0.3">
      <c r="A1191">
        <v>10419</v>
      </c>
      <c r="B1191">
        <v>43</v>
      </c>
      <c r="C1191">
        <v>100</v>
      </c>
      <c r="D1191">
        <v>3</v>
      </c>
      <c r="E1191" s="4" t="str">
        <f t="shared" si="108"/>
        <v>high sales</v>
      </c>
      <c r="F1191">
        <v>5589.14</v>
      </c>
      <c r="G1191" t="s">
        <v>1863</v>
      </c>
      <c r="H1191" s="1" t="str">
        <f t="shared" si="109"/>
        <v>Shipped</v>
      </c>
      <c r="I1191" s="4" t="str">
        <f t="shared" si="110"/>
        <v>completed</v>
      </c>
      <c r="J1191" t="s">
        <v>25</v>
      </c>
      <c r="K1191">
        <v>2</v>
      </c>
      <c r="L1191">
        <v>5</v>
      </c>
      <c r="M1191">
        <v>2005</v>
      </c>
      <c r="N1191" t="s">
        <v>181</v>
      </c>
      <c r="O1191">
        <v>141</v>
      </c>
      <c r="P1191" t="s">
        <v>610</v>
      </c>
      <c r="Q1191" t="s">
        <v>144</v>
      </c>
      <c r="R1191" t="s">
        <v>145</v>
      </c>
      <c r="S1191" t="s">
        <v>146</v>
      </c>
      <c r="U1191" s="1" t="str">
        <f t="shared" si="111"/>
        <v>Salzburg</v>
      </c>
      <c r="V1191" t="s">
        <v>147</v>
      </c>
      <c r="X1191">
        <v>5020</v>
      </c>
      <c r="Y1191" s="1" t="str">
        <f t="shared" si="112"/>
        <v>AUSTRIA</v>
      </c>
      <c r="Z1191" s="4" t="str">
        <f t="shared" si="113"/>
        <v>Austria</v>
      </c>
      <c r="AA1191" t="s">
        <v>148</v>
      </c>
      <c r="AB1191" t="s">
        <v>42</v>
      </c>
      <c r="AC1191" t="s">
        <v>149</v>
      </c>
      <c r="AD1191" t="s">
        <v>150</v>
      </c>
      <c r="AE1191" t="s">
        <v>51</v>
      </c>
    </row>
    <row r="1192" spans="1:31" x14ac:dyDescent="0.3">
      <c r="A1192">
        <v>10108</v>
      </c>
      <c r="B1192">
        <v>43</v>
      </c>
      <c r="C1192">
        <v>67.77</v>
      </c>
      <c r="D1192">
        <v>12</v>
      </c>
      <c r="E1192" s="4" t="str">
        <f t="shared" si="108"/>
        <v>low sales</v>
      </c>
      <c r="F1192">
        <v>2914.11</v>
      </c>
      <c r="G1192" t="s">
        <v>1864</v>
      </c>
      <c r="H1192" s="1" t="str">
        <f t="shared" si="109"/>
        <v>Shipped</v>
      </c>
      <c r="I1192" s="4" t="str">
        <f t="shared" si="110"/>
        <v>completed</v>
      </c>
      <c r="J1192" t="s">
        <v>25</v>
      </c>
      <c r="K1192">
        <v>1</v>
      </c>
      <c r="L1192">
        <v>3</v>
      </c>
      <c r="M1192">
        <v>2003</v>
      </c>
      <c r="N1192" t="s">
        <v>26</v>
      </c>
      <c r="O1192">
        <v>62</v>
      </c>
      <c r="P1192" t="s">
        <v>611</v>
      </c>
      <c r="Q1192" t="s">
        <v>425</v>
      </c>
      <c r="R1192" t="s">
        <v>426</v>
      </c>
      <c r="S1192" t="s">
        <v>427</v>
      </c>
      <c r="U1192" s="1" t="str">
        <f t="shared" si="111"/>
        <v>Makati City</v>
      </c>
      <c r="V1192" t="s">
        <v>428</v>
      </c>
      <c r="X1192" t="s">
        <v>429</v>
      </c>
      <c r="Y1192" s="1" t="str">
        <f t="shared" si="112"/>
        <v>PHILIPPINES</v>
      </c>
      <c r="Z1192" s="4" t="str">
        <f t="shared" si="113"/>
        <v>Philippines</v>
      </c>
      <c r="AA1192" t="s">
        <v>430</v>
      </c>
      <c r="AB1192" t="s">
        <v>200</v>
      </c>
      <c r="AC1192" t="s">
        <v>431</v>
      </c>
      <c r="AD1192" t="s">
        <v>432</v>
      </c>
      <c r="AE1192" t="s">
        <v>36</v>
      </c>
    </row>
    <row r="1193" spans="1:31" x14ac:dyDescent="0.3">
      <c r="A1193">
        <v>10122</v>
      </c>
      <c r="B1193">
        <v>35</v>
      </c>
      <c r="C1193">
        <v>49.74</v>
      </c>
      <c r="D1193">
        <v>16</v>
      </c>
      <c r="E1193" s="4" t="str">
        <f t="shared" si="108"/>
        <v>low sales</v>
      </c>
      <c r="F1193">
        <v>1740.9</v>
      </c>
      <c r="G1193" t="s">
        <v>1865</v>
      </c>
      <c r="H1193" s="1" t="str">
        <f t="shared" si="109"/>
        <v>Shipped</v>
      </c>
      <c r="I1193" s="4" t="str">
        <f t="shared" si="110"/>
        <v>completed</v>
      </c>
      <c r="J1193" t="s">
        <v>25</v>
      </c>
      <c r="K1193">
        <v>2</v>
      </c>
      <c r="L1193">
        <v>5</v>
      </c>
      <c r="M1193">
        <v>2003</v>
      </c>
      <c r="N1193" t="s">
        <v>26</v>
      </c>
      <c r="O1193">
        <v>62</v>
      </c>
      <c r="P1193" t="s">
        <v>611</v>
      </c>
      <c r="Q1193" t="s">
        <v>433</v>
      </c>
      <c r="R1193" t="s">
        <v>434</v>
      </c>
      <c r="S1193" t="s">
        <v>435</v>
      </c>
      <c r="U1193" s="1" t="str">
        <f t="shared" si="111"/>
        <v>Marseille</v>
      </c>
      <c r="V1193" t="s">
        <v>436</v>
      </c>
      <c r="X1193">
        <v>13008</v>
      </c>
      <c r="Y1193" s="1" t="str">
        <f t="shared" si="112"/>
        <v>FRANCE</v>
      </c>
      <c r="Z1193" s="4" t="str">
        <f t="shared" si="113"/>
        <v>France</v>
      </c>
      <c r="AA1193" t="s">
        <v>41</v>
      </c>
      <c r="AB1193" t="s">
        <v>42</v>
      </c>
      <c r="AC1193" t="s">
        <v>437</v>
      </c>
      <c r="AD1193" t="s">
        <v>438</v>
      </c>
      <c r="AE1193" t="s">
        <v>36</v>
      </c>
    </row>
    <row r="1194" spans="1:31" x14ac:dyDescent="0.3">
      <c r="A1194">
        <v>10135</v>
      </c>
      <c r="B1194">
        <v>45</v>
      </c>
      <c r="C1194">
        <v>50.36</v>
      </c>
      <c r="D1194">
        <v>13</v>
      </c>
      <c r="E1194" s="4" t="str">
        <f t="shared" si="108"/>
        <v>low sales</v>
      </c>
      <c r="F1194">
        <v>2266.1999999999998</v>
      </c>
      <c r="G1194" t="s">
        <v>1866</v>
      </c>
      <c r="H1194" s="1" t="str">
        <f t="shared" si="109"/>
        <v>Shipped</v>
      </c>
      <c r="I1194" s="4" t="str">
        <f t="shared" si="110"/>
        <v>completed</v>
      </c>
      <c r="J1194" t="s">
        <v>25</v>
      </c>
      <c r="K1194">
        <v>3</v>
      </c>
      <c r="L1194">
        <v>7</v>
      </c>
      <c r="M1194">
        <v>2003</v>
      </c>
      <c r="N1194" t="s">
        <v>26</v>
      </c>
      <c r="O1194">
        <v>62</v>
      </c>
      <c r="P1194" t="s">
        <v>611</v>
      </c>
      <c r="Q1194" t="s">
        <v>272</v>
      </c>
      <c r="R1194">
        <v>4155551450</v>
      </c>
      <c r="S1194" t="s">
        <v>273</v>
      </c>
      <c r="U1194" s="1" t="str">
        <f t="shared" si="111"/>
        <v>San Rafael</v>
      </c>
      <c r="V1194" t="s">
        <v>274</v>
      </c>
      <c r="W1194" t="s">
        <v>55</v>
      </c>
      <c r="X1194">
        <v>97562</v>
      </c>
      <c r="Y1194" s="1" t="str">
        <f t="shared" si="112"/>
        <v>USA</v>
      </c>
      <c r="Z1194" s="4" t="str">
        <f t="shared" si="113"/>
        <v>Usa</v>
      </c>
      <c r="AA1194" t="s">
        <v>32</v>
      </c>
      <c r="AB1194" t="s">
        <v>33</v>
      </c>
      <c r="AC1194" t="s">
        <v>275</v>
      </c>
      <c r="AD1194" t="s">
        <v>276</v>
      </c>
      <c r="AE1194" t="s">
        <v>36</v>
      </c>
    </row>
    <row r="1195" spans="1:31" x14ac:dyDescent="0.3">
      <c r="A1195">
        <v>10146</v>
      </c>
      <c r="B1195">
        <v>47</v>
      </c>
      <c r="C1195">
        <v>67.14</v>
      </c>
      <c r="D1195">
        <v>2</v>
      </c>
      <c r="E1195" s="4" t="str">
        <f t="shared" si="108"/>
        <v>low sales</v>
      </c>
      <c r="F1195">
        <v>3155.58</v>
      </c>
      <c r="G1195" t="s">
        <v>1867</v>
      </c>
      <c r="H1195" s="1" t="str">
        <f t="shared" si="109"/>
        <v>Shipped</v>
      </c>
      <c r="I1195" s="4" t="str">
        <f t="shared" si="110"/>
        <v>completed</v>
      </c>
      <c r="J1195" t="s">
        <v>25</v>
      </c>
      <c r="K1195">
        <v>3</v>
      </c>
      <c r="L1195">
        <v>9</v>
      </c>
      <c r="M1195">
        <v>2003</v>
      </c>
      <c r="N1195" t="s">
        <v>26</v>
      </c>
      <c r="O1195">
        <v>62</v>
      </c>
      <c r="P1195" t="s">
        <v>611</v>
      </c>
      <c r="Q1195" t="s">
        <v>568</v>
      </c>
      <c r="R1195">
        <v>2035554407</v>
      </c>
      <c r="S1195" t="s">
        <v>569</v>
      </c>
      <c r="U1195" s="1" t="str">
        <f t="shared" si="111"/>
        <v>Glendale</v>
      </c>
      <c r="V1195" t="s">
        <v>516</v>
      </c>
      <c r="W1195" t="s">
        <v>112</v>
      </c>
      <c r="X1195">
        <v>97561</v>
      </c>
      <c r="Y1195" s="1" t="str">
        <f t="shared" si="112"/>
        <v>USA</v>
      </c>
      <c r="Z1195" s="4" t="str">
        <f t="shared" si="113"/>
        <v>Usa</v>
      </c>
      <c r="AA1195" t="s">
        <v>32</v>
      </c>
      <c r="AB1195" t="s">
        <v>33</v>
      </c>
      <c r="AC1195" t="s">
        <v>570</v>
      </c>
      <c r="AD1195" t="s">
        <v>571</v>
      </c>
      <c r="AE1195" t="s">
        <v>51</v>
      </c>
    </row>
    <row r="1196" spans="1:31" x14ac:dyDescent="0.3">
      <c r="A1196">
        <v>10159</v>
      </c>
      <c r="B1196">
        <v>21</v>
      </c>
      <c r="C1196">
        <v>64.66</v>
      </c>
      <c r="D1196">
        <v>8</v>
      </c>
      <c r="E1196" s="4" t="str">
        <f t="shared" si="108"/>
        <v>low sales</v>
      </c>
      <c r="F1196">
        <v>1357.86</v>
      </c>
      <c r="G1196" t="s">
        <v>1868</v>
      </c>
      <c r="H1196" s="1" t="str">
        <f t="shared" si="109"/>
        <v>Shipped</v>
      </c>
      <c r="I1196" s="4" t="str">
        <f t="shared" si="110"/>
        <v>completed</v>
      </c>
      <c r="J1196" t="s">
        <v>25</v>
      </c>
      <c r="K1196">
        <v>4</v>
      </c>
      <c r="L1196">
        <v>10</v>
      </c>
      <c r="M1196">
        <v>2003</v>
      </c>
      <c r="N1196" t="s">
        <v>26</v>
      </c>
      <c r="O1196">
        <v>62</v>
      </c>
      <c r="P1196" t="s">
        <v>611</v>
      </c>
      <c r="Q1196" t="s">
        <v>58</v>
      </c>
      <c r="R1196">
        <v>6505551386</v>
      </c>
      <c r="S1196" t="s">
        <v>59</v>
      </c>
      <c r="U1196" s="1" t="str">
        <f t="shared" si="111"/>
        <v>San Francisco</v>
      </c>
      <c r="V1196" t="s">
        <v>60</v>
      </c>
      <c r="W1196" t="s">
        <v>55</v>
      </c>
      <c r="Y1196" s="1" t="str">
        <f t="shared" si="112"/>
        <v>USA</v>
      </c>
      <c r="Z1196" s="4" t="str">
        <f t="shared" si="113"/>
        <v>Usa</v>
      </c>
      <c r="AA1196" t="s">
        <v>32</v>
      </c>
      <c r="AB1196" t="s">
        <v>33</v>
      </c>
      <c r="AC1196" t="s">
        <v>61</v>
      </c>
      <c r="AD1196" t="s">
        <v>57</v>
      </c>
      <c r="AE1196" t="s">
        <v>36</v>
      </c>
    </row>
    <row r="1197" spans="1:31" x14ac:dyDescent="0.3">
      <c r="A1197">
        <v>10169</v>
      </c>
      <c r="B1197">
        <v>38</v>
      </c>
      <c r="C1197">
        <v>68.39</v>
      </c>
      <c r="D1197">
        <v>8</v>
      </c>
      <c r="E1197" s="4" t="str">
        <f t="shared" si="108"/>
        <v>low sales</v>
      </c>
      <c r="F1197">
        <v>2598.8200000000002</v>
      </c>
      <c r="G1197" t="s">
        <v>1869</v>
      </c>
      <c r="H1197" s="1" t="str">
        <f t="shared" si="109"/>
        <v>Shipped</v>
      </c>
      <c r="I1197" s="4" t="str">
        <f t="shared" si="110"/>
        <v>completed</v>
      </c>
      <c r="J1197" t="s">
        <v>25</v>
      </c>
      <c r="K1197">
        <v>4</v>
      </c>
      <c r="L1197">
        <v>11</v>
      </c>
      <c r="M1197">
        <v>2003</v>
      </c>
      <c r="N1197" t="s">
        <v>26</v>
      </c>
      <c r="O1197">
        <v>62</v>
      </c>
      <c r="P1197" t="s">
        <v>611</v>
      </c>
      <c r="Q1197" t="s">
        <v>285</v>
      </c>
      <c r="R1197" t="s">
        <v>286</v>
      </c>
      <c r="S1197" t="s">
        <v>287</v>
      </c>
      <c r="T1197" t="s">
        <v>288</v>
      </c>
      <c r="U1197" s="1" t="str">
        <f t="shared" si="111"/>
        <v>North Sydney</v>
      </c>
      <c r="V1197" t="s">
        <v>289</v>
      </c>
      <c r="W1197" t="s">
        <v>157</v>
      </c>
      <c r="X1197">
        <v>2060</v>
      </c>
      <c r="Y1197" s="1" t="str">
        <f t="shared" si="112"/>
        <v>AUSTRALIA</v>
      </c>
      <c r="Z1197" s="4" t="str">
        <f t="shared" si="113"/>
        <v>Australia</v>
      </c>
      <c r="AA1197" t="s">
        <v>95</v>
      </c>
      <c r="AB1197" t="s">
        <v>96</v>
      </c>
      <c r="AC1197" t="s">
        <v>290</v>
      </c>
      <c r="AD1197" t="s">
        <v>291</v>
      </c>
      <c r="AE1197" t="s">
        <v>36</v>
      </c>
    </row>
    <row r="1198" spans="1:31" x14ac:dyDescent="0.3">
      <c r="A1198">
        <v>10180</v>
      </c>
      <c r="B1198">
        <v>21</v>
      </c>
      <c r="C1198">
        <v>50.36</v>
      </c>
      <c r="D1198">
        <v>3</v>
      </c>
      <c r="E1198" s="4" t="str">
        <f t="shared" si="108"/>
        <v>low sales</v>
      </c>
      <c r="F1198">
        <v>1057.56</v>
      </c>
      <c r="G1198" t="s">
        <v>1870</v>
      </c>
      <c r="H1198" s="1" t="str">
        <f t="shared" si="109"/>
        <v>Shipped</v>
      </c>
      <c r="I1198" s="4" t="str">
        <f t="shared" si="110"/>
        <v>completed</v>
      </c>
      <c r="J1198" t="s">
        <v>25</v>
      </c>
      <c r="K1198">
        <v>4</v>
      </c>
      <c r="L1198">
        <v>11</v>
      </c>
      <c r="M1198">
        <v>2003</v>
      </c>
      <c r="N1198" t="s">
        <v>26</v>
      </c>
      <c r="O1198">
        <v>62</v>
      </c>
      <c r="P1198" t="s">
        <v>611</v>
      </c>
      <c r="Q1198" t="s">
        <v>67</v>
      </c>
      <c r="R1198" t="s">
        <v>68</v>
      </c>
      <c r="S1198" t="s">
        <v>69</v>
      </c>
      <c r="U1198" s="1" t="str">
        <f t="shared" si="111"/>
        <v>Lille</v>
      </c>
      <c r="V1198" t="s">
        <v>70</v>
      </c>
      <c r="X1198">
        <v>59000</v>
      </c>
      <c r="Y1198" s="1" t="str">
        <f t="shared" si="112"/>
        <v>FRANCE</v>
      </c>
      <c r="Z1198" s="4" t="str">
        <f t="shared" si="113"/>
        <v>France</v>
      </c>
      <c r="AA1198" t="s">
        <v>41</v>
      </c>
      <c r="AB1198" t="s">
        <v>42</v>
      </c>
      <c r="AC1198" t="s">
        <v>71</v>
      </c>
      <c r="AD1198" t="s">
        <v>72</v>
      </c>
      <c r="AE1198" t="s">
        <v>36</v>
      </c>
    </row>
    <row r="1199" spans="1:31" x14ac:dyDescent="0.3">
      <c r="A1199">
        <v>10191</v>
      </c>
      <c r="B1199">
        <v>43</v>
      </c>
      <c r="C1199">
        <v>72.739999999999995</v>
      </c>
      <c r="D1199">
        <v>9</v>
      </c>
      <c r="E1199" s="4" t="str">
        <f t="shared" si="108"/>
        <v>low sales</v>
      </c>
      <c r="F1199">
        <v>3127.82</v>
      </c>
      <c r="G1199" t="s">
        <v>1871</v>
      </c>
      <c r="H1199" s="1" t="str">
        <f t="shared" si="109"/>
        <v>Shipped</v>
      </c>
      <c r="I1199" s="4" t="str">
        <f t="shared" si="110"/>
        <v>completed</v>
      </c>
      <c r="J1199" t="s">
        <v>25</v>
      </c>
      <c r="K1199">
        <v>4</v>
      </c>
      <c r="L1199">
        <v>11</v>
      </c>
      <c r="M1199">
        <v>2003</v>
      </c>
      <c r="N1199" t="s">
        <v>26</v>
      </c>
      <c r="O1199">
        <v>62</v>
      </c>
      <c r="P1199" t="s">
        <v>611</v>
      </c>
      <c r="Q1199" t="s">
        <v>439</v>
      </c>
      <c r="R1199" t="s">
        <v>440</v>
      </c>
      <c r="S1199" t="s">
        <v>441</v>
      </c>
      <c r="U1199" s="1" t="str">
        <f t="shared" si="111"/>
        <v>Koln</v>
      </c>
      <c r="V1199" t="s">
        <v>442</v>
      </c>
      <c r="X1199">
        <v>50739</v>
      </c>
      <c r="Y1199" s="1" t="str">
        <f t="shared" si="112"/>
        <v>GERMANY</v>
      </c>
      <c r="Z1199" s="4" t="str">
        <f t="shared" si="113"/>
        <v>Germany</v>
      </c>
      <c r="AA1199" t="s">
        <v>443</v>
      </c>
      <c r="AB1199" t="s">
        <v>42</v>
      </c>
      <c r="AC1199" t="s">
        <v>444</v>
      </c>
      <c r="AD1199" t="s">
        <v>445</v>
      </c>
      <c r="AE1199" t="s">
        <v>51</v>
      </c>
    </row>
    <row r="1200" spans="1:31" x14ac:dyDescent="0.3">
      <c r="A1200">
        <v>10211</v>
      </c>
      <c r="B1200">
        <v>46</v>
      </c>
      <c r="C1200">
        <v>54.09</v>
      </c>
      <c r="D1200">
        <v>8</v>
      </c>
      <c r="E1200" s="4" t="str">
        <f t="shared" si="108"/>
        <v>low sales</v>
      </c>
      <c r="F1200">
        <v>2488.14</v>
      </c>
      <c r="G1200" t="s">
        <v>1872</v>
      </c>
      <c r="H1200" s="1" t="str">
        <f t="shared" si="109"/>
        <v>Shipped</v>
      </c>
      <c r="I1200" s="4" t="str">
        <f t="shared" si="110"/>
        <v>completed</v>
      </c>
      <c r="J1200" t="s">
        <v>25</v>
      </c>
      <c r="K1200">
        <v>1</v>
      </c>
      <c r="L1200">
        <v>1</v>
      </c>
      <c r="M1200">
        <v>2004</v>
      </c>
      <c r="N1200" t="s">
        <v>26</v>
      </c>
      <c r="O1200">
        <v>62</v>
      </c>
      <c r="P1200" t="s">
        <v>611</v>
      </c>
      <c r="Q1200" t="s">
        <v>84</v>
      </c>
      <c r="R1200" t="s">
        <v>85</v>
      </c>
      <c r="S1200" t="s">
        <v>86</v>
      </c>
      <c r="U1200" s="1" t="str">
        <f t="shared" si="111"/>
        <v>Paris</v>
      </c>
      <c r="V1200" t="s">
        <v>48</v>
      </c>
      <c r="X1200">
        <v>75016</v>
      </c>
      <c r="Y1200" s="1" t="str">
        <f t="shared" si="112"/>
        <v>FRANCE</v>
      </c>
      <c r="Z1200" s="4" t="str">
        <f t="shared" si="113"/>
        <v>France</v>
      </c>
      <c r="AA1200" t="s">
        <v>41</v>
      </c>
      <c r="AB1200" t="s">
        <v>42</v>
      </c>
      <c r="AC1200" t="s">
        <v>87</v>
      </c>
      <c r="AD1200" t="s">
        <v>88</v>
      </c>
      <c r="AE1200" t="s">
        <v>36</v>
      </c>
    </row>
    <row r="1201" spans="1:31" x14ac:dyDescent="0.3">
      <c r="A1201">
        <v>10224</v>
      </c>
      <c r="B1201">
        <v>38</v>
      </c>
      <c r="C1201">
        <v>58.44</v>
      </c>
      <c r="D1201">
        <v>1</v>
      </c>
      <c r="E1201" s="4" t="str">
        <f t="shared" si="108"/>
        <v>low sales</v>
      </c>
      <c r="F1201">
        <v>2220.7199999999998</v>
      </c>
      <c r="G1201" t="s">
        <v>1873</v>
      </c>
      <c r="H1201" s="1" t="str">
        <f t="shared" si="109"/>
        <v>Shipped</v>
      </c>
      <c r="I1201" s="4" t="str">
        <f t="shared" si="110"/>
        <v>completed</v>
      </c>
      <c r="J1201" t="s">
        <v>25</v>
      </c>
      <c r="K1201">
        <v>1</v>
      </c>
      <c r="L1201">
        <v>2</v>
      </c>
      <c r="M1201">
        <v>2004</v>
      </c>
      <c r="N1201" t="s">
        <v>26</v>
      </c>
      <c r="O1201">
        <v>62</v>
      </c>
      <c r="P1201" t="s">
        <v>611</v>
      </c>
      <c r="Q1201" t="s">
        <v>67</v>
      </c>
      <c r="R1201" t="s">
        <v>68</v>
      </c>
      <c r="S1201" t="s">
        <v>69</v>
      </c>
      <c r="U1201" s="1" t="str">
        <f t="shared" si="111"/>
        <v>Lille</v>
      </c>
      <c r="V1201" t="s">
        <v>70</v>
      </c>
      <c r="X1201">
        <v>59000</v>
      </c>
      <c r="Y1201" s="1" t="str">
        <f t="shared" si="112"/>
        <v>FRANCE</v>
      </c>
      <c r="Z1201" s="4" t="str">
        <f t="shared" si="113"/>
        <v>France</v>
      </c>
      <c r="AA1201" t="s">
        <v>41</v>
      </c>
      <c r="AB1201" t="s">
        <v>42</v>
      </c>
      <c r="AC1201" t="s">
        <v>71</v>
      </c>
      <c r="AD1201" t="s">
        <v>72</v>
      </c>
      <c r="AE1201" t="s">
        <v>36</v>
      </c>
    </row>
    <row r="1202" spans="1:31" x14ac:dyDescent="0.3">
      <c r="A1202">
        <v>10237</v>
      </c>
      <c r="B1202">
        <v>26</v>
      </c>
      <c r="C1202">
        <v>52.22</v>
      </c>
      <c r="D1202">
        <v>1</v>
      </c>
      <c r="E1202" s="4" t="str">
        <f t="shared" si="108"/>
        <v>low sales</v>
      </c>
      <c r="F1202">
        <v>1357.72</v>
      </c>
      <c r="G1202" t="s">
        <v>1874</v>
      </c>
      <c r="H1202" s="1" t="str">
        <f t="shared" si="109"/>
        <v>Shipped</v>
      </c>
      <c r="I1202" s="4" t="str">
        <f t="shared" si="110"/>
        <v>completed</v>
      </c>
      <c r="J1202" t="s">
        <v>25</v>
      </c>
      <c r="K1202">
        <v>2</v>
      </c>
      <c r="L1202">
        <v>4</v>
      </c>
      <c r="M1202">
        <v>2004</v>
      </c>
      <c r="N1202" t="s">
        <v>26</v>
      </c>
      <c r="O1202">
        <v>62</v>
      </c>
      <c r="P1202" t="s">
        <v>611</v>
      </c>
      <c r="Q1202" t="s">
        <v>99</v>
      </c>
      <c r="R1202">
        <v>2125551500</v>
      </c>
      <c r="S1202" t="s">
        <v>100</v>
      </c>
      <c r="T1202" t="s">
        <v>101</v>
      </c>
      <c r="U1202" s="1" t="str">
        <f t="shared" si="111"/>
        <v>Nyc</v>
      </c>
      <c r="V1202" t="s">
        <v>30</v>
      </c>
      <c r="W1202" t="s">
        <v>31</v>
      </c>
      <c r="X1202">
        <v>10022</v>
      </c>
      <c r="Y1202" s="1" t="str">
        <f t="shared" si="112"/>
        <v>USA</v>
      </c>
      <c r="Z1202" s="4" t="str">
        <f t="shared" si="113"/>
        <v>Usa</v>
      </c>
      <c r="AA1202" t="s">
        <v>32</v>
      </c>
      <c r="AB1202" t="s">
        <v>33</v>
      </c>
      <c r="AC1202" t="s">
        <v>102</v>
      </c>
      <c r="AD1202" t="s">
        <v>103</v>
      </c>
      <c r="AE1202" t="s">
        <v>36</v>
      </c>
    </row>
    <row r="1203" spans="1:31" x14ac:dyDescent="0.3">
      <c r="A1203">
        <v>10252</v>
      </c>
      <c r="B1203">
        <v>31</v>
      </c>
      <c r="C1203">
        <v>52.84</v>
      </c>
      <c r="D1203">
        <v>5</v>
      </c>
      <c r="E1203" s="4" t="str">
        <f t="shared" si="108"/>
        <v>low sales</v>
      </c>
      <c r="F1203">
        <v>1638.04</v>
      </c>
      <c r="G1203" t="s">
        <v>1875</v>
      </c>
      <c r="H1203" s="1" t="str">
        <f t="shared" si="109"/>
        <v>Shipped</v>
      </c>
      <c r="I1203" s="4" t="str">
        <f t="shared" si="110"/>
        <v>completed</v>
      </c>
      <c r="J1203" t="s">
        <v>25</v>
      </c>
      <c r="K1203">
        <v>2</v>
      </c>
      <c r="L1203">
        <v>5</v>
      </c>
      <c r="M1203">
        <v>2004</v>
      </c>
      <c r="N1203" t="s">
        <v>26</v>
      </c>
      <c r="O1203">
        <v>62</v>
      </c>
      <c r="P1203" t="s">
        <v>611</v>
      </c>
      <c r="Q1203" t="s">
        <v>84</v>
      </c>
      <c r="R1203" t="s">
        <v>85</v>
      </c>
      <c r="S1203" t="s">
        <v>86</v>
      </c>
      <c r="U1203" s="1" t="str">
        <f t="shared" si="111"/>
        <v>Paris</v>
      </c>
      <c r="V1203" t="s">
        <v>48</v>
      </c>
      <c r="X1203">
        <v>75016</v>
      </c>
      <c r="Y1203" s="1" t="str">
        <f t="shared" si="112"/>
        <v>FRANCE</v>
      </c>
      <c r="Z1203" s="4" t="str">
        <f t="shared" si="113"/>
        <v>France</v>
      </c>
      <c r="AA1203" t="s">
        <v>41</v>
      </c>
      <c r="AB1203" t="s">
        <v>42</v>
      </c>
      <c r="AC1203" t="s">
        <v>87</v>
      </c>
      <c r="AD1203" t="s">
        <v>88</v>
      </c>
      <c r="AE1203" t="s">
        <v>36</v>
      </c>
    </row>
    <row r="1204" spans="1:31" x14ac:dyDescent="0.3">
      <c r="A1204">
        <v>10264</v>
      </c>
      <c r="B1204">
        <v>48</v>
      </c>
      <c r="C1204">
        <v>54.71</v>
      </c>
      <c r="D1204">
        <v>3</v>
      </c>
      <c r="E1204" s="4" t="str">
        <f t="shared" si="108"/>
        <v>low sales</v>
      </c>
      <c r="F1204">
        <v>2626.08</v>
      </c>
      <c r="G1204" t="s">
        <v>1876</v>
      </c>
      <c r="H1204" s="1" t="str">
        <f t="shared" si="109"/>
        <v>Shipped</v>
      </c>
      <c r="I1204" s="4" t="str">
        <f t="shared" si="110"/>
        <v>completed</v>
      </c>
      <c r="J1204" t="s">
        <v>25</v>
      </c>
      <c r="K1204">
        <v>2</v>
      </c>
      <c r="L1204">
        <v>6</v>
      </c>
      <c r="M1204">
        <v>2004</v>
      </c>
      <c r="N1204" t="s">
        <v>26</v>
      </c>
      <c r="O1204">
        <v>62</v>
      </c>
      <c r="P1204" t="s">
        <v>611</v>
      </c>
      <c r="Q1204" t="s">
        <v>379</v>
      </c>
      <c r="R1204">
        <v>6175559555</v>
      </c>
      <c r="S1204" t="s">
        <v>380</v>
      </c>
      <c r="U1204" s="1" t="str">
        <f t="shared" si="111"/>
        <v>Boston</v>
      </c>
      <c r="V1204" t="s">
        <v>381</v>
      </c>
      <c r="W1204" t="s">
        <v>123</v>
      </c>
      <c r="X1204">
        <v>51003</v>
      </c>
      <c r="Y1204" s="1" t="str">
        <f t="shared" si="112"/>
        <v>USA</v>
      </c>
      <c r="Z1204" s="4" t="str">
        <f t="shared" si="113"/>
        <v>Usa</v>
      </c>
      <c r="AA1204" t="s">
        <v>32</v>
      </c>
      <c r="AB1204" t="s">
        <v>33</v>
      </c>
      <c r="AC1204" t="s">
        <v>382</v>
      </c>
      <c r="AD1204" t="s">
        <v>66</v>
      </c>
      <c r="AE1204" t="s">
        <v>36</v>
      </c>
    </row>
    <row r="1205" spans="1:31" x14ac:dyDescent="0.3">
      <c r="A1205">
        <v>10276</v>
      </c>
      <c r="B1205">
        <v>33</v>
      </c>
      <c r="C1205">
        <v>50.36</v>
      </c>
      <c r="D1205">
        <v>9</v>
      </c>
      <c r="E1205" s="4" t="str">
        <f t="shared" si="108"/>
        <v>low sales</v>
      </c>
      <c r="F1205">
        <v>1661.88</v>
      </c>
      <c r="G1205" t="s">
        <v>1877</v>
      </c>
      <c r="H1205" s="1" t="str">
        <f t="shared" si="109"/>
        <v>Shipped</v>
      </c>
      <c r="I1205" s="4" t="str">
        <f t="shared" si="110"/>
        <v>completed</v>
      </c>
      <c r="J1205" t="s">
        <v>25</v>
      </c>
      <c r="K1205">
        <v>3</v>
      </c>
      <c r="L1205">
        <v>8</v>
      </c>
      <c r="M1205">
        <v>2004</v>
      </c>
      <c r="N1205" t="s">
        <v>26</v>
      </c>
      <c r="O1205">
        <v>62</v>
      </c>
      <c r="P1205" t="s">
        <v>611</v>
      </c>
      <c r="Q1205" t="s">
        <v>458</v>
      </c>
      <c r="R1205">
        <v>6175557555</v>
      </c>
      <c r="S1205" t="s">
        <v>459</v>
      </c>
      <c r="U1205" s="1" t="str">
        <f t="shared" si="111"/>
        <v>Brickhaven</v>
      </c>
      <c r="V1205" t="s">
        <v>283</v>
      </c>
      <c r="W1205" t="s">
        <v>123</v>
      </c>
      <c r="X1205">
        <v>58339</v>
      </c>
      <c r="Y1205" s="1" t="str">
        <f t="shared" si="112"/>
        <v>USA</v>
      </c>
      <c r="Z1205" s="4" t="str">
        <f t="shared" si="113"/>
        <v>Usa</v>
      </c>
      <c r="AA1205" t="s">
        <v>32</v>
      </c>
      <c r="AB1205" t="s">
        <v>33</v>
      </c>
      <c r="AC1205" t="s">
        <v>460</v>
      </c>
      <c r="AD1205" t="s">
        <v>461</v>
      </c>
      <c r="AE1205" t="s">
        <v>36</v>
      </c>
    </row>
    <row r="1206" spans="1:31" x14ac:dyDescent="0.3">
      <c r="A1206">
        <v>10286</v>
      </c>
      <c r="B1206">
        <v>38</v>
      </c>
      <c r="C1206">
        <v>57.2</v>
      </c>
      <c r="D1206">
        <v>1</v>
      </c>
      <c r="E1206" s="4" t="str">
        <f t="shared" si="108"/>
        <v>low sales</v>
      </c>
      <c r="F1206">
        <v>2173.6</v>
      </c>
      <c r="G1206" t="s">
        <v>1878</v>
      </c>
      <c r="H1206" s="1" t="str">
        <f t="shared" si="109"/>
        <v>Shipped</v>
      </c>
      <c r="I1206" s="4" t="str">
        <f t="shared" si="110"/>
        <v>completed</v>
      </c>
      <c r="J1206" t="s">
        <v>25</v>
      </c>
      <c r="K1206">
        <v>3</v>
      </c>
      <c r="L1206">
        <v>8</v>
      </c>
      <c r="M1206">
        <v>2004</v>
      </c>
      <c r="N1206" t="s">
        <v>26</v>
      </c>
      <c r="O1206">
        <v>62</v>
      </c>
      <c r="P1206" t="s">
        <v>611</v>
      </c>
      <c r="Q1206" t="s">
        <v>403</v>
      </c>
      <c r="R1206" t="s">
        <v>404</v>
      </c>
      <c r="S1206" t="s">
        <v>405</v>
      </c>
      <c r="U1206" s="1" t="str">
        <f t="shared" si="111"/>
        <v>Paris</v>
      </c>
      <c r="V1206" t="s">
        <v>48</v>
      </c>
      <c r="X1206">
        <v>75012</v>
      </c>
      <c r="Y1206" s="1" t="str">
        <f t="shared" si="112"/>
        <v>FRANCE</v>
      </c>
      <c r="Z1206" s="4" t="str">
        <f t="shared" si="113"/>
        <v>France</v>
      </c>
      <c r="AA1206" t="s">
        <v>41</v>
      </c>
      <c r="AB1206" t="s">
        <v>42</v>
      </c>
      <c r="AC1206" t="s">
        <v>406</v>
      </c>
      <c r="AD1206" t="s">
        <v>407</v>
      </c>
      <c r="AE1206" t="s">
        <v>36</v>
      </c>
    </row>
    <row r="1207" spans="1:31" x14ac:dyDescent="0.3">
      <c r="A1207">
        <v>10299</v>
      </c>
      <c r="B1207">
        <v>39</v>
      </c>
      <c r="C1207">
        <v>55.95</v>
      </c>
      <c r="D1207">
        <v>3</v>
      </c>
      <c r="E1207" s="4" t="str">
        <f t="shared" si="108"/>
        <v>low sales</v>
      </c>
      <c r="F1207">
        <v>2182.0500000000002</v>
      </c>
      <c r="G1207" t="s">
        <v>1879</v>
      </c>
      <c r="H1207" s="1" t="str">
        <f t="shared" si="109"/>
        <v>Shipped</v>
      </c>
      <c r="I1207" s="4" t="str">
        <f t="shared" si="110"/>
        <v>completed</v>
      </c>
      <c r="J1207" t="s">
        <v>25</v>
      </c>
      <c r="K1207">
        <v>3</v>
      </c>
      <c r="L1207">
        <v>9</v>
      </c>
      <c r="M1207">
        <v>2004</v>
      </c>
      <c r="N1207" t="s">
        <v>26</v>
      </c>
      <c r="O1207">
        <v>62</v>
      </c>
      <c r="P1207" t="s">
        <v>611</v>
      </c>
      <c r="Q1207" t="s">
        <v>126</v>
      </c>
      <c r="R1207" t="s">
        <v>127</v>
      </c>
      <c r="S1207" t="s">
        <v>128</v>
      </c>
      <c r="U1207" s="1" t="str">
        <f t="shared" si="111"/>
        <v>Helsinki</v>
      </c>
      <c r="V1207" t="s">
        <v>129</v>
      </c>
      <c r="X1207">
        <v>21240</v>
      </c>
      <c r="Y1207" s="1" t="str">
        <f t="shared" si="112"/>
        <v>FINLAND</v>
      </c>
      <c r="Z1207" s="4" t="str">
        <f t="shared" si="113"/>
        <v>Finland</v>
      </c>
      <c r="AA1207" t="s">
        <v>130</v>
      </c>
      <c r="AB1207" t="s">
        <v>42</v>
      </c>
      <c r="AC1207" t="s">
        <v>131</v>
      </c>
      <c r="AD1207" t="s">
        <v>132</v>
      </c>
      <c r="AE1207" t="s">
        <v>36</v>
      </c>
    </row>
    <row r="1208" spans="1:31" x14ac:dyDescent="0.3">
      <c r="A1208">
        <v>10310</v>
      </c>
      <c r="B1208">
        <v>42</v>
      </c>
      <c r="C1208">
        <v>67.14</v>
      </c>
      <c r="D1208">
        <v>16</v>
      </c>
      <c r="E1208" s="4" t="str">
        <f t="shared" si="108"/>
        <v>low sales</v>
      </c>
      <c r="F1208">
        <v>2819.88</v>
      </c>
      <c r="G1208" t="s">
        <v>1880</v>
      </c>
      <c r="H1208" s="1" t="str">
        <f t="shared" si="109"/>
        <v>Shipped</v>
      </c>
      <c r="I1208" s="4" t="str">
        <f t="shared" si="110"/>
        <v>completed</v>
      </c>
      <c r="J1208" t="s">
        <v>25</v>
      </c>
      <c r="K1208">
        <v>4</v>
      </c>
      <c r="L1208">
        <v>10</v>
      </c>
      <c r="M1208">
        <v>2004</v>
      </c>
      <c r="N1208" t="s">
        <v>26</v>
      </c>
      <c r="O1208">
        <v>62</v>
      </c>
      <c r="P1208" t="s">
        <v>611</v>
      </c>
      <c r="Q1208" t="s">
        <v>439</v>
      </c>
      <c r="R1208" t="s">
        <v>440</v>
      </c>
      <c r="S1208" t="s">
        <v>441</v>
      </c>
      <c r="U1208" s="1" t="str">
        <f t="shared" si="111"/>
        <v>Koln</v>
      </c>
      <c r="V1208" t="s">
        <v>442</v>
      </c>
      <c r="X1208">
        <v>50739</v>
      </c>
      <c r="Y1208" s="1" t="str">
        <f t="shared" si="112"/>
        <v>GERMANY</v>
      </c>
      <c r="Z1208" s="4" t="str">
        <f t="shared" si="113"/>
        <v>Germany</v>
      </c>
      <c r="AA1208" t="s">
        <v>443</v>
      </c>
      <c r="AB1208" t="s">
        <v>42</v>
      </c>
      <c r="AC1208" t="s">
        <v>444</v>
      </c>
      <c r="AD1208" t="s">
        <v>445</v>
      </c>
      <c r="AE1208" t="s">
        <v>36</v>
      </c>
    </row>
    <row r="1209" spans="1:31" x14ac:dyDescent="0.3">
      <c r="A1209">
        <v>10319</v>
      </c>
      <c r="B1209">
        <v>44</v>
      </c>
      <c r="C1209">
        <v>59.06</v>
      </c>
      <c r="D1209">
        <v>4</v>
      </c>
      <c r="E1209" s="4" t="str">
        <f t="shared" si="108"/>
        <v>low sales</v>
      </c>
      <c r="F1209">
        <v>2598.64</v>
      </c>
      <c r="G1209" t="s">
        <v>1881</v>
      </c>
      <c r="H1209" s="1" t="str">
        <f t="shared" si="109"/>
        <v>Shipped</v>
      </c>
      <c r="I1209" s="4" t="str">
        <f t="shared" si="110"/>
        <v>completed</v>
      </c>
      <c r="J1209" t="s">
        <v>25</v>
      </c>
      <c r="K1209">
        <v>4</v>
      </c>
      <c r="L1209">
        <v>11</v>
      </c>
      <c r="M1209">
        <v>2004</v>
      </c>
      <c r="N1209" t="s">
        <v>26</v>
      </c>
      <c r="O1209">
        <v>62</v>
      </c>
      <c r="P1209" t="s">
        <v>611</v>
      </c>
      <c r="Q1209" t="s">
        <v>507</v>
      </c>
      <c r="R1209">
        <v>2125551957</v>
      </c>
      <c r="S1209" t="s">
        <v>508</v>
      </c>
      <c r="T1209" t="s">
        <v>509</v>
      </c>
      <c r="U1209" s="1" t="str">
        <f t="shared" si="111"/>
        <v>Nyc</v>
      </c>
      <c r="V1209" t="s">
        <v>30</v>
      </c>
      <c r="W1209" t="s">
        <v>31</v>
      </c>
      <c r="X1209">
        <v>10022</v>
      </c>
      <c r="Y1209" s="1" t="str">
        <f t="shared" si="112"/>
        <v>USA</v>
      </c>
      <c r="Z1209" s="4" t="str">
        <f t="shared" si="113"/>
        <v>Usa</v>
      </c>
      <c r="AA1209" t="s">
        <v>32</v>
      </c>
      <c r="AB1209" t="s">
        <v>33</v>
      </c>
      <c r="AC1209" t="s">
        <v>510</v>
      </c>
      <c r="AD1209" t="s">
        <v>511</v>
      </c>
      <c r="AE1209" t="s">
        <v>36</v>
      </c>
    </row>
    <row r="1210" spans="1:31" x14ac:dyDescent="0.3">
      <c r="A1210">
        <v>10330</v>
      </c>
      <c r="B1210">
        <v>29</v>
      </c>
      <c r="C1210">
        <v>69.63</v>
      </c>
      <c r="D1210">
        <v>2</v>
      </c>
      <c r="E1210" s="4" t="str">
        <f t="shared" si="108"/>
        <v>low sales</v>
      </c>
      <c r="F1210">
        <v>2019.27</v>
      </c>
      <c r="G1210" t="s">
        <v>1882</v>
      </c>
      <c r="H1210" s="1" t="str">
        <f t="shared" si="109"/>
        <v>Shipped</v>
      </c>
      <c r="I1210" s="4" t="str">
        <f t="shared" si="110"/>
        <v>completed</v>
      </c>
      <c r="J1210" t="s">
        <v>25</v>
      </c>
      <c r="K1210">
        <v>4</v>
      </c>
      <c r="L1210">
        <v>11</v>
      </c>
      <c r="M1210">
        <v>2004</v>
      </c>
      <c r="N1210" t="s">
        <v>26</v>
      </c>
      <c r="O1210">
        <v>62</v>
      </c>
      <c r="P1210" t="s">
        <v>611</v>
      </c>
      <c r="Q1210" t="s">
        <v>425</v>
      </c>
      <c r="R1210" t="s">
        <v>426</v>
      </c>
      <c r="S1210" t="s">
        <v>427</v>
      </c>
      <c r="U1210" s="1" t="str">
        <f t="shared" si="111"/>
        <v>Makati City</v>
      </c>
      <c r="V1210" t="s">
        <v>428</v>
      </c>
      <c r="X1210" t="s">
        <v>429</v>
      </c>
      <c r="Y1210" s="1" t="str">
        <f t="shared" si="112"/>
        <v>PHILIPPINES</v>
      </c>
      <c r="Z1210" s="4" t="str">
        <f t="shared" si="113"/>
        <v>Philippines</v>
      </c>
      <c r="AA1210" t="s">
        <v>430</v>
      </c>
      <c r="AB1210" t="s">
        <v>200</v>
      </c>
      <c r="AC1210" t="s">
        <v>431</v>
      </c>
      <c r="AD1210" t="s">
        <v>432</v>
      </c>
      <c r="AE1210" t="s">
        <v>36</v>
      </c>
    </row>
    <row r="1211" spans="1:31" x14ac:dyDescent="0.3">
      <c r="A1211">
        <v>10342</v>
      </c>
      <c r="B1211">
        <v>26</v>
      </c>
      <c r="C1211">
        <v>55.95</v>
      </c>
      <c r="D1211">
        <v>8</v>
      </c>
      <c r="E1211" s="4" t="str">
        <f t="shared" si="108"/>
        <v>low sales</v>
      </c>
      <c r="F1211">
        <v>1454.7</v>
      </c>
      <c r="G1211" t="s">
        <v>1883</v>
      </c>
      <c r="H1211" s="1" t="str">
        <f t="shared" si="109"/>
        <v>Shipped</v>
      </c>
      <c r="I1211" s="4" t="str">
        <f t="shared" si="110"/>
        <v>completed</v>
      </c>
      <c r="J1211" t="s">
        <v>25</v>
      </c>
      <c r="K1211">
        <v>4</v>
      </c>
      <c r="L1211">
        <v>11</v>
      </c>
      <c r="M1211">
        <v>2004</v>
      </c>
      <c r="N1211" t="s">
        <v>26</v>
      </c>
      <c r="O1211">
        <v>62</v>
      </c>
      <c r="P1211" t="s">
        <v>611</v>
      </c>
      <c r="Q1211" t="s">
        <v>89</v>
      </c>
      <c r="R1211" t="s">
        <v>90</v>
      </c>
      <c r="S1211" t="s">
        <v>91</v>
      </c>
      <c r="T1211" t="s">
        <v>92</v>
      </c>
      <c r="U1211" s="1" t="str">
        <f t="shared" si="111"/>
        <v>Melbourne</v>
      </c>
      <c r="V1211" t="s">
        <v>93</v>
      </c>
      <c r="W1211" t="s">
        <v>94</v>
      </c>
      <c r="X1211">
        <v>3004</v>
      </c>
      <c r="Y1211" s="1" t="str">
        <f t="shared" si="112"/>
        <v>AUSTRALIA</v>
      </c>
      <c r="Z1211" s="4" t="str">
        <f t="shared" si="113"/>
        <v>Australia</v>
      </c>
      <c r="AA1211" t="s">
        <v>95</v>
      </c>
      <c r="AB1211" t="s">
        <v>96</v>
      </c>
      <c r="AC1211" t="s">
        <v>97</v>
      </c>
      <c r="AD1211" t="s">
        <v>98</v>
      </c>
      <c r="AE1211" t="s">
        <v>36</v>
      </c>
    </row>
    <row r="1212" spans="1:31" x14ac:dyDescent="0.3">
      <c r="A1212">
        <v>10355</v>
      </c>
      <c r="B1212">
        <v>31</v>
      </c>
      <c r="C1212">
        <v>53.47</v>
      </c>
      <c r="D1212">
        <v>1</v>
      </c>
      <c r="E1212" s="4" t="str">
        <f t="shared" si="108"/>
        <v>low sales</v>
      </c>
      <c r="F1212">
        <v>1657.57</v>
      </c>
      <c r="G1212" t="s">
        <v>1884</v>
      </c>
      <c r="H1212" s="1" t="str">
        <f t="shared" si="109"/>
        <v>Shipped</v>
      </c>
      <c r="I1212" s="4" t="str">
        <f t="shared" si="110"/>
        <v>completed</v>
      </c>
      <c r="J1212" t="s">
        <v>25</v>
      </c>
      <c r="K1212">
        <v>4</v>
      </c>
      <c r="L1212">
        <v>12</v>
      </c>
      <c r="M1212">
        <v>2004</v>
      </c>
      <c r="N1212" t="s">
        <v>26</v>
      </c>
      <c r="O1212">
        <v>62</v>
      </c>
      <c r="P1212" t="s">
        <v>611</v>
      </c>
      <c r="Q1212" t="s">
        <v>174</v>
      </c>
      <c r="R1212" t="s">
        <v>175</v>
      </c>
      <c r="S1212" t="s">
        <v>176</v>
      </c>
      <c r="U1212" s="1" t="str">
        <f t="shared" si="111"/>
        <v>Madrid</v>
      </c>
      <c r="V1212" t="s">
        <v>177</v>
      </c>
      <c r="X1212">
        <v>28034</v>
      </c>
      <c r="Y1212" s="1" t="str">
        <f t="shared" si="112"/>
        <v>SPAIN</v>
      </c>
      <c r="Z1212" s="4" t="str">
        <f t="shared" si="113"/>
        <v>Spain</v>
      </c>
      <c r="AA1212" t="s">
        <v>178</v>
      </c>
      <c r="AB1212" t="s">
        <v>42</v>
      </c>
      <c r="AC1212" t="s">
        <v>179</v>
      </c>
      <c r="AD1212" t="s">
        <v>180</v>
      </c>
      <c r="AE1212" t="s">
        <v>36</v>
      </c>
    </row>
    <row r="1213" spans="1:31" x14ac:dyDescent="0.3">
      <c r="A1213">
        <v>10363</v>
      </c>
      <c r="B1213">
        <v>32</v>
      </c>
      <c r="C1213">
        <v>89.12</v>
      </c>
      <c r="D1213">
        <v>12</v>
      </c>
      <c r="E1213" s="4" t="str">
        <f t="shared" si="108"/>
        <v>low sales</v>
      </c>
      <c r="F1213">
        <v>2851.84</v>
      </c>
      <c r="G1213" t="s">
        <v>1885</v>
      </c>
      <c r="H1213" s="1" t="str">
        <f t="shared" si="109"/>
        <v>Shipped</v>
      </c>
      <c r="I1213" s="4" t="str">
        <f t="shared" si="110"/>
        <v>completed</v>
      </c>
      <c r="J1213" t="s">
        <v>25</v>
      </c>
      <c r="K1213">
        <v>1</v>
      </c>
      <c r="L1213">
        <v>1</v>
      </c>
      <c r="M1213">
        <v>2005</v>
      </c>
      <c r="N1213" t="s">
        <v>26</v>
      </c>
      <c r="O1213">
        <v>62</v>
      </c>
      <c r="P1213" t="s">
        <v>611</v>
      </c>
      <c r="Q1213" t="s">
        <v>467</v>
      </c>
      <c r="R1213" t="s">
        <v>468</v>
      </c>
      <c r="S1213" t="s">
        <v>469</v>
      </c>
      <c r="U1213" s="1" t="str">
        <f t="shared" si="111"/>
        <v>Espoo</v>
      </c>
      <c r="V1213" t="s">
        <v>470</v>
      </c>
      <c r="X1213" t="s">
        <v>471</v>
      </c>
      <c r="Y1213" s="1" t="str">
        <f t="shared" si="112"/>
        <v>FINLAND</v>
      </c>
      <c r="Z1213" s="4" t="str">
        <f t="shared" si="113"/>
        <v>Finland</v>
      </c>
      <c r="AA1213" t="s">
        <v>130</v>
      </c>
      <c r="AB1213" t="s">
        <v>42</v>
      </c>
      <c r="AC1213" t="s">
        <v>472</v>
      </c>
      <c r="AD1213" t="s">
        <v>473</v>
      </c>
      <c r="AE1213" t="s">
        <v>36</v>
      </c>
    </row>
    <row r="1214" spans="1:31" x14ac:dyDescent="0.3">
      <c r="A1214">
        <v>10378</v>
      </c>
      <c r="B1214">
        <v>28</v>
      </c>
      <c r="C1214">
        <v>100</v>
      </c>
      <c r="D1214">
        <v>9</v>
      </c>
      <c r="E1214" s="4" t="str">
        <f t="shared" si="108"/>
        <v>high sales</v>
      </c>
      <c r="F1214">
        <v>4609.6400000000003</v>
      </c>
      <c r="G1214" t="s">
        <v>1886</v>
      </c>
      <c r="H1214" s="1" t="str">
        <f t="shared" si="109"/>
        <v>Shipped</v>
      </c>
      <c r="I1214" s="4" t="str">
        <f t="shared" si="110"/>
        <v>completed</v>
      </c>
      <c r="J1214" t="s">
        <v>25</v>
      </c>
      <c r="K1214">
        <v>1</v>
      </c>
      <c r="L1214">
        <v>2</v>
      </c>
      <c r="M1214">
        <v>2005</v>
      </c>
      <c r="N1214" t="s">
        <v>26</v>
      </c>
      <c r="O1214">
        <v>62</v>
      </c>
      <c r="P1214" t="s">
        <v>611</v>
      </c>
      <c r="Q1214" t="s">
        <v>174</v>
      </c>
      <c r="R1214" t="s">
        <v>175</v>
      </c>
      <c r="S1214" t="s">
        <v>176</v>
      </c>
      <c r="U1214" s="1" t="str">
        <f t="shared" si="111"/>
        <v>Madrid</v>
      </c>
      <c r="V1214" t="s">
        <v>177</v>
      </c>
      <c r="X1214">
        <v>28034</v>
      </c>
      <c r="Y1214" s="1" t="str">
        <f t="shared" si="112"/>
        <v>SPAIN</v>
      </c>
      <c r="Z1214" s="4" t="str">
        <f t="shared" si="113"/>
        <v>Spain</v>
      </c>
      <c r="AA1214" t="s">
        <v>178</v>
      </c>
      <c r="AB1214" t="s">
        <v>42</v>
      </c>
      <c r="AC1214" t="s">
        <v>179</v>
      </c>
      <c r="AD1214" t="s">
        <v>180</v>
      </c>
      <c r="AE1214" t="s">
        <v>51</v>
      </c>
    </row>
    <row r="1215" spans="1:31" x14ac:dyDescent="0.3">
      <c r="A1215">
        <v>10390</v>
      </c>
      <c r="B1215">
        <v>36</v>
      </c>
      <c r="C1215">
        <v>100</v>
      </c>
      <c r="D1215">
        <v>2</v>
      </c>
      <c r="E1215" s="4" t="str">
        <f t="shared" si="108"/>
        <v>high sales</v>
      </c>
      <c r="F1215">
        <v>5079.96</v>
      </c>
      <c r="G1215" t="s">
        <v>1887</v>
      </c>
      <c r="H1215" s="1" t="str">
        <f t="shared" si="109"/>
        <v>Shipped</v>
      </c>
      <c r="I1215" s="4" t="str">
        <f t="shared" si="110"/>
        <v>completed</v>
      </c>
      <c r="J1215" t="s">
        <v>25</v>
      </c>
      <c r="K1215">
        <v>1</v>
      </c>
      <c r="L1215">
        <v>3</v>
      </c>
      <c r="M1215">
        <v>2005</v>
      </c>
      <c r="N1215" t="s">
        <v>26</v>
      </c>
      <c r="O1215">
        <v>62</v>
      </c>
      <c r="P1215" t="s">
        <v>611</v>
      </c>
      <c r="Q1215" t="s">
        <v>272</v>
      </c>
      <c r="R1215">
        <v>4155551450</v>
      </c>
      <c r="S1215" t="s">
        <v>273</v>
      </c>
      <c r="U1215" s="1" t="str">
        <f t="shared" si="111"/>
        <v>San Rafael</v>
      </c>
      <c r="V1215" t="s">
        <v>274</v>
      </c>
      <c r="W1215" t="s">
        <v>55</v>
      </c>
      <c r="X1215">
        <v>97562</v>
      </c>
      <c r="Y1215" s="1" t="str">
        <f t="shared" si="112"/>
        <v>USA</v>
      </c>
      <c r="Z1215" s="4" t="str">
        <f t="shared" si="113"/>
        <v>Usa</v>
      </c>
      <c r="AA1215" t="s">
        <v>32</v>
      </c>
      <c r="AB1215" t="s">
        <v>33</v>
      </c>
      <c r="AC1215" t="s">
        <v>275</v>
      </c>
      <c r="AD1215" t="s">
        <v>276</v>
      </c>
      <c r="AE1215" t="s">
        <v>51</v>
      </c>
    </row>
    <row r="1216" spans="1:31" x14ac:dyDescent="0.3">
      <c r="A1216">
        <v>10403</v>
      </c>
      <c r="B1216">
        <v>36</v>
      </c>
      <c r="C1216">
        <v>52.22</v>
      </c>
      <c r="D1216">
        <v>1</v>
      </c>
      <c r="E1216" s="4" t="str">
        <f t="shared" si="108"/>
        <v>low sales</v>
      </c>
      <c r="F1216">
        <v>1879.92</v>
      </c>
      <c r="G1216" t="s">
        <v>1888</v>
      </c>
      <c r="H1216" s="1" t="str">
        <f t="shared" si="109"/>
        <v>Shipped</v>
      </c>
      <c r="I1216" s="4" t="str">
        <f t="shared" si="110"/>
        <v>completed</v>
      </c>
      <c r="J1216" t="s">
        <v>25</v>
      </c>
      <c r="K1216">
        <v>2</v>
      </c>
      <c r="L1216">
        <v>4</v>
      </c>
      <c r="M1216">
        <v>2005</v>
      </c>
      <c r="N1216" t="s">
        <v>26</v>
      </c>
      <c r="O1216">
        <v>62</v>
      </c>
      <c r="P1216" t="s">
        <v>611</v>
      </c>
      <c r="Q1216" t="s">
        <v>165</v>
      </c>
      <c r="R1216" t="s">
        <v>166</v>
      </c>
      <c r="S1216" t="s">
        <v>167</v>
      </c>
      <c r="U1216" s="1" t="str">
        <f t="shared" si="111"/>
        <v>Liverpool</v>
      </c>
      <c r="V1216" t="s">
        <v>168</v>
      </c>
      <c r="X1216" t="s">
        <v>169</v>
      </c>
      <c r="Y1216" s="1" t="str">
        <f t="shared" si="112"/>
        <v>UK</v>
      </c>
      <c r="Z1216" s="4" t="str">
        <f t="shared" si="113"/>
        <v>Uk</v>
      </c>
      <c r="AA1216" t="s">
        <v>170</v>
      </c>
      <c r="AB1216" t="s">
        <v>42</v>
      </c>
      <c r="AC1216" t="s">
        <v>171</v>
      </c>
      <c r="AD1216" t="s">
        <v>172</v>
      </c>
      <c r="AE1216" t="s">
        <v>36</v>
      </c>
    </row>
    <row r="1217" spans="1:31" x14ac:dyDescent="0.3">
      <c r="A1217">
        <v>10106</v>
      </c>
      <c r="B1217">
        <v>41</v>
      </c>
      <c r="C1217">
        <v>100</v>
      </c>
      <c r="D1217">
        <v>17</v>
      </c>
      <c r="E1217" s="4" t="str">
        <f t="shared" si="108"/>
        <v>high sales</v>
      </c>
      <c r="F1217">
        <v>4774.8599999999997</v>
      </c>
      <c r="G1217" t="s">
        <v>1889</v>
      </c>
      <c r="H1217" s="1" t="str">
        <f t="shared" si="109"/>
        <v>Shipped</v>
      </c>
      <c r="I1217" s="4" t="str">
        <f t="shared" si="110"/>
        <v>completed</v>
      </c>
      <c r="J1217" t="s">
        <v>25</v>
      </c>
      <c r="K1217">
        <v>1</v>
      </c>
      <c r="L1217">
        <v>2</v>
      </c>
      <c r="M1217">
        <v>2003</v>
      </c>
      <c r="N1217" t="s">
        <v>550</v>
      </c>
      <c r="O1217">
        <v>105</v>
      </c>
      <c r="P1217" t="s">
        <v>612</v>
      </c>
      <c r="Q1217" t="s">
        <v>552</v>
      </c>
      <c r="R1217" t="s">
        <v>553</v>
      </c>
      <c r="S1217" t="s">
        <v>554</v>
      </c>
      <c r="U1217" s="1" t="str">
        <f t="shared" si="111"/>
        <v>Bergamo</v>
      </c>
      <c r="V1217" t="s">
        <v>555</v>
      </c>
      <c r="X1217">
        <v>24100</v>
      </c>
      <c r="Y1217" s="1" t="str">
        <f t="shared" si="112"/>
        <v>ITALY</v>
      </c>
      <c r="Z1217" s="4" t="str">
        <f t="shared" si="113"/>
        <v>Italy</v>
      </c>
      <c r="AA1217" t="s">
        <v>258</v>
      </c>
      <c r="AB1217" t="s">
        <v>42</v>
      </c>
      <c r="AC1217" t="s">
        <v>556</v>
      </c>
      <c r="AD1217" t="s">
        <v>557</v>
      </c>
      <c r="AE1217" t="s">
        <v>51</v>
      </c>
    </row>
    <row r="1218" spans="1:31" x14ac:dyDescent="0.3">
      <c r="A1218">
        <v>10119</v>
      </c>
      <c r="B1218">
        <v>27</v>
      </c>
      <c r="C1218">
        <v>99.52</v>
      </c>
      <c r="D1218">
        <v>8</v>
      </c>
      <c r="E1218" s="4" t="str">
        <f t="shared" si="108"/>
        <v>low sales</v>
      </c>
      <c r="F1218">
        <v>2687.04</v>
      </c>
      <c r="G1218" t="s">
        <v>1890</v>
      </c>
      <c r="H1218" s="1" t="str">
        <f t="shared" si="109"/>
        <v>Shipped</v>
      </c>
      <c r="I1218" s="4" t="str">
        <f t="shared" si="110"/>
        <v>completed</v>
      </c>
      <c r="J1218" t="s">
        <v>25</v>
      </c>
      <c r="K1218">
        <v>2</v>
      </c>
      <c r="L1218">
        <v>4</v>
      </c>
      <c r="M1218">
        <v>2003</v>
      </c>
      <c r="N1218" t="s">
        <v>550</v>
      </c>
      <c r="O1218">
        <v>105</v>
      </c>
      <c r="P1218" t="s">
        <v>612</v>
      </c>
      <c r="Q1218" t="s">
        <v>144</v>
      </c>
      <c r="R1218" t="s">
        <v>145</v>
      </c>
      <c r="S1218" t="s">
        <v>146</v>
      </c>
      <c r="U1218" s="1" t="str">
        <f t="shared" si="111"/>
        <v>Salzburg</v>
      </c>
      <c r="V1218" t="s">
        <v>147</v>
      </c>
      <c r="X1218">
        <v>5020</v>
      </c>
      <c r="Y1218" s="1" t="str">
        <f t="shared" si="112"/>
        <v>AUSTRIA</v>
      </c>
      <c r="Z1218" s="4" t="str">
        <f t="shared" si="113"/>
        <v>Austria</v>
      </c>
      <c r="AA1218" t="s">
        <v>148</v>
      </c>
      <c r="AB1218" t="s">
        <v>42</v>
      </c>
      <c r="AC1218" t="s">
        <v>149</v>
      </c>
      <c r="AD1218" t="s">
        <v>150</v>
      </c>
      <c r="AE1218" t="s">
        <v>36</v>
      </c>
    </row>
    <row r="1219" spans="1:31" x14ac:dyDescent="0.3">
      <c r="A1219">
        <v>10130</v>
      </c>
      <c r="B1219">
        <v>33</v>
      </c>
      <c r="C1219">
        <v>100</v>
      </c>
      <c r="D1219">
        <v>1</v>
      </c>
      <c r="E1219" s="4" t="str">
        <f t="shared" ref="E1219:E1282" si="114">IF(F1219&gt;4000,"high sales","low sales")</f>
        <v>low sales</v>
      </c>
      <c r="F1219">
        <v>3423.75</v>
      </c>
      <c r="G1219" t="s">
        <v>1891</v>
      </c>
      <c r="H1219" s="1" t="str">
        <f t="shared" ref="H1219:H1282" si="115">PROPER(TRIM(J1219))</f>
        <v>Shipped</v>
      </c>
      <c r="I1219" s="4" t="str">
        <f t="shared" ref="I1219:I1282" si="116">IF(J1219="shipped","completed","not completed")</f>
        <v>completed</v>
      </c>
      <c r="J1219" t="s">
        <v>25</v>
      </c>
      <c r="K1219">
        <v>2</v>
      </c>
      <c r="L1219">
        <v>6</v>
      </c>
      <c r="M1219">
        <v>2003</v>
      </c>
      <c r="N1219" t="s">
        <v>550</v>
      </c>
      <c r="O1219">
        <v>105</v>
      </c>
      <c r="P1219" t="s">
        <v>612</v>
      </c>
      <c r="Q1219" t="s">
        <v>600</v>
      </c>
      <c r="R1219">
        <v>6175558428</v>
      </c>
      <c r="S1219" t="s">
        <v>601</v>
      </c>
      <c r="U1219" s="1" t="str">
        <f t="shared" ref="U1219:U1282" si="117">PROPER(TRIM(V1219))</f>
        <v>Brickhaven</v>
      </c>
      <c r="V1219" t="s">
        <v>283</v>
      </c>
      <c r="W1219" t="s">
        <v>123</v>
      </c>
      <c r="X1219">
        <v>58339</v>
      </c>
      <c r="Y1219" s="1" t="str">
        <f t="shared" ref="Y1219:Y1282" si="118">UPPER(TRIM(AA1219))</f>
        <v>USA</v>
      </c>
      <c r="Z1219" s="4" t="str">
        <f t="shared" ref="Z1219:Z1282" si="119">PROPER(TRIM(AA1219))</f>
        <v>Usa</v>
      </c>
      <c r="AA1219" t="s">
        <v>32</v>
      </c>
      <c r="AB1219" t="s">
        <v>33</v>
      </c>
      <c r="AC1219" t="s">
        <v>529</v>
      </c>
      <c r="AD1219" t="s">
        <v>245</v>
      </c>
      <c r="AE1219" t="s">
        <v>51</v>
      </c>
    </row>
    <row r="1220" spans="1:31" x14ac:dyDescent="0.3">
      <c r="A1220">
        <v>10143</v>
      </c>
      <c r="B1220">
        <v>34</v>
      </c>
      <c r="C1220">
        <v>100</v>
      </c>
      <c r="D1220">
        <v>12</v>
      </c>
      <c r="E1220" s="4" t="str">
        <f t="shared" si="114"/>
        <v>low sales</v>
      </c>
      <c r="F1220">
        <v>3455.76</v>
      </c>
      <c r="G1220" t="s">
        <v>1892</v>
      </c>
      <c r="H1220" s="1" t="str">
        <f t="shared" si="115"/>
        <v>Shipped</v>
      </c>
      <c r="I1220" s="4" t="str">
        <f t="shared" si="116"/>
        <v>completed</v>
      </c>
      <c r="J1220" t="s">
        <v>25</v>
      </c>
      <c r="K1220">
        <v>3</v>
      </c>
      <c r="L1220">
        <v>8</v>
      </c>
      <c r="M1220">
        <v>2003</v>
      </c>
      <c r="N1220" t="s">
        <v>550</v>
      </c>
      <c r="O1220">
        <v>105</v>
      </c>
      <c r="P1220" t="s">
        <v>612</v>
      </c>
      <c r="Q1220" t="s">
        <v>335</v>
      </c>
      <c r="R1220">
        <v>5085559555</v>
      </c>
      <c r="S1220" t="s">
        <v>336</v>
      </c>
      <c r="U1220" s="1" t="str">
        <f t="shared" si="117"/>
        <v>New Bedford</v>
      </c>
      <c r="V1220" t="s">
        <v>162</v>
      </c>
      <c r="W1220" t="s">
        <v>123</v>
      </c>
      <c r="X1220">
        <v>50553</v>
      </c>
      <c r="Y1220" s="1" t="str">
        <f t="shared" si="118"/>
        <v>USA</v>
      </c>
      <c r="Z1220" s="4" t="str">
        <f t="shared" si="119"/>
        <v>Usa</v>
      </c>
      <c r="AA1220" t="s">
        <v>32</v>
      </c>
      <c r="AB1220" t="s">
        <v>33</v>
      </c>
      <c r="AC1220" t="s">
        <v>337</v>
      </c>
      <c r="AD1220" t="s">
        <v>338</v>
      </c>
      <c r="AE1220" t="s">
        <v>51</v>
      </c>
    </row>
    <row r="1221" spans="1:31" x14ac:dyDescent="0.3">
      <c r="A1221">
        <v>10155</v>
      </c>
      <c r="B1221">
        <v>29</v>
      </c>
      <c r="C1221">
        <v>100</v>
      </c>
      <c r="D1221">
        <v>10</v>
      </c>
      <c r="E1221" s="4" t="str">
        <f t="shared" si="114"/>
        <v>low sales</v>
      </c>
      <c r="F1221">
        <v>3622.97</v>
      </c>
      <c r="G1221" t="s">
        <v>1893</v>
      </c>
      <c r="H1221" s="1" t="str">
        <f t="shared" si="115"/>
        <v>Shipped</v>
      </c>
      <c r="I1221" s="4" t="str">
        <f t="shared" si="116"/>
        <v>completed</v>
      </c>
      <c r="J1221" t="s">
        <v>25</v>
      </c>
      <c r="K1221">
        <v>4</v>
      </c>
      <c r="L1221">
        <v>10</v>
      </c>
      <c r="M1221">
        <v>2003</v>
      </c>
      <c r="N1221" t="s">
        <v>550</v>
      </c>
      <c r="O1221">
        <v>105</v>
      </c>
      <c r="P1221" t="s">
        <v>612</v>
      </c>
      <c r="Q1221" t="s">
        <v>126</v>
      </c>
      <c r="R1221" t="s">
        <v>127</v>
      </c>
      <c r="S1221" t="s">
        <v>128</v>
      </c>
      <c r="U1221" s="1" t="str">
        <f t="shared" si="117"/>
        <v>Helsinki</v>
      </c>
      <c r="V1221" t="s">
        <v>129</v>
      </c>
      <c r="X1221">
        <v>21240</v>
      </c>
      <c r="Y1221" s="1" t="str">
        <f t="shared" si="118"/>
        <v>FINLAND</v>
      </c>
      <c r="Z1221" s="4" t="str">
        <f t="shared" si="119"/>
        <v>Finland</v>
      </c>
      <c r="AA1221" t="s">
        <v>130</v>
      </c>
      <c r="AB1221" t="s">
        <v>42</v>
      </c>
      <c r="AC1221" t="s">
        <v>131</v>
      </c>
      <c r="AD1221" t="s">
        <v>132</v>
      </c>
      <c r="AE1221" t="s">
        <v>51</v>
      </c>
    </row>
    <row r="1222" spans="1:31" x14ac:dyDescent="0.3">
      <c r="A1222">
        <v>10167</v>
      </c>
      <c r="B1222">
        <v>34</v>
      </c>
      <c r="C1222">
        <v>100</v>
      </c>
      <c r="D1222">
        <v>6</v>
      </c>
      <c r="E1222" s="4" t="str">
        <f t="shared" si="114"/>
        <v>low sales</v>
      </c>
      <c r="F1222">
        <v>3599.58</v>
      </c>
      <c r="G1222" t="s">
        <v>1894</v>
      </c>
      <c r="H1222" s="1" t="str">
        <f t="shared" si="115"/>
        <v>Cancelled</v>
      </c>
      <c r="I1222" s="4" t="str">
        <f t="shared" si="116"/>
        <v>not completed</v>
      </c>
      <c r="J1222" t="s">
        <v>339</v>
      </c>
      <c r="K1222">
        <v>4</v>
      </c>
      <c r="L1222">
        <v>10</v>
      </c>
      <c r="M1222">
        <v>2003</v>
      </c>
      <c r="N1222" t="s">
        <v>550</v>
      </c>
      <c r="O1222">
        <v>105</v>
      </c>
      <c r="P1222" t="s">
        <v>612</v>
      </c>
      <c r="Q1222" t="s">
        <v>261</v>
      </c>
      <c r="R1222" t="s">
        <v>262</v>
      </c>
      <c r="S1222" t="s">
        <v>263</v>
      </c>
      <c r="U1222" s="1" t="str">
        <f t="shared" si="117"/>
        <v>Boras</v>
      </c>
      <c r="V1222" t="s">
        <v>264</v>
      </c>
      <c r="X1222" t="s">
        <v>265</v>
      </c>
      <c r="Y1222" s="1" t="str">
        <f t="shared" si="118"/>
        <v>SWEDEN</v>
      </c>
      <c r="Z1222" s="4" t="str">
        <f t="shared" si="119"/>
        <v>Sweden</v>
      </c>
      <c r="AA1222" t="s">
        <v>188</v>
      </c>
      <c r="AB1222" t="s">
        <v>42</v>
      </c>
      <c r="AC1222" t="s">
        <v>266</v>
      </c>
      <c r="AD1222" t="s">
        <v>206</v>
      </c>
      <c r="AE1222" t="s">
        <v>51</v>
      </c>
    </row>
    <row r="1223" spans="1:31" x14ac:dyDescent="0.3">
      <c r="A1223">
        <v>10178</v>
      </c>
      <c r="B1223">
        <v>48</v>
      </c>
      <c r="C1223">
        <v>100</v>
      </c>
      <c r="D1223">
        <v>9</v>
      </c>
      <c r="E1223" s="4" t="str">
        <f t="shared" si="114"/>
        <v>high sales</v>
      </c>
      <c r="F1223">
        <v>5386.56</v>
      </c>
      <c r="G1223" t="s">
        <v>1895</v>
      </c>
      <c r="H1223" s="1" t="str">
        <f t="shared" si="115"/>
        <v>Shipped</v>
      </c>
      <c r="I1223" s="4" t="str">
        <f t="shared" si="116"/>
        <v>completed</v>
      </c>
      <c r="J1223" t="s">
        <v>25</v>
      </c>
      <c r="K1223">
        <v>4</v>
      </c>
      <c r="L1223">
        <v>11</v>
      </c>
      <c r="M1223">
        <v>2003</v>
      </c>
      <c r="N1223" t="s">
        <v>550</v>
      </c>
      <c r="O1223">
        <v>105</v>
      </c>
      <c r="P1223" t="s">
        <v>612</v>
      </c>
      <c r="Q1223" t="s">
        <v>340</v>
      </c>
      <c r="R1223" t="s">
        <v>341</v>
      </c>
      <c r="S1223" t="s">
        <v>342</v>
      </c>
      <c r="U1223" s="1" t="str">
        <f t="shared" si="117"/>
        <v>Toulouse</v>
      </c>
      <c r="V1223" t="s">
        <v>343</v>
      </c>
      <c r="X1223">
        <v>31000</v>
      </c>
      <c r="Y1223" s="1" t="str">
        <f t="shared" si="118"/>
        <v>FRANCE</v>
      </c>
      <c r="Z1223" s="4" t="str">
        <f t="shared" si="119"/>
        <v>France</v>
      </c>
      <c r="AA1223" t="s">
        <v>41</v>
      </c>
      <c r="AB1223" t="s">
        <v>42</v>
      </c>
      <c r="AC1223" t="s">
        <v>344</v>
      </c>
      <c r="AD1223" t="s">
        <v>345</v>
      </c>
      <c r="AE1223" t="s">
        <v>51</v>
      </c>
    </row>
    <row r="1224" spans="1:31" x14ac:dyDescent="0.3">
      <c r="A1224">
        <v>10186</v>
      </c>
      <c r="B1224">
        <v>46</v>
      </c>
      <c r="C1224">
        <v>100</v>
      </c>
      <c r="D1224">
        <v>6</v>
      </c>
      <c r="E1224" s="4" t="str">
        <f t="shared" si="114"/>
        <v>high sales</v>
      </c>
      <c r="F1224">
        <v>4918.78</v>
      </c>
      <c r="G1224" t="s">
        <v>1896</v>
      </c>
      <c r="H1224" s="1" t="str">
        <f t="shared" si="115"/>
        <v>Shipped</v>
      </c>
      <c r="I1224" s="4" t="str">
        <f t="shared" si="116"/>
        <v>completed</v>
      </c>
      <c r="J1224" t="s">
        <v>25</v>
      </c>
      <c r="K1224">
        <v>4</v>
      </c>
      <c r="L1224">
        <v>11</v>
      </c>
      <c r="M1224">
        <v>2003</v>
      </c>
      <c r="N1224" t="s">
        <v>550</v>
      </c>
      <c r="O1224">
        <v>105</v>
      </c>
      <c r="P1224" t="s">
        <v>612</v>
      </c>
      <c r="Q1224" t="s">
        <v>346</v>
      </c>
      <c r="R1224" t="s">
        <v>347</v>
      </c>
      <c r="S1224" t="s">
        <v>348</v>
      </c>
      <c r="U1224" s="1" t="str">
        <f t="shared" si="117"/>
        <v>London</v>
      </c>
      <c r="V1224" t="s">
        <v>332</v>
      </c>
      <c r="X1224" t="s">
        <v>349</v>
      </c>
      <c r="Y1224" s="1" t="str">
        <f t="shared" si="118"/>
        <v>UK</v>
      </c>
      <c r="Z1224" s="4" t="str">
        <f t="shared" si="119"/>
        <v>Uk</v>
      </c>
      <c r="AA1224" t="s">
        <v>170</v>
      </c>
      <c r="AB1224" t="s">
        <v>42</v>
      </c>
      <c r="AC1224" t="s">
        <v>350</v>
      </c>
      <c r="AD1224" t="s">
        <v>351</v>
      </c>
      <c r="AE1224" t="s">
        <v>51</v>
      </c>
    </row>
    <row r="1225" spans="1:31" x14ac:dyDescent="0.3">
      <c r="A1225">
        <v>10197</v>
      </c>
      <c r="B1225">
        <v>22</v>
      </c>
      <c r="C1225">
        <v>100</v>
      </c>
      <c r="D1225">
        <v>3</v>
      </c>
      <c r="E1225" s="4" t="str">
        <f t="shared" si="114"/>
        <v>low sales</v>
      </c>
      <c r="F1225">
        <v>2538.8000000000002</v>
      </c>
      <c r="G1225" t="s">
        <v>1897</v>
      </c>
      <c r="H1225" s="1" t="str">
        <f t="shared" si="115"/>
        <v>Shipped</v>
      </c>
      <c r="I1225" s="4" t="str">
        <f t="shared" si="116"/>
        <v>completed</v>
      </c>
      <c r="J1225" t="s">
        <v>25</v>
      </c>
      <c r="K1225">
        <v>4</v>
      </c>
      <c r="L1225">
        <v>11</v>
      </c>
      <c r="M1225">
        <v>2003</v>
      </c>
      <c r="N1225" t="s">
        <v>550</v>
      </c>
      <c r="O1225">
        <v>105</v>
      </c>
      <c r="P1225" t="s">
        <v>612</v>
      </c>
      <c r="Q1225" t="s">
        <v>352</v>
      </c>
      <c r="R1225" t="s">
        <v>353</v>
      </c>
      <c r="S1225" t="s">
        <v>354</v>
      </c>
      <c r="U1225" s="1" t="str">
        <f t="shared" si="117"/>
        <v>Barcelona</v>
      </c>
      <c r="V1225" t="s">
        <v>355</v>
      </c>
      <c r="X1225">
        <v>8022</v>
      </c>
      <c r="Y1225" s="1" t="str">
        <f t="shared" si="118"/>
        <v>SPAIN</v>
      </c>
      <c r="Z1225" s="4" t="str">
        <f t="shared" si="119"/>
        <v>Spain</v>
      </c>
      <c r="AA1225" t="s">
        <v>178</v>
      </c>
      <c r="AB1225" t="s">
        <v>42</v>
      </c>
      <c r="AC1225" t="s">
        <v>356</v>
      </c>
      <c r="AD1225" t="s">
        <v>357</v>
      </c>
      <c r="AE1225" t="s">
        <v>36</v>
      </c>
    </row>
    <row r="1226" spans="1:31" x14ac:dyDescent="0.3">
      <c r="A1226">
        <v>10209</v>
      </c>
      <c r="B1226">
        <v>20</v>
      </c>
      <c r="C1226">
        <v>100</v>
      </c>
      <c r="D1226">
        <v>5</v>
      </c>
      <c r="E1226" s="4" t="str">
        <f t="shared" si="114"/>
        <v>low sales</v>
      </c>
      <c r="F1226">
        <v>2498.6</v>
      </c>
      <c r="G1226" t="s">
        <v>1898</v>
      </c>
      <c r="H1226" s="1" t="str">
        <f t="shared" si="115"/>
        <v>Shipped</v>
      </c>
      <c r="I1226" s="4" t="str">
        <f t="shared" si="116"/>
        <v>completed</v>
      </c>
      <c r="J1226" t="s">
        <v>25</v>
      </c>
      <c r="K1226">
        <v>1</v>
      </c>
      <c r="L1226">
        <v>1</v>
      </c>
      <c r="M1226">
        <v>2004</v>
      </c>
      <c r="N1226" t="s">
        <v>550</v>
      </c>
      <c r="O1226">
        <v>105</v>
      </c>
      <c r="P1226" t="s">
        <v>612</v>
      </c>
      <c r="Q1226" t="s">
        <v>358</v>
      </c>
      <c r="R1226">
        <v>2155554369</v>
      </c>
      <c r="S1226" t="s">
        <v>359</v>
      </c>
      <c r="U1226" s="1" t="str">
        <f t="shared" si="117"/>
        <v>Los Angeles</v>
      </c>
      <c r="V1226" t="s">
        <v>360</v>
      </c>
      <c r="W1226" t="s">
        <v>55</v>
      </c>
      <c r="Y1226" s="1" t="str">
        <f t="shared" si="118"/>
        <v>USA</v>
      </c>
      <c r="Z1226" s="4" t="str">
        <f t="shared" si="119"/>
        <v>Usa</v>
      </c>
      <c r="AA1226" t="s">
        <v>32</v>
      </c>
      <c r="AB1226" t="s">
        <v>33</v>
      </c>
      <c r="AC1226" t="s">
        <v>361</v>
      </c>
      <c r="AD1226" t="s">
        <v>103</v>
      </c>
      <c r="AE1226" t="s">
        <v>36</v>
      </c>
    </row>
    <row r="1227" spans="1:31" x14ac:dyDescent="0.3">
      <c r="A1227">
        <v>10222</v>
      </c>
      <c r="B1227">
        <v>45</v>
      </c>
      <c r="C1227">
        <v>85.75</v>
      </c>
      <c r="D1227">
        <v>9</v>
      </c>
      <c r="E1227" s="4" t="str">
        <f t="shared" si="114"/>
        <v>low sales</v>
      </c>
      <c r="F1227">
        <v>3858.75</v>
      </c>
      <c r="G1227" t="s">
        <v>1899</v>
      </c>
      <c r="H1227" s="1" t="str">
        <f t="shared" si="115"/>
        <v>Shipped</v>
      </c>
      <c r="I1227" s="4" t="str">
        <f t="shared" si="116"/>
        <v>completed</v>
      </c>
      <c r="J1227" t="s">
        <v>25</v>
      </c>
      <c r="K1227">
        <v>1</v>
      </c>
      <c r="L1227">
        <v>2</v>
      </c>
      <c r="M1227">
        <v>2004</v>
      </c>
      <c r="N1227" t="s">
        <v>550</v>
      </c>
      <c r="O1227">
        <v>105</v>
      </c>
      <c r="P1227" t="s">
        <v>612</v>
      </c>
      <c r="Q1227" t="s">
        <v>362</v>
      </c>
      <c r="R1227">
        <v>7605558146</v>
      </c>
      <c r="S1227" t="s">
        <v>363</v>
      </c>
      <c r="U1227" s="1" t="str">
        <f t="shared" si="117"/>
        <v>San Diego</v>
      </c>
      <c r="V1227" t="s">
        <v>364</v>
      </c>
      <c r="W1227" t="s">
        <v>55</v>
      </c>
      <c r="X1227">
        <v>91217</v>
      </c>
      <c r="Y1227" s="1" t="str">
        <f t="shared" si="118"/>
        <v>USA</v>
      </c>
      <c r="Z1227" s="4" t="str">
        <f t="shared" si="119"/>
        <v>Usa</v>
      </c>
      <c r="AA1227" t="s">
        <v>32</v>
      </c>
      <c r="AB1227" t="s">
        <v>33</v>
      </c>
      <c r="AC1227" t="s">
        <v>237</v>
      </c>
      <c r="AD1227" t="s">
        <v>276</v>
      </c>
      <c r="AE1227" t="s">
        <v>51</v>
      </c>
    </row>
    <row r="1228" spans="1:31" x14ac:dyDescent="0.3">
      <c r="A1228">
        <v>10249</v>
      </c>
      <c r="B1228">
        <v>46</v>
      </c>
      <c r="C1228">
        <v>100</v>
      </c>
      <c r="D1228">
        <v>5</v>
      </c>
      <c r="E1228" s="4" t="str">
        <f t="shared" si="114"/>
        <v>high sales</v>
      </c>
      <c r="F1228">
        <v>5600.5</v>
      </c>
      <c r="G1228" t="s">
        <v>1900</v>
      </c>
      <c r="H1228" s="1" t="str">
        <f t="shared" si="115"/>
        <v>Shipped</v>
      </c>
      <c r="I1228" s="4" t="str">
        <f t="shared" si="116"/>
        <v>completed</v>
      </c>
      <c r="J1228" t="s">
        <v>25</v>
      </c>
      <c r="K1228">
        <v>2</v>
      </c>
      <c r="L1228">
        <v>5</v>
      </c>
      <c r="M1228">
        <v>2004</v>
      </c>
      <c r="N1228" t="s">
        <v>550</v>
      </c>
      <c r="O1228">
        <v>105</v>
      </c>
      <c r="P1228" t="s">
        <v>612</v>
      </c>
      <c r="Q1228" t="s">
        <v>239</v>
      </c>
      <c r="R1228">
        <v>6175555555</v>
      </c>
      <c r="S1228" t="s">
        <v>240</v>
      </c>
      <c r="U1228" s="1" t="str">
        <f t="shared" si="117"/>
        <v>Cambridge</v>
      </c>
      <c r="V1228" t="s">
        <v>122</v>
      </c>
      <c r="W1228" t="s">
        <v>123</v>
      </c>
      <c r="X1228">
        <v>51247</v>
      </c>
      <c r="Y1228" s="1" t="str">
        <f t="shared" si="118"/>
        <v>USA</v>
      </c>
      <c r="Z1228" s="4" t="str">
        <f t="shared" si="119"/>
        <v>Usa</v>
      </c>
      <c r="AA1228" t="s">
        <v>32</v>
      </c>
      <c r="AB1228" t="s">
        <v>33</v>
      </c>
      <c r="AC1228" t="s">
        <v>241</v>
      </c>
      <c r="AD1228" t="s">
        <v>143</v>
      </c>
      <c r="AE1228" t="s">
        <v>51</v>
      </c>
    </row>
    <row r="1229" spans="1:31" x14ac:dyDescent="0.3">
      <c r="A1229">
        <v>10262</v>
      </c>
      <c r="B1229">
        <v>34</v>
      </c>
      <c r="C1229">
        <v>100</v>
      </c>
      <c r="D1229">
        <v>14</v>
      </c>
      <c r="E1229" s="4" t="str">
        <f t="shared" si="114"/>
        <v>high sales</v>
      </c>
      <c r="F1229">
        <v>4103.46</v>
      </c>
      <c r="G1229" t="s">
        <v>1901</v>
      </c>
      <c r="H1229" s="1" t="str">
        <f t="shared" si="115"/>
        <v>Cancelled</v>
      </c>
      <c r="I1229" s="4" t="str">
        <f t="shared" si="116"/>
        <v>not completed</v>
      </c>
      <c r="J1229" t="s">
        <v>339</v>
      </c>
      <c r="K1229">
        <v>2</v>
      </c>
      <c r="L1229">
        <v>6</v>
      </c>
      <c r="M1229">
        <v>2004</v>
      </c>
      <c r="N1229" t="s">
        <v>550</v>
      </c>
      <c r="O1229">
        <v>105</v>
      </c>
      <c r="P1229" t="s">
        <v>612</v>
      </c>
      <c r="Q1229" t="s">
        <v>174</v>
      </c>
      <c r="R1229" t="s">
        <v>175</v>
      </c>
      <c r="S1229" t="s">
        <v>176</v>
      </c>
      <c r="U1229" s="1" t="str">
        <f t="shared" si="117"/>
        <v>Madrid</v>
      </c>
      <c r="V1229" t="s">
        <v>177</v>
      </c>
      <c r="X1229">
        <v>28034</v>
      </c>
      <c r="Y1229" s="1" t="str">
        <f t="shared" si="118"/>
        <v>SPAIN</v>
      </c>
      <c r="Z1229" s="4" t="str">
        <f t="shared" si="119"/>
        <v>Spain</v>
      </c>
      <c r="AA1229" t="s">
        <v>178</v>
      </c>
      <c r="AB1229" t="s">
        <v>42</v>
      </c>
      <c r="AC1229" t="s">
        <v>179</v>
      </c>
      <c r="AD1229" t="s">
        <v>180</v>
      </c>
      <c r="AE1229" t="s">
        <v>51</v>
      </c>
    </row>
    <row r="1230" spans="1:31" x14ac:dyDescent="0.3">
      <c r="A1230">
        <v>10273</v>
      </c>
      <c r="B1230">
        <v>50</v>
      </c>
      <c r="C1230">
        <v>85.75</v>
      </c>
      <c r="D1230">
        <v>1</v>
      </c>
      <c r="E1230" s="4" t="str">
        <f t="shared" si="114"/>
        <v>high sales</v>
      </c>
      <c r="F1230">
        <v>4287.5</v>
      </c>
      <c r="G1230" t="s">
        <v>1902</v>
      </c>
      <c r="H1230" s="1" t="str">
        <f t="shared" si="115"/>
        <v>Shipped</v>
      </c>
      <c r="I1230" s="4" t="str">
        <f t="shared" si="116"/>
        <v>completed</v>
      </c>
      <c r="J1230" t="s">
        <v>25</v>
      </c>
      <c r="K1230">
        <v>3</v>
      </c>
      <c r="L1230">
        <v>7</v>
      </c>
      <c r="M1230">
        <v>2004</v>
      </c>
      <c r="N1230" t="s">
        <v>550</v>
      </c>
      <c r="O1230">
        <v>105</v>
      </c>
      <c r="P1230" t="s">
        <v>612</v>
      </c>
      <c r="Q1230" t="s">
        <v>365</v>
      </c>
      <c r="R1230" t="s">
        <v>366</v>
      </c>
      <c r="S1230" t="s">
        <v>367</v>
      </c>
      <c r="U1230" s="1" t="str">
        <f t="shared" si="117"/>
        <v>Bruxelles</v>
      </c>
      <c r="V1230" t="s">
        <v>368</v>
      </c>
      <c r="X1230" t="s">
        <v>369</v>
      </c>
      <c r="Y1230" s="1" t="str">
        <f t="shared" si="118"/>
        <v>BELGIUM</v>
      </c>
      <c r="Z1230" s="4" t="str">
        <f t="shared" si="119"/>
        <v>Belgium</v>
      </c>
      <c r="AA1230" t="s">
        <v>370</v>
      </c>
      <c r="AB1230" t="s">
        <v>42</v>
      </c>
      <c r="AC1230" t="s">
        <v>371</v>
      </c>
      <c r="AD1230" t="s">
        <v>372</v>
      </c>
      <c r="AE1230" t="s">
        <v>51</v>
      </c>
    </row>
    <row r="1231" spans="1:31" x14ac:dyDescent="0.3">
      <c r="A1231">
        <v>10283</v>
      </c>
      <c r="B1231">
        <v>46</v>
      </c>
      <c r="C1231">
        <v>100</v>
      </c>
      <c r="D1231">
        <v>3</v>
      </c>
      <c r="E1231" s="4" t="str">
        <f t="shared" si="114"/>
        <v>high sales</v>
      </c>
      <c r="F1231">
        <v>5795.54</v>
      </c>
      <c r="G1231" t="s">
        <v>1903</v>
      </c>
      <c r="H1231" s="1" t="str">
        <f t="shared" si="115"/>
        <v>Shipped</v>
      </c>
      <c r="I1231" s="4" t="str">
        <f t="shared" si="116"/>
        <v>completed</v>
      </c>
      <c r="J1231" t="s">
        <v>25</v>
      </c>
      <c r="K1231">
        <v>3</v>
      </c>
      <c r="L1231">
        <v>8</v>
      </c>
      <c r="M1231">
        <v>2004</v>
      </c>
      <c r="N1231" t="s">
        <v>550</v>
      </c>
      <c r="O1231">
        <v>105</v>
      </c>
      <c r="P1231" t="s">
        <v>612</v>
      </c>
      <c r="Q1231" t="s">
        <v>373</v>
      </c>
      <c r="R1231" t="s">
        <v>374</v>
      </c>
      <c r="S1231" t="s">
        <v>375</v>
      </c>
      <c r="U1231" s="1" t="str">
        <f t="shared" si="117"/>
        <v>Tsawassen</v>
      </c>
      <c r="V1231" t="s">
        <v>376</v>
      </c>
      <c r="W1231" t="s">
        <v>229</v>
      </c>
      <c r="X1231" t="s">
        <v>377</v>
      </c>
      <c r="Y1231" s="1" t="str">
        <f t="shared" si="118"/>
        <v>CANADA</v>
      </c>
      <c r="Z1231" s="4" t="str">
        <f t="shared" si="119"/>
        <v>Canada</v>
      </c>
      <c r="AA1231" t="s">
        <v>231</v>
      </c>
      <c r="AB1231" t="s">
        <v>33</v>
      </c>
      <c r="AC1231" t="s">
        <v>378</v>
      </c>
      <c r="AD1231" t="s">
        <v>172</v>
      </c>
      <c r="AE1231" t="s">
        <v>51</v>
      </c>
    </row>
    <row r="1232" spans="1:31" x14ac:dyDescent="0.3">
      <c r="A1232">
        <v>10296</v>
      </c>
      <c r="B1232">
        <v>22</v>
      </c>
      <c r="C1232">
        <v>84.7</v>
      </c>
      <c r="D1232">
        <v>12</v>
      </c>
      <c r="E1232" s="4" t="str">
        <f t="shared" si="114"/>
        <v>low sales</v>
      </c>
      <c r="F1232">
        <v>1863.4</v>
      </c>
      <c r="G1232" t="s">
        <v>1904</v>
      </c>
      <c r="H1232" s="1" t="str">
        <f t="shared" si="115"/>
        <v>Shipped</v>
      </c>
      <c r="I1232" s="4" t="str">
        <f t="shared" si="116"/>
        <v>completed</v>
      </c>
      <c r="J1232" t="s">
        <v>25</v>
      </c>
      <c r="K1232">
        <v>3</v>
      </c>
      <c r="L1232">
        <v>9</v>
      </c>
      <c r="M1232">
        <v>2004</v>
      </c>
      <c r="N1232" t="s">
        <v>550</v>
      </c>
      <c r="O1232">
        <v>105</v>
      </c>
      <c r="P1232" t="s">
        <v>612</v>
      </c>
      <c r="Q1232" t="s">
        <v>572</v>
      </c>
      <c r="R1232" t="s">
        <v>573</v>
      </c>
      <c r="S1232" t="s">
        <v>574</v>
      </c>
      <c r="U1232" s="1" t="str">
        <f t="shared" si="117"/>
        <v>Munich</v>
      </c>
      <c r="V1232" t="s">
        <v>575</v>
      </c>
      <c r="X1232">
        <v>80686</v>
      </c>
      <c r="Y1232" s="1" t="str">
        <f t="shared" si="118"/>
        <v>GERMANY</v>
      </c>
      <c r="Z1232" s="4" t="str">
        <f t="shared" si="119"/>
        <v>Germany</v>
      </c>
      <c r="AA1232" t="s">
        <v>443</v>
      </c>
      <c r="AB1232" t="s">
        <v>42</v>
      </c>
      <c r="AC1232" t="s">
        <v>576</v>
      </c>
      <c r="AD1232" t="s">
        <v>103</v>
      </c>
      <c r="AE1232" t="s">
        <v>36</v>
      </c>
    </row>
    <row r="1233" spans="1:31" x14ac:dyDescent="0.3">
      <c r="A1233">
        <v>10307</v>
      </c>
      <c r="B1233">
        <v>48</v>
      </c>
      <c r="C1233">
        <v>86.81</v>
      </c>
      <c r="D1233">
        <v>6</v>
      </c>
      <c r="E1233" s="4" t="str">
        <f t="shared" si="114"/>
        <v>high sales</v>
      </c>
      <c r="F1233">
        <v>4166.88</v>
      </c>
      <c r="G1233" t="s">
        <v>1905</v>
      </c>
      <c r="H1233" s="1" t="str">
        <f t="shared" si="115"/>
        <v>Shipped</v>
      </c>
      <c r="I1233" s="4" t="str">
        <f t="shared" si="116"/>
        <v>completed</v>
      </c>
      <c r="J1233" t="s">
        <v>25</v>
      </c>
      <c r="K1233">
        <v>4</v>
      </c>
      <c r="L1233">
        <v>10</v>
      </c>
      <c r="M1233">
        <v>2004</v>
      </c>
      <c r="N1233" t="s">
        <v>550</v>
      </c>
      <c r="O1233">
        <v>105</v>
      </c>
      <c r="P1233" t="s">
        <v>612</v>
      </c>
      <c r="Q1233" t="s">
        <v>214</v>
      </c>
      <c r="R1233">
        <v>2155554695</v>
      </c>
      <c r="S1233" t="s">
        <v>215</v>
      </c>
      <c r="U1233" s="1" t="str">
        <f t="shared" si="117"/>
        <v>Philadelphia</v>
      </c>
      <c r="V1233" t="s">
        <v>216</v>
      </c>
      <c r="W1233" t="s">
        <v>142</v>
      </c>
      <c r="X1233">
        <v>71270</v>
      </c>
      <c r="Y1233" s="1" t="str">
        <f t="shared" si="118"/>
        <v>USA</v>
      </c>
      <c r="Z1233" s="4" t="str">
        <f t="shared" si="119"/>
        <v>Usa</v>
      </c>
      <c r="AA1233" t="s">
        <v>32</v>
      </c>
      <c r="AB1233" t="s">
        <v>33</v>
      </c>
      <c r="AC1233" t="s">
        <v>217</v>
      </c>
      <c r="AD1233" t="s">
        <v>218</v>
      </c>
      <c r="AE1233" t="s">
        <v>51</v>
      </c>
    </row>
    <row r="1234" spans="1:31" x14ac:dyDescent="0.3">
      <c r="A1234">
        <v>10316</v>
      </c>
      <c r="B1234">
        <v>47</v>
      </c>
      <c r="C1234">
        <v>86.81</v>
      </c>
      <c r="D1234">
        <v>14</v>
      </c>
      <c r="E1234" s="4" t="str">
        <f t="shared" si="114"/>
        <v>high sales</v>
      </c>
      <c r="F1234">
        <v>4080.07</v>
      </c>
      <c r="G1234" t="s">
        <v>1906</v>
      </c>
      <c r="H1234" s="1" t="str">
        <f t="shared" si="115"/>
        <v>Shipped</v>
      </c>
      <c r="I1234" s="4" t="str">
        <f t="shared" si="116"/>
        <v>completed</v>
      </c>
      <c r="J1234" t="s">
        <v>25</v>
      </c>
      <c r="K1234">
        <v>4</v>
      </c>
      <c r="L1234">
        <v>11</v>
      </c>
      <c r="M1234">
        <v>2004</v>
      </c>
      <c r="N1234" t="s">
        <v>550</v>
      </c>
      <c r="O1234">
        <v>105</v>
      </c>
      <c r="P1234" t="s">
        <v>612</v>
      </c>
      <c r="Q1234" t="s">
        <v>383</v>
      </c>
      <c r="R1234" t="s">
        <v>384</v>
      </c>
      <c r="S1234" t="s">
        <v>385</v>
      </c>
      <c r="U1234" s="1" t="str">
        <f t="shared" si="117"/>
        <v>Cowes</v>
      </c>
      <c r="V1234" t="s">
        <v>386</v>
      </c>
      <c r="W1234" t="s">
        <v>387</v>
      </c>
      <c r="X1234" t="s">
        <v>388</v>
      </c>
      <c r="Y1234" s="1" t="str">
        <f t="shared" si="118"/>
        <v>UK</v>
      </c>
      <c r="Z1234" s="4" t="str">
        <f t="shared" si="119"/>
        <v>Uk</v>
      </c>
      <c r="AA1234" t="s">
        <v>170</v>
      </c>
      <c r="AB1234" t="s">
        <v>42</v>
      </c>
      <c r="AC1234" t="s">
        <v>389</v>
      </c>
      <c r="AD1234" t="s">
        <v>390</v>
      </c>
      <c r="AE1234" t="s">
        <v>51</v>
      </c>
    </row>
    <row r="1235" spans="1:31" x14ac:dyDescent="0.3">
      <c r="A1235">
        <v>10328</v>
      </c>
      <c r="B1235">
        <v>34</v>
      </c>
      <c r="C1235">
        <v>100</v>
      </c>
      <c r="D1235">
        <v>6</v>
      </c>
      <c r="E1235" s="4" t="str">
        <f t="shared" si="114"/>
        <v>low sales</v>
      </c>
      <c r="F1235">
        <v>3815.48</v>
      </c>
      <c r="G1235" t="s">
        <v>1907</v>
      </c>
      <c r="H1235" s="1" t="str">
        <f t="shared" si="115"/>
        <v>Shipped</v>
      </c>
      <c r="I1235" s="4" t="str">
        <f t="shared" si="116"/>
        <v>completed</v>
      </c>
      <c r="J1235" t="s">
        <v>25</v>
      </c>
      <c r="K1235">
        <v>4</v>
      </c>
      <c r="L1235">
        <v>11</v>
      </c>
      <c r="M1235">
        <v>2004</v>
      </c>
      <c r="N1235" t="s">
        <v>550</v>
      </c>
      <c r="O1235">
        <v>105</v>
      </c>
      <c r="P1235" t="s">
        <v>612</v>
      </c>
      <c r="Q1235" t="s">
        <v>552</v>
      </c>
      <c r="R1235" t="s">
        <v>553</v>
      </c>
      <c r="S1235" t="s">
        <v>554</v>
      </c>
      <c r="U1235" s="1" t="str">
        <f t="shared" si="117"/>
        <v>Bergamo</v>
      </c>
      <c r="V1235" t="s">
        <v>555</v>
      </c>
      <c r="X1235">
        <v>24100</v>
      </c>
      <c r="Y1235" s="1" t="str">
        <f t="shared" si="118"/>
        <v>ITALY</v>
      </c>
      <c r="Z1235" s="4" t="str">
        <f t="shared" si="119"/>
        <v>Italy</v>
      </c>
      <c r="AA1235" t="s">
        <v>258</v>
      </c>
      <c r="AB1235" t="s">
        <v>42</v>
      </c>
      <c r="AC1235" t="s">
        <v>556</v>
      </c>
      <c r="AD1235" t="s">
        <v>557</v>
      </c>
      <c r="AE1235" t="s">
        <v>51</v>
      </c>
    </row>
    <row r="1236" spans="1:31" x14ac:dyDescent="0.3">
      <c r="A1236">
        <v>10338</v>
      </c>
      <c r="B1236">
        <v>45</v>
      </c>
      <c r="C1236">
        <v>100</v>
      </c>
      <c r="D1236">
        <v>2</v>
      </c>
      <c r="E1236" s="4" t="str">
        <f t="shared" si="114"/>
        <v>high sales</v>
      </c>
      <c r="F1236">
        <v>5526.45</v>
      </c>
      <c r="G1236" t="s">
        <v>1908</v>
      </c>
      <c r="H1236" s="1" t="str">
        <f t="shared" si="115"/>
        <v>Shipped</v>
      </c>
      <c r="I1236" s="4" t="str">
        <f t="shared" si="116"/>
        <v>completed</v>
      </c>
      <c r="J1236" t="s">
        <v>25</v>
      </c>
      <c r="K1236">
        <v>4</v>
      </c>
      <c r="L1236">
        <v>11</v>
      </c>
      <c r="M1236">
        <v>2004</v>
      </c>
      <c r="N1236" t="s">
        <v>550</v>
      </c>
      <c r="O1236">
        <v>105</v>
      </c>
      <c r="P1236" t="s">
        <v>612</v>
      </c>
      <c r="Q1236" t="s">
        <v>577</v>
      </c>
      <c r="R1236" t="s">
        <v>578</v>
      </c>
      <c r="S1236" t="s">
        <v>579</v>
      </c>
      <c r="U1236" s="1" t="str">
        <f t="shared" si="117"/>
        <v>Charleroi</v>
      </c>
      <c r="V1236" t="s">
        <v>580</v>
      </c>
      <c r="X1236" t="s">
        <v>581</v>
      </c>
      <c r="Y1236" s="1" t="str">
        <f t="shared" si="118"/>
        <v>BELGIUM</v>
      </c>
      <c r="Z1236" s="4" t="str">
        <f t="shared" si="119"/>
        <v>Belgium</v>
      </c>
      <c r="AA1236" t="s">
        <v>370</v>
      </c>
      <c r="AB1236" t="s">
        <v>42</v>
      </c>
      <c r="AC1236" t="s">
        <v>582</v>
      </c>
      <c r="AD1236" t="s">
        <v>583</v>
      </c>
      <c r="AE1236" t="s">
        <v>51</v>
      </c>
    </row>
    <row r="1237" spans="1:31" x14ac:dyDescent="0.3">
      <c r="A1237">
        <v>10351</v>
      </c>
      <c r="B1237">
        <v>20</v>
      </c>
      <c r="C1237">
        <v>100</v>
      </c>
      <c r="D1237">
        <v>2</v>
      </c>
      <c r="E1237" s="4" t="str">
        <f t="shared" si="114"/>
        <v>low sales</v>
      </c>
      <c r="F1237">
        <v>3374.6</v>
      </c>
      <c r="G1237" t="s">
        <v>1909</v>
      </c>
      <c r="H1237" s="1" t="str">
        <f t="shared" si="115"/>
        <v>Shipped</v>
      </c>
      <c r="I1237" s="4" t="str">
        <f t="shared" si="116"/>
        <v>completed</v>
      </c>
      <c r="J1237" t="s">
        <v>25</v>
      </c>
      <c r="K1237">
        <v>4</v>
      </c>
      <c r="L1237">
        <v>12</v>
      </c>
      <c r="M1237">
        <v>2004</v>
      </c>
      <c r="N1237" t="s">
        <v>550</v>
      </c>
      <c r="O1237">
        <v>105</v>
      </c>
      <c r="P1237" t="s">
        <v>612</v>
      </c>
      <c r="Q1237" t="s">
        <v>329</v>
      </c>
      <c r="R1237" t="s">
        <v>330</v>
      </c>
      <c r="S1237" t="s">
        <v>331</v>
      </c>
      <c r="U1237" s="1" t="str">
        <f t="shared" si="117"/>
        <v>London</v>
      </c>
      <c r="V1237" t="s">
        <v>332</v>
      </c>
      <c r="X1237" t="s">
        <v>333</v>
      </c>
      <c r="Y1237" s="1" t="str">
        <f t="shared" si="118"/>
        <v>UK</v>
      </c>
      <c r="Z1237" s="4" t="str">
        <f t="shared" si="119"/>
        <v>Uk</v>
      </c>
      <c r="AA1237" t="s">
        <v>170</v>
      </c>
      <c r="AB1237" t="s">
        <v>42</v>
      </c>
      <c r="AC1237" t="s">
        <v>61</v>
      </c>
      <c r="AD1237" t="s">
        <v>334</v>
      </c>
      <c r="AE1237" t="s">
        <v>51</v>
      </c>
    </row>
    <row r="1238" spans="1:31" x14ac:dyDescent="0.3">
      <c r="A1238">
        <v>10373</v>
      </c>
      <c r="B1238">
        <v>50</v>
      </c>
      <c r="C1238">
        <v>60.49</v>
      </c>
      <c r="D1238">
        <v>6</v>
      </c>
      <c r="E1238" s="4" t="str">
        <f t="shared" si="114"/>
        <v>low sales</v>
      </c>
      <c r="F1238">
        <v>3024.5</v>
      </c>
      <c r="G1238" t="s">
        <v>1910</v>
      </c>
      <c r="H1238" s="1" t="str">
        <f t="shared" si="115"/>
        <v>Shipped</v>
      </c>
      <c r="I1238" s="4" t="str">
        <f t="shared" si="116"/>
        <v>completed</v>
      </c>
      <c r="J1238" t="s">
        <v>25</v>
      </c>
      <c r="K1238">
        <v>1</v>
      </c>
      <c r="L1238">
        <v>1</v>
      </c>
      <c r="M1238">
        <v>2005</v>
      </c>
      <c r="N1238" t="s">
        <v>550</v>
      </c>
      <c r="O1238">
        <v>105</v>
      </c>
      <c r="P1238" t="s">
        <v>612</v>
      </c>
      <c r="Q1238" t="s">
        <v>391</v>
      </c>
      <c r="R1238" t="s">
        <v>392</v>
      </c>
      <c r="S1238" t="s">
        <v>393</v>
      </c>
      <c r="U1238" s="1" t="str">
        <f t="shared" si="117"/>
        <v>Oulu</v>
      </c>
      <c r="V1238" t="s">
        <v>394</v>
      </c>
      <c r="X1238">
        <v>90110</v>
      </c>
      <c r="Y1238" s="1" t="str">
        <f t="shared" si="118"/>
        <v>FINLAND</v>
      </c>
      <c r="Z1238" s="4" t="str">
        <f t="shared" si="119"/>
        <v>Finland</v>
      </c>
      <c r="AA1238" t="s">
        <v>130</v>
      </c>
      <c r="AB1238" t="s">
        <v>42</v>
      </c>
      <c r="AC1238" t="s">
        <v>395</v>
      </c>
      <c r="AD1238" t="s">
        <v>396</v>
      </c>
      <c r="AE1238" t="s">
        <v>51</v>
      </c>
    </row>
    <row r="1239" spans="1:31" x14ac:dyDescent="0.3">
      <c r="A1239">
        <v>10386</v>
      </c>
      <c r="B1239">
        <v>22</v>
      </c>
      <c r="C1239">
        <v>57.55</v>
      </c>
      <c r="D1239">
        <v>6</v>
      </c>
      <c r="E1239" s="4" t="str">
        <f t="shared" si="114"/>
        <v>low sales</v>
      </c>
      <c r="F1239">
        <v>1266.0999999999999</v>
      </c>
      <c r="G1239" t="s">
        <v>1911</v>
      </c>
      <c r="H1239" s="1" t="str">
        <f t="shared" si="115"/>
        <v>Resolved</v>
      </c>
      <c r="I1239" s="4" t="str">
        <f t="shared" si="116"/>
        <v>not completed</v>
      </c>
      <c r="J1239" t="s">
        <v>408</v>
      </c>
      <c r="K1239">
        <v>1</v>
      </c>
      <c r="L1239">
        <v>3</v>
      </c>
      <c r="M1239">
        <v>2005</v>
      </c>
      <c r="N1239" t="s">
        <v>550</v>
      </c>
      <c r="O1239">
        <v>105</v>
      </c>
      <c r="P1239" t="s">
        <v>612</v>
      </c>
      <c r="Q1239" t="s">
        <v>174</v>
      </c>
      <c r="R1239" t="s">
        <v>175</v>
      </c>
      <c r="S1239" t="s">
        <v>176</v>
      </c>
      <c r="U1239" s="1" t="str">
        <f t="shared" si="117"/>
        <v>Madrid</v>
      </c>
      <c r="V1239" t="s">
        <v>177</v>
      </c>
      <c r="X1239">
        <v>28034</v>
      </c>
      <c r="Y1239" s="1" t="str">
        <f t="shared" si="118"/>
        <v>SPAIN</v>
      </c>
      <c r="Z1239" s="4" t="str">
        <f t="shared" si="119"/>
        <v>Spain</v>
      </c>
      <c r="AA1239" t="s">
        <v>178</v>
      </c>
      <c r="AB1239" t="s">
        <v>42</v>
      </c>
      <c r="AC1239" t="s">
        <v>179</v>
      </c>
      <c r="AD1239" t="s">
        <v>180</v>
      </c>
      <c r="AE1239" t="s">
        <v>36</v>
      </c>
    </row>
    <row r="1240" spans="1:31" x14ac:dyDescent="0.3">
      <c r="A1240">
        <v>10398</v>
      </c>
      <c r="B1240">
        <v>45</v>
      </c>
      <c r="C1240">
        <v>100</v>
      </c>
      <c r="D1240">
        <v>17</v>
      </c>
      <c r="E1240" s="4" t="str">
        <f t="shared" si="114"/>
        <v>high sales</v>
      </c>
      <c r="F1240">
        <v>4811.8500000000004</v>
      </c>
      <c r="G1240" t="s">
        <v>1912</v>
      </c>
      <c r="H1240" s="1" t="str">
        <f t="shared" si="115"/>
        <v>Shipped</v>
      </c>
      <c r="I1240" s="4" t="str">
        <f t="shared" si="116"/>
        <v>completed</v>
      </c>
      <c r="J1240" t="s">
        <v>25</v>
      </c>
      <c r="K1240">
        <v>1</v>
      </c>
      <c r="L1240">
        <v>3</v>
      </c>
      <c r="M1240">
        <v>2005</v>
      </c>
      <c r="N1240" t="s">
        <v>550</v>
      </c>
      <c r="O1240">
        <v>105</v>
      </c>
      <c r="P1240" t="s">
        <v>612</v>
      </c>
      <c r="Q1240" t="s">
        <v>37</v>
      </c>
      <c r="R1240" t="s">
        <v>38</v>
      </c>
      <c r="S1240" t="s">
        <v>39</v>
      </c>
      <c r="U1240" s="1" t="str">
        <f t="shared" si="117"/>
        <v>Reims</v>
      </c>
      <c r="V1240" t="s">
        <v>40</v>
      </c>
      <c r="X1240">
        <v>51100</v>
      </c>
      <c r="Y1240" s="1" t="str">
        <f t="shared" si="118"/>
        <v>FRANCE</v>
      </c>
      <c r="Z1240" s="4" t="str">
        <f t="shared" si="119"/>
        <v>France</v>
      </c>
      <c r="AA1240" t="s">
        <v>41</v>
      </c>
      <c r="AB1240" t="s">
        <v>42</v>
      </c>
      <c r="AC1240" t="s">
        <v>43</v>
      </c>
      <c r="AD1240" t="s">
        <v>44</v>
      </c>
      <c r="AE1240" t="s">
        <v>51</v>
      </c>
    </row>
    <row r="1241" spans="1:31" x14ac:dyDescent="0.3">
      <c r="A1241">
        <v>10400</v>
      </c>
      <c r="B1241">
        <v>58</v>
      </c>
      <c r="C1241">
        <v>100</v>
      </c>
      <c r="D1241">
        <v>6</v>
      </c>
      <c r="E1241" s="4" t="str">
        <f t="shared" si="114"/>
        <v>high sales</v>
      </c>
      <c r="F1241">
        <v>7307.42</v>
      </c>
      <c r="G1241" t="s">
        <v>1913</v>
      </c>
      <c r="H1241" s="1" t="str">
        <f t="shared" si="115"/>
        <v>Shipped</v>
      </c>
      <c r="I1241" s="4" t="str">
        <f t="shared" si="116"/>
        <v>completed</v>
      </c>
      <c r="J1241" t="s">
        <v>25</v>
      </c>
      <c r="K1241">
        <v>2</v>
      </c>
      <c r="L1241">
        <v>4</v>
      </c>
      <c r="M1241">
        <v>2005</v>
      </c>
      <c r="N1241" t="s">
        <v>550</v>
      </c>
      <c r="O1241">
        <v>105</v>
      </c>
      <c r="P1241" t="s">
        <v>612</v>
      </c>
      <c r="Q1241" t="s">
        <v>397</v>
      </c>
      <c r="R1241">
        <v>4085553659</v>
      </c>
      <c r="S1241" t="s">
        <v>398</v>
      </c>
      <c r="U1241" s="1" t="str">
        <f t="shared" si="117"/>
        <v>San Jose</v>
      </c>
      <c r="V1241" t="s">
        <v>399</v>
      </c>
      <c r="W1241" t="s">
        <v>55</v>
      </c>
      <c r="X1241">
        <v>94217</v>
      </c>
      <c r="Y1241" s="1" t="str">
        <f t="shared" si="118"/>
        <v>USA</v>
      </c>
      <c r="Z1241" s="4" t="str">
        <f t="shared" si="119"/>
        <v>Usa</v>
      </c>
      <c r="AA1241" t="s">
        <v>32</v>
      </c>
      <c r="AB1241" t="s">
        <v>33</v>
      </c>
      <c r="AC1241" t="s">
        <v>102</v>
      </c>
      <c r="AD1241" t="s">
        <v>400</v>
      </c>
      <c r="AE1241" t="s">
        <v>151</v>
      </c>
    </row>
    <row r="1242" spans="1:31" x14ac:dyDescent="0.3">
      <c r="A1242">
        <v>10415</v>
      </c>
      <c r="B1242">
        <v>51</v>
      </c>
      <c r="C1242">
        <v>100</v>
      </c>
      <c r="D1242">
        <v>5</v>
      </c>
      <c r="E1242" s="4" t="str">
        <f t="shared" si="114"/>
        <v>high sales</v>
      </c>
      <c r="F1242">
        <v>6209.25</v>
      </c>
      <c r="G1242" t="s">
        <v>1914</v>
      </c>
      <c r="H1242" s="1" t="str">
        <f t="shared" si="115"/>
        <v>Disputed</v>
      </c>
      <c r="I1242" s="4" t="str">
        <f t="shared" si="116"/>
        <v>not completed</v>
      </c>
      <c r="J1242" t="s">
        <v>173</v>
      </c>
      <c r="K1242">
        <v>2</v>
      </c>
      <c r="L1242">
        <v>5</v>
      </c>
      <c r="M1242">
        <v>2005</v>
      </c>
      <c r="N1242" t="s">
        <v>550</v>
      </c>
      <c r="O1242">
        <v>105</v>
      </c>
      <c r="P1242" t="s">
        <v>612</v>
      </c>
      <c r="Q1242" t="s">
        <v>558</v>
      </c>
      <c r="R1242" t="s">
        <v>559</v>
      </c>
      <c r="S1242" t="s">
        <v>560</v>
      </c>
      <c r="U1242" s="1" t="str">
        <f t="shared" si="117"/>
        <v>Glen Waverly</v>
      </c>
      <c r="V1242" t="s">
        <v>561</v>
      </c>
      <c r="W1242" t="s">
        <v>94</v>
      </c>
      <c r="X1242">
        <v>3150</v>
      </c>
      <c r="Y1242" s="1" t="str">
        <f t="shared" si="118"/>
        <v>AUSTRALIA</v>
      </c>
      <c r="Z1242" s="4" t="str">
        <f t="shared" si="119"/>
        <v>Australia</v>
      </c>
      <c r="AA1242" t="s">
        <v>95</v>
      </c>
      <c r="AB1242" t="s">
        <v>96</v>
      </c>
      <c r="AC1242" t="s">
        <v>562</v>
      </c>
      <c r="AD1242" t="s">
        <v>563</v>
      </c>
      <c r="AE1242" t="s">
        <v>51</v>
      </c>
    </row>
    <row r="1243" spans="1:31" x14ac:dyDescent="0.3">
      <c r="A1243">
        <v>10104</v>
      </c>
      <c r="B1243">
        <v>38</v>
      </c>
      <c r="C1243">
        <v>100</v>
      </c>
      <c r="D1243">
        <v>3</v>
      </c>
      <c r="E1243" s="4" t="str">
        <f t="shared" si="114"/>
        <v>high sales</v>
      </c>
      <c r="F1243">
        <v>5348.5</v>
      </c>
      <c r="G1243" t="s">
        <v>1915</v>
      </c>
      <c r="H1243" s="1" t="str">
        <f t="shared" si="115"/>
        <v>Shipped</v>
      </c>
      <c r="I1243" s="4" t="str">
        <f t="shared" si="116"/>
        <v>completed</v>
      </c>
      <c r="J1243" t="s">
        <v>25</v>
      </c>
      <c r="K1243">
        <v>1</v>
      </c>
      <c r="L1243">
        <v>1</v>
      </c>
      <c r="M1243">
        <v>2003</v>
      </c>
      <c r="N1243" t="s">
        <v>181</v>
      </c>
      <c r="O1243">
        <v>143</v>
      </c>
      <c r="P1243" t="s">
        <v>613</v>
      </c>
      <c r="Q1243" t="s">
        <v>174</v>
      </c>
      <c r="R1243" t="s">
        <v>175</v>
      </c>
      <c r="S1243" t="s">
        <v>176</v>
      </c>
      <c r="U1243" s="1" t="str">
        <f t="shared" si="117"/>
        <v>Madrid</v>
      </c>
      <c r="V1243" t="s">
        <v>177</v>
      </c>
      <c r="X1243">
        <v>28034</v>
      </c>
      <c r="Y1243" s="1" t="str">
        <f t="shared" si="118"/>
        <v>SPAIN</v>
      </c>
      <c r="Z1243" s="4" t="str">
        <f t="shared" si="119"/>
        <v>Spain</v>
      </c>
      <c r="AA1243" t="s">
        <v>178</v>
      </c>
      <c r="AB1243" t="s">
        <v>42</v>
      </c>
      <c r="AC1243" t="s">
        <v>179</v>
      </c>
      <c r="AD1243" t="s">
        <v>180</v>
      </c>
      <c r="AE1243" t="s">
        <v>51</v>
      </c>
    </row>
    <row r="1244" spans="1:31" x14ac:dyDescent="0.3">
      <c r="A1244">
        <v>10117</v>
      </c>
      <c r="B1244">
        <v>22</v>
      </c>
      <c r="C1244">
        <v>100</v>
      </c>
      <c r="D1244">
        <v>12</v>
      </c>
      <c r="E1244" s="4" t="str">
        <f t="shared" si="114"/>
        <v>low sales</v>
      </c>
      <c r="F1244">
        <v>2780.58</v>
      </c>
      <c r="G1244" t="s">
        <v>1916</v>
      </c>
      <c r="H1244" s="1" t="str">
        <f t="shared" si="115"/>
        <v>Shipped</v>
      </c>
      <c r="I1244" s="4" t="str">
        <f t="shared" si="116"/>
        <v>completed</v>
      </c>
      <c r="J1244" t="s">
        <v>25</v>
      </c>
      <c r="K1244">
        <v>2</v>
      </c>
      <c r="L1244">
        <v>4</v>
      </c>
      <c r="M1244">
        <v>2003</v>
      </c>
      <c r="N1244" t="s">
        <v>181</v>
      </c>
      <c r="O1244">
        <v>143</v>
      </c>
      <c r="P1244" t="s">
        <v>613</v>
      </c>
      <c r="Q1244" t="s">
        <v>196</v>
      </c>
      <c r="R1244" t="s">
        <v>197</v>
      </c>
      <c r="S1244" t="s">
        <v>198</v>
      </c>
      <c r="U1244" s="1" t="str">
        <f t="shared" si="117"/>
        <v>Singapore</v>
      </c>
      <c r="V1244" t="s">
        <v>199</v>
      </c>
      <c r="X1244">
        <v>79903</v>
      </c>
      <c r="Y1244" s="1" t="str">
        <f t="shared" si="118"/>
        <v>SINGAPORE</v>
      </c>
      <c r="Z1244" s="4" t="str">
        <f t="shared" si="119"/>
        <v>Singapore</v>
      </c>
      <c r="AA1244" t="s">
        <v>199</v>
      </c>
      <c r="AB1244" t="s">
        <v>200</v>
      </c>
      <c r="AC1244" t="s">
        <v>201</v>
      </c>
      <c r="AD1244" t="s">
        <v>202</v>
      </c>
      <c r="AE1244" t="s">
        <v>36</v>
      </c>
    </row>
    <row r="1245" spans="1:31" x14ac:dyDescent="0.3">
      <c r="A1245">
        <v>10127</v>
      </c>
      <c r="B1245">
        <v>25</v>
      </c>
      <c r="C1245">
        <v>100</v>
      </c>
      <c r="D1245">
        <v>5</v>
      </c>
      <c r="E1245" s="4" t="str">
        <f t="shared" si="114"/>
        <v>low sales</v>
      </c>
      <c r="F1245">
        <v>3447</v>
      </c>
      <c r="G1245" t="s">
        <v>1917</v>
      </c>
      <c r="H1245" s="1" t="str">
        <f t="shared" si="115"/>
        <v>Shipped</v>
      </c>
      <c r="I1245" s="4" t="str">
        <f t="shared" si="116"/>
        <v>completed</v>
      </c>
      <c r="J1245" t="s">
        <v>25</v>
      </c>
      <c r="K1245">
        <v>2</v>
      </c>
      <c r="L1245">
        <v>6</v>
      </c>
      <c r="M1245">
        <v>2003</v>
      </c>
      <c r="N1245" t="s">
        <v>181</v>
      </c>
      <c r="O1245">
        <v>143</v>
      </c>
      <c r="P1245" t="s">
        <v>613</v>
      </c>
      <c r="Q1245" t="s">
        <v>475</v>
      </c>
      <c r="R1245">
        <v>2125557413</v>
      </c>
      <c r="S1245" t="s">
        <v>476</v>
      </c>
      <c r="T1245" t="s">
        <v>477</v>
      </c>
      <c r="U1245" s="1" t="str">
        <f t="shared" si="117"/>
        <v>Nyc</v>
      </c>
      <c r="V1245" t="s">
        <v>30</v>
      </c>
      <c r="W1245" t="s">
        <v>31</v>
      </c>
      <c r="X1245">
        <v>10022</v>
      </c>
      <c r="Y1245" s="1" t="str">
        <f t="shared" si="118"/>
        <v>USA</v>
      </c>
      <c r="Z1245" s="4" t="str">
        <f t="shared" si="119"/>
        <v>Usa</v>
      </c>
      <c r="AA1245" t="s">
        <v>32</v>
      </c>
      <c r="AB1245" t="s">
        <v>33</v>
      </c>
      <c r="AC1245" t="s">
        <v>56</v>
      </c>
      <c r="AD1245" t="s">
        <v>478</v>
      </c>
      <c r="AE1245" t="s">
        <v>51</v>
      </c>
    </row>
    <row r="1246" spans="1:31" x14ac:dyDescent="0.3">
      <c r="A1246">
        <v>10142</v>
      </c>
      <c r="B1246">
        <v>24</v>
      </c>
      <c r="C1246">
        <v>100</v>
      </c>
      <c r="D1246">
        <v>15</v>
      </c>
      <c r="E1246" s="4" t="str">
        <f t="shared" si="114"/>
        <v>low sales</v>
      </c>
      <c r="F1246">
        <v>3791.52</v>
      </c>
      <c r="G1246" t="s">
        <v>1918</v>
      </c>
      <c r="H1246" s="1" t="str">
        <f t="shared" si="115"/>
        <v>Shipped</v>
      </c>
      <c r="I1246" s="4" t="str">
        <f t="shared" si="116"/>
        <v>completed</v>
      </c>
      <c r="J1246" t="s">
        <v>25</v>
      </c>
      <c r="K1246">
        <v>3</v>
      </c>
      <c r="L1246">
        <v>8</v>
      </c>
      <c r="M1246">
        <v>2003</v>
      </c>
      <c r="N1246" t="s">
        <v>181</v>
      </c>
      <c r="O1246">
        <v>143</v>
      </c>
      <c r="P1246" t="s">
        <v>613</v>
      </c>
      <c r="Q1246" t="s">
        <v>272</v>
      </c>
      <c r="R1246">
        <v>4155551450</v>
      </c>
      <c r="S1246" t="s">
        <v>273</v>
      </c>
      <c r="U1246" s="1" t="str">
        <f t="shared" si="117"/>
        <v>San Rafael</v>
      </c>
      <c r="V1246" t="s">
        <v>274</v>
      </c>
      <c r="W1246" t="s">
        <v>55</v>
      </c>
      <c r="X1246">
        <v>97562</v>
      </c>
      <c r="Y1246" s="1" t="str">
        <f t="shared" si="118"/>
        <v>USA</v>
      </c>
      <c r="Z1246" s="4" t="str">
        <f t="shared" si="119"/>
        <v>Usa</v>
      </c>
      <c r="AA1246" t="s">
        <v>32</v>
      </c>
      <c r="AB1246" t="s">
        <v>33</v>
      </c>
      <c r="AC1246" t="s">
        <v>275</v>
      </c>
      <c r="AD1246" t="s">
        <v>276</v>
      </c>
      <c r="AE1246" t="s">
        <v>51</v>
      </c>
    </row>
    <row r="1247" spans="1:31" x14ac:dyDescent="0.3">
      <c r="A1247">
        <v>10152</v>
      </c>
      <c r="B1247">
        <v>35</v>
      </c>
      <c r="C1247">
        <v>100</v>
      </c>
      <c r="D1247">
        <v>1</v>
      </c>
      <c r="E1247" s="4" t="str">
        <f t="shared" si="114"/>
        <v>high sales</v>
      </c>
      <c r="F1247">
        <v>4524.1000000000004</v>
      </c>
      <c r="G1247" t="s">
        <v>1919</v>
      </c>
      <c r="H1247" s="1" t="str">
        <f t="shared" si="115"/>
        <v>Shipped</v>
      </c>
      <c r="I1247" s="4" t="str">
        <f t="shared" si="116"/>
        <v>completed</v>
      </c>
      <c r="J1247" t="s">
        <v>25</v>
      </c>
      <c r="K1247">
        <v>3</v>
      </c>
      <c r="L1247">
        <v>9</v>
      </c>
      <c r="M1247">
        <v>2003</v>
      </c>
      <c r="N1247" t="s">
        <v>181</v>
      </c>
      <c r="O1247">
        <v>143</v>
      </c>
      <c r="P1247" t="s">
        <v>613</v>
      </c>
      <c r="Q1247" t="s">
        <v>207</v>
      </c>
      <c r="R1247" t="s">
        <v>208</v>
      </c>
      <c r="S1247" t="s">
        <v>209</v>
      </c>
      <c r="U1247" s="1" t="str">
        <f t="shared" si="117"/>
        <v>South Brisbane</v>
      </c>
      <c r="V1247" t="s">
        <v>210</v>
      </c>
      <c r="W1247" t="s">
        <v>211</v>
      </c>
      <c r="X1247">
        <v>4101</v>
      </c>
      <c r="Y1247" s="1" t="str">
        <f t="shared" si="118"/>
        <v>AUSTRALIA</v>
      </c>
      <c r="Z1247" s="4" t="str">
        <f t="shared" si="119"/>
        <v>Australia</v>
      </c>
      <c r="AA1247" t="s">
        <v>95</v>
      </c>
      <c r="AB1247" t="s">
        <v>96</v>
      </c>
      <c r="AC1247" t="s">
        <v>212</v>
      </c>
      <c r="AD1247" t="s">
        <v>213</v>
      </c>
      <c r="AE1247" t="s">
        <v>51</v>
      </c>
    </row>
    <row r="1248" spans="1:31" x14ac:dyDescent="0.3">
      <c r="A1248">
        <v>10165</v>
      </c>
      <c r="B1248">
        <v>28</v>
      </c>
      <c r="C1248">
        <v>100</v>
      </c>
      <c r="D1248">
        <v>6</v>
      </c>
      <c r="E1248" s="4" t="str">
        <f t="shared" si="114"/>
        <v>low sales</v>
      </c>
      <c r="F1248">
        <v>3337.6</v>
      </c>
      <c r="G1248" t="s">
        <v>1920</v>
      </c>
      <c r="H1248" s="1" t="str">
        <f t="shared" si="115"/>
        <v>Shipped</v>
      </c>
      <c r="I1248" s="4" t="str">
        <f t="shared" si="116"/>
        <v>completed</v>
      </c>
      <c r="J1248" t="s">
        <v>25</v>
      </c>
      <c r="K1248">
        <v>4</v>
      </c>
      <c r="L1248">
        <v>10</v>
      </c>
      <c r="M1248">
        <v>2003</v>
      </c>
      <c r="N1248" t="s">
        <v>181</v>
      </c>
      <c r="O1248">
        <v>143</v>
      </c>
      <c r="P1248" t="s">
        <v>613</v>
      </c>
      <c r="Q1248" t="s">
        <v>196</v>
      </c>
      <c r="R1248" t="s">
        <v>197</v>
      </c>
      <c r="S1248" t="s">
        <v>198</v>
      </c>
      <c r="U1248" s="1" t="str">
        <f t="shared" si="117"/>
        <v>Singapore</v>
      </c>
      <c r="V1248" t="s">
        <v>199</v>
      </c>
      <c r="X1248">
        <v>79903</v>
      </c>
      <c r="Y1248" s="1" t="str">
        <f t="shared" si="118"/>
        <v>SINGAPORE</v>
      </c>
      <c r="Z1248" s="4" t="str">
        <f t="shared" si="119"/>
        <v>Singapore</v>
      </c>
      <c r="AA1248" t="s">
        <v>199</v>
      </c>
      <c r="AB1248" t="s">
        <v>200</v>
      </c>
      <c r="AC1248" t="s">
        <v>201</v>
      </c>
      <c r="AD1248" t="s">
        <v>202</v>
      </c>
      <c r="AE1248" t="s">
        <v>51</v>
      </c>
    </row>
    <row r="1249" spans="1:31" x14ac:dyDescent="0.3">
      <c r="A1249">
        <v>10176</v>
      </c>
      <c r="B1249">
        <v>36</v>
      </c>
      <c r="C1249">
        <v>100</v>
      </c>
      <c r="D1249">
        <v>5</v>
      </c>
      <c r="E1249" s="4" t="str">
        <f t="shared" si="114"/>
        <v>high sales</v>
      </c>
      <c r="F1249">
        <v>5532.12</v>
      </c>
      <c r="G1249" t="s">
        <v>1921</v>
      </c>
      <c r="H1249" s="1" t="str">
        <f t="shared" si="115"/>
        <v>Shipped</v>
      </c>
      <c r="I1249" s="4" t="str">
        <f t="shared" si="116"/>
        <v>completed</v>
      </c>
      <c r="J1249" t="s">
        <v>25</v>
      </c>
      <c r="K1249">
        <v>4</v>
      </c>
      <c r="L1249">
        <v>11</v>
      </c>
      <c r="M1249">
        <v>2003</v>
      </c>
      <c r="N1249" t="s">
        <v>181</v>
      </c>
      <c r="O1249">
        <v>143</v>
      </c>
      <c r="P1249" t="s">
        <v>613</v>
      </c>
      <c r="Q1249" t="s">
        <v>452</v>
      </c>
      <c r="R1249" t="s">
        <v>453</v>
      </c>
      <c r="S1249" t="s">
        <v>454</v>
      </c>
      <c r="U1249" s="1" t="str">
        <f t="shared" si="117"/>
        <v>Reggio Emilia</v>
      </c>
      <c r="V1249" t="s">
        <v>455</v>
      </c>
      <c r="X1249">
        <v>42100</v>
      </c>
      <c r="Y1249" s="1" t="str">
        <f t="shared" si="118"/>
        <v>ITALY</v>
      </c>
      <c r="Z1249" s="4" t="str">
        <f t="shared" si="119"/>
        <v>Italy</v>
      </c>
      <c r="AA1249" t="s">
        <v>258</v>
      </c>
      <c r="AB1249" t="s">
        <v>42</v>
      </c>
      <c r="AC1249" t="s">
        <v>456</v>
      </c>
      <c r="AD1249" t="s">
        <v>457</v>
      </c>
      <c r="AE1249" t="s">
        <v>51</v>
      </c>
    </row>
    <row r="1250" spans="1:31" x14ac:dyDescent="0.3">
      <c r="A1250">
        <v>10185</v>
      </c>
      <c r="B1250">
        <v>39</v>
      </c>
      <c r="C1250">
        <v>100</v>
      </c>
      <c r="D1250">
        <v>16</v>
      </c>
      <c r="E1250" s="4" t="str">
        <f t="shared" si="114"/>
        <v>high sales</v>
      </c>
      <c r="F1250">
        <v>5096.91</v>
      </c>
      <c r="G1250" t="s">
        <v>1922</v>
      </c>
      <c r="H1250" s="1" t="str">
        <f t="shared" si="115"/>
        <v>Shipped</v>
      </c>
      <c r="I1250" s="4" t="str">
        <f t="shared" si="116"/>
        <v>completed</v>
      </c>
      <c r="J1250" t="s">
        <v>25</v>
      </c>
      <c r="K1250">
        <v>4</v>
      </c>
      <c r="L1250">
        <v>11</v>
      </c>
      <c r="M1250">
        <v>2003</v>
      </c>
      <c r="N1250" t="s">
        <v>181</v>
      </c>
      <c r="O1250">
        <v>143</v>
      </c>
      <c r="P1250" t="s">
        <v>613</v>
      </c>
      <c r="Q1250" t="s">
        <v>335</v>
      </c>
      <c r="R1250">
        <v>5085559555</v>
      </c>
      <c r="S1250" t="s">
        <v>336</v>
      </c>
      <c r="U1250" s="1" t="str">
        <f t="shared" si="117"/>
        <v>New Bedford</v>
      </c>
      <c r="V1250" t="s">
        <v>162</v>
      </c>
      <c r="W1250" t="s">
        <v>123</v>
      </c>
      <c r="X1250">
        <v>50553</v>
      </c>
      <c r="Y1250" s="1" t="str">
        <f t="shared" si="118"/>
        <v>USA</v>
      </c>
      <c r="Z1250" s="4" t="str">
        <f t="shared" si="119"/>
        <v>Usa</v>
      </c>
      <c r="AA1250" t="s">
        <v>32</v>
      </c>
      <c r="AB1250" t="s">
        <v>33</v>
      </c>
      <c r="AC1250" t="s">
        <v>337</v>
      </c>
      <c r="AD1250" t="s">
        <v>338</v>
      </c>
      <c r="AE1250" t="s">
        <v>51</v>
      </c>
    </row>
    <row r="1251" spans="1:31" x14ac:dyDescent="0.3">
      <c r="A1251">
        <v>10196</v>
      </c>
      <c r="B1251">
        <v>27</v>
      </c>
      <c r="C1251">
        <v>100</v>
      </c>
      <c r="D1251">
        <v>8</v>
      </c>
      <c r="E1251" s="4" t="str">
        <f t="shared" si="114"/>
        <v>high sales</v>
      </c>
      <c r="F1251">
        <v>4537.08</v>
      </c>
      <c r="G1251" t="s">
        <v>1923</v>
      </c>
      <c r="H1251" s="1" t="str">
        <f t="shared" si="115"/>
        <v>Shipped</v>
      </c>
      <c r="I1251" s="4" t="str">
        <f t="shared" si="116"/>
        <v>completed</v>
      </c>
      <c r="J1251" t="s">
        <v>25</v>
      </c>
      <c r="K1251">
        <v>4</v>
      </c>
      <c r="L1251">
        <v>11</v>
      </c>
      <c r="M1251">
        <v>2003</v>
      </c>
      <c r="N1251" t="s">
        <v>181</v>
      </c>
      <c r="O1251">
        <v>143</v>
      </c>
      <c r="P1251" t="s">
        <v>613</v>
      </c>
      <c r="Q1251" t="s">
        <v>242</v>
      </c>
      <c r="R1251">
        <v>2035559545</v>
      </c>
      <c r="S1251" t="s">
        <v>243</v>
      </c>
      <c r="U1251" s="1" t="str">
        <f t="shared" si="117"/>
        <v>New Haven</v>
      </c>
      <c r="V1251" t="s">
        <v>244</v>
      </c>
      <c r="W1251" t="s">
        <v>112</v>
      </c>
      <c r="X1251">
        <v>97823</v>
      </c>
      <c r="Y1251" s="1" t="str">
        <f t="shared" si="118"/>
        <v>USA</v>
      </c>
      <c r="Z1251" s="4" t="str">
        <f t="shared" si="119"/>
        <v>Usa</v>
      </c>
      <c r="AA1251" t="s">
        <v>32</v>
      </c>
      <c r="AB1251" t="s">
        <v>33</v>
      </c>
      <c r="AC1251" t="s">
        <v>83</v>
      </c>
      <c r="AD1251" t="s">
        <v>245</v>
      </c>
      <c r="AE1251" t="s">
        <v>51</v>
      </c>
    </row>
    <row r="1252" spans="1:31" x14ac:dyDescent="0.3">
      <c r="A1252">
        <v>10207</v>
      </c>
      <c r="B1252">
        <v>40</v>
      </c>
      <c r="C1252">
        <v>100</v>
      </c>
      <c r="D1252">
        <v>1</v>
      </c>
      <c r="E1252" s="4" t="str">
        <f t="shared" si="114"/>
        <v>high sales</v>
      </c>
      <c r="F1252">
        <v>6146.8</v>
      </c>
      <c r="G1252" t="s">
        <v>1924</v>
      </c>
      <c r="H1252" s="1" t="str">
        <f t="shared" si="115"/>
        <v>Shipped</v>
      </c>
      <c r="I1252" s="4" t="str">
        <f t="shared" si="116"/>
        <v>completed</v>
      </c>
      <c r="J1252" t="s">
        <v>25</v>
      </c>
      <c r="K1252">
        <v>4</v>
      </c>
      <c r="L1252">
        <v>12</v>
      </c>
      <c r="M1252">
        <v>2003</v>
      </c>
      <c r="N1252" t="s">
        <v>181</v>
      </c>
      <c r="O1252">
        <v>143</v>
      </c>
      <c r="P1252" t="s">
        <v>613</v>
      </c>
      <c r="Q1252" t="s">
        <v>415</v>
      </c>
      <c r="R1252">
        <v>6175552555</v>
      </c>
      <c r="S1252" t="s">
        <v>416</v>
      </c>
      <c r="U1252" s="1" t="str">
        <f t="shared" si="117"/>
        <v>Boston</v>
      </c>
      <c r="V1252" t="s">
        <v>381</v>
      </c>
      <c r="W1252" t="s">
        <v>123</v>
      </c>
      <c r="X1252">
        <v>51003</v>
      </c>
      <c r="Y1252" s="1" t="str">
        <f t="shared" si="118"/>
        <v>USA</v>
      </c>
      <c r="Z1252" s="4" t="str">
        <f t="shared" si="119"/>
        <v>Usa</v>
      </c>
      <c r="AA1252" t="s">
        <v>32</v>
      </c>
      <c r="AB1252" t="s">
        <v>33</v>
      </c>
      <c r="AC1252" t="s">
        <v>417</v>
      </c>
      <c r="AD1252" t="s">
        <v>276</v>
      </c>
      <c r="AE1252" t="s">
        <v>51</v>
      </c>
    </row>
    <row r="1253" spans="1:31" x14ac:dyDescent="0.3">
      <c r="A1253">
        <v>10220</v>
      </c>
      <c r="B1253">
        <v>50</v>
      </c>
      <c r="C1253">
        <v>100</v>
      </c>
      <c r="D1253">
        <v>5</v>
      </c>
      <c r="E1253" s="4" t="str">
        <f t="shared" si="114"/>
        <v>high sales</v>
      </c>
      <c r="F1253">
        <v>8258</v>
      </c>
      <c r="G1253" t="s">
        <v>1925</v>
      </c>
      <c r="H1253" s="1" t="str">
        <f t="shared" si="115"/>
        <v>Shipped</v>
      </c>
      <c r="I1253" s="4" t="str">
        <f t="shared" si="116"/>
        <v>completed</v>
      </c>
      <c r="J1253" t="s">
        <v>25</v>
      </c>
      <c r="K1253">
        <v>1</v>
      </c>
      <c r="L1253">
        <v>2</v>
      </c>
      <c r="M1253">
        <v>2004</v>
      </c>
      <c r="N1253" t="s">
        <v>181</v>
      </c>
      <c r="O1253">
        <v>143</v>
      </c>
      <c r="P1253" t="s">
        <v>613</v>
      </c>
      <c r="Q1253" t="s">
        <v>479</v>
      </c>
      <c r="R1253" t="s">
        <v>480</v>
      </c>
      <c r="S1253" t="s">
        <v>481</v>
      </c>
      <c r="T1253" t="s">
        <v>482</v>
      </c>
      <c r="U1253" s="1" t="str">
        <f t="shared" si="117"/>
        <v>Dublin</v>
      </c>
      <c r="V1253" t="s">
        <v>483</v>
      </c>
      <c r="X1253">
        <v>2</v>
      </c>
      <c r="Y1253" s="1" t="str">
        <f t="shared" si="118"/>
        <v>IRELAND</v>
      </c>
      <c r="Z1253" s="4" t="str">
        <f t="shared" si="119"/>
        <v>Ireland</v>
      </c>
      <c r="AA1253" t="s">
        <v>484</v>
      </c>
      <c r="AB1253" t="s">
        <v>42</v>
      </c>
      <c r="AC1253" t="s">
        <v>485</v>
      </c>
      <c r="AD1253" t="s">
        <v>486</v>
      </c>
      <c r="AE1253" t="s">
        <v>151</v>
      </c>
    </row>
    <row r="1254" spans="1:31" x14ac:dyDescent="0.3">
      <c r="A1254">
        <v>10230</v>
      </c>
      <c r="B1254">
        <v>42</v>
      </c>
      <c r="C1254">
        <v>100</v>
      </c>
      <c r="D1254">
        <v>3</v>
      </c>
      <c r="E1254" s="4" t="str">
        <f t="shared" si="114"/>
        <v>high sales</v>
      </c>
      <c r="F1254">
        <v>7238.28</v>
      </c>
      <c r="G1254" t="s">
        <v>1926</v>
      </c>
      <c r="H1254" s="1" t="str">
        <f t="shared" si="115"/>
        <v>Shipped</v>
      </c>
      <c r="I1254" s="4" t="str">
        <f t="shared" si="116"/>
        <v>completed</v>
      </c>
      <c r="J1254" t="s">
        <v>25</v>
      </c>
      <c r="K1254">
        <v>1</v>
      </c>
      <c r="L1254">
        <v>3</v>
      </c>
      <c r="M1254">
        <v>2004</v>
      </c>
      <c r="N1254" t="s">
        <v>181</v>
      </c>
      <c r="O1254">
        <v>143</v>
      </c>
      <c r="P1254" t="s">
        <v>613</v>
      </c>
      <c r="Q1254" t="s">
        <v>462</v>
      </c>
      <c r="R1254" t="s">
        <v>463</v>
      </c>
      <c r="S1254" t="s">
        <v>464</v>
      </c>
      <c r="U1254" s="1" t="str">
        <f t="shared" si="117"/>
        <v>Frankfurt</v>
      </c>
      <c r="V1254" t="s">
        <v>465</v>
      </c>
      <c r="X1254">
        <v>60528</v>
      </c>
      <c r="Y1254" s="1" t="str">
        <f t="shared" si="118"/>
        <v>GERMANY</v>
      </c>
      <c r="Z1254" s="4" t="str">
        <f t="shared" si="119"/>
        <v>Germany</v>
      </c>
      <c r="AA1254" t="s">
        <v>443</v>
      </c>
      <c r="AB1254" t="s">
        <v>42</v>
      </c>
      <c r="AC1254" t="s">
        <v>466</v>
      </c>
      <c r="AD1254" t="s">
        <v>414</v>
      </c>
      <c r="AE1254" t="s">
        <v>151</v>
      </c>
    </row>
    <row r="1255" spans="1:31" x14ac:dyDescent="0.3">
      <c r="A1255">
        <v>10247</v>
      </c>
      <c r="B1255">
        <v>48</v>
      </c>
      <c r="C1255">
        <v>100</v>
      </c>
      <c r="D1255">
        <v>5</v>
      </c>
      <c r="E1255" s="4" t="str">
        <f t="shared" si="114"/>
        <v>high sales</v>
      </c>
      <c r="F1255">
        <v>6756</v>
      </c>
      <c r="G1255" t="s">
        <v>1927</v>
      </c>
      <c r="H1255" s="1" t="str">
        <f t="shared" si="115"/>
        <v>Shipped</v>
      </c>
      <c r="I1255" s="4" t="str">
        <f t="shared" si="116"/>
        <v>completed</v>
      </c>
      <c r="J1255" t="s">
        <v>25</v>
      </c>
      <c r="K1255">
        <v>2</v>
      </c>
      <c r="L1255">
        <v>5</v>
      </c>
      <c r="M1255">
        <v>2004</v>
      </c>
      <c r="N1255" t="s">
        <v>181</v>
      </c>
      <c r="O1255">
        <v>143</v>
      </c>
      <c r="P1255" t="s">
        <v>613</v>
      </c>
      <c r="Q1255" t="s">
        <v>467</v>
      </c>
      <c r="R1255" t="s">
        <v>468</v>
      </c>
      <c r="S1255" t="s">
        <v>469</v>
      </c>
      <c r="U1255" s="1" t="str">
        <f t="shared" si="117"/>
        <v>Espoo</v>
      </c>
      <c r="V1255" t="s">
        <v>470</v>
      </c>
      <c r="X1255" t="s">
        <v>471</v>
      </c>
      <c r="Y1255" s="1" t="str">
        <f t="shared" si="118"/>
        <v>FINLAND</v>
      </c>
      <c r="Z1255" s="4" t="str">
        <f t="shared" si="119"/>
        <v>Finland</v>
      </c>
      <c r="AA1255" t="s">
        <v>130</v>
      </c>
      <c r="AB1255" t="s">
        <v>42</v>
      </c>
      <c r="AC1255" t="s">
        <v>472</v>
      </c>
      <c r="AD1255" t="s">
        <v>473</v>
      </c>
      <c r="AE1255" t="s">
        <v>51</v>
      </c>
    </row>
    <row r="1256" spans="1:31" x14ac:dyDescent="0.3">
      <c r="A1256">
        <v>10272</v>
      </c>
      <c r="B1256">
        <v>25</v>
      </c>
      <c r="C1256">
        <v>100</v>
      </c>
      <c r="D1256">
        <v>5</v>
      </c>
      <c r="E1256" s="4" t="str">
        <f t="shared" si="114"/>
        <v>low sales</v>
      </c>
      <c r="F1256">
        <v>3734</v>
      </c>
      <c r="G1256" t="s">
        <v>1928</v>
      </c>
      <c r="H1256" s="1" t="str">
        <f t="shared" si="115"/>
        <v>Shipped</v>
      </c>
      <c r="I1256" s="4" t="str">
        <f t="shared" si="116"/>
        <v>completed</v>
      </c>
      <c r="J1256" t="s">
        <v>25</v>
      </c>
      <c r="K1256">
        <v>3</v>
      </c>
      <c r="L1256">
        <v>7</v>
      </c>
      <c r="M1256">
        <v>2004</v>
      </c>
      <c r="N1256" t="s">
        <v>181</v>
      </c>
      <c r="O1256">
        <v>143</v>
      </c>
      <c r="P1256" t="s">
        <v>613</v>
      </c>
      <c r="Q1256" t="s">
        <v>139</v>
      </c>
      <c r="R1256">
        <v>2155551555</v>
      </c>
      <c r="S1256" t="s">
        <v>140</v>
      </c>
      <c r="U1256" s="1" t="str">
        <f t="shared" si="117"/>
        <v>Allentown</v>
      </c>
      <c r="V1256" t="s">
        <v>141</v>
      </c>
      <c r="W1256" t="s">
        <v>142</v>
      </c>
      <c r="X1256">
        <v>70267</v>
      </c>
      <c r="Y1256" s="1" t="str">
        <f t="shared" si="118"/>
        <v>USA</v>
      </c>
      <c r="Z1256" s="4" t="str">
        <f t="shared" si="119"/>
        <v>Usa</v>
      </c>
      <c r="AA1256" t="s">
        <v>32</v>
      </c>
      <c r="AB1256" t="s">
        <v>33</v>
      </c>
      <c r="AC1256" t="s">
        <v>34</v>
      </c>
      <c r="AD1256" t="s">
        <v>143</v>
      </c>
      <c r="AE1256" t="s">
        <v>51</v>
      </c>
    </row>
    <row r="1257" spans="1:31" x14ac:dyDescent="0.3">
      <c r="A1257">
        <v>10282</v>
      </c>
      <c r="B1257">
        <v>31</v>
      </c>
      <c r="C1257">
        <v>100</v>
      </c>
      <c r="D1257">
        <v>8</v>
      </c>
      <c r="E1257" s="4" t="str">
        <f t="shared" si="114"/>
        <v>high sales</v>
      </c>
      <c r="F1257">
        <v>4674.8</v>
      </c>
      <c r="G1257" t="s">
        <v>1929</v>
      </c>
      <c r="H1257" s="1" t="str">
        <f t="shared" si="115"/>
        <v>Shipped</v>
      </c>
      <c r="I1257" s="4" t="str">
        <f t="shared" si="116"/>
        <v>completed</v>
      </c>
      <c r="J1257" t="s">
        <v>25</v>
      </c>
      <c r="K1257">
        <v>3</v>
      </c>
      <c r="L1257">
        <v>8</v>
      </c>
      <c r="M1257">
        <v>2004</v>
      </c>
      <c r="N1257" t="s">
        <v>181</v>
      </c>
      <c r="O1257">
        <v>143</v>
      </c>
      <c r="P1257" t="s">
        <v>613</v>
      </c>
      <c r="Q1257" t="s">
        <v>272</v>
      </c>
      <c r="R1257">
        <v>4155551450</v>
      </c>
      <c r="S1257" t="s">
        <v>273</v>
      </c>
      <c r="U1257" s="1" t="str">
        <f t="shared" si="117"/>
        <v>San Rafael</v>
      </c>
      <c r="V1257" t="s">
        <v>274</v>
      </c>
      <c r="W1257" t="s">
        <v>55</v>
      </c>
      <c r="X1257">
        <v>97562</v>
      </c>
      <c r="Y1257" s="1" t="str">
        <f t="shared" si="118"/>
        <v>USA</v>
      </c>
      <c r="Z1257" s="4" t="str">
        <f t="shared" si="119"/>
        <v>Usa</v>
      </c>
      <c r="AA1257" t="s">
        <v>32</v>
      </c>
      <c r="AB1257" t="s">
        <v>33</v>
      </c>
      <c r="AC1257" t="s">
        <v>275</v>
      </c>
      <c r="AD1257" t="s">
        <v>276</v>
      </c>
      <c r="AE1257" t="s">
        <v>51</v>
      </c>
    </row>
    <row r="1258" spans="1:31" x14ac:dyDescent="0.3">
      <c r="A1258">
        <v>10292</v>
      </c>
      <c r="B1258">
        <v>44</v>
      </c>
      <c r="C1258">
        <v>100</v>
      </c>
      <c r="D1258">
        <v>2</v>
      </c>
      <c r="E1258" s="4" t="str">
        <f t="shared" si="114"/>
        <v>high sales</v>
      </c>
      <c r="F1258">
        <v>7140.76</v>
      </c>
      <c r="G1258" t="s">
        <v>1930</v>
      </c>
      <c r="H1258" s="1" t="str">
        <f t="shared" si="115"/>
        <v>Shipped</v>
      </c>
      <c r="I1258" s="4" t="str">
        <f t="shared" si="116"/>
        <v>completed</v>
      </c>
      <c r="J1258" t="s">
        <v>25</v>
      </c>
      <c r="K1258">
        <v>3</v>
      </c>
      <c r="L1258">
        <v>9</v>
      </c>
      <c r="M1258">
        <v>2004</v>
      </c>
      <c r="N1258" t="s">
        <v>181</v>
      </c>
      <c r="O1258">
        <v>143</v>
      </c>
      <c r="P1258" t="s">
        <v>613</v>
      </c>
      <c r="Q1258" t="s">
        <v>28</v>
      </c>
      <c r="R1258">
        <v>2125557818</v>
      </c>
      <c r="S1258" t="s">
        <v>29</v>
      </c>
      <c r="U1258" s="1" t="str">
        <f t="shared" si="117"/>
        <v>Nyc</v>
      </c>
      <c r="V1258" t="s">
        <v>30</v>
      </c>
      <c r="W1258" t="s">
        <v>31</v>
      </c>
      <c r="X1258">
        <v>10022</v>
      </c>
      <c r="Y1258" s="1" t="str">
        <f t="shared" si="118"/>
        <v>USA</v>
      </c>
      <c r="Z1258" s="4" t="str">
        <f t="shared" si="119"/>
        <v>Usa</v>
      </c>
      <c r="AA1258" t="s">
        <v>32</v>
      </c>
      <c r="AB1258" t="s">
        <v>33</v>
      </c>
      <c r="AC1258" t="s">
        <v>34</v>
      </c>
      <c r="AD1258" t="s">
        <v>35</v>
      </c>
      <c r="AE1258" t="s">
        <v>151</v>
      </c>
    </row>
    <row r="1259" spans="1:31" x14ac:dyDescent="0.3">
      <c r="A1259">
        <v>10306</v>
      </c>
      <c r="B1259">
        <v>23</v>
      </c>
      <c r="C1259">
        <v>100</v>
      </c>
      <c r="D1259">
        <v>16</v>
      </c>
      <c r="E1259" s="4" t="str">
        <f t="shared" si="114"/>
        <v>low sales</v>
      </c>
      <c r="F1259">
        <v>3600.65</v>
      </c>
      <c r="G1259" t="s">
        <v>1931</v>
      </c>
      <c r="H1259" s="1" t="str">
        <f t="shared" si="115"/>
        <v>Shipped</v>
      </c>
      <c r="I1259" s="4" t="str">
        <f t="shared" si="116"/>
        <v>completed</v>
      </c>
      <c r="J1259" t="s">
        <v>25</v>
      </c>
      <c r="K1259">
        <v>4</v>
      </c>
      <c r="L1259">
        <v>10</v>
      </c>
      <c r="M1259">
        <v>2004</v>
      </c>
      <c r="N1259" t="s">
        <v>181</v>
      </c>
      <c r="O1259">
        <v>143</v>
      </c>
      <c r="P1259" t="s">
        <v>613</v>
      </c>
      <c r="Q1259" t="s">
        <v>492</v>
      </c>
      <c r="R1259" t="s">
        <v>493</v>
      </c>
      <c r="S1259" t="s">
        <v>494</v>
      </c>
      <c r="U1259" s="1" t="str">
        <f t="shared" si="117"/>
        <v>Manchester</v>
      </c>
      <c r="V1259" t="s">
        <v>495</v>
      </c>
      <c r="X1259" t="s">
        <v>496</v>
      </c>
      <c r="Y1259" s="1" t="str">
        <f t="shared" si="118"/>
        <v>UK</v>
      </c>
      <c r="Z1259" s="4" t="str">
        <f t="shared" si="119"/>
        <v>Uk</v>
      </c>
      <c r="AA1259" t="s">
        <v>170</v>
      </c>
      <c r="AB1259" t="s">
        <v>42</v>
      </c>
      <c r="AC1259" t="s">
        <v>497</v>
      </c>
      <c r="AD1259" t="s">
        <v>94</v>
      </c>
      <c r="AE1259" t="s">
        <v>51</v>
      </c>
    </row>
    <row r="1260" spans="1:31" x14ac:dyDescent="0.3">
      <c r="A1260">
        <v>10314</v>
      </c>
      <c r="B1260">
        <v>29</v>
      </c>
      <c r="C1260">
        <v>100</v>
      </c>
      <c r="D1260">
        <v>8</v>
      </c>
      <c r="E1260" s="4" t="str">
        <f t="shared" si="114"/>
        <v>high sales</v>
      </c>
      <c r="F1260">
        <v>4206.74</v>
      </c>
      <c r="G1260" t="s">
        <v>1932</v>
      </c>
      <c r="H1260" s="1" t="str">
        <f t="shared" si="115"/>
        <v>Shipped</v>
      </c>
      <c r="I1260" s="4" t="str">
        <f t="shared" si="116"/>
        <v>completed</v>
      </c>
      <c r="J1260" t="s">
        <v>25</v>
      </c>
      <c r="K1260">
        <v>4</v>
      </c>
      <c r="L1260">
        <v>10</v>
      </c>
      <c r="M1260">
        <v>2004</v>
      </c>
      <c r="N1260" t="s">
        <v>181</v>
      </c>
      <c r="O1260">
        <v>143</v>
      </c>
      <c r="P1260" t="s">
        <v>613</v>
      </c>
      <c r="Q1260" t="s">
        <v>498</v>
      </c>
      <c r="R1260" t="s">
        <v>499</v>
      </c>
      <c r="S1260" t="s">
        <v>500</v>
      </c>
      <c r="U1260" s="1" t="str">
        <f t="shared" si="117"/>
        <v>Aaarhus</v>
      </c>
      <c r="V1260" t="s">
        <v>501</v>
      </c>
      <c r="X1260">
        <v>8200</v>
      </c>
      <c r="Y1260" s="1" t="str">
        <f t="shared" si="118"/>
        <v>DENMARK</v>
      </c>
      <c r="Z1260" s="4" t="str">
        <f t="shared" si="119"/>
        <v>Denmark</v>
      </c>
      <c r="AA1260" t="s">
        <v>326</v>
      </c>
      <c r="AB1260" t="s">
        <v>42</v>
      </c>
      <c r="AC1260" t="s">
        <v>502</v>
      </c>
      <c r="AD1260" t="s">
        <v>503</v>
      </c>
      <c r="AE1260" t="s">
        <v>51</v>
      </c>
    </row>
    <row r="1261" spans="1:31" x14ac:dyDescent="0.3">
      <c r="A1261">
        <v>10324</v>
      </c>
      <c r="B1261">
        <v>49</v>
      </c>
      <c r="C1261">
        <v>100</v>
      </c>
      <c r="D1261">
        <v>13</v>
      </c>
      <c r="E1261" s="4" t="str">
        <f t="shared" si="114"/>
        <v>high sales</v>
      </c>
      <c r="F1261">
        <v>5379.71</v>
      </c>
      <c r="G1261" t="s">
        <v>1933</v>
      </c>
      <c r="H1261" s="1" t="str">
        <f t="shared" si="115"/>
        <v>Shipped</v>
      </c>
      <c r="I1261" s="4" t="str">
        <f t="shared" si="116"/>
        <v>completed</v>
      </c>
      <c r="J1261" t="s">
        <v>25</v>
      </c>
      <c r="K1261">
        <v>4</v>
      </c>
      <c r="L1261">
        <v>11</v>
      </c>
      <c r="M1261">
        <v>2004</v>
      </c>
      <c r="N1261" t="s">
        <v>181</v>
      </c>
      <c r="O1261">
        <v>143</v>
      </c>
      <c r="P1261" t="s">
        <v>613</v>
      </c>
      <c r="Q1261" t="s">
        <v>99</v>
      </c>
      <c r="R1261">
        <v>2125551500</v>
      </c>
      <c r="S1261" t="s">
        <v>100</v>
      </c>
      <c r="T1261" t="s">
        <v>101</v>
      </c>
      <c r="U1261" s="1" t="str">
        <f t="shared" si="117"/>
        <v>Nyc</v>
      </c>
      <c r="V1261" t="s">
        <v>30</v>
      </c>
      <c r="W1261" t="s">
        <v>31</v>
      </c>
      <c r="X1261">
        <v>10022</v>
      </c>
      <c r="Y1261" s="1" t="str">
        <f t="shared" si="118"/>
        <v>USA</v>
      </c>
      <c r="Z1261" s="4" t="str">
        <f t="shared" si="119"/>
        <v>Usa</v>
      </c>
      <c r="AA1261" t="s">
        <v>32</v>
      </c>
      <c r="AB1261" t="s">
        <v>33</v>
      </c>
      <c r="AC1261" t="s">
        <v>102</v>
      </c>
      <c r="AD1261" t="s">
        <v>103</v>
      </c>
      <c r="AE1261" t="s">
        <v>51</v>
      </c>
    </row>
    <row r="1262" spans="1:31" x14ac:dyDescent="0.3">
      <c r="A1262">
        <v>10337</v>
      </c>
      <c r="B1262">
        <v>36</v>
      </c>
      <c r="C1262">
        <v>100</v>
      </c>
      <c r="D1262">
        <v>3</v>
      </c>
      <c r="E1262" s="4" t="str">
        <f t="shared" si="114"/>
        <v>high sales</v>
      </c>
      <c r="F1262">
        <v>5679.36</v>
      </c>
      <c r="G1262" t="s">
        <v>1934</v>
      </c>
      <c r="H1262" s="1" t="str">
        <f t="shared" si="115"/>
        <v>Shipped</v>
      </c>
      <c r="I1262" s="4" t="str">
        <f t="shared" si="116"/>
        <v>completed</v>
      </c>
      <c r="J1262" t="s">
        <v>25</v>
      </c>
      <c r="K1262">
        <v>4</v>
      </c>
      <c r="L1262">
        <v>11</v>
      </c>
      <c r="M1262">
        <v>2004</v>
      </c>
      <c r="N1262" t="s">
        <v>181</v>
      </c>
      <c r="O1262">
        <v>143</v>
      </c>
      <c r="P1262" t="s">
        <v>613</v>
      </c>
      <c r="Q1262" t="s">
        <v>203</v>
      </c>
      <c r="R1262">
        <v>2125558493</v>
      </c>
      <c r="S1262" t="s">
        <v>204</v>
      </c>
      <c r="T1262" t="s">
        <v>205</v>
      </c>
      <c r="U1262" s="1" t="str">
        <f t="shared" si="117"/>
        <v>Nyc</v>
      </c>
      <c r="V1262" t="s">
        <v>30</v>
      </c>
      <c r="W1262" t="s">
        <v>31</v>
      </c>
      <c r="X1262">
        <v>10022</v>
      </c>
      <c r="Y1262" s="1" t="str">
        <f t="shared" si="118"/>
        <v>USA</v>
      </c>
      <c r="Z1262" s="4" t="str">
        <f t="shared" si="119"/>
        <v>Usa</v>
      </c>
      <c r="AA1262" t="s">
        <v>32</v>
      </c>
      <c r="AB1262" t="s">
        <v>33</v>
      </c>
      <c r="AC1262" t="s">
        <v>124</v>
      </c>
      <c r="AD1262" t="s">
        <v>206</v>
      </c>
      <c r="AE1262" t="s">
        <v>51</v>
      </c>
    </row>
    <row r="1263" spans="1:31" x14ac:dyDescent="0.3">
      <c r="A1263">
        <v>10349</v>
      </c>
      <c r="B1263">
        <v>34</v>
      </c>
      <c r="C1263">
        <v>100</v>
      </c>
      <c r="D1263">
        <v>5</v>
      </c>
      <c r="E1263" s="4" t="str">
        <f t="shared" si="114"/>
        <v>high sales</v>
      </c>
      <c r="F1263">
        <v>4394.84</v>
      </c>
      <c r="G1263" t="s">
        <v>1935</v>
      </c>
      <c r="H1263" s="1" t="str">
        <f t="shared" si="115"/>
        <v>Shipped</v>
      </c>
      <c r="I1263" s="4" t="str">
        <f t="shared" si="116"/>
        <v>completed</v>
      </c>
      <c r="J1263" t="s">
        <v>25</v>
      </c>
      <c r="K1263">
        <v>4</v>
      </c>
      <c r="L1263">
        <v>12</v>
      </c>
      <c r="M1263">
        <v>2004</v>
      </c>
      <c r="N1263" t="s">
        <v>181</v>
      </c>
      <c r="O1263">
        <v>143</v>
      </c>
      <c r="P1263" t="s">
        <v>613</v>
      </c>
      <c r="Q1263" t="s">
        <v>475</v>
      </c>
      <c r="R1263">
        <v>2125557413</v>
      </c>
      <c r="S1263" t="s">
        <v>476</v>
      </c>
      <c r="T1263" t="s">
        <v>477</v>
      </c>
      <c r="U1263" s="1" t="str">
        <f t="shared" si="117"/>
        <v>Nyc</v>
      </c>
      <c r="V1263" t="s">
        <v>30</v>
      </c>
      <c r="W1263" t="s">
        <v>31</v>
      </c>
      <c r="X1263">
        <v>10022</v>
      </c>
      <c r="Y1263" s="1" t="str">
        <f t="shared" si="118"/>
        <v>USA</v>
      </c>
      <c r="Z1263" s="4" t="str">
        <f t="shared" si="119"/>
        <v>Usa</v>
      </c>
      <c r="AA1263" t="s">
        <v>32</v>
      </c>
      <c r="AB1263" t="s">
        <v>33</v>
      </c>
      <c r="AC1263" t="s">
        <v>56</v>
      </c>
      <c r="AD1263" t="s">
        <v>478</v>
      </c>
      <c r="AE1263" t="s">
        <v>51</v>
      </c>
    </row>
    <row r="1264" spans="1:31" x14ac:dyDescent="0.3">
      <c r="A1264">
        <v>10358</v>
      </c>
      <c r="B1264">
        <v>25</v>
      </c>
      <c r="C1264">
        <v>100</v>
      </c>
      <c r="D1264">
        <v>13</v>
      </c>
      <c r="E1264" s="4" t="str">
        <f t="shared" si="114"/>
        <v>low sales</v>
      </c>
      <c r="F1264">
        <v>2528.25</v>
      </c>
      <c r="G1264" t="s">
        <v>1936</v>
      </c>
      <c r="H1264" s="1" t="str">
        <f t="shared" si="115"/>
        <v>Shipped</v>
      </c>
      <c r="I1264" s="4" t="str">
        <f t="shared" si="116"/>
        <v>completed</v>
      </c>
      <c r="J1264" t="s">
        <v>25</v>
      </c>
      <c r="K1264">
        <v>4</v>
      </c>
      <c r="L1264">
        <v>12</v>
      </c>
      <c r="M1264">
        <v>2004</v>
      </c>
      <c r="N1264" t="s">
        <v>181</v>
      </c>
      <c r="O1264">
        <v>143</v>
      </c>
      <c r="P1264" t="s">
        <v>613</v>
      </c>
      <c r="Q1264" t="s">
        <v>174</v>
      </c>
      <c r="R1264" t="s">
        <v>175</v>
      </c>
      <c r="S1264" t="s">
        <v>176</v>
      </c>
      <c r="U1264" s="1" t="str">
        <f t="shared" si="117"/>
        <v>Madrid</v>
      </c>
      <c r="V1264" t="s">
        <v>177</v>
      </c>
      <c r="X1264">
        <v>28034</v>
      </c>
      <c r="Y1264" s="1" t="str">
        <f t="shared" si="118"/>
        <v>SPAIN</v>
      </c>
      <c r="Z1264" s="4" t="str">
        <f t="shared" si="119"/>
        <v>Spain</v>
      </c>
      <c r="AA1264" t="s">
        <v>178</v>
      </c>
      <c r="AB1264" t="s">
        <v>42</v>
      </c>
      <c r="AC1264" t="s">
        <v>179</v>
      </c>
      <c r="AD1264" t="s">
        <v>180</v>
      </c>
      <c r="AE1264" t="s">
        <v>36</v>
      </c>
    </row>
    <row r="1265" spans="1:31" x14ac:dyDescent="0.3">
      <c r="A1265">
        <v>10372</v>
      </c>
      <c r="B1265">
        <v>48</v>
      </c>
      <c r="C1265">
        <v>100</v>
      </c>
      <c r="D1265">
        <v>6</v>
      </c>
      <c r="E1265" s="4" t="str">
        <f t="shared" si="114"/>
        <v>high sales</v>
      </c>
      <c r="F1265">
        <v>7031.52</v>
      </c>
      <c r="G1265" t="s">
        <v>1937</v>
      </c>
      <c r="H1265" s="1" t="str">
        <f t="shared" si="115"/>
        <v>Shipped</v>
      </c>
      <c r="I1265" s="4" t="str">
        <f t="shared" si="116"/>
        <v>completed</v>
      </c>
      <c r="J1265" t="s">
        <v>25</v>
      </c>
      <c r="K1265">
        <v>1</v>
      </c>
      <c r="L1265">
        <v>1</v>
      </c>
      <c r="M1265">
        <v>2005</v>
      </c>
      <c r="N1265" t="s">
        <v>181</v>
      </c>
      <c r="O1265">
        <v>143</v>
      </c>
      <c r="P1265" t="s">
        <v>613</v>
      </c>
      <c r="Q1265" t="s">
        <v>246</v>
      </c>
      <c r="R1265" t="s">
        <v>247</v>
      </c>
      <c r="S1265" t="s">
        <v>248</v>
      </c>
      <c r="U1265" s="1" t="str">
        <f t="shared" si="117"/>
        <v>Minato-Ku</v>
      </c>
      <c r="V1265" t="s">
        <v>249</v>
      </c>
      <c r="W1265" t="s">
        <v>250</v>
      </c>
      <c r="X1265" t="s">
        <v>251</v>
      </c>
      <c r="Y1265" s="1" t="str">
        <f t="shared" si="118"/>
        <v>JAPAN</v>
      </c>
      <c r="Z1265" s="4" t="str">
        <f t="shared" si="119"/>
        <v>Japan</v>
      </c>
      <c r="AA1265" t="s">
        <v>200</v>
      </c>
      <c r="AB1265" t="s">
        <v>200</v>
      </c>
      <c r="AC1265" t="s">
        <v>252</v>
      </c>
      <c r="AD1265" t="s">
        <v>253</v>
      </c>
      <c r="AE1265" t="s">
        <v>151</v>
      </c>
    </row>
    <row r="1266" spans="1:31" x14ac:dyDescent="0.3">
      <c r="A1266">
        <v>10383</v>
      </c>
      <c r="B1266">
        <v>38</v>
      </c>
      <c r="C1266">
        <v>100</v>
      </c>
      <c r="D1266">
        <v>1</v>
      </c>
      <c r="E1266" s="4" t="str">
        <f t="shared" si="114"/>
        <v>high sales</v>
      </c>
      <c r="F1266">
        <v>5340.9</v>
      </c>
      <c r="G1266" t="s">
        <v>1938</v>
      </c>
      <c r="H1266" s="1" t="str">
        <f t="shared" si="115"/>
        <v>Shipped</v>
      </c>
      <c r="I1266" s="4" t="str">
        <f t="shared" si="116"/>
        <v>completed</v>
      </c>
      <c r="J1266" t="s">
        <v>25</v>
      </c>
      <c r="K1266">
        <v>1</v>
      </c>
      <c r="L1266">
        <v>2</v>
      </c>
      <c r="M1266">
        <v>2005</v>
      </c>
      <c r="N1266" t="s">
        <v>181</v>
      </c>
      <c r="O1266">
        <v>143</v>
      </c>
      <c r="P1266" t="s">
        <v>613</v>
      </c>
      <c r="Q1266" t="s">
        <v>174</v>
      </c>
      <c r="R1266" t="s">
        <v>175</v>
      </c>
      <c r="S1266" t="s">
        <v>176</v>
      </c>
      <c r="U1266" s="1" t="str">
        <f t="shared" si="117"/>
        <v>Madrid</v>
      </c>
      <c r="V1266" t="s">
        <v>177</v>
      </c>
      <c r="X1266">
        <v>28034</v>
      </c>
      <c r="Y1266" s="1" t="str">
        <f t="shared" si="118"/>
        <v>SPAIN</v>
      </c>
      <c r="Z1266" s="4" t="str">
        <f t="shared" si="119"/>
        <v>Spain</v>
      </c>
      <c r="AA1266" t="s">
        <v>178</v>
      </c>
      <c r="AB1266" t="s">
        <v>42</v>
      </c>
      <c r="AC1266" t="s">
        <v>179</v>
      </c>
      <c r="AD1266" t="s">
        <v>180</v>
      </c>
      <c r="AE1266" t="s">
        <v>51</v>
      </c>
    </row>
    <row r="1267" spans="1:31" x14ac:dyDescent="0.3">
      <c r="A1267">
        <v>10394</v>
      </c>
      <c r="B1267">
        <v>37</v>
      </c>
      <c r="C1267">
        <v>100</v>
      </c>
      <c r="D1267">
        <v>1</v>
      </c>
      <c r="E1267" s="4" t="str">
        <f t="shared" si="114"/>
        <v>high sales</v>
      </c>
      <c r="F1267">
        <v>6376.58</v>
      </c>
      <c r="G1267" t="s">
        <v>1939</v>
      </c>
      <c r="H1267" s="1" t="str">
        <f t="shared" si="115"/>
        <v>Shipped</v>
      </c>
      <c r="I1267" s="4" t="str">
        <f t="shared" si="116"/>
        <v>completed</v>
      </c>
      <c r="J1267" t="s">
        <v>25</v>
      </c>
      <c r="K1267">
        <v>1</v>
      </c>
      <c r="L1267">
        <v>3</v>
      </c>
      <c r="M1267">
        <v>2005</v>
      </c>
      <c r="N1267" t="s">
        <v>181</v>
      </c>
      <c r="O1267">
        <v>143</v>
      </c>
      <c r="P1267" t="s">
        <v>613</v>
      </c>
      <c r="Q1267" t="s">
        <v>174</v>
      </c>
      <c r="R1267" t="s">
        <v>175</v>
      </c>
      <c r="S1267" t="s">
        <v>176</v>
      </c>
      <c r="U1267" s="1" t="str">
        <f t="shared" si="117"/>
        <v>Madrid</v>
      </c>
      <c r="V1267" t="s">
        <v>177</v>
      </c>
      <c r="X1267">
        <v>28034</v>
      </c>
      <c r="Y1267" s="1" t="str">
        <f t="shared" si="118"/>
        <v>SPAIN</v>
      </c>
      <c r="Z1267" s="4" t="str">
        <f t="shared" si="119"/>
        <v>Spain</v>
      </c>
      <c r="AA1267" t="s">
        <v>178</v>
      </c>
      <c r="AB1267" t="s">
        <v>42</v>
      </c>
      <c r="AC1267" t="s">
        <v>179</v>
      </c>
      <c r="AD1267" t="s">
        <v>180</v>
      </c>
      <c r="AE1267" t="s">
        <v>51</v>
      </c>
    </row>
    <row r="1268" spans="1:31" x14ac:dyDescent="0.3">
      <c r="A1268">
        <v>10413</v>
      </c>
      <c r="B1268">
        <v>49</v>
      </c>
      <c r="C1268">
        <v>100</v>
      </c>
      <c r="D1268">
        <v>5</v>
      </c>
      <c r="E1268" s="4" t="str">
        <f t="shared" si="114"/>
        <v>high sales</v>
      </c>
      <c r="F1268">
        <v>6896.75</v>
      </c>
      <c r="G1268" t="s">
        <v>1940</v>
      </c>
      <c r="H1268" s="1" t="str">
        <f t="shared" si="115"/>
        <v>Shipped</v>
      </c>
      <c r="I1268" s="4" t="str">
        <f t="shared" si="116"/>
        <v>completed</v>
      </c>
      <c r="J1268" t="s">
        <v>25</v>
      </c>
      <c r="K1268">
        <v>2</v>
      </c>
      <c r="L1268">
        <v>5</v>
      </c>
      <c r="M1268">
        <v>2005</v>
      </c>
      <c r="N1268" t="s">
        <v>181</v>
      </c>
      <c r="O1268">
        <v>143</v>
      </c>
      <c r="P1268" t="s">
        <v>613</v>
      </c>
      <c r="Q1268" t="s">
        <v>109</v>
      </c>
      <c r="R1268">
        <v>2035552570</v>
      </c>
      <c r="S1268" t="s">
        <v>110</v>
      </c>
      <c r="U1268" s="1" t="str">
        <f t="shared" si="117"/>
        <v>Bridgewater</v>
      </c>
      <c r="V1268" t="s">
        <v>111</v>
      </c>
      <c r="W1268" t="s">
        <v>112</v>
      </c>
      <c r="X1268">
        <v>97562</v>
      </c>
      <c r="Y1268" s="1" t="str">
        <f t="shared" si="118"/>
        <v>USA</v>
      </c>
      <c r="Z1268" s="4" t="str">
        <f t="shared" si="119"/>
        <v>Usa</v>
      </c>
      <c r="AA1268" t="s">
        <v>32</v>
      </c>
      <c r="AB1268" t="s">
        <v>33</v>
      </c>
      <c r="AC1268" t="s">
        <v>113</v>
      </c>
      <c r="AD1268" t="s">
        <v>57</v>
      </c>
      <c r="AE1268" t="s">
        <v>51</v>
      </c>
    </row>
    <row r="1269" spans="1:31" x14ac:dyDescent="0.3">
      <c r="A1269">
        <v>10100</v>
      </c>
      <c r="B1269">
        <v>22</v>
      </c>
      <c r="C1269">
        <v>86.51</v>
      </c>
      <c r="D1269">
        <v>4</v>
      </c>
      <c r="E1269" s="4" t="str">
        <f t="shared" si="114"/>
        <v>low sales</v>
      </c>
      <c r="F1269">
        <v>1903.22</v>
      </c>
      <c r="G1269" t="s">
        <v>1941</v>
      </c>
      <c r="H1269" s="1" t="str">
        <f t="shared" si="115"/>
        <v>Shipped</v>
      </c>
      <c r="I1269" s="4" t="str">
        <f t="shared" si="116"/>
        <v>completed</v>
      </c>
      <c r="J1269" t="s">
        <v>25</v>
      </c>
      <c r="K1269">
        <v>1</v>
      </c>
      <c r="L1269">
        <v>1</v>
      </c>
      <c r="M1269">
        <v>2003</v>
      </c>
      <c r="N1269" t="s">
        <v>550</v>
      </c>
      <c r="O1269">
        <v>92</v>
      </c>
      <c r="P1269" t="s">
        <v>614</v>
      </c>
      <c r="Q1269" t="s">
        <v>277</v>
      </c>
      <c r="R1269">
        <v>6035558647</v>
      </c>
      <c r="S1269" t="s">
        <v>278</v>
      </c>
      <c r="U1269" s="1" t="str">
        <f t="shared" si="117"/>
        <v>Nashua</v>
      </c>
      <c r="V1269" t="s">
        <v>279</v>
      </c>
      <c r="W1269" t="s">
        <v>280</v>
      </c>
      <c r="X1269">
        <v>62005</v>
      </c>
      <c r="Y1269" s="1" t="str">
        <f t="shared" si="118"/>
        <v>USA</v>
      </c>
      <c r="Z1269" s="4" t="str">
        <f t="shared" si="119"/>
        <v>Usa</v>
      </c>
      <c r="AA1269" t="s">
        <v>32</v>
      </c>
      <c r="AB1269" t="s">
        <v>33</v>
      </c>
      <c r="AC1269" t="s">
        <v>56</v>
      </c>
      <c r="AD1269" t="s">
        <v>276</v>
      </c>
      <c r="AE1269" t="s">
        <v>36</v>
      </c>
    </row>
    <row r="1270" spans="1:31" x14ac:dyDescent="0.3">
      <c r="A1270">
        <v>10110</v>
      </c>
      <c r="B1270">
        <v>28</v>
      </c>
      <c r="C1270">
        <v>89.27</v>
      </c>
      <c r="D1270">
        <v>8</v>
      </c>
      <c r="E1270" s="4" t="str">
        <f t="shared" si="114"/>
        <v>low sales</v>
      </c>
      <c r="F1270">
        <v>2499.56</v>
      </c>
      <c r="G1270" t="s">
        <v>1942</v>
      </c>
      <c r="H1270" s="1" t="str">
        <f t="shared" si="115"/>
        <v>Shipped</v>
      </c>
      <c r="I1270" s="4" t="str">
        <f t="shared" si="116"/>
        <v>completed</v>
      </c>
      <c r="J1270" t="s">
        <v>25</v>
      </c>
      <c r="K1270">
        <v>1</v>
      </c>
      <c r="L1270">
        <v>3</v>
      </c>
      <c r="M1270">
        <v>2003</v>
      </c>
      <c r="N1270" t="s">
        <v>550</v>
      </c>
      <c r="O1270">
        <v>92</v>
      </c>
      <c r="P1270" t="s">
        <v>614</v>
      </c>
      <c r="Q1270" t="s">
        <v>492</v>
      </c>
      <c r="R1270" t="s">
        <v>493</v>
      </c>
      <c r="S1270" t="s">
        <v>494</v>
      </c>
      <c r="U1270" s="1" t="str">
        <f t="shared" si="117"/>
        <v>Manchester</v>
      </c>
      <c r="V1270" t="s">
        <v>495</v>
      </c>
      <c r="X1270" t="s">
        <v>496</v>
      </c>
      <c r="Y1270" s="1" t="str">
        <f t="shared" si="118"/>
        <v>UK</v>
      </c>
      <c r="Z1270" s="4" t="str">
        <f t="shared" si="119"/>
        <v>Uk</v>
      </c>
      <c r="AA1270" t="s">
        <v>170</v>
      </c>
      <c r="AB1270" t="s">
        <v>42</v>
      </c>
      <c r="AC1270" t="s">
        <v>497</v>
      </c>
      <c r="AD1270" t="s">
        <v>94</v>
      </c>
      <c r="AE1270" t="s">
        <v>36</v>
      </c>
    </row>
    <row r="1271" spans="1:31" x14ac:dyDescent="0.3">
      <c r="A1271">
        <v>10124</v>
      </c>
      <c r="B1271">
        <v>36</v>
      </c>
      <c r="C1271">
        <v>85.59</v>
      </c>
      <c r="D1271">
        <v>7</v>
      </c>
      <c r="E1271" s="4" t="str">
        <f t="shared" si="114"/>
        <v>low sales</v>
      </c>
      <c r="F1271">
        <v>3081.24</v>
      </c>
      <c r="G1271" t="s">
        <v>1943</v>
      </c>
      <c r="H1271" s="1" t="str">
        <f t="shared" si="115"/>
        <v>Shipped</v>
      </c>
      <c r="I1271" s="4" t="str">
        <f t="shared" si="116"/>
        <v>completed</v>
      </c>
      <c r="J1271" t="s">
        <v>25</v>
      </c>
      <c r="K1271">
        <v>2</v>
      </c>
      <c r="L1271">
        <v>5</v>
      </c>
      <c r="M1271">
        <v>2003</v>
      </c>
      <c r="N1271" t="s">
        <v>550</v>
      </c>
      <c r="O1271">
        <v>92</v>
      </c>
      <c r="P1271" t="s">
        <v>614</v>
      </c>
      <c r="Q1271" t="s">
        <v>539</v>
      </c>
      <c r="R1271">
        <v>7025551838</v>
      </c>
      <c r="S1271" t="s">
        <v>540</v>
      </c>
      <c r="U1271" s="1" t="str">
        <f t="shared" si="117"/>
        <v>Las Vegas</v>
      </c>
      <c r="V1271" t="s">
        <v>541</v>
      </c>
      <c r="W1271" t="s">
        <v>542</v>
      </c>
      <c r="X1271">
        <v>83030</v>
      </c>
      <c r="Y1271" s="1" t="str">
        <f t="shared" si="118"/>
        <v>USA</v>
      </c>
      <c r="Z1271" s="4" t="str">
        <f t="shared" si="119"/>
        <v>Usa</v>
      </c>
      <c r="AA1271" t="s">
        <v>32</v>
      </c>
      <c r="AB1271" t="s">
        <v>33</v>
      </c>
      <c r="AC1271" t="s">
        <v>113</v>
      </c>
      <c r="AD1271" t="s">
        <v>400</v>
      </c>
      <c r="AE1271" t="s">
        <v>51</v>
      </c>
    </row>
    <row r="1272" spans="1:31" x14ac:dyDescent="0.3">
      <c r="A1272">
        <v>10148</v>
      </c>
      <c r="B1272">
        <v>34</v>
      </c>
      <c r="C1272">
        <v>100</v>
      </c>
      <c r="D1272">
        <v>1</v>
      </c>
      <c r="E1272" s="4" t="str">
        <f t="shared" si="114"/>
        <v>low sales</v>
      </c>
      <c r="F1272">
        <v>3598.22</v>
      </c>
      <c r="G1272" t="s">
        <v>1944</v>
      </c>
      <c r="H1272" s="1" t="str">
        <f t="shared" si="115"/>
        <v>Shipped</v>
      </c>
      <c r="I1272" s="4" t="str">
        <f t="shared" si="116"/>
        <v>completed</v>
      </c>
      <c r="J1272" t="s">
        <v>25</v>
      </c>
      <c r="K1272">
        <v>3</v>
      </c>
      <c r="L1272">
        <v>9</v>
      </c>
      <c r="M1272">
        <v>2003</v>
      </c>
      <c r="N1272" t="s">
        <v>550</v>
      </c>
      <c r="O1272">
        <v>92</v>
      </c>
      <c r="P1272" t="s">
        <v>614</v>
      </c>
      <c r="Q1272" t="s">
        <v>285</v>
      </c>
      <c r="R1272" t="s">
        <v>286</v>
      </c>
      <c r="S1272" t="s">
        <v>287</v>
      </c>
      <c r="T1272" t="s">
        <v>288</v>
      </c>
      <c r="U1272" s="1" t="str">
        <f t="shared" si="117"/>
        <v>North Sydney</v>
      </c>
      <c r="V1272" t="s">
        <v>289</v>
      </c>
      <c r="W1272" t="s">
        <v>157</v>
      </c>
      <c r="X1272">
        <v>2060</v>
      </c>
      <c r="Y1272" s="1" t="str">
        <f t="shared" si="118"/>
        <v>AUSTRALIA</v>
      </c>
      <c r="Z1272" s="4" t="str">
        <f t="shared" si="119"/>
        <v>Australia</v>
      </c>
      <c r="AA1272" t="s">
        <v>95</v>
      </c>
      <c r="AB1272" t="s">
        <v>96</v>
      </c>
      <c r="AC1272" t="s">
        <v>290</v>
      </c>
      <c r="AD1272" t="s">
        <v>291</v>
      </c>
      <c r="AE1272" t="s">
        <v>51</v>
      </c>
    </row>
    <row r="1273" spans="1:31" x14ac:dyDescent="0.3">
      <c r="A1273">
        <v>10162</v>
      </c>
      <c r="B1273">
        <v>39</v>
      </c>
      <c r="C1273">
        <v>100</v>
      </c>
      <c r="D1273">
        <v>10</v>
      </c>
      <c r="E1273" s="4" t="str">
        <f t="shared" si="114"/>
        <v>low sales</v>
      </c>
      <c r="F1273">
        <v>3912.09</v>
      </c>
      <c r="G1273" t="s">
        <v>1945</v>
      </c>
      <c r="H1273" s="1" t="str">
        <f t="shared" si="115"/>
        <v>Shipped</v>
      </c>
      <c r="I1273" s="4" t="str">
        <f t="shared" si="116"/>
        <v>completed</v>
      </c>
      <c r="J1273" t="s">
        <v>25</v>
      </c>
      <c r="K1273">
        <v>4</v>
      </c>
      <c r="L1273">
        <v>10</v>
      </c>
      <c r="M1273">
        <v>2003</v>
      </c>
      <c r="N1273" t="s">
        <v>550</v>
      </c>
      <c r="O1273">
        <v>92</v>
      </c>
      <c r="P1273" t="s">
        <v>614</v>
      </c>
      <c r="Q1273" t="s">
        <v>58</v>
      </c>
      <c r="R1273">
        <v>6505551386</v>
      </c>
      <c r="S1273" t="s">
        <v>59</v>
      </c>
      <c r="U1273" s="1" t="str">
        <f t="shared" si="117"/>
        <v>San Francisco</v>
      </c>
      <c r="V1273" t="s">
        <v>60</v>
      </c>
      <c r="W1273" t="s">
        <v>55</v>
      </c>
      <c r="Y1273" s="1" t="str">
        <f t="shared" si="118"/>
        <v>USA</v>
      </c>
      <c r="Z1273" s="4" t="str">
        <f t="shared" si="119"/>
        <v>Usa</v>
      </c>
      <c r="AA1273" t="s">
        <v>32</v>
      </c>
      <c r="AB1273" t="s">
        <v>33</v>
      </c>
      <c r="AC1273" t="s">
        <v>61</v>
      </c>
      <c r="AD1273" t="s">
        <v>57</v>
      </c>
      <c r="AE1273" t="s">
        <v>51</v>
      </c>
    </row>
    <row r="1274" spans="1:31" x14ac:dyDescent="0.3">
      <c r="A1274">
        <v>10173</v>
      </c>
      <c r="B1274">
        <v>21</v>
      </c>
      <c r="C1274">
        <v>75.459999999999994</v>
      </c>
      <c r="D1274">
        <v>14</v>
      </c>
      <c r="E1274" s="4" t="str">
        <f t="shared" si="114"/>
        <v>low sales</v>
      </c>
      <c r="F1274">
        <v>1584.66</v>
      </c>
      <c r="G1274" t="s">
        <v>1946</v>
      </c>
      <c r="H1274" s="1" t="str">
        <f t="shared" si="115"/>
        <v>Shipped</v>
      </c>
      <c r="I1274" s="4" t="str">
        <f t="shared" si="116"/>
        <v>completed</v>
      </c>
      <c r="J1274" t="s">
        <v>25</v>
      </c>
      <c r="K1274">
        <v>4</v>
      </c>
      <c r="L1274">
        <v>11</v>
      </c>
      <c r="M1274">
        <v>2003</v>
      </c>
      <c r="N1274" t="s">
        <v>550</v>
      </c>
      <c r="O1274">
        <v>92</v>
      </c>
      <c r="P1274" t="s">
        <v>614</v>
      </c>
      <c r="Q1274" t="s">
        <v>552</v>
      </c>
      <c r="R1274" t="s">
        <v>553</v>
      </c>
      <c r="S1274" t="s">
        <v>554</v>
      </c>
      <c r="U1274" s="1" t="str">
        <f t="shared" si="117"/>
        <v>Bergamo</v>
      </c>
      <c r="V1274" t="s">
        <v>555</v>
      </c>
      <c r="X1274">
        <v>24100</v>
      </c>
      <c r="Y1274" s="1" t="str">
        <f t="shared" si="118"/>
        <v>ITALY</v>
      </c>
      <c r="Z1274" s="4" t="str">
        <f t="shared" si="119"/>
        <v>Italy</v>
      </c>
      <c r="AA1274" t="s">
        <v>258</v>
      </c>
      <c r="AB1274" t="s">
        <v>42</v>
      </c>
      <c r="AC1274" t="s">
        <v>556</v>
      </c>
      <c r="AD1274" t="s">
        <v>557</v>
      </c>
      <c r="AE1274" t="s">
        <v>36</v>
      </c>
    </row>
    <row r="1275" spans="1:31" x14ac:dyDescent="0.3">
      <c r="A1275">
        <v>10182</v>
      </c>
      <c r="B1275">
        <v>36</v>
      </c>
      <c r="C1275">
        <v>100</v>
      </c>
      <c r="D1275">
        <v>11</v>
      </c>
      <c r="E1275" s="4" t="str">
        <f t="shared" si="114"/>
        <v>low sales</v>
      </c>
      <c r="F1275">
        <v>3942.72</v>
      </c>
      <c r="G1275" t="s">
        <v>1947</v>
      </c>
      <c r="H1275" s="1" t="str">
        <f t="shared" si="115"/>
        <v>Shipped</v>
      </c>
      <c r="I1275" s="4" t="str">
        <f t="shared" si="116"/>
        <v>completed</v>
      </c>
      <c r="J1275" t="s">
        <v>25</v>
      </c>
      <c r="K1275">
        <v>4</v>
      </c>
      <c r="L1275">
        <v>11</v>
      </c>
      <c r="M1275">
        <v>2003</v>
      </c>
      <c r="N1275" t="s">
        <v>550</v>
      </c>
      <c r="O1275">
        <v>92</v>
      </c>
      <c r="P1275" t="s">
        <v>614</v>
      </c>
      <c r="Q1275" t="s">
        <v>272</v>
      </c>
      <c r="R1275">
        <v>4155551450</v>
      </c>
      <c r="S1275" t="s">
        <v>273</v>
      </c>
      <c r="U1275" s="1" t="str">
        <f t="shared" si="117"/>
        <v>San Rafael</v>
      </c>
      <c r="V1275" t="s">
        <v>274</v>
      </c>
      <c r="W1275" t="s">
        <v>55</v>
      </c>
      <c r="X1275">
        <v>97562</v>
      </c>
      <c r="Y1275" s="1" t="str">
        <f t="shared" si="118"/>
        <v>USA</v>
      </c>
      <c r="Z1275" s="4" t="str">
        <f t="shared" si="119"/>
        <v>Usa</v>
      </c>
      <c r="AA1275" t="s">
        <v>32</v>
      </c>
      <c r="AB1275" t="s">
        <v>33</v>
      </c>
      <c r="AC1275" t="s">
        <v>275</v>
      </c>
      <c r="AD1275" t="s">
        <v>276</v>
      </c>
      <c r="AE1275" t="s">
        <v>51</v>
      </c>
    </row>
    <row r="1276" spans="1:31" x14ac:dyDescent="0.3">
      <c r="A1276">
        <v>10193</v>
      </c>
      <c r="B1276">
        <v>24</v>
      </c>
      <c r="C1276">
        <v>97.55</v>
      </c>
      <c r="D1276">
        <v>15</v>
      </c>
      <c r="E1276" s="4" t="str">
        <f t="shared" si="114"/>
        <v>low sales</v>
      </c>
      <c r="F1276">
        <v>2341.1999999999998</v>
      </c>
      <c r="G1276" t="s">
        <v>1948</v>
      </c>
      <c r="H1276" s="1" t="str">
        <f t="shared" si="115"/>
        <v>Shipped</v>
      </c>
      <c r="I1276" s="4" t="str">
        <f t="shared" si="116"/>
        <v>completed</v>
      </c>
      <c r="J1276" t="s">
        <v>25</v>
      </c>
      <c r="K1276">
        <v>4</v>
      </c>
      <c r="L1276">
        <v>11</v>
      </c>
      <c r="M1276">
        <v>2003</v>
      </c>
      <c r="N1276" t="s">
        <v>550</v>
      </c>
      <c r="O1276">
        <v>92</v>
      </c>
      <c r="P1276" t="s">
        <v>614</v>
      </c>
      <c r="Q1276" t="s">
        <v>558</v>
      </c>
      <c r="R1276" t="s">
        <v>559</v>
      </c>
      <c r="S1276" t="s">
        <v>560</v>
      </c>
      <c r="U1276" s="1" t="str">
        <f t="shared" si="117"/>
        <v>Glen Waverly</v>
      </c>
      <c r="V1276" t="s">
        <v>561</v>
      </c>
      <c r="W1276" t="s">
        <v>94</v>
      </c>
      <c r="X1276">
        <v>3150</v>
      </c>
      <c r="Y1276" s="1" t="str">
        <f t="shared" si="118"/>
        <v>AUSTRALIA</v>
      </c>
      <c r="Z1276" s="4" t="str">
        <f t="shared" si="119"/>
        <v>Australia</v>
      </c>
      <c r="AA1276" t="s">
        <v>95</v>
      </c>
      <c r="AB1276" t="s">
        <v>96</v>
      </c>
      <c r="AC1276" t="s">
        <v>562</v>
      </c>
      <c r="AD1276" t="s">
        <v>563</v>
      </c>
      <c r="AE1276" t="s">
        <v>36</v>
      </c>
    </row>
    <row r="1277" spans="1:31" x14ac:dyDescent="0.3">
      <c r="A1277">
        <v>10204</v>
      </c>
      <c r="B1277">
        <v>29</v>
      </c>
      <c r="C1277">
        <v>85.59</v>
      </c>
      <c r="D1277">
        <v>5</v>
      </c>
      <c r="E1277" s="4" t="str">
        <f t="shared" si="114"/>
        <v>low sales</v>
      </c>
      <c r="F1277">
        <v>2482.11</v>
      </c>
      <c r="G1277" t="s">
        <v>1949</v>
      </c>
      <c r="H1277" s="1" t="str">
        <f t="shared" si="115"/>
        <v>Shipped</v>
      </c>
      <c r="I1277" s="4" t="str">
        <f t="shared" si="116"/>
        <v>completed</v>
      </c>
      <c r="J1277" t="s">
        <v>25</v>
      </c>
      <c r="K1277">
        <v>4</v>
      </c>
      <c r="L1277">
        <v>12</v>
      </c>
      <c r="M1277">
        <v>2003</v>
      </c>
      <c r="N1277" t="s">
        <v>550</v>
      </c>
      <c r="O1277">
        <v>92</v>
      </c>
      <c r="P1277" t="s">
        <v>614</v>
      </c>
      <c r="Q1277" t="s">
        <v>475</v>
      </c>
      <c r="R1277">
        <v>2125557413</v>
      </c>
      <c r="S1277" t="s">
        <v>476</v>
      </c>
      <c r="T1277" t="s">
        <v>477</v>
      </c>
      <c r="U1277" s="1" t="str">
        <f t="shared" si="117"/>
        <v>Nyc</v>
      </c>
      <c r="V1277" t="s">
        <v>30</v>
      </c>
      <c r="W1277" t="s">
        <v>31</v>
      </c>
      <c r="X1277">
        <v>10022</v>
      </c>
      <c r="Y1277" s="1" t="str">
        <f t="shared" si="118"/>
        <v>USA</v>
      </c>
      <c r="Z1277" s="4" t="str">
        <f t="shared" si="119"/>
        <v>Usa</v>
      </c>
      <c r="AA1277" t="s">
        <v>32</v>
      </c>
      <c r="AB1277" t="s">
        <v>33</v>
      </c>
      <c r="AC1277" t="s">
        <v>56</v>
      </c>
      <c r="AD1277" t="s">
        <v>478</v>
      </c>
      <c r="AE1277" t="s">
        <v>36</v>
      </c>
    </row>
    <row r="1278" spans="1:31" x14ac:dyDescent="0.3">
      <c r="A1278">
        <v>10213</v>
      </c>
      <c r="B1278">
        <v>38</v>
      </c>
      <c r="C1278">
        <v>94.79</v>
      </c>
      <c r="D1278">
        <v>1</v>
      </c>
      <c r="E1278" s="4" t="str">
        <f t="shared" si="114"/>
        <v>low sales</v>
      </c>
      <c r="F1278">
        <v>3602.02</v>
      </c>
      <c r="G1278" t="s">
        <v>1950</v>
      </c>
      <c r="H1278" s="1" t="str">
        <f t="shared" si="115"/>
        <v>Shipped</v>
      </c>
      <c r="I1278" s="4" t="str">
        <f t="shared" si="116"/>
        <v>completed</v>
      </c>
      <c r="J1278" t="s">
        <v>25</v>
      </c>
      <c r="K1278">
        <v>1</v>
      </c>
      <c r="L1278">
        <v>1</v>
      </c>
      <c r="M1278">
        <v>2004</v>
      </c>
      <c r="N1278" t="s">
        <v>550</v>
      </c>
      <c r="O1278">
        <v>92</v>
      </c>
      <c r="P1278" t="s">
        <v>614</v>
      </c>
      <c r="Q1278" t="s">
        <v>346</v>
      </c>
      <c r="R1278" t="s">
        <v>347</v>
      </c>
      <c r="S1278" t="s">
        <v>348</v>
      </c>
      <c r="U1278" s="1" t="str">
        <f t="shared" si="117"/>
        <v>London</v>
      </c>
      <c r="V1278" t="s">
        <v>332</v>
      </c>
      <c r="X1278" t="s">
        <v>349</v>
      </c>
      <c r="Y1278" s="1" t="str">
        <f t="shared" si="118"/>
        <v>UK</v>
      </c>
      <c r="Z1278" s="4" t="str">
        <f t="shared" si="119"/>
        <v>Uk</v>
      </c>
      <c r="AA1278" t="s">
        <v>170</v>
      </c>
      <c r="AB1278" t="s">
        <v>42</v>
      </c>
      <c r="AC1278" t="s">
        <v>350</v>
      </c>
      <c r="AD1278" t="s">
        <v>351</v>
      </c>
      <c r="AE1278" t="s">
        <v>51</v>
      </c>
    </row>
    <row r="1279" spans="1:31" x14ac:dyDescent="0.3">
      <c r="A1279">
        <v>10227</v>
      </c>
      <c r="B1279">
        <v>34</v>
      </c>
      <c r="C1279">
        <v>100</v>
      </c>
      <c r="D1279">
        <v>11</v>
      </c>
      <c r="E1279" s="4" t="str">
        <f t="shared" si="114"/>
        <v>low sales</v>
      </c>
      <c r="F1279">
        <v>3566.94</v>
      </c>
      <c r="G1279" t="s">
        <v>1951</v>
      </c>
      <c r="H1279" s="1" t="str">
        <f t="shared" si="115"/>
        <v>Shipped</v>
      </c>
      <c r="I1279" s="4" t="str">
        <f t="shared" si="116"/>
        <v>completed</v>
      </c>
      <c r="J1279" t="s">
        <v>25</v>
      </c>
      <c r="K1279">
        <v>1</v>
      </c>
      <c r="L1279">
        <v>3</v>
      </c>
      <c r="M1279">
        <v>2004</v>
      </c>
      <c r="N1279" t="s">
        <v>550</v>
      </c>
      <c r="O1279">
        <v>92</v>
      </c>
      <c r="P1279" t="s">
        <v>614</v>
      </c>
      <c r="Q1279" t="s">
        <v>219</v>
      </c>
      <c r="R1279" t="s">
        <v>220</v>
      </c>
      <c r="S1279" t="s">
        <v>221</v>
      </c>
      <c r="U1279" s="1" t="str">
        <f t="shared" si="117"/>
        <v>Lyon</v>
      </c>
      <c r="V1279" t="s">
        <v>222</v>
      </c>
      <c r="X1279">
        <v>69004</v>
      </c>
      <c r="Y1279" s="1" t="str">
        <f t="shared" si="118"/>
        <v>FRANCE</v>
      </c>
      <c r="Z1279" s="4" t="str">
        <f t="shared" si="119"/>
        <v>France</v>
      </c>
      <c r="AA1279" t="s">
        <v>41</v>
      </c>
      <c r="AB1279" t="s">
        <v>42</v>
      </c>
      <c r="AC1279" t="s">
        <v>223</v>
      </c>
      <c r="AD1279" t="s">
        <v>224</v>
      </c>
      <c r="AE1279" t="s">
        <v>51</v>
      </c>
    </row>
    <row r="1280" spans="1:31" x14ac:dyDescent="0.3">
      <c r="A1280">
        <v>10241</v>
      </c>
      <c r="B1280">
        <v>42</v>
      </c>
      <c r="C1280">
        <v>90.19</v>
      </c>
      <c r="D1280">
        <v>3</v>
      </c>
      <c r="E1280" s="4" t="str">
        <f t="shared" si="114"/>
        <v>low sales</v>
      </c>
      <c r="F1280">
        <v>3787.98</v>
      </c>
      <c r="G1280" t="s">
        <v>1952</v>
      </c>
      <c r="H1280" s="1" t="str">
        <f t="shared" si="115"/>
        <v>Shipped</v>
      </c>
      <c r="I1280" s="4" t="str">
        <f t="shared" si="116"/>
        <v>completed</v>
      </c>
      <c r="J1280" t="s">
        <v>25</v>
      </c>
      <c r="K1280">
        <v>2</v>
      </c>
      <c r="L1280">
        <v>4</v>
      </c>
      <c r="M1280">
        <v>2004</v>
      </c>
      <c r="N1280" t="s">
        <v>550</v>
      </c>
      <c r="O1280">
        <v>92</v>
      </c>
      <c r="P1280" t="s">
        <v>614</v>
      </c>
      <c r="Q1280" t="s">
        <v>531</v>
      </c>
      <c r="R1280" t="s">
        <v>532</v>
      </c>
      <c r="S1280" t="s">
        <v>533</v>
      </c>
      <c r="U1280" s="1" t="str">
        <f t="shared" si="117"/>
        <v>Strasbourg</v>
      </c>
      <c r="V1280" t="s">
        <v>534</v>
      </c>
      <c r="X1280">
        <v>67000</v>
      </c>
      <c r="Y1280" s="1" t="str">
        <f t="shared" si="118"/>
        <v>FRANCE</v>
      </c>
      <c r="Z1280" s="4" t="str">
        <f t="shared" si="119"/>
        <v>France</v>
      </c>
      <c r="AA1280" t="s">
        <v>41</v>
      </c>
      <c r="AB1280" t="s">
        <v>42</v>
      </c>
      <c r="AC1280" t="s">
        <v>535</v>
      </c>
      <c r="AD1280" t="s">
        <v>536</v>
      </c>
      <c r="AE1280" t="s">
        <v>51</v>
      </c>
    </row>
    <row r="1281" spans="1:31" x14ac:dyDescent="0.3">
      <c r="A1281">
        <v>10280</v>
      </c>
      <c r="B1281">
        <v>35</v>
      </c>
      <c r="C1281">
        <v>100</v>
      </c>
      <c r="D1281">
        <v>17</v>
      </c>
      <c r="E1281" s="4" t="str">
        <f t="shared" si="114"/>
        <v>low sales</v>
      </c>
      <c r="F1281">
        <v>3704.05</v>
      </c>
      <c r="G1281" t="s">
        <v>1953</v>
      </c>
      <c r="H1281" s="1" t="str">
        <f t="shared" si="115"/>
        <v>Shipped</v>
      </c>
      <c r="I1281" s="4" t="str">
        <f t="shared" si="116"/>
        <v>completed</v>
      </c>
      <c r="J1281" t="s">
        <v>25</v>
      </c>
      <c r="K1281">
        <v>3</v>
      </c>
      <c r="L1281">
        <v>8</v>
      </c>
      <c r="M1281">
        <v>2004</v>
      </c>
      <c r="N1281" t="s">
        <v>550</v>
      </c>
      <c r="O1281">
        <v>92</v>
      </c>
      <c r="P1281" t="s">
        <v>614</v>
      </c>
      <c r="Q1281" t="s">
        <v>254</v>
      </c>
      <c r="R1281" t="s">
        <v>255</v>
      </c>
      <c r="S1281" t="s">
        <v>256</v>
      </c>
      <c r="U1281" s="1" t="str">
        <f t="shared" si="117"/>
        <v>Torino</v>
      </c>
      <c r="V1281" t="s">
        <v>257</v>
      </c>
      <c r="X1281">
        <v>10100</v>
      </c>
      <c r="Y1281" s="1" t="str">
        <f t="shared" si="118"/>
        <v>ITALY</v>
      </c>
      <c r="Z1281" s="4" t="str">
        <f t="shared" si="119"/>
        <v>Italy</v>
      </c>
      <c r="AA1281" t="s">
        <v>258</v>
      </c>
      <c r="AB1281" t="s">
        <v>42</v>
      </c>
      <c r="AC1281" t="s">
        <v>259</v>
      </c>
      <c r="AD1281" t="s">
        <v>260</v>
      </c>
      <c r="AE1281" t="s">
        <v>51</v>
      </c>
    </row>
    <row r="1282" spans="1:31" x14ac:dyDescent="0.3">
      <c r="A1282">
        <v>10288</v>
      </c>
      <c r="B1282">
        <v>35</v>
      </c>
      <c r="C1282">
        <v>80.989999999999995</v>
      </c>
      <c r="D1282">
        <v>6</v>
      </c>
      <c r="E1282" s="4" t="str">
        <f t="shared" si="114"/>
        <v>low sales</v>
      </c>
      <c r="F1282">
        <v>2834.65</v>
      </c>
      <c r="G1282" t="s">
        <v>1954</v>
      </c>
      <c r="H1282" s="1" t="str">
        <f t="shared" si="115"/>
        <v>Shipped</v>
      </c>
      <c r="I1282" s="4" t="str">
        <f t="shared" si="116"/>
        <v>completed</v>
      </c>
      <c r="J1282" t="s">
        <v>25</v>
      </c>
      <c r="K1282">
        <v>3</v>
      </c>
      <c r="L1282">
        <v>9</v>
      </c>
      <c r="M1282">
        <v>2004</v>
      </c>
      <c r="N1282" t="s">
        <v>550</v>
      </c>
      <c r="O1282">
        <v>92</v>
      </c>
      <c r="P1282" t="s">
        <v>614</v>
      </c>
      <c r="Q1282" t="s">
        <v>418</v>
      </c>
      <c r="R1282" t="s">
        <v>419</v>
      </c>
      <c r="S1282" t="s">
        <v>420</v>
      </c>
      <c r="T1282" t="s">
        <v>421</v>
      </c>
      <c r="U1282" s="1" t="str">
        <f t="shared" si="117"/>
        <v>Singapore</v>
      </c>
      <c r="V1282" t="s">
        <v>199</v>
      </c>
      <c r="X1282">
        <v>69045</v>
      </c>
      <c r="Y1282" s="1" t="str">
        <f t="shared" si="118"/>
        <v>SINGAPORE</v>
      </c>
      <c r="Z1282" s="4" t="str">
        <f t="shared" si="119"/>
        <v>Singapore</v>
      </c>
      <c r="AA1282" t="s">
        <v>199</v>
      </c>
      <c r="AB1282" t="s">
        <v>96</v>
      </c>
      <c r="AC1282" t="s">
        <v>422</v>
      </c>
      <c r="AD1282" t="s">
        <v>423</v>
      </c>
      <c r="AE1282" t="s">
        <v>36</v>
      </c>
    </row>
    <row r="1283" spans="1:31" x14ac:dyDescent="0.3">
      <c r="A1283">
        <v>10302</v>
      </c>
      <c r="B1283">
        <v>38</v>
      </c>
      <c r="C1283">
        <v>89.27</v>
      </c>
      <c r="D1283">
        <v>2</v>
      </c>
      <c r="E1283" s="4" t="str">
        <f t="shared" ref="E1283:E1346" si="120">IF(F1283&gt;4000,"high sales","low sales")</f>
        <v>low sales</v>
      </c>
      <c r="F1283">
        <v>3392.26</v>
      </c>
      <c r="G1283" t="s">
        <v>1955</v>
      </c>
      <c r="H1283" s="1" t="str">
        <f t="shared" ref="H1283:H1346" si="121">PROPER(TRIM(J1283))</f>
        <v>Shipped</v>
      </c>
      <c r="I1283" s="4" t="str">
        <f t="shared" ref="I1283:I1346" si="122">IF(J1283="shipped","completed","not completed")</f>
        <v>completed</v>
      </c>
      <c r="J1283" t="s">
        <v>25</v>
      </c>
      <c r="K1283">
        <v>4</v>
      </c>
      <c r="L1283">
        <v>10</v>
      </c>
      <c r="M1283">
        <v>2003</v>
      </c>
      <c r="N1283" t="s">
        <v>550</v>
      </c>
      <c r="O1283">
        <v>92</v>
      </c>
      <c r="P1283" t="s">
        <v>614</v>
      </c>
      <c r="Q1283" t="s">
        <v>165</v>
      </c>
      <c r="R1283" t="s">
        <v>166</v>
      </c>
      <c r="S1283" t="s">
        <v>167</v>
      </c>
      <c r="U1283" s="1" t="str">
        <f t="shared" ref="U1283:U1346" si="123">PROPER(TRIM(V1283))</f>
        <v>Liverpool</v>
      </c>
      <c r="V1283" t="s">
        <v>168</v>
      </c>
      <c r="X1283" t="s">
        <v>169</v>
      </c>
      <c r="Y1283" s="1" t="str">
        <f t="shared" ref="Y1283:Y1346" si="124">UPPER(TRIM(AA1283))</f>
        <v>UK</v>
      </c>
      <c r="Z1283" s="4" t="str">
        <f t="shared" ref="Z1283:Z1346" si="125">PROPER(TRIM(AA1283))</f>
        <v>Uk</v>
      </c>
      <c r="AA1283" t="s">
        <v>170</v>
      </c>
      <c r="AB1283" t="s">
        <v>42</v>
      </c>
      <c r="AC1283" t="s">
        <v>171</v>
      </c>
      <c r="AD1283" t="s">
        <v>172</v>
      </c>
      <c r="AE1283" t="s">
        <v>51</v>
      </c>
    </row>
    <row r="1284" spans="1:31" x14ac:dyDescent="0.3">
      <c r="A1284">
        <v>10311</v>
      </c>
      <c r="B1284">
        <v>41</v>
      </c>
      <c r="C1284">
        <v>81.91</v>
      </c>
      <c r="D1284">
        <v>1</v>
      </c>
      <c r="E1284" s="4" t="str">
        <f t="shared" si="120"/>
        <v>low sales</v>
      </c>
      <c r="F1284">
        <v>3358.31</v>
      </c>
      <c r="G1284" t="s">
        <v>1956</v>
      </c>
      <c r="H1284" s="1" t="str">
        <f t="shared" si="121"/>
        <v>Shipped</v>
      </c>
      <c r="I1284" s="4" t="str">
        <f t="shared" si="122"/>
        <v>completed</v>
      </c>
      <c r="J1284" t="s">
        <v>25</v>
      </c>
      <c r="K1284">
        <v>4</v>
      </c>
      <c r="L1284">
        <v>10</v>
      </c>
      <c r="M1284">
        <v>2004</v>
      </c>
      <c r="N1284" t="s">
        <v>550</v>
      </c>
      <c r="O1284">
        <v>92</v>
      </c>
      <c r="P1284" t="s">
        <v>614</v>
      </c>
      <c r="Q1284" t="s">
        <v>174</v>
      </c>
      <c r="R1284" t="s">
        <v>175</v>
      </c>
      <c r="S1284" t="s">
        <v>176</v>
      </c>
      <c r="U1284" s="1" t="str">
        <f t="shared" si="123"/>
        <v>Madrid</v>
      </c>
      <c r="V1284" t="s">
        <v>177</v>
      </c>
      <c r="X1284">
        <v>28034</v>
      </c>
      <c r="Y1284" s="1" t="str">
        <f t="shared" si="124"/>
        <v>SPAIN</v>
      </c>
      <c r="Z1284" s="4" t="str">
        <f t="shared" si="125"/>
        <v>Spain</v>
      </c>
      <c r="AA1284" t="s">
        <v>178</v>
      </c>
      <c r="AB1284" t="s">
        <v>42</v>
      </c>
      <c r="AC1284" t="s">
        <v>179</v>
      </c>
      <c r="AD1284" t="s">
        <v>180</v>
      </c>
      <c r="AE1284" t="s">
        <v>51</v>
      </c>
    </row>
    <row r="1285" spans="1:31" x14ac:dyDescent="0.3">
      <c r="A1285">
        <v>10332</v>
      </c>
      <c r="B1285">
        <v>50</v>
      </c>
      <c r="C1285">
        <v>100</v>
      </c>
      <c r="D1285">
        <v>2</v>
      </c>
      <c r="E1285" s="4" t="str">
        <f t="shared" si="120"/>
        <v>high sales</v>
      </c>
      <c r="F1285">
        <v>7310</v>
      </c>
      <c r="G1285" t="s">
        <v>1957</v>
      </c>
      <c r="H1285" s="1" t="str">
        <f t="shared" si="121"/>
        <v>Shipped</v>
      </c>
      <c r="I1285" s="4" t="str">
        <f t="shared" si="122"/>
        <v>completed</v>
      </c>
      <c r="J1285" t="s">
        <v>25</v>
      </c>
      <c r="K1285">
        <v>4</v>
      </c>
      <c r="L1285">
        <v>11</v>
      </c>
      <c r="M1285">
        <v>2004</v>
      </c>
      <c r="N1285" t="s">
        <v>550</v>
      </c>
      <c r="O1285">
        <v>92</v>
      </c>
      <c r="P1285" t="s">
        <v>614</v>
      </c>
      <c r="Q1285" t="s">
        <v>492</v>
      </c>
      <c r="R1285" t="s">
        <v>493</v>
      </c>
      <c r="S1285" t="s">
        <v>494</v>
      </c>
      <c r="U1285" s="1" t="str">
        <f t="shared" si="123"/>
        <v>Manchester</v>
      </c>
      <c r="V1285" t="s">
        <v>495</v>
      </c>
      <c r="X1285" t="s">
        <v>496</v>
      </c>
      <c r="Y1285" s="1" t="str">
        <f t="shared" si="124"/>
        <v>UK</v>
      </c>
      <c r="Z1285" s="4" t="str">
        <f t="shared" si="125"/>
        <v>Uk</v>
      </c>
      <c r="AA1285" t="s">
        <v>170</v>
      </c>
      <c r="AB1285" t="s">
        <v>42</v>
      </c>
      <c r="AC1285" t="s">
        <v>497</v>
      </c>
      <c r="AD1285" t="s">
        <v>94</v>
      </c>
      <c r="AE1285" t="s">
        <v>151</v>
      </c>
    </row>
    <row r="1286" spans="1:31" x14ac:dyDescent="0.3">
      <c r="A1286">
        <v>10344</v>
      </c>
      <c r="B1286">
        <v>21</v>
      </c>
      <c r="C1286">
        <v>100</v>
      </c>
      <c r="D1286">
        <v>4</v>
      </c>
      <c r="E1286" s="4" t="str">
        <f t="shared" si="120"/>
        <v>low sales</v>
      </c>
      <c r="F1286">
        <v>2203.11</v>
      </c>
      <c r="G1286" t="s">
        <v>1958</v>
      </c>
      <c r="H1286" s="1" t="str">
        <f t="shared" si="121"/>
        <v>Shipped</v>
      </c>
      <c r="I1286" s="4" t="str">
        <f t="shared" si="122"/>
        <v>completed</v>
      </c>
      <c r="J1286" t="s">
        <v>25</v>
      </c>
      <c r="K1286">
        <v>4</v>
      </c>
      <c r="L1286">
        <v>11</v>
      </c>
      <c r="M1286">
        <v>2004</v>
      </c>
      <c r="N1286" t="s">
        <v>550</v>
      </c>
      <c r="O1286">
        <v>92</v>
      </c>
      <c r="P1286" t="s">
        <v>614</v>
      </c>
      <c r="Q1286" t="s">
        <v>433</v>
      </c>
      <c r="R1286" t="s">
        <v>434</v>
      </c>
      <c r="S1286" t="s">
        <v>435</v>
      </c>
      <c r="U1286" s="1" t="str">
        <f t="shared" si="123"/>
        <v>Marseille</v>
      </c>
      <c r="V1286" t="s">
        <v>436</v>
      </c>
      <c r="X1286">
        <v>13008</v>
      </c>
      <c r="Y1286" s="1" t="str">
        <f t="shared" si="124"/>
        <v>FRANCE</v>
      </c>
      <c r="Z1286" s="4" t="str">
        <f t="shared" si="125"/>
        <v>France</v>
      </c>
      <c r="AA1286" t="s">
        <v>41</v>
      </c>
      <c r="AB1286" t="s">
        <v>42</v>
      </c>
      <c r="AC1286" t="s">
        <v>437</v>
      </c>
      <c r="AD1286" t="s">
        <v>438</v>
      </c>
      <c r="AE1286" t="s">
        <v>36</v>
      </c>
    </row>
    <row r="1287" spans="1:31" x14ac:dyDescent="0.3">
      <c r="A1287">
        <v>10367</v>
      </c>
      <c r="B1287">
        <v>43</v>
      </c>
      <c r="C1287">
        <v>62.72</v>
      </c>
      <c r="D1287">
        <v>8</v>
      </c>
      <c r="E1287" s="4" t="str">
        <f t="shared" si="120"/>
        <v>low sales</v>
      </c>
      <c r="F1287">
        <v>2696.96</v>
      </c>
      <c r="G1287" t="s">
        <v>1959</v>
      </c>
      <c r="H1287" s="1" t="str">
        <f t="shared" si="121"/>
        <v>Resolved</v>
      </c>
      <c r="I1287" s="4" t="str">
        <f t="shared" si="122"/>
        <v>not completed</v>
      </c>
      <c r="J1287" t="s">
        <v>408</v>
      </c>
      <c r="K1287">
        <v>1</v>
      </c>
      <c r="L1287">
        <v>1</v>
      </c>
      <c r="M1287">
        <v>2005</v>
      </c>
      <c r="N1287" t="s">
        <v>550</v>
      </c>
      <c r="O1287">
        <v>92</v>
      </c>
      <c r="P1287" t="s">
        <v>614</v>
      </c>
      <c r="Q1287" t="s">
        <v>52</v>
      </c>
      <c r="R1287">
        <v>6265557265</v>
      </c>
      <c r="S1287" t="s">
        <v>53</v>
      </c>
      <c r="U1287" s="1" t="str">
        <f t="shared" si="123"/>
        <v>Pasadena</v>
      </c>
      <c r="V1287" t="s">
        <v>54</v>
      </c>
      <c r="W1287" t="s">
        <v>55</v>
      </c>
      <c r="X1287">
        <v>90003</v>
      </c>
      <c r="Y1287" s="1" t="str">
        <f t="shared" si="124"/>
        <v>USA</v>
      </c>
      <c r="Z1287" s="4" t="str">
        <f t="shared" si="125"/>
        <v>Usa</v>
      </c>
      <c r="AA1287" t="s">
        <v>32</v>
      </c>
      <c r="AB1287" t="s">
        <v>33</v>
      </c>
      <c r="AC1287" t="s">
        <v>56</v>
      </c>
      <c r="AD1287" t="s">
        <v>57</v>
      </c>
      <c r="AE1287" t="s">
        <v>36</v>
      </c>
    </row>
    <row r="1288" spans="1:31" x14ac:dyDescent="0.3">
      <c r="A1288">
        <v>10380</v>
      </c>
      <c r="B1288">
        <v>32</v>
      </c>
      <c r="C1288">
        <v>100</v>
      </c>
      <c r="D1288">
        <v>1</v>
      </c>
      <c r="E1288" s="4" t="str">
        <f t="shared" si="120"/>
        <v>low sales</v>
      </c>
      <c r="F1288">
        <v>3376.64</v>
      </c>
      <c r="G1288" t="s">
        <v>1960</v>
      </c>
      <c r="H1288" s="1" t="str">
        <f t="shared" si="121"/>
        <v>Shipped</v>
      </c>
      <c r="I1288" s="4" t="str">
        <f t="shared" si="122"/>
        <v>completed</v>
      </c>
      <c r="J1288" t="s">
        <v>25</v>
      </c>
      <c r="K1288">
        <v>1</v>
      </c>
      <c r="L1288">
        <v>2</v>
      </c>
      <c r="M1288">
        <v>2005</v>
      </c>
      <c r="N1288" t="s">
        <v>550</v>
      </c>
      <c r="O1288">
        <v>92</v>
      </c>
      <c r="P1288" t="s">
        <v>614</v>
      </c>
      <c r="Q1288" t="s">
        <v>174</v>
      </c>
      <c r="R1288" t="s">
        <v>175</v>
      </c>
      <c r="S1288" t="s">
        <v>176</v>
      </c>
      <c r="U1288" s="1" t="str">
        <f t="shared" si="123"/>
        <v>Madrid</v>
      </c>
      <c r="V1288" t="s">
        <v>177</v>
      </c>
      <c r="X1288">
        <v>28034</v>
      </c>
      <c r="Y1288" s="1" t="str">
        <f t="shared" si="124"/>
        <v>SPAIN</v>
      </c>
      <c r="Z1288" s="4" t="str">
        <f t="shared" si="125"/>
        <v>Spain</v>
      </c>
      <c r="AA1288" t="s">
        <v>178</v>
      </c>
      <c r="AB1288" t="s">
        <v>42</v>
      </c>
      <c r="AC1288" t="s">
        <v>179</v>
      </c>
      <c r="AD1288" t="s">
        <v>180</v>
      </c>
      <c r="AE1288" t="s">
        <v>51</v>
      </c>
    </row>
    <row r="1289" spans="1:31" x14ac:dyDescent="0.3">
      <c r="A1289">
        <v>10407</v>
      </c>
      <c r="B1289">
        <v>6</v>
      </c>
      <c r="C1289">
        <v>90.19</v>
      </c>
      <c r="D1289">
        <v>3</v>
      </c>
      <c r="E1289" s="4" t="str">
        <f t="shared" si="120"/>
        <v>low sales</v>
      </c>
      <c r="F1289">
        <v>541.14</v>
      </c>
      <c r="G1289" t="s">
        <v>1961</v>
      </c>
      <c r="H1289" s="1" t="str">
        <f t="shared" si="121"/>
        <v>On Hold</v>
      </c>
      <c r="I1289" s="4" t="str">
        <f t="shared" si="122"/>
        <v>not completed</v>
      </c>
      <c r="J1289" t="s">
        <v>401</v>
      </c>
      <c r="K1289">
        <v>2</v>
      </c>
      <c r="L1289">
        <v>4</v>
      </c>
      <c r="M1289">
        <v>2005</v>
      </c>
      <c r="N1289" t="s">
        <v>550</v>
      </c>
      <c r="O1289">
        <v>92</v>
      </c>
      <c r="P1289" t="s">
        <v>614</v>
      </c>
      <c r="Q1289" t="s">
        <v>397</v>
      </c>
      <c r="R1289">
        <v>4085553659</v>
      </c>
      <c r="S1289" t="s">
        <v>398</v>
      </c>
      <c r="U1289" s="1" t="str">
        <f t="shared" si="123"/>
        <v>San Jose</v>
      </c>
      <c r="V1289" t="s">
        <v>399</v>
      </c>
      <c r="W1289" t="s">
        <v>55</v>
      </c>
      <c r="X1289">
        <v>94217</v>
      </c>
      <c r="Y1289" s="1" t="str">
        <f t="shared" si="124"/>
        <v>USA</v>
      </c>
      <c r="Z1289" s="4" t="str">
        <f t="shared" si="125"/>
        <v>Usa</v>
      </c>
      <c r="AA1289" t="s">
        <v>32</v>
      </c>
      <c r="AB1289" t="s">
        <v>33</v>
      </c>
      <c r="AC1289" t="s">
        <v>102</v>
      </c>
      <c r="AD1289" t="s">
        <v>400</v>
      </c>
      <c r="AE1289" t="s">
        <v>36</v>
      </c>
    </row>
    <row r="1290" spans="1:31" x14ac:dyDescent="0.3">
      <c r="A1290">
        <v>10420</v>
      </c>
      <c r="B1290">
        <v>66</v>
      </c>
      <c r="C1290">
        <v>92.95</v>
      </c>
      <c r="D1290">
        <v>6</v>
      </c>
      <c r="E1290" s="4" t="str">
        <f t="shared" si="120"/>
        <v>high sales</v>
      </c>
      <c r="F1290">
        <v>6134.7</v>
      </c>
      <c r="G1290" t="s">
        <v>1962</v>
      </c>
      <c r="H1290" s="1" t="str">
        <f t="shared" si="121"/>
        <v>In Process</v>
      </c>
      <c r="I1290" s="4" t="str">
        <f t="shared" si="122"/>
        <v>not completed</v>
      </c>
      <c r="J1290" t="s">
        <v>300</v>
      </c>
      <c r="K1290">
        <v>2</v>
      </c>
      <c r="L1290">
        <v>5</v>
      </c>
      <c r="M1290">
        <v>2005</v>
      </c>
      <c r="N1290" t="s">
        <v>550</v>
      </c>
      <c r="O1290">
        <v>92</v>
      </c>
      <c r="P1290" t="s">
        <v>614</v>
      </c>
      <c r="Q1290" t="s">
        <v>152</v>
      </c>
      <c r="R1290" t="s">
        <v>153</v>
      </c>
      <c r="S1290" t="s">
        <v>154</v>
      </c>
      <c r="T1290" t="s">
        <v>155</v>
      </c>
      <c r="U1290" s="1" t="str">
        <f t="shared" si="123"/>
        <v>Chatswood</v>
      </c>
      <c r="V1290" t="s">
        <v>156</v>
      </c>
      <c r="W1290" t="s">
        <v>157</v>
      </c>
      <c r="X1290">
        <v>2067</v>
      </c>
      <c r="Y1290" s="1" t="str">
        <f t="shared" si="124"/>
        <v>AUSTRALIA</v>
      </c>
      <c r="Z1290" s="4" t="str">
        <f t="shared" si="125"/>
        <v>Australia</v>
      </c>
      <c r="AA1290" t="s">
        <v>95</v>
      </c>
      <c r="AB1290" t="s">
        <v>96</v>
      </c>
      <c r="AC1290" t="s">
        <v>158</v>
      </c>
      <c r="AD1290" t="s">
        <v>159</v>
      </c>
      <c r="AE1290" t="s">
        <v>51</v>
      </c>
    </row>
    <row r="1291" spans="1:31" x14ac:dyDescent="0.3">
      <c r="A1291">
        <v>10105</v>
      </c>
      <c r="B1291">
        <v>41</v>
      </c>
      <c r="C1291">
        <v>82.5</v>
      </c>
      <c r="D1291">
        <v>10</v>
      </c>
      <c r="E1291" s="4" t="str">
        <f t="shared" si="120"/>
        <v>low sales</v>
      </c>
      <c r="F1291">
        <v>3382.5</v>
      </c>
      <c r="G1291" t="s">
        <v>1963</v>
      </c>
      <c r="H1291" s="1" t="str">
        <f t="shared" si="121"/>
        <v>Shipped</v>
      </c>
      <c r="I1291" s="4" t="str">
        <f t="shared" si="122"/>
        <v>completed</v>
      </c>
      <c r="J1291" t="s">
        <v>25</v>
      </c>
      <c r="K1291">
        <v>1</v>
      </c>
      <c r="L1291">
        <v>2</v>
      </c>
      <c r="M1291">
        <v>2003</v>
      </c>
      <c r="N1291" t="s">
        <v>550</v>
      </c>
      <c r="O1291">
        <v>87</v>
      </c>
      <c r="P1291" t="s">
        <v>615</v>
      </c>
      <c r="Q1291" t="s">
        <v>322</v>
      </c>
      <c r="R1291" t="s">
        <v>323</v>
      </c>
      <c r="S1291" t="s">
        <v>324</v>
      </c>
      <c r="U1291" s="1" t="str">
        <f t="shared" si="123"/>
        <v>Kobenhavn</v>
      </c>
      <c r="V1291" t="s">
        <v>325</v>
      </c>
      <c r="X1291">
        <v>1734</v>
      </c>
      <c r="Y1291" s="1" t="str">
        <f t="shared" si="124"/>
        <v>DENMARK</v>
      </c>
      <c r="Z1291" s="4" t="str">
        <f t="shared" si="125"/>
        <v>Denmark</v>
      </c>
      <c r="AA1291" t="s">
        <v>326</v>
      </c>
      <c r="AB1291" t="s">
        <v>42</v>
      </c>
      <c r="AC1291" t="s">
        <v>327</v>
      </c>
      <c r="AD1291" t="s">
        <v>328</v>
      </c>
      <c r="AE1291" t="s">
        <v>51</v>
      </c>
    </row>
    <row r="1292" spans="1:31" x14ac:dyDescent="0.3">
      <c r="A1292">
        <v>10117</v>
      </c>
      <c r="B1292">
        <v>23</v>
      </c>
      <c r="C1292">
        <v>97.42</v>
      </c>
      <c r="D1292">
        <v>4</v>
      </c>
      <c r="E1292" s="4" t="str">
        <f t="shared" si="120"/>
        <v>low sales</v>
      </c>
      <c r="F1292">
        <v>2240.66</v>
      </c>
      <c r="G1292" t="s">
        <v>1964</v>
      </c>
      <c r="H1292" s="1" t="str">
        <f t="shared" si="121"/>
        <v>Shipped</v>
      </c>
      <c r="I1292" s="4" t="str">
        <f t="shared" si="122"/>
        <v>completed</v>
      </c>
      <c r="J1292" t="s">
        <v>25</v>
      </c>
      <c r="K1292">
        <v>2</v>
      </c>
      <c r="L1292">
        <v>4</v>
      </c>
      <c r="M1292">
        <v>2003</v>
      </c>
      <c r="N1292" t="s">
        <v>550</v>
      </c>
      <c r="O1292">
        <v>87</v>
      </c>
      <c r="P1292" t="s">
        <v>615</v>
      </c>
      <c r="Q1292" t="s">
        <v>196</v>
      </c>
      <c r="R1292" t="s">
        <v>197</v>
      </c>
      <c r="S1292" t="s">
        <v>198</v>
      </c>
      <c r="U1292" s="1" t="str">
        <f t="shared" si="123"/>
        <v>Singapore</v>
      </c>
      <c r="V1292" t="s">
        <v>199</v>
      </c>
      <c r="X1292">
        <v>79903</v>
      </c>
      <c r="Y1292" s="1" t="str">
        <f t="shared" si="124"/>
        <v>SINGAPORE</v>
      </c>
      <c r="Z1292" s="4" t="str">
        <f t="shared" si="125"/>
        <v>Singapore</v>
      </c>
      <c r="AA1292" t="s">
        <v>199</v>
      </c>
      <c r="AB1292" t="s">
        <v>200</v>
      </c>
      <c r="AC1292" t="s">
        <v>201</v>
      </c>
      <c r="AD1292" t="s">
        <v>202</v>
      </c>
      <c r="AE1292" t="s">
        <v>36</v>
      </c>
    </row>
    <row r="1293" spans="1:31" x14ac:dyDescent="0.3">
      <c r="A1293">
        <v>10128</v>
      </c>
      <c r="B1293">
        <v>43</v>
      </c>
      <c r="C1293">
        <v>92.16</v>
      </c>
      <c r="D1293">
        <v>1</v>
      </c>
      <c r="E1293" s="4" t="str">
        <f t="shared" si="120"/>
        <v>low sales</v>
      </c>
      <c r="F1293">
        <v>3962.88</v>
      </c>
      <c r="G1293" t="s">
        <v>1965</v>
      </c>
      <c r="H1293" s="1" t="str">
        <f t="shared" si="121"/>
        <v>Shipped</v>
      </c>
      <c r="I1293" s="4" t="str">
        <f t="shared" si="122"/>
        <v>completed</v>
      </c>
      <c r="J1293" t="s">
        <v>25</v>
      </c>
      <c r="K1293">
        <v>2</v>
      </c>
      <c r="L1293">
        <v>6</v>
      </c>
      <c r="M1293">
        <v>2003</v>
      </c>
      <c r="N1293" t="s">
        <v>550</v>
      </c>
      <c r="O1293">
        <v>87</v>
      </c>
      <c r="P1293" t="s">
        <v>615</v>
      </c>
      <c r="Q1293" t="s">
        <v>174</v>
      </c>
      <c r="R1293" t="s">
        <v>175</v>
      </c>
      <c r="S1293" t="s">
        <v>176</v>
      </c>
      <c r="U1293" s="1" t="str">
        <f t="shared" si="123"/>
        <v>Madrid</v>
      </c>
      <c r="V1293" t="s">
        <v>177</v>
      </c>
      <c r="X1293">
        <v>28034</v>
      </c>
      <c r="Y1293" s="1" t="str">
        <f t="shared" si="124"/>
        <v>SPAIN</v>
      </c>
      <c r="Z1293" s="4" t="str">
        <f t="shared" si="125"/>
        <v>Spain</v>
      </c>
      <c r="AA1293" t="s">
        <v>178</v>
      </c>
      <c r="AB1293" t="s">
        <v>42</v>
      </c>
      <c r="AC1293" t="s">
        <v>179</v>
      </c>
      <c r="AD1293" t="s">
        <v>180</v>
      </c>
      <c r="AE1293" t="s">
        <v>51</v>
      </c>
    </row>
    <row r="1294" spans="1:31" x14ac:dyDescent="0.3">
      <c r="A1294">
        <v>10142</v>
      </c>
      <c r="B1294">
        <v>24</v>
      </c>
      <c r="C1294">
        <v>70.22</v>
      </c>
      <c r="D1294">
        <v>7</v>
      </c>
      <c r="E1294" s="4" t="str">
        <f t="shared" si="120"/>
        <v>low sales</v>
      </c>
      <c r="F1294">
        <v>1685.28</v>
      </c>
      <c r="G1294" t="s">
        <v>1966</v>
      </c>
      <c r="H1294" s="1" t="str">
        <f t="shared" si="121"/>
        <v>Shipped</v>
      </c>
      <c r="I1294" s="4" t="str">
        <f t="shared" si="122"/>
        <v>completed</v>
      </c>
      <c r="J1294" t="s">
        <v>25</v>
      </c>
      <c r="K1294">
        <v>3</v>
      </c>
      <c r="L1294">
        <v>8</v>
      </c>
      <c r="M1294">
        <v>2003</v>
      </c>
      <c r="N1294" t="s">
        <v>550</v>
      </c>
      <c r="O1294">
        <v>87</v>
      </c>
      <c r="P1294" t="s">
        <v>615</v>
      </c>
      <c r="Q1294" t="s">
        <v>272</v>
      </c>
      <c r="R1294">
        <v>4155551450</v>
      </c>
      <c r="S1294" t="s">
        <v>273</v>
      </c>
      <c r="U1294" s="1" t="str">
        <f t="shared" si="123"/>
        <v>San Rafael</v>
      </c>
      <c r="V1294" t="s">
        <v>274</v>
      </c>
      <c r="W1294" t="s">
        <v>55</v>
      </c>
      <c r="X1294">
        <v>97562</v>
      </c>
      <c r="Y1294" s="1" t="str">
        <f t="shared" si="124"/>
        <v>USA</v>
      </c>
      <c r="Z1294" s="4" t="str">
        <f t="shared" si="125"/>
        <v>Usa</v>
      </c>
      <c r="AA1294" t="s">
        <v>32</v>
      </c>
      <c r="AB1294" t="s">
        <v>33</v>
      </c>
      <c r="AC1294" t="s">
        <v>275</v>
      </c>
      <c r="AD1294" t="s">
        <v>276</v>
      </c>
      <c r="AE1294" t="s">
        <v>36</v>
      </c>
    </row>
    <row r="1295" spans="1:31" x14ac:dyDescent="0.3">
      <c r="A1295">
        <v>10153</v>
      </c>
      <c r="B1295">
        <v>22</v>
      </c>
      <c r="C1295">
        <v>83.38</v>
      </c>
      <c r="D1295">
        <v>6</v>
      </c>
      <c r="E1295" s="4" t="str">
        <f t="shared" si="120"/>
        <v>low sales</v>
      </c>
      <c r="F1295">
        <v>1834.36</v>
      </c>
      <c r="G1295" t="s">
        <v>1967</v>
      </c>
      <c r="H1295" s="1" t="str">
        <f t="shared" si="121"/>
        <v>Shipped</v>
      </c>
      <c r="I1295" s="4" t="str">
        <f t="shared" si="122"/>
        <v>completed</v>
      </c>
      <c r="J1295" t="s">
        <v>25</v>
      </c>
      <c r="K1295">
        <v>3</v>
      </c>
      <c r="L1295">
        <v>9</v>
      </c>
      <c r="M1295">
        <v>2003</v>
      </c>
      <c r="N1295" t="s">
        <v>550</v>
      </c>
      <c r="O1295">
        <v>87</v>
      </c>
      <c r="P1295" t="s">
        <v>615</v>
      </c>
      <c r="Q1295" t="s">
        <v>174</v>
      </c>
      <c r="R1295" t="s">
        <v>175</v>
      </c>
      <c r="S1295" t="s">
        <v>176</v>
      </c>
      <c r="U1295" s="1" t="str">
        <f t="shared" si="123"/>
        <v>Madrid</v>
      </c>
      <c r="V1295" t="s">
        <v>177</v>
      </c>
      <c r="X1295">
        <v>28034</v>
      </c>
      <c r="Y1295" s="1" t="str">
        <f t="shared" si="124"/>
        <v>SPAIN</v>
      </c>
      <c r="Z1295" s="4" t="str">
        <f t="shared" si="125"/>
        <v>Spain</v>
      </c>
      <c r="AA1295" t="s">
        <v>178</v>
      </c>
      <c r="AB1295" t="s">
        <v>42</v>
      </c>
      <c r="AC1295" t="s">
        <v>179</v>
      </c>
      <c r="AD1295" t="s">
        <v>180</v>
      </c>
      <c r="AE1295" t="s">
        <v>36</v>
      </c>
    </row>
    <row r="1296" spans="1:31" x14ac:dyDescent="0.3">
      <c r="A1296">
        <v>10166</v>
      </c>
      <c r="B1296">
        <v>26</v>
      </c>
      <c r="C1296">
        <v>73.73</v>
      </c>
      <c r="D1296">
        <v>1</v>
      </c>
      <c r="E1296" s="4" t="str">
        <f t="shared" si="120"/>
        <v>low sales</v>
      </c>
      <c r="F1296">
        <v>1916.98</v>
      </c>
      <c r="G1296" t="s">
        <v>1968</v>
      </c>
      <c r="H1296" s="1" t="str">
        <f t="shared" si="121"/>
        <v>Shipped</v>
      </c>
      <c r="I1296" s="4" t="str">
        <f t="shared" si="122"/>
        <v>completed</v>
      </c>
      <c r="J1296" t="s">
        <v>25</v>
      </c>
      <c r="K1296">
        <v>4</v>
      </c>
      <c r="L1296">
        <v>10</v>
      </c>
      <c r="M1296">
        <v>2003</v>
      </c>
      <c r="N1296" t="s">
        <v>550</v>
      </c>
      <c r="O1296">
        <v>87</v>
      </c>
      <c r="P1296" t="s">
        <v>615</v>
      </c>
      <c r="Q1296" t="s">
        <v>160</v>
      </c>
      <c r="R1296">
        <v>5085552555</v>
      </c>
      <c r="S1296" t="s">
        <v>161</v>
      </c>
      <c r="U1296" s="1" t="str">
        <f t="shared" si="123"/>
        <v>New Bedford</v>
      </c>
      <c r="V1296" t="s">
        <v>162</v>
      </c>
      <c r="W1296" t="s">
        <v>123</v>
      </c>
      <c r="X1296">
        <v>50553</v>
      </c>
      <c r="Y1296" s="1" t="str">
        <f t="shared" si="124"/>
        <v>USA</v>
      </c>
      <c r="Z1296" s="4" t="str">
        <f t="shared" si="125"/>
        <v>Usa</v>
      </c>
      <c r="AA1296" t="s">
        <v>32</v>
      </c>
      <c r="AB1296" t="s">
        <v>33</v>
      </c>
      <c r="AC1296" t="s">
        <v>163</v>
      </c>
      <c r="AD1296" t="s">
        <v>164</v>
      </c>
      <c r="AE1296" t="s">
        <v>36</v>
      </c>
    </row>
    <row r="1297" spans="1:31" x14ac:dyDescent="0.3">
      <c r="A1297">
        <v>10177</v>
      </c>
      <c r="B1297">
        <v>35</v>
      </c>
      <c r="C1297">
        <v>74.599999999999994</v>
      </c>
      <c r="D1297">
        <v>8</v>
      </c>
      <c r="E1297" s="4" t="str">
        <f t="shared" si="120"/>
        <v>low sales</v>
      </c>
      <c r="F1297">
        <v>2611</v>
      </c>
      <c r="G1297" t="s">
        <v>1969</v>
      </c>
      <c r="H1297" s="1" t="str">
        <f t="shared" si="121"/>
        <v>Shipped</v>
      </c>
      <c r="I1297" s="4" t="str">
        <f t="shared" si="122"/>
        <v>completed</v>
      </c>
      <c r="J1297" t="s">
        <v>25</v>
      </c>
      <c r="K1297">
        <v>4</v>
      </c>
      <c r="L1297">
        <v>11</v>
      </c>
      <c r="M1297">
        <v>2003</v>
      </c>
      <c r="N1297" t="s">
        <v>550</v>
      </c>
      <c r="O1297">
        <v>87</v>
      </c>
      <c r="P1297" t="s">
        <v>615</v>
      </c>
      <c r="Q1297" t="s">
        <v>487</v>
      </c>
      <c r="R1297" t="s">
        <v>488</v>
      </c>
      <c r="S1297" t="s">
        <v>489</v>
      </c>
      <c r="U1297" s="1" t="str">
        <f t="shared" si="123"/>
        <v>Madrid</v>
      </c>
      <c r="V1297" t="s">
        <v>177</v>
      </c>
      <c r="X1297">
        <v>28023</v>
      </c>
      <c r="Y1297" s="1" t="str">
        <f t="shared" si="124"/>
        <v>SPAIN</v>
      </c>
      <c r="Z1297" s="4" t="str">
        <f t="shared" si="125"/>
        <v>Spain</v>
      </c>
      <c r="AA1297" t="s">
        <v>178</v>
      </c>
      <c r="AB1297" t="s">
        <v>42</v>
      </c>
      <c r="AC1297" t="s">
        <v>490</v>
      </c>
      <c r="AD1297" t="s">
        <v>491</v>
      </c>
      <c r="AE1297" t="s">
        <v>36</v>
      </c>
    </row>
    <row r="1298" spans="1:31" x14ac:dyDescent="0.3">
      <c r="A1298">
        <v>10185</v>
      </c>
      <c r="B1298">
        <v>47</v>
      </c>
      <c r="C1298">
        <v>77.239999999999995</v>
      </c>
      <c r="D1298">
        <v>8</v>
      </c>
      <c r="E1298" s="4" t="str">
        <f t="shared" si="120"/>
        <v>low sales</v>
      </c>
      <c r="F1298">
        <v>3630.28</v>
      </c>
      <c r="G1298" t="s">
        <v>1970</v>
      </c>
      <c r="H1298" s="1" t="str">
        <f t="shared" si="121"/>
        <v>Shipped</v>
      </c>
      <c r="I1298" s="4" t="str">
        <f t="shared" si="122"/>
        <v>completed</v>
      </c>
      <c r="J1298" t="s">
        <v>25</v>
      </c>
      <c r="K1298">
        <v>4</v>
      </c>
      <c r="L1298">
        <v>11</v>
      </c>
      <c r="M1298">
        <v>2003</v>
      </c>
      <c r="N1298" t="s">
        <v>550</v>
      </c>
      <c r="O1298">
        <v>87</v>
      </c>
      <c r="P1298" t="s">
        <v>615</v>
      </c>
      <c r="Q1298" t="s">
        <v>335</v>
      </c>
      <c r="R1298">
        <v>5085559555</v>
      </c>
      <c r="S1298" t="s">
        <v>336</v>
      </c>
      <c r="U1298" s="1" t="str">
        <f t="shared" si="123"/>
        <v>New Bedford</v>
      </c>
      <c r="V1298" t="s">
        <v>162</v>
      </c>
      <c r="W1298" t="s">
        <v>123</v>
      </c>
      <c r="X1298">
        <v>50553</v>
      </c>
      <c r="Y1298" s="1" t="str">
        <f t="shared" si="124"/>
        <v>USA</v>
      </c>
      <c r="Z1298" s="4" t="str">
        <f t="shared" si="125"/>
        <v>Usa</v>
      </c>
      <c r="AA1298" t="s">
        <v>32</v>
      </c>
      <c r="AB1298" t="s">
        <v>33</v>
      </c>
      <c r="AC1298" t="s">
        <v>337</v>
      </c>
      <c r="AD1298" t="s">
        <v>338</v>
      </c>
      <c r="AE1298" t="s">
        <v>51</v>
      </c>
    </row>
    <row r="1299" spans="1:31" x14ac:dyDescent="0.3">
      <c r="A1299">
        <v>10197</v>
      </c>
      <c r="B1299">
        <v>50</v>
      </c>
      <c r="C1299">
        <v>100</v>
      </c>
      <c r="D1299">
        <v>14</v>
      </c>
      <c r="E1299" s="4" t="str">
        <f t="shared" si="120"/>
        <v>high sales</v>
      </c>
      <c r="F1299">
        <v>5090.5</v>
      </c>
      <c r="G1299" t="s">
        <v>1971</v>
      </c>
      <c r="H1299" s="1" t="str">
        <f t="shared" si="121"/>
        <v>Shipped</v>
      </c>
      <c r="I1299" s="4" t="str">
        <f t="shared" si="122"/>
        <v>completed</v>
      </c>
      <c r="J1299" t="s">
        <v>25</v>
      </c>
      <c r="K1299">
        <v>4</v>
      </c>
      <c r="L1299">
        <v>11</v>
      </c>
      <c r="M1299">
        <v>2003</v>
      </c>
      <c r="N1299" t="s">
        <v>550</v>
      </c>
      <c r="O1299">
        <v>87</v>
      </c>
      <c r="P1299" t="s">
        <v>615</v>
      </c>
      <c r="Q1299" t="s">
        <v>352</v>
      </c>
      <c r="R1299" t="s">
        <v>353</v>
      </c>
      <c r="S1299" t="s">
        <v>354</v>
      </c>
      <c r="U1299" s="1" t="str">
        <f t="shared" si="123"/>
        <v>Barcelona</v>
      </c>
      <c r="V1299" t="s">
        <v>355</v>
      </c>
      <c r="X1299">
        <v>8022</v>
      </c>
      <c r="Y1299" s="1" t="str">
        <f t="shared" si="124"/>
        <v>SPAIN</v>
      </c>
      <c r="Z1299" s="4" t="str">
        <f t="shared" si="125"/>
        <v>Spain</v>
      </c>
      <c r="AA1299" t="s">
        <v>178</v>
      </c>
      <c r="AB1299" t="s">
        <v>42</v>
      </c>
      <c r="AC1299" t="s">
        <v>356</v>
      </c>
      <c r="AD1299" t="s">
        <v>357</v>
      </c>
      <c r="AE1299" t="s">
        <v>51</v>
      </c>
    </row>
    <row r="1300" spans="1:31" x14ac:dyDescent="0.3">
      <c r="A1300">
        <v>10208</v>
      </c>
      <c r="B1300">
        <v>45</v>
      </c>
      <c r="C1300">
        <v>87.77</v>
      </c>
      <c r="D1300">
        <v>8</v>
      </c>
      <c r="E1300" s="4" t="str">
        <f t="shared" si="120"/>
        <v>low sales</v>
      </c>
      <c r="F1300">
        <v>3949.65</v>
      </c>
      <c r="G1300" t="s">
        <v>1972</v>
      </c>
      <c r="H1300" s="1" t="str">
        <f t="shared" si="121"/>
        <v>Shipped</v>
      </c>
      <c r="I1300" s="4" t="str">
        <f t="shared" si="122"/>
        <v>completed</v>
      </c>
      <c r="J1300" t="s">
        <v>25</v>
      </c>
      <c r="K1300">
        <v>1</v>
      </c>
      <c r="L1300">
        <v>1</v>
      </c>
      <c r="M1300">
        <v>2004</v>
      </c>
      <c r="N1300" t="s">
        <v>550</v>
      </c>
      <c r="O1300">
        <v>87</v>
      </c>
      <c r="P1300" t="s">
        <v>615</v>
      </c>
      <c r="Q1300" t="s">
        <v>219</v>
      </c>
      <c r="R1300" t="s">
        <v>220</v>
      </c>
      <c r="S1300" t="s">
        <v>221</v>
      </c>
      <c r="U1300" s="1" t="str">
        <f t="shared" si="123"/>
        <v>Lyon</v>
      </c>
      <c r="V1300" t="s">
        <v>222</v>
      </c>
      <c r="X1300">
        <v>69004</v>
      </c>
      <c r="Y1300" s="1" t="str">
        <f t="shared" si="124"/>
        <v>FRANCE</v>
      </c>
      <c r="Z1300" s="4" t="str">
        <f t="shared" si="125"/>
        <v>France</v>
      </c>
      <c r="AA1300" t="s">
        <v>41</v>
      </c>
      <c r="AB1300" t="s">
        <v>42</v>
      </c>
      <c r="AC1300" t="s">
        <v>223</v>
      </c>
      <c r="AD1300" t="s">
        <v>224</v>
      </c>
      <c r="AE1300" t="s">
        <v>51</v>
      </c>
    </row>
    <row r="1301" spans="1:31" x14ac:dyDescent="0.3">
      <c r="A1301">
        <v>10221</v>
      </c>
      <c r="B1301">
        <v>39</v>
      </c>
      <c r="C1301">
        <v>89.53</v>
      </c>
      <c r="D1301">
        <v>2</v>
      </c>
      <c r="E1301" s="4" t="str">
        <f t="shared" si="120"/>
        <v>low sales</v>
      </c>
      <c r="F1301">
        <v>3491.67</v>
      </c>
      <c r="G1301" t="s">
        <v>1973</v>
      </c>
      <c r="H1301" s="1" t="str">
        <f t="shared" si="121"/>
        <v>Shipped</v>
      </c>
      <c r="I1301" s="4" t="str">
        <f t="shared" si="122"/>
        <v>completed</v>
      </c>
      <c r="J1301" t="s">
        <v>25</v>
      </c>
      <c r="K1301">
        <v>1</v>
      </c>
      <c r="L1301">
        <v>2</v>
      </c>
      <c r="M1301">
        <v>2004</v>
      </c>
      <c r="N1301" t="s">
        <v>550</v>
      </c>
      <c r="O1301">
        <v>87</v>
      </c>
      <c r="P1301" t="s">
        <v>615</v>
      </c>
      <c r="Q1301" t="s">
        <v>365</v>
      </c>
      <c r="R1301" t="s">
        <v>366</v>
      </c>
      <c r="S1301" t="s">
        <v>367</v>
      </c>
      <c r="U1301" s="1" t="str">
        <f t="shared" si="123"/>
        <v>Bruxelles</v>
      </c>
      <c r="V1301" t="s">
        <v>368</v>
      </c>
      <c r="X1301" t="s">
        <v>369</v>
      </c>
      <c r="Y1301" s="1" t="str">
        <f t="shared" si="124"/>
        <v>BELGIUM</v>
      </c>
      <c r="Z1301" s="4" t="str">
        <f t="shared" si="125"/>
        <v>Belgium</v>
      </c>
      <c r="AA1301" t="s">
        <v>370</v>
      </c>
      <c r="AB1301" t="s">
        <v>42</v>
      </c>
      <c r="AC1301" t="s">
        <v>371</v>
      </c>
      <c r="AD1301" t="s">
        <v>372</v>
      </c>
      <c r="AE1301" t="s">
        <v>51</v>
      </c>
    </row>
    <row r="1302" spans="1:31" x14ac:dyDescent="0.3">
      <c r="A1302">
        <v>10232</v>
      </c>
      <c r="B1302">
        <v>23</v>
      </c>
      <c r="C1302">
        <v>89.53</v>
      </c>
      <c r="D1302">
        <v>5</v>
      </c>
      <c r="E1302" s="4" t="str">
        <f t="shared" si="120"/>
        <v>low sales</v>
      </c>
      <c r="F1302">
        <v>2059.19</v>
      </c>
      <c r="G1302" t="s">
        <v>1974</v>
      </c>
      <c r="H1302" s="1" t="str">
        <f t="shared" si="121"/>
        <v>Shipped</v>
      </c>
      <c r="I1302" s="4" t="str">
        <f t="shared" si="122"/>
        <v>completed</v>
      </c>
      <c r="J1302" t="s">
        <v>25</v>
      </c>
      <c r="K1302">
        <v>1</v>
      </c>
      <c r="L1302">
        <v>3</v>
      </c>
      <c r="M1302">
        <v>2004</v>
      </c>
      <c r="N1302" t="s">
        <v>550</v>
      </c>
      <c r="O1302">
        <v>87</v>
      </c>
      <c r="P1302" t="s">
        <v>615</v>
      </c>
      <c r="Q1302" t="s">
        <v>383</v>
      </c>
      <c r="R1302" t="s">
        <v>384</v>
      </c>
      <c r="S1302" t="s">
        <v>385</v>
      </c>
      <c r="U1302" s="1" t="str">
        <f t="shared" si="123"/>
        <v>Cowes</v>
      </c>
      <c r="V1302" t="s">
        <v>386</v>
      </c>
      <c r="W1302" t="s">
        <v>387</v>
      </c>
      <c r="X1302" t="s">
        <v>388</v>
      </c>
      <c r="Y1302" s="1" t="str">
        <f t="shared" si="124"/>
        <v>UK</v>
      </c>
      <c r="Z1302" s="4" t="str">
        <f t="shared" si="125"/>
        <v>Uk</v>
      </c>
      <c r="AA1302" t="s">
        <v>170</v>
      </c>
      <c r="AB1302" t="s">
        <v>42</v>
      </c>
      <c r="AC1302" t="s">
        <v>389</v>
      </c>
      <c r="AD1302" t="s">
        <v>390</v>
      </c>
      <c r="AE1302" t="s">
        <v>36</v>
      </c>
    </row>
    <row r="1303" spans="1:31" x14ac:dyDescent="0.3">
      <c r="A1303">
        <v>10248</v>
      </c>
      <c r="B1303">
        <v>42</v>
      </c>
      <c r="C1303">
        <v>75.48</v>
      </c>
      <c r="D1303">
        <v>11</v>
      </c>
      <c r="E1303" s="4" t="str">
        <f t="shared" si="120"/>
        <v>low sales</v>
      </c>
      <c r="F1303">
        <v>3170.16</v>
      </c>
      <c r="G1303" t="s">
        <v>1975</v>
      </c>
      <c r="H1303" s="1" t="str">
        <f t="shared" si="121"/>
        <v>Cancelled</v>
      </c>
      <c r="I1303" s="4" t="str">
        <f t="shared" si="122"/>
        <v>not completed</v>
      </c>
      <c r="J1303" t="s">
        <v>339</v>
      </c>
      <c r="K1303">
        <v>2</v>
      </c>
      <c r="L1303">
        <v>5</v>
      </c>
      <c r="M1303">
        <v>2004</v>
      </c>
      <c r="N1303" t="s">
        <v>550</v>
      </c>
      <c r="O1303">
        <v>87</v>
      </c>
      <c r="P1303" t="s">
        <v>615</v>
      </c>
      <c r="Q1303" t="s">
        <v>28</v>
      </c>
      <c r="R1303">
        <v>2125557818</v>
      </c>
      <c r="S1303" t="s">
        <v>29</v>
      </c>
      <c r="U1303" s="1" t="str">
        <f t="shared" si="123"/>
        <v>Nyc</v>
      </c>
      <c r="V1303" t="s">
        <v>30</v>
      </c>
      <c r="W1303" t="s">
        <v>31</v>
      </c>
      <c r="X1303">
        <v>10022</v>
      </c>
      <c r="Y1303" s="1" t="str">
        <f t="shared" si="124"/>
        <v>USA</v>
      </c>
      <c r="Z1303" s="4" t="str">
        <f t="shared" si="125"/>
        <v>Usa</v>
      </c>
      <c r="AA1303" t="s">
        <v>32</v>
      </c>
      <c r="AB1303" t="s">
        <v>33</v>
      </c>
      <c r="AC1303" t="s">
        <v>34</v>
      </c>
      <c r="AD1303" t="s">
        <v>35</v>
      </c>
      <c r="AE1303" t="s">
        <v>51</v>
      </c>
    </row>
    <row r="1304" spans="1:31" x14ac:dyDescent="0.3">
      <c r="A1304">
        <v>10261</v>
      </c>
      <c r="B1304">
        <v>20</v>
      </c>
      <c r="C1304">
        <v>89.53</v>
      </c>
      <c r="D1304">
        <v>9</v>
      </c>
      <c r="E1304" s="4" t="str">
        <f t="shared" si="120"/>
        <v>low sales</v>
      </c>
      <c r="F1304">
        <v>1790.6</v>
      </c>
      <c r="G1304" t="s">
        <v>1976</v>
      </c>
      <c r="H1304" s="1" t="str">
        <f t="shared" si="121"/>
        <v>Shipped</v>
      </c>
      <c r="I1304" s="4" t="str">
        <f t="shared" si="122"/>
        <v>completed</v>
      </c>
      <c r="J1304" t="s">
        <v>25</v>
      </c>
      <c r="K1304">
        <v>2</v>
      </c>
      <c r="L1304">
        <v>6</v>
      </c>
      <c r="M1304">
        <v>2004</v>
      </c>
      <c r="N1304" t="s">
        <v>550</v>
      </c>
      <c r="O1304">
        <v>87</v>
      </c>
      <c r="P1304" t="s">
        <v>615</v>
      </c>
      <c r="Q1304" t="s">
        <v>292</v>
      </c>
      <c r="R1304" t="s">
        <v>293</v>
      </c>
      <c r="S1304" t="s">
        <v>294</v>
      </c>
      <c r="U1304" s="1" t="str">
        <f t="shared" si="123"/>
        <v>Montreal</v>
      </c>
      <c r="V1304" t="s">
        <v>295</v>
      </c>
      <c r="W1304" t="s">
        <v>296</v>
      </c>
      <c r="X1304" t="s">
        <v>297</v>
      </c>
      <c r="Y1304" s="1" t="str">
        <f t="shared" si="124"/>
        <v>CANADA</v>
      </c>
      <c r="Z1304" s="4" t="str">
        <f t="shared" si="125"/>
        <v>Canada</v>
      </c>
      <c r="AA1304" t="s">
        <v>231</v>
      </c>
      <c r="AB1304" t="s">
        <v>33</v>
      </c>
      <c r="AC1304" t="s">
        <v>298</v>
      </c>
      <c r="AD1304" t="s">
        <v>299</v>
      </c>
      <c r="AE1304" t="s">
        <v>36</v>
      </c>
    </row>
    <row r="1305" spans="1:31" x14ac:dyDescent="0.3">
      <c r="A1305">
        <v>10273</v>
      </c>
      <c r="B1305">
        <v>33</v>
      </c>
      <c r="C1305">
        <v>71.09</v>
      </c>
      <c r="D1305">
        <v>12</v>
      </c>
      <c r="E1305" s="4" t="str">
        <f t="shared" si="120"/>
        <v>low sales</v>
      </c>
      <c r="F1305">
        <v>2345.9699999999998</v>
      </c>
      <c r="G1305" t="s">
        <v>1977</v>
      </c>
      <c r="H1305" s="1" t="str">
        <f t="shared" si="121"/>
        <v>Shipped</v>
      </c>
      <c r="I1305" s="4" t="str">
        <f t="shared" si="122"/>
        <v>completed</v>
      </c>
      <c r="J1305" t="s">
        <v>25</v>
      </c>
      <c r="K1305">
        <v>3</v>
      </c>
      <c r="L1305">
        <v>7</v>
      </c>
      <c r="M1305">
        <v>2004</v>
      </c>
      <c r="N1305" t="s">
        <v>550</v>
      </c>
      <c r="O1305">
        <v>87</v>
      </c>
      <c r="P1305" t="s">
        <v>615</v>
      </c>
      <c r="Q1305" t="s">
        <v>365</v>
      </c>
      <c r="R1305" t="s">
        <v>366</v>
      </c>
      <c r="S1305" t="s">
        <v>367</v>
      </c>
      <c r="U1305" s="1" t="str">
        <f t="shared" si="123"/>
        <v>Bruxelles</v>
      </c>
      <c r="V1305" t="s">
        <v>368</v>
      </c>
      <c r="X1305" t="s">
        <v>369</v>
      </c>
      <c r="Y1305" s="1" t="str">
        <f t="shared" si="124"/>
        <v>BELGIUM</v>
      </c>
      <c r="Z1305" s="4" t="str">
        <f t="shared" si="125"/>
        <v>Belgium</v>
      </c>
      <c r="AA1305" t="s">
        <v>370</v>
      </c>
      <c r="AB1305" t="s">
        <v>42</v>
      </c>
      <c r="AC1305" t="s">
        <v>371</v>
      </c>
      <c r="AD1305" t="s">
        <v>372</v>
      </c>
      <c r="AE1305" t="s">
        <v>36</v>
      </c>
    </row>
    <row r="1306" spans="1:31" x14ac:dyDescent="0.3">
      <c r="A1306">
        <v>10283</v>
      </c>
      <c r="B1306">
        <v>34</v>
      </c>
      <c r="C1306">
        <v>100</v>
      </c>
      <c r="D1306">
        <v>14</v>
      </c>
      <c r="E1306" s="4" t="str">
        <f t="shared" si="120"/>
        <v>low sales</v>
      </c>
      <c r="F1306">
        <v>3580.88</v>
      </c>
      <c r="G1306" t="s">
        <v>1978</v>
      </c>
      <c r="H1306" s="1" t="str">
        <f t="shared" si="121"/>
        <v>Shipped</v>
      </c>
      <c r="I1306" s="4" t="str">
        <f t="shared" si="122"/>
        <v>completed</v>
      </c>
      <c r="J1306" t="s">
        <v>25</v>
      </c>
      <c r="K1306">
        <v>3</v>
      </c>
      <c r="L1306">
        <v>8</v>
      </c>
      <c r="M1306">
        <v>2004</v>
      </c>
      <c r="N1306" t="s">
        <v>550</v>
      </c>
      <c r="O1306">
        <v>87</v>
      </c>
      <c r="P1306" t="s">
        <v>615</v>
      </c>
      <c r="Q1306" t="s">
        <v>373</v>
      </c>
      <c r="R1306" t="s">
        <v>374</v>
      </c>
      <c r="S1306" t="s">
        <v>375</v>
      </c>
      <c r="U1306" s="1" t="str">
        <f t="shared" si="123"/>
        <v>Tsawassen</v>
      </c>
      <c r="V1306" t="s">
        <v>376</v>
      </c>
      <c r="W1306" t="s">
        <v>229</v>
      </c>
      <c r="X1306" t="s">
        <v>377</v>
      </c>
      <c r="Y1306" s="1" t="str">
        <f t="shared" si="124"/>
        <v>CANADA</v>
      </c>
      <c r="Z1306" s="4" t="str">
        <f t="shared" si="125"/>
        <v>Canada</v>
      </c>
      <c r="AA1306" t="s">
        <v>231</v>
      </c>
      <c r="AB1306" t="s">
        <v>33</v>
      </c>
      <c r="AC1306" t="s">
        <v>378</v>
      </c>
      <c r="AD1306" t="s">
        <v>172</v>
      </c>
      <c r="AE1306" t="s">
        <v>51</v>
      </c>
    </row>
    <row r="1307" spans="1:31" x14ac:dyDescent="0.3">
      <c r="A1307">
        <v>10293</v>
      </c>
      <c r="B1307">
        <v>49</v>
      </c>
      <c r="C1307">
        <v>100</v>
      </c>
      <c r="D1307">
        <v>3</v>
      </c>
      <c r="E1307" s="4" t="str">
        <f t="shared" si="120"/>
        <v>high sales</v>
      </c>
      <c r="F1307">
        <v>4946.0600000000004</v>
      </c>
      <c r="G1307" t="s">
        <v>1979</v>
      </c>
      <c r="H1307" s="1" t="str">
        <f t="shared" si="121"/>
        <v>Shipped</v>
      </c>
      <c r="I1307" s="4" t="str">
        <f t="shared" si="122"/>
        <v>completed</v>
      </c>
      <c r="J1307" t="s">
        <v>25</v>
      </c>
      <c r="K1307">
        <v>3</v>
      </c>
      <c r="L1307">
        <v>9</v>
      </c>
      <c r="M1307">
        <v>2004</v>
      </c>
      <c r="N1307" t="s">
        <v>550</v>
      </c>
      <c r="O1307">
        <v>87</v>
      </c>
      <c r="P1307" t="s">
        <v>615</v>
      </c>
      <c r="Q1307" t="s">
        <v>254</v>
      </c>
      <c r="R1307" t="s">
        <v>255</v>
      </c>
      <c r="S1307" t="s">
        <v>256</v>
      </c>
      <c r="U1307" s="1" t="str">
        <f t="shared" si="123"/>
        <v>Torino</v>
      </c>
      <c r="V1307" t="s">
        <v>257</v>
      </c>
      <c r="X1307">
        <v>10100</v>
      </c>
      <c r="Y1307" s="1" t="str">
        <f t="shared" si="124"/>
        <v>ITALY</v>
      </c>
      <c r="Z1307" s="4" t="str">
        <f t="shared" si="125"/>
        <v>Italy</v>
      </c>
      <c r="AA1307" t="s">
        <v>258</v>
      </c>
      <c r="AB1307" t="s">
        <v>42</v>
      </c>
      <c r="AC1307" t="s">
        <v>259</v>
      </c>
      <c r="AD1307" t="s">
        <v>260</v>
      </c>
      <c r="AE1307" t="s">
        <v>51</v>
      </c>
    </row>
    <row r="1308" spans="1:31" x14ac:dyDescent="0.3">
      <c r="A1308">
        <v>10306</v>
      </c>
      <c r="B1308">
        <v>39</v>
      </c>
      <c r="C1308">
        <v>90.4</v>
      </c>
      <c r="D1308">
        <v>8</v>
      </c>
      <c r="E1308" s="4" t="str">
        <f t="shared" si="120"/>
        <v>low sales</v>
      </c>
      <c r="F1308">
        <v>3525.6</v>
      </c>
      <c r="G1308" t="s">
        <v>1980</v>
      </c>
      <c r="H1308" s="1" t="str">
        <f t="shared" si="121"/>
        <v>Shipped</v>
      </c>
      <c r="I1308" s="4" t="str">
        <f t="shared" si="122"/>
        <v>completed</v>
      </c>
      <c r="J1308" t="s">
        <v>25</v>
      </c>
      <c r="K1308">
        <v>4</v>
      </c>
      <c r="L1308">
        <v>10</v>
      </c>
      <c r="M1308">
        <v>2004</v>
      </c>
      <c r="N1308" t="s">
        <v>550</v>
      </c>
      <c r="O1308">
        <v>87</v>
      </c>
      <c r="P1308" t="s">
        <v>615</v>
      </c>
      <c r="Q1308" t="s">
        <v>492</v>
      </c>
      <c r="R1308" t="s">
        <v>493</v>
      </c>
      <c r="S1308" t="s">
        <v>494</v>
      </c>
      <c r="U1308" s="1" t="str">
        <f t="shared" si="123"/>
        <v>Manchester</v>
      </c>
      <c r="V1308" t="s">
        <v>495</v>
      </c>
      <c r="X1308" t="s">
        <v>496</v>
      </c>
      <c r="Y1308" s="1" t="str">
        <f t="shared" si="124"/>
        <v>UK</v>
      </c>
      <c r="Z1308" s="4" t="str">
        <f t="shared" si="125"/>
        <v>Uk</v>
      </c>
      <c r="AA1308" t="s">
        <v>170</v>
      </c>
      <c r="AB1308" t="s">
        <v>42</v>
      </c>
      <c r="AC1308" t="s">
        <v>497</v>
      </c>
      <c r="AD1308" t="s">
        <v>94</v>
      </c>
      <c r="AE1308" t="s">
        <v>51</v>
      </c>
    </row>
    <row r="1309" spans="1:31" x14ac:dyDescent="0.3">
      <c r="A1309">
        <v>10315</v>
      </c>
      <c r="B1309">
        <v>36</v>
      </c>
      <c r="C1309">
        <v>100</v>
      </c>
      <c r="D1309">
        <v>7</v>
      </c>
      <c r="E1309" s="4" t="str">
        <f t="shared" si="120"/>
        <v>low sales</v>
      </c>
      <c r="F1309">
        <v>3602.16</v>
      </c>
      <c r="G1309" t="s">
        <v>1981</v>
      </c>
      <c r="H1309" s="1" t="str">
        <f t="shared" si="121"/>
        <v>Shipped</v>
      </c>
      <c r="I1309" s="4" t="str">
        <f t="shared" si="122"/>
        <v>completed</v>
      </c>
      <c r="J1309" t="s">
        <v>25</v>
      </c>
      <c r="K1309">
        <v>4</v>
      </c>
      <c r="L1309">
        <v>10</v>
      </c>
      <c r="M1309">
        <v>2004</v>
      </c>
      <c r="N1309" t="s">
        <v>550</v>
      </c>
      <c r="O1309">
        <v>87</v>
      </c>
      <c r="P1309" t="s">
        <v>615</v>
      </c>
      <c r="Q1309" t="s">
        <v>114</v>
      </c>
      <c r="R1309" t="s">
        <v>115</v>
      </c>
      <c r="S1309" t="s">
        <v>116</v>
      </c>
      <c r="U1309" s="1" t="str">
        <f t="shared" si="123"/>
        <v>Nantes</v>
      </c>
      <c r="V1309" t="s">
        <v>117</v>
      </c>
      <c r="X1309">
        <v>44000</v>
      </c>
      <c r="Y1309" s="1" t="str">
        <f t="shared" si="124"/>
        <v>FRANCE</v>
      </c>
      <c r="Z1309" s="4" t="str">
        <f t="shared" si="125"/>
        <v>France</v>
      </c>
      <c r="AA1309" t="s">
        <v>41</v>
      </c>
      <c r="AB1309" t="s">
        <v>42</v>
      </c>
      <c r="AC1309" t="s">
        <v>118</v>
      </c>
      <c r="AD1309" t="s">
        <v>119</v>
      </c>
      <c r="AE1309" t="s">
        <v>51</v>
      </c>
    </row>
    <row r="1310" spans="1:31" x14ac:dyDescent="0.3">
      <c r="A1310">
        <v>10326</v>
      </c>
      <c r="B1310">
        <v>50</v>
      </c>
      <c r="C1310">
        <v>86.01</v>
      </c>
      <c r="D1310">
        <v>5</v>
      </c>
      <c r="E1310" s="4" t="str">
        <f t="shared" si="120"/>
        <v>high sales</v>
      </c>
      <c r="F1310">
        <v>4300.5</v>
      </c>
      <c r="G1310" t="s">
        <v>1982</v>
      </c>
      <c r="H1310" s="1" t="str">
        <f t="shared" si="121"/>
        <v>Shipped</v>
      </c>
      <c r="I1310" s="4" t="str">
        <f t="shared" si="122"/>
        <v>completed</v>
      </c>
      <c r="J1310" t="s">
        <v>25</v>
      </c>
      <c r="K1310">
        <v>4</v>
      </c>
      <c r="L1310">
        <v>11</v>
      </c>
      <c r="M1310">
        <v>2004</v>
      </c>
      <c r="N1310" t="s">
        <v>550</v>
      </c>
      <c r="O1310">
        <v>87</v>
      </c>
      <c r="P1310" t="s">
        <v>615</v>
      </c>
      <c r="Q1310" t="s">
        <v>183</v>
      </c>
      <c r="R1310" t="s">
        <v>184</v>
      </c>
      <c r="S1310" t="s">
        <v>185</v>
      </c>
      <c r="U1310" s="1" t="str">
        <f t="shared" si="123"/>
        <v>Lule</v>
      </c>
      <c r="V1310" t="s">
        <v>186</v>
      </c>
      <c r="X1310" t="s">
        <v>187</v>
      </c>
      <c r="Y1310" s="1" t="str">
        <f t="shared" si="124"/>
        <v>SWEDEN</v>
      </c>
      <c r="Z1310" s="4" t="str">
        <f t="shared" si="125"/>
        <v>Sweden</v>
      </c>
      <c r="AA1310" t="s">
        <v>188</v>
      </c>
      <c r="AB1310" t="s">
        <v>42</v>
      </c>
      <c r="AC1310" t="s">
        <v>189</v>
      </c>
      <c r="AD1310" t="s">
        <v>190</v>
      </c>
      <c r="AE1310" t="s">
        <v>51</v>
      </c>
    </row>
    <row r="1311" spans="1:31" x14ac:dyDescent="0.3">
      <c r="A1311">
        <v>10337</v>
      </c>
      <c r="B1311">
        <v>29</v>
      </c>
      <c r="C1311">
        <v>100</v>
      </c>
      <c r="D1311">
        <v>2</v>
      </c>
      <c r="E1311" s="4" t="str">
        <f t="shared" si="120"/>
        <v>high sales</v>
      </c>
      <c r="F1311">
        <v>4498.1899999999996</v>
      </c>
      <c r="G1311" t="s">
        <v>1983</v>
      </c>
      <c r="H1311" s="1" t="str">
        <f t="shared" si="121"/>
        <v>Shipped</v>
      </c>
      <c r="I1311" s="4" t="str">
        <f t="shared" si="122"/>
        <v>completed</v>
      </c>
      <c r="J1311" t="s">
        <v>25</v>
      </c>
      <c r="K1311">
        <v>4</v>
      </c>
      <c r="L1311">
        <v>11</v>
      </c>
      <c r="M1311">
        <v>2004</v>
      </c>
      <c r="N1311" t="s">
        <v>550</v>
      </c>
      <c r="O1311">
        <v>87</v>
      </c>
      <c r="P1311" t="s">
        <v>615</v>
      </c>
      <c r="Q1311" t="s">
        <v>203</v>
      </c>
      <c r="R1311">
        <v>2125558493</v>
      </c>
      <c r="S1311" t="s">
        <v>204</v>
      </c>
      <c r="T1311" t="s">
        <v>205</v>
      </c>
      <c r="U1311" s="1" t="str">
        <f t="shared" si="123"/>
        <v>Nyc</v>
      </c>
      <c r="V1311" t="s">
        <v>30</v>
      </c>
      <c r="W1311" t="s">
        <v>31</v>
      </c>
      <c r="X1311">
        <v>10022</v>
      </c>
      <c r="Y1311" s="1" t="str">
        <f t="shared" si="124"/>
        <v>USA</v>
      </c>
      <c r="Z1311" s="4" t="str">
        <f t="shared" si="125"/>
        <v>Usa</v>
      </c>
      <c r="AA1311" t="s">
        <v>32</v>
      </c>
      <c r="AB1311" t="s">
        <v>33</v>
      </c>
      <c r="AC1311" t="s">
        <v>124</v>
      </c>
      <c r="AD1311" t="s">
        <v>206</v>
      </c>
      <c r="AE1311" t="s">
        <v>51</v>
      </c>
    </row>
    <row r="1312" spans="1:31" x14ac:dyDescent="0.3">
      <c r="A1312">
        <v>10350</v>
      </c>
      <c r="B1312">
        <v>30</v>
      </c>
      <c r="C1312">
        <v>100</v>
      </c>
      <c r="D1312">
        <v>3</v>
      </c>
      <c r="E1312" s="4" t="str">
        <f t="shared" si="120"/>
        <v>low sales</v>
      </c>
      <c r="F1312">
        <v>3023.1</v>
      </c>
      <c r="G1312" t="s">
        <v>1984</v>
      </c>
      <c r="H1312" s="1" t="str">
        <f t="shared" si="121"/>
        <v>Shipped</v>
      </c>
      <c r="I1312" s="4" t="str">
        <f t="shared" si="122"/>
        <v>completed</v>
      </c>
      <c r="J1312" t="s">
        <v>25</v>
      </c>
      <c r="K1312">
        <v>4</v>
      </c>
      <c r="L1312">
        <v>12</v>
      </c>
      <c r="M1312">
        <v>2004</v>
      </c>
      <c r="N1312" t="s">
        <v>550</v>
      </c>
      <c r="O1312">
        <v>87</v>
      </c>
      <c r="P1312" t="s">
        <v>615</v>
      </c>
      <c r="Q1312" t="s">
        <v>174</v>
      </c>
      <c r="R1312" t="s">
        <v>175</v>
      </c>
      <c r="S1312" t="s">
        <v>176</v>
      </c>
      <c r="U1312" s="1" t="str">
        <f t="shared" si="123"/>
        <v>Madrid</v>
      </c>
      <c r="V1312" t="s">
        <v>177</v>
      </c>
      <c r="X1312">
        <v>28034</v>
      </c>
      <c r="Y1312" s="1" t="str">
        <f t="shared" si="124"/>
        <v>SPAIN</v>
      </c>
      <c r="Z1312" s="4" t="str">
        <f t="shared" si="125"/>
        <v>Spain</v>
      </c>
      <c r="AA1312" t="s">
        <v>178</v>
      </c>
      <c r="AB1312" t="s">
        <v>42</v>
      </c>
      <c r="AC1312" t="s">
        <v>179</v>
      </c>
      <c r="AD1312" t="s">
        <v>180</v>
      </c>
      <c r="AE1312" t="s">
        <v>51</v>
      </c>
    </row>
    <row r="1313" spans="1:31" x14ac:dyDescent="0.3">
      <c r="A1313">
        <v>10372</v>
      </c>
      <c r="B1313">
        <v>41</v>
      </c>
      <c r="C1313">
        <v>86.89</v>
      </c>
      <c r="D1313">
        <v>7</v>
      </c>
      <c r="E1313" s="4" t="str">
        <f t="shared" si="120"/>
        <v>low sales</v>
      </c>
      <c r="F1313">
        <v>3562.49</v>
      </c>
      <c r="G1313" t="s">
        <v>1985</v>
      </c>
      <c r="H1313" s="1" t="str">
        <f t="shared" si="121"/>
        <v>Shipped</v>
      </c>
      <c r="I1313" s="4" t="str">
        <f t="shared" si="122"/>
        <v>completed</v>
      </c>
      <c r="J1313" t="s">
        <v>25</v>
      </c>
      <c r="K1313">
        <v>1</v>
      </c>
      <c r="L1313">
        <v>1</v>
      </c>
      <c r="M1313">
        <v>2005</v>
      </c>
      <c r="N1313" t="s">
        <v>550</v>
      </c>
      <c r="O1313">
        <v>87</v>
      </c>
      <c r="P1313" t="s">
        <v>615</v>
      </c>
      <c r="Q1313" t="s">
        <v>246</v>
      </c>
      <c r="R1313" t="s">
        <v>247</v>
      </c>
      <c r="S1313" t="s">
        <v>248</v>
      </c>
      <c r="U1313" s="1" t="str">
        <f t="shared" si="123"/>
        <v>Minato-Ku</v>
      </c>
      <c r="V1313" t="s">
        <v>249</v>
      </c>
      <c r="W1313" t="s">
        <v>250</v>
      </c>
      <c r="X1313" t="s">
        <v>251</v>
      </c>
      <c r="Y1313" s="1" t="str">
        <f t="shared" si="124"/>
        <v>JAPAN</v>
      </c>
      <c r="Z1313" s="4" t="str">
        <f t="shared" si="125"/>
        <v>Japan</v>
      </c>
      <c r="AA1313" t="s">
        <v>200</v>
      </c>
      <c r="AB1313" t="s">
        <v>200</v>
      </c>
      <c r="AC1313" t="s">
        <v>252</v>
      </c>
      <c r="AD1313" t="s">
        <v>253</v>
      </c>
      <c r="AE1313" t="s">
        <v>51</v>
      </c>
    </row>
    <row r="1314" spans="1:31" x14ac:dyDescent="0.3">
      <c r="A1314">
        <v>10383</v>
      </c>
      <c r="B1314">
        <v>28</v>
      </c>
      <c r="C1314">
        <v>58.58</v>
      </c>
      <c r="D1314">
        <v>7</v>
      </c>
      <c r="E1314" s="4" t="str">
        <f t="shared" si="120"/>
        <v>low sales</v>
      </c>
      <c r="F1314">
        <v>1640.24</v>
      </c>
      <c r="G1314" t="s">
        <v>1986</v>
      </c>
      <c r="H1314" s="1" t="str">
        <f t="shared" si="121"/>
        <v>Shipped</v>
      </c>
      <c r="I1314" s="4" t="str">
        <f t="shared" si="122"/>
        <v>completed</v>
      </c>
      <c r="J1314" t="s">
        <v>25</v>
      </c>
      <c r="K1314">
        <v>1</v>
      </c>
      <c r="L1314">
        <v>2</v>
      </c>
      <c r="M1314">
        <v>2005</v>
      </c>
      <c r="N1314" t="s">
        <v>550</v>
      </c>
      <c r="O1314">
        <v>87</v>
      </c>
      <c r="P1314" t="s">
        <v>615</v>
      </c>
      <c r="Q1314" t="s">
        <v>174</v>
      </c>
      <c r="R1314" t="s">
        <v>175</v>
      </c>
      <c r="S1314" t="s">
        <v>176</v>
      </c>
      <c r="U1314" s="1" t="str">
        <f t="shared" si="123"/>
        <v>Madrid</v>
      </c>
      <c r="V1314" t="s">
        <v>177</v>
      </c>
      <c r="X1314">
        <v>28034</v>
      </c>
      <c r="Y1314" s="1" t="str">
        <f t="shared" si="124"/>
        <v>SPAIN</v>
      </c>
      <c r="Z1314" s="4" t="str">
        <f t="shared" si="125"/>
        <v>Spain</v>
      </c>
      <c r="AA1314" t="s">
        <v>178</v>
      </c>
      <c r="AB1314" t="s">
        <v>42</v>
      </c>
      <c r="AC1314" t="s">
        <v>179</v>
      </c>
      <c r="AD1314" t="s">
        <v>180</v>
      </c>
      <c r="AE1314" t="s">
        <v>36</v>
      </c>
    </row>
    <row r="1315" spans="1:31" x14ac:dyDescent="0.3">
      <c r="A1315">
        <v>10396</v>
      </c>
      <c r="B1315">
        <v>45</v>
      </c>
      <c r="C1315">
        <v>100</v>
      </c>
      <c r="D1315">
        <v>5</v>
      </c>
      <c r="E1315" s="4" t="str">
        <f t="shared" si="120"/>
        <v>high sales</v>
      </c>
      <c r="F1315">
        <v>4739.3999999999996</v>
      </c>
      <c r="G1315" t="s">
        <v>1987</v>
      </c>
      <c r="H1315" s="1" t="str">
        <f t="shared" si="121"/>
        <v>Shipped</v>
      </c>
      <c r="I1315" s="4" t="str">
        <f t="shared" si="122"/>
        <v>completed</v>
      </c>
      <c r="J1315" t="s">
        <v>25</v>
      </c>
      <c r="K1315">
        <v>1</v>
      </c>
      <c r="L1315">
        <v>3</v>
      </c>
      <c r="M1315">
        <v>2005</v>
      </c>
      <c r="N1315" t="s">
        <v>550</v>
      </c>
      <c r="O1315">
        <v>87</v>
      </c>
      <c r="P1315" t="s">
        <v>615</v>
      </c>
      <c r="Q1315" t="s">
        <v>272</v>
      </c>
      <c r="R1315">
        <v>4155551450</v>
      </c>
      <c r="S1315" t="s">
        <v>273</v>
      </c>
      <c r="U1315" s="1" t="str">
        <f t="shared" si="123"/>
        <v>San Rafael</v>
      </c>
      <c r="V1315" t="s">
        <v>274</v>
      </c>
      <c r="W1315" t="s">
        <v>55</v>
      </c>
      <c r="X1315">
        <v>97562</v>
      </c>
      <c r="Y1315" s="1" t="str">
        <f t="shared" si="124"/>
        <v>USA</v>
      </c>
      <c r="Z1315" s="4" t="str">
        <f t="shared" si="125"/>
        <v>Usa</v>
      </c>
      <c r="AA1315" t="s">
        <v>32</v>
      </c>
      <c r="AB1315" t="s">
        <v>33</v>
      </c>
      <c r="AC1315" t="s">
        <v>275</v>
      </c>
      <c r="AD1315" t="s">
        <v>276</v>
      </c>
      <c r="AE1315" t="s">
        <v>51</v>
      </c>
    </row>
    <row r="1316" spans="1:31" x14ac:dyDescent="0.3">
      <c r="A1316">
        <v>10414</v>
      </c>
      <c r="B1316">
        <v>16</v>
      </c>
      <c r="C1316">
        <v>75.48</v>
      </c>
      <c r="D1316">
        <v>11</v>
      </c>
      <c r="E1316" s="4" t="str">
        <f t="shared" si="120"/>
        <v>low sales</v>
      </c>
      <c r="F1316">
        <v>1207.68</v>
      </c>
      <c r="G1316" t="s">
        <v>1988</v>
      </c>
      <c r="H1316" s="1" t="str">
        <f t="shared" si="121"/>
        <v>On Hold</v>
      </c>
      <c r="I1316" s="4" t="str">
        <f t="shared" si="122"/>
        <v>not completed</v>
      </c>
      <c r="J1316" t="s">
        <v>401</v>
      </c>
      <c r="K1316">
        <v>2</v>
      </c>
      <c r="L1316">
        <v>5</v>
      </c>
      <c r="M1316">
        <v>2005</v>
      </c>
      <c r="N1316" t="s">
        <v>550</v>
      </c>
      <c r="O1316">
        <v>87</v>
      </c>
      <c r="P1316" t="s">
        <v>615</v>
      </c>
      <c r="Q1316" t="s">
        <v>379</v>
      </c>
      <c r="R1316">
        <v>6175559555</v>
      </c>
      <c r="S1316" t="s">
        <v>380</v>
      </c>
      <c r="U1316" s="1" t="str">
        <f t="shared" si="123"/>
        <v>Boston</v>
      </c>
      <c r="V1316" t="s">
        <v>381</v>
      </c>
      <c r="W1316" t="s">
        <v>123</v>
      </c>
      <c r="X1316">
        <v>51003</v>
      </c>
      <c r="Y1316" s="1" t="str">
        <f t="shared" si="124"/>
        <v>USA</v>
      </c>
      <c r="Z1316" s="4" t="str">
        <f t="shared" si="125"/>
        <v>Usa</v>
      </c>
      <c r="AA1316" t="s">
        <v>32</v>
      </c>
      <c r="AB1316" t="s">
        <v>33</v>
      </c>
      <c r="AC1316" t="s">
        <v>382</v>
      </c>
      <c r="AD1316" t="s">
        <v>66</v>
      </c>
      <c r="AE1316" t="s">
        <v>36</v>
      </c>
    </row>
    <row r="1317" spans="1:31" x14ac:dyDescent="0.3">
      <c r="A1317">
        <v>10103</v>
      </c>
      <c r="B1317">
        <v>36</v>
      </c>
      <c r="C1317">
        <v>100</v>
      </c>
      <c r="D1317">
        <v>5</v>
      </c>
      <c r="E1317" s="4" t="str">
        <f t="shared" si="120"/>
        <v>high sales</v>
      </c>
      <c r="F1317">
        <v>4228.2</v>
      </c>
      <c r="G1317" t="s">
        <v>1989</v>
      </c>
      <c r="H1317" s="1" t="str">
        <f t="shared" si="121"/>
        <v>Shipped</v>
      </c>
      <c r="I1317" s="4" t="str">
        <f t="shared" si="122"/>
        <v>completed</v>
      </c>
      <c r="J1317" t="s">
        <v>25</v>
      </c>
      <c r="K1317">
        <v>1</v>
      </c>
      <c r="L1317">
        <v>1</v>
      </c>
      <c r="M1317">
        <v>2003</v>
      </c>
      <c r="N1317" t="s">
        <v>504</v>
      </c>
      <c r="O1317">
        <v>121</v>
      </c>
      <c r="P1317" t="s">
        <v>616</v>
      </c>
      <c r="Q1317" t="s">
        <v>133</v>
      </c>
      <c r="R1317" t="s">
        <v>134</v>
      </c>
      <c r="S1317" t="s">
        <v>135</v>
      </c>
      <c r="U1317" s="1" t="str">
        <f t="shared" si="123"/>
        <v>Stavern</v>
      </c>
      <c r="V1317" t="s">
        <v>136</v>
      </c>
      <c r="X1317">
        <v>4110</v>
      </c>
      <c r="Y1317" s="1" t="str">
        <f t="shared" si="124"/>
        <v>NORWAY</v>
      </c>
      <c r="Z1317" s="4" t="str">
        <f t="shared" si="125"/>
        <v>Norway</v>
      </c>
      <c r="AA1317" t="s">
        <v>78</v>
      </c>
      <c r="AB1317" t="s">
        <v>42</v>
      </c>
      <c r="AC1317" t="s">
        <v>137</v>
      </c>
      <c r="AD1317" t="s">
        <v>138</v>
      </c>
      <c r="AE1317" t="s">
        <v>51</v>
      </c>
    </row>
    <row r="1318" spans="1:31" x14ac:dyDescent="0.3">
      <c r="A1318">
        <v>10114</v>
      </c>
      <c r="B1318">
        <v>41</v>
      </c>
      <c r="C1318">
        <v>100</v>
      </c>
      <c r="D1318">
        <v>9</v>
      </c>
      <c r="E1318" s="4" t="str">
        <f t="shared" si="120"/>
        <v>high sales</v>
      </c>
      <c r="F1318">
        <v>4815.45</v>
      </c>
      <c r="G1318" t="s">
        <v>1990</v>
      </c>
      <c r="H1318" s="1" t="str">
        <f t="shared" si="121"/>
        <v>Shipped</v>
      </c>
      <c r="I1318" s="4" t="str">
        <f t="shared" si="122"/>
        <v>completed</v>
      </c>
      <c r="J1318" t="s">
        <v>25</v>
      </c>
      <c r="K1318">
        <v>2</v>
      </c>
      <c r="L1318">
        <v>4</v>
      </c>
      <c r="M1318">
        <v>2003</v>
      </c>
      <c r="N1318" t="s">
        <v>504</v>
      </c>
      <c r="O1318">
        <v>121</v>
      </c>
      <c r="P1318" t="s">
        <v>616</v>
      </c>
      <c r="Q1318" t="s">
        <v>403</v>
      </c>
      <c r="R1318" t="s">
        <v>404</v>
      </c>
      <c r="S1318" t="s">
        <v>405</v>
      </c>
      <c r="U1318" s="1" t="str">
        <f t="shared" si="123"/>
        <v>Paris</v>
      </c>
      <c r="V1318" t="s">
        <v>48</v>
      </c>
      <c r="X1318">
        <v>75012</v>
      </c>
      <c r="Y1318" s="1" t="str">
        <f t="shared" si="124"/>
        <v>FRANCE</v>
      </c>
      <c r="Z1318" s="4" t="str">
        <f t="shared" si="125"/>
        <v>France</v>
      </c>
      <c r="AA1318" t="s">
        <v>41</v>
      </c>
      <c r="AB1318" t="s">
        <v>42</v>
      </c>
      <c r="AC1318" t="s">
        <v>406</v>
      </c>
      <c r="AD1318" t="s">
        <v>407</v>
      </c>
      <c r="AE1318" t="s">
        <v>51</v>
      </c>
    </row>
    <row r="1319" spans="1:31" x14ac:dyDescent="0.3">
      <c r="A1319">
        <v>10126</v>
      </c>
      <c r="B1319">
        <v>50</v>
      </c>
      <c r="C1319">
        <v>100</v>
      </c>
      <c r="D1319">
        <v>5</v>
      </c>
      <c r="E1319" s="4" t="str">
        <f t="shared" si="120"/>
        <v>high sales</v>
      </c>
      <c r="F1319">
        <v>7083</v>
      </c>
      <c r="G1319" t="s">
        <v>1991</v>
      </c>
      <c r="H1319" s="1" t="str">
        <f t="shared" si="121"/>
        <v>Shipped</v>
      </c>
      <c r="I1319" s="4" t="str">
        <f t="shared" si="122"/>
        <v>completed</v>
      </c>
      <c r="J1319" t="s">
        <v>25</v>
      </c>
      <c r="K1319">
        <v>2</v>
      </c>
      <c r="L1319">
        <v>5</v>
      </c>
      <c r="M1319">
        <v>2003</v>
      </c>
      <c r="N1319" t="s">
        <v>504</v>
      </c>
      <c r="O1319">
        <v>121</v>
      </c>
      <c r="P1319" t="s">
        <v>616</v>
      </c>
      <c r="Q1319" t="s">
        <v>191</v>
      </c>
      <c r="R1319" t="s">
        <v>192</v>
      </c>
      <c r="S1319" t="s">
        <v>193</v>
      </c>
      <c r="U1319" s="1" t="str">
        <f t="shared" si="123"/>
        <v>Madrid</v>
      </c>
      <c r="V1319" t="s">
        <v>177</v>
      </c>
      <c r="X1319">
        <v>28023</v>
      </c>
      <c r="Y1319" s="1" t="str">
        <f t="shared" si="124"/>
        <v>SPAIN</v>
      </c>
      <c r="Z1319" s="4" t="str">
        <f t="shared" si="125"/>
        <v>Spain</v>
      </c>
      <c r="AA1319" t="s">
        <v>178</v>
      </c>
      <c r="AB1319" t="s">
        <v>42</v>
      </c>
      <c r="AC1319" t="s">
        <v>194</v>
      </c>
      <c r="AD1319" t="s">
        <v>195</v>
      </c>
      <c r="AE1319" t="s">
        <v>151</v>
      </c>
    </row>
    <row r="1320" spans="1:31" x14ac:dyDescent="0.3">
      <c r="A1320">
        <v>10140</v>
      </c>
      <c r="B1320">
        <v>40</v>
      </c>
      <c r="C1320">
        <v>100</v>
      </c>
      <c r="D1320">
        <v>5</v>
      </c>
      <c r="E1320" s="4" t="str">
        <f t="shared" si="120"/>
        <v>high sales</v>
      </c>
      <c r="F1320">
        <v>4601.2</v>
      </c>
      <c r="G1320" t="s">
        <v>1992</v>
      </c>
      <c r="H1320" s="1" t="str">
        <f t="shared" si="121"/>
        <v>Shipped</v>
      </c>
      <c r="I1320" s="4" t="str">
        <f t="shared" si="122"/>
        <v>completed</v>
      </c>
      <c r="J1320" t="s">
        <v>25</v>
      </c>
      <c r="K1320">
        <v>3</v>
      </c>
      <c r="L1320">
        <v>7</v>
      </c>
      <c r="M1320">
        <v>2003</v>
      </c>
      <c r="N1320" t="s">
        <v>504</v>
      </c>
      <c r="O1320">
        <v>121</v>
      </c>
      <c r="P1320" t="s">
        <v>616</v>
      </c>
      <c r="Q1320" t="s">
        <v>62</v>
      </c>
      <c r="R1320">
        <v>6505556809</v>
      </c>
      <c r="S1320" t="s">
        <v>63</v>
      </c>
      <c r="U1320" s="1" t="str">
        <f t="shared" si="123"/>
        <v>Burlingame</v>
      </c>
      <c r="V1320" t="s">
        <v>64</v>
      </c>
      <c r="W1320" t="s">
        <v>55</v>
      </c>
      <c r="X1320">
        <v>94217</v>
      </c>
      <c r="Y1320" s="1" t="str">
        <f t="shared" si="124"/>
        <v>USA</v>
      </c>
      <c r="Z1320" s="4" t="str">
        <f t="shared" si="125"/>
        <v>Usa</v>
      </c>
      <c r="AA1320" t="s">
        <v>32</v>
      </c>
      <c r="AB1320" t="s">
        <v>33</v>
      </c>
      <c r="AC1320" t="s">
        <v>65</v>
      </c>
      <c r="AD1320" t="s">
        <v>66</v>
      </c>
      <c r="AE1320" t="s">
        <v>51</v>
      </c>
    </row>
    <row r="1321" spans="1:31" x14ac:dyDescent="0.3">
      <c r="A1321">
        <v>10150</v>
      </c>
      <c r="B1321">
        <v>49</v>
      </c>
      <c r="C1321">
        <v>100</v>
      </c>
      <c r="D1321">
        <v>2</v>
      </c>
      <c r="E1321" s="4" t="str">
        <f t="shared" si="120"/>
        <v>high sales</v>
      </c>
      <c r="F1321">
        <v>6467.02</v>
      </c>
      <c r="G1321" t="s">
        <v>1993</v>
      </c>
      <c r="H1321" s="1" t="str">
        <f t="shared" si="121"/>
        <v>Shipped</v>
      </c>
      <c r="I1321" s="4" t="str">
        <f t="shared" si="122"/>
        <v>completed</v>
      </c>
      <c r="J1321" t="s">
        <v>25</v>
      </c>
      <c r="K1321">
        <v>3</v>
      </c>
      <c r="L1321">
        <v>9</v>
      </c>
      <c r="M1321">
        <v>2003</v>
      </c>
      <c r="N1321" t="s">
        <v>504</v>
      </c>
      <c r="O1321">
        <v>121</v>
      </c>
      <c r="P1321" t="s">
        <v>616</v>
      </c>
      <c r="Q1321" t="s">
        <v>196</v>
      </c>
      <c r="R1321" t="s">
        <v>197</v>
      </c>
      <c r="S1321" t="s">
        <v>198</v>
      </c>
      <c r="U1321" s="1" t="str">
        <f t="shared" si="123"/>
        <v>Singapore</v>
      </c>
      <c r="V1321" t="s">
        <v>199</v>
      </c>
      <c r="X1321">
        <v>79903</v>
      </c>
      <c r="Y1321" s="1" t="str">
        <f t="shared" si="124"/>
        <v>SINGAPORE</v>
      </c>
      <c r="Z1321" s="4" t="str">
        <f t="shared" si="125"/>
        <v>Singapore</v>
      </c>
      <c r="AA1321" t="s">
        <v>199</v>
      </c>
      <c r="AB1321" t="s">
        <v>200</v>
      </c>
      <c r="AC1321" t="s">
        <v>201</v>
      </c>
      <c r="AD1321" t="s">
        <v>202</v>
      </c>
      <c r="AE1321" t="s">
        <v>51</v>
      </c>
    </row>
    <row r="1322" spans="1:31" x14ac:dyDescent="0.3">
      <c r="A1322">
        <v>10164</v>
      </c>
      <c r="B1322">
        <v>45</v>
      </c>
      <c r="C1322">
        <v>100</v>
      </c>
      <c r="D1322">
        <v>3</v>
      </c>
      <c r="E1322" s="4" t="str">
        <f t="shared" si="120"/>
        <v>high sales</v>
      </c>
      <c r="F1322">
        <v>5012.55</v>
      </c>
      <c r="G1322" t="s">
        <v>1994</v>
      </c>
      <c r="H1322" s="1" t="str">
        <f t="shared" si="121"/>
        <v>Resolved</v>
      </c>
      <c r="I1322" s="4" t="str">
        <f t="shared" si="122"/>
        <v>not completed</v>
      </c>
      <c r="J1322" t="s">
        <v>408</v>
      </c>
      <c r="K1322">
        <v>4</v>
      </c>
      <c r="L1322">
        <v>10</v>
      </c>
      <c r="M1322">
        <v>2003</v>
      </c>
      <c r="N1322" t="s">
        <v>504</v>
      </c>
      <c r="O1322">
        <v>121</v>
      </c>
      <c r="P1322" t="s">
        <v>616</v>
      </c>
      <c r="Q1322" t="s">
        <v>409</v>
      </c>
      <c r="R1322" t="s">
        <v>410</v>
      </c>
      <c r="S1322" t="s">
        <v>411</v>
      </c>
      <c r="U1322" s="1" t="str">
        <f t="shared" si="123"/>
        <v>Graz</v>
      </c>
      <c r="V1322" t="s">
        <v>412</v>
      </c>
      <c r="X1322">
        <v>8010</v>
      </c>
      <c r="Y1322" s="1" t="str">
        <f t="shared" si="124"/>
        <v>AUSTRIA</v>
      </c>
      <c r="Z1322" s="4" t="str">
        <f t="shared" si="125"/>
        <v>Austria</v>
      </c>
      <c r="AA1322" t="s">
        <v>148</v>
      </c>
      <c r="AB1322" t="s">
        <v>42</v>
      </c>
      <c r="AC1322" t="s">
        <v>413</v>
      </c>
      <c r="AD1322" t="s">
        <v>414</v>
      </c>
      <c r="AE1322" t="s">
        <v>51</v>
      </c>
    </row>
    <row r="1323" spans="1:31" x14ac:dyDescent="0.3">
      <c r="A1323">
        <v>10175</v>
      </c>
      <c r="B1323">
        <v>47</v>
      </c>
      <c r="C1323">
        <v>100</v>
      </c>
      <c r="D1323">
        <v>10</v>
      </c>
      <c r="E1323" s="4" t="str">
        <f t="shared" si="120"/>
        <v>high sales</v>
      </c>
      <c r="F1323">
        <v>5121.59</v>
      </c>
      <c r="G1323" t="s">
        <v>1995</v>
      </c>
      <c r="H1323" s="1" t="str">
        <f t="shared" si="121"/>
        <v>Shipped</v>
      </c>
      <c r="I1323" s="4" t="str">
        <f t="shared" si="122"/>
        <v>completed</v>
      </c>
      <c r="J1323" t="s">
        <v>25</v>
      </c>
      <c r="K1323">
        <v>4</v>
      </c>
      <c r="L1323">
        <v>11</v>
      </c>
      <c r="M1323">
        <v>2003</v>
      </c>
      <c r="N1323" t="s">
        <v>504</v>
      </c>
      <c r="O1323">
        <v>121</v>
      </c>
      <c r="P1323" t="s">
        <v>616</v>
      </c>
      <c r="Q1323" t="s">
        <v>329</v>
      </c>
      <c r="R1323" t="s">
        <v>330</v>
      </c>
      <c r="S1323" t="s">
        <v>331</v>
      </c>
      <c r="U1323" s="1" t="str">
        <f t="shared" si="123"/>
        <v>London</v>
      </c>
      <c r="V1323" t="s">
        <v>332</v>
      </c>
      <c r="X1323" t="s">
        <v>333</v>
      </c>
      <c r="Y1323" s="1" t="str">
        <f t="shared" si="124"/>
        <v>UK</v>
      </c>
      <c r="Z1323" s="4" t="str">
        <f t="shared" si="125"/>
        <v>Uk</v>
      </c>
      <c r="AA1323" t="s">
        <v>170</v>
      </c>
      <c r="AB1323" t="s">
        <v>42</v>
      </c>
      <c r="AC1323" t="s">
        <v>61</v>
      </c>
      <c r="AD1323" t="s">
        <v>334</v>
      </c>
      <c r="AE1323" t="s">
        <v>51</v>
      </c>
    </row>
    <row r="1324" spans="1:31" x14ac:dyDescent="0.3">
      <c r="A1324">
        <v>10183</v>
      </c>
      <c r="B1324">
        <v>21</v>
      </c>
      <c r="C1324">
        <v>100</v>
      </c>
      <c r="D1324">
        <v>2</v>
      </c>
      <c r="E1324" s="4" t="str">
        <f t="shared" si="120"/>
        <v>low sales</v>
      </c>
      <c r="F1324">
        <v>2441.04</v>
      </c>
      <c r="G1324" t="s">
        <v>1996</v>
      </c>
      <c r="H1324" s="1" t="str">
        <f t="shared" si="121"/>
        <v>Shipped</v>
      </c>
      <c r="I1324" s="4" t="str">
        <f t="shared" si="122"/>
        <v>completed</v>
      </c>
      <c r="J1324" t="s">
        <v>25</v>
      </c>
      <c r="K1324">
        <v>4</v>
      </c>
      <c r="L1324">
        <v>11</v>
      </c>
      <c r="M1324">
        <v>2003</v>
      </c>
      <c r="N1324" t="s">
        <v>504</v>
      </c>
      <c r="O1324">
        <v>121</v>
      </c>
      <c r="P1324" t="s">
        <v>616</v>
      </c>
      <c r="Q1324" t="s">
        <v>214</v>
      </c>
      <c r="R1324">
        <v>2155554695</v>
      </c>
      <c r="S1324" t="s">
        <v>215</v>
      </c>
      <c r="U1324" s="1" t="str">
        <f t="shared" si="123"/>
        <v>Philadelphia</v>
      </c>
      <c r="V1324" t="s">
        <v>216</v>
      </c>
      <c r="W1324" t="s">
        <v>142</v>
      </c>
      <c r="X1324">
        <v>71270</v>
      </c>
      <c r="Y1324" s="1" t="str">
        <f t="shared" si="124"/>
        <v>USA</v>
      </c>
      <c r="Z1324" s="4" t="str">
        <f t="shared" si="125"/>
        <v>Usa</v>
      </c>
      <c r="AA1324" t="s">
        <v>32</v>
      </c>
      <c r="AB1324" t="s">
        <v>33</v>
      </c>
      <c r="AC1324" t="s">
        <v>217</v>
      </c>
      <c r="AD1324" t="s">
        <v>218</v>
      </c>
      <c r="AE1324" t="s">
        <v>36</v>
      </c>
    </row>
    <row r="1325" spans="1:31" x14ac:dyDescent="0.3">
      <c r="A1325">
        <v>10194</v>
      </c>
      <c r="B1325">
        <v>32</v>
      </c>
      <c r="C1325">
        <v>100</v>
      </c>
      <c r="D1325">
        <v>5</v>
      </c>
      <c r="E1325" s="4" t="str">
        <f t="shared" si="120"/>
        <v>high sales</v>
      </c>
      <c r="F1325">
        <v>4262.08</v>
      </c>
      <c r="G1325" t="s">
        <v>1997</v>
      </c>
      <c r="H1325" s="1" t="str">
        <f t="shared" si="121"/>
        <v>Shipped</v>
      </c>
      <c r="I1325" s="4" t="str">
        <f t="shared" si="122"/>
        <v>completed</v>
      </c>
      <c r="J1325" t="s">
        <v>25</v>
      </c>
      <c r="K1325">
        <v>4</v>
      </c>
      <c r="L1325">
        <v>11</v>
      </c>
      <c r="M1325">
        <v>2003</v>
      </c>
      <c r="N1325" t="s">
        <v>504</v>
      </c>
      <c r="O1325">
        <v>121</v>
      </c>
      <c r="P1325" t="s">
        <v>616</v>
      </c>
      <c r="Q1325" t="s">
        <v>219</v>
      </c>
      <c r="R1325" t="s">
        <v>220</v>
      </c>
      <c r="S1325" t="s">
        <v>221</v>
      </c>
      <c r="U1325" s="1" t="str">
        <f t="shared" si="123"/>
        <v>Lyon</v>
      </c>
      <c r="V1325" t="s">
        <v>222</v>
      </c>
      <c r="X1325">
        <v>69004</v>
      </c>
      <c r="Y1325" s="1" t="str">
        <f t="shared" si="124"/>
        <v>FRANCE</v>
      </c>
      <c r="Z1325" s="4" t="str">
        <f t="shared" si="125"/>
        <v>France</v>
      </c>
      <c r="AA1325" t="s">
        <v>41</v>
      </c>
      <c r="AB1325" t="s">
        <v>42</v>
      </c>
      <c r="AC1325" t="s">
        <v>223</v>
      </c>
      <c r="AD1325" t="s">
        <v>224</v>
      </c>
      <c r="AE1325" t="s">
        <v>51</v>
      </c>
    </row>
    <row r="1326" spans="1:31" x14ac:dyDescent="0.3">
      <c r="A1326">
        <v>10207</v>
      </c>
      <c r="B1326">
        <v>47</v>
      </c>
      <c r="C1326">
        <v>100</v>
      </c>
      <c r="D1326">
        <v>16</v>
      </c>
      <c r="E1326" s="4" t="str">
        <f t="shared" si="120"/>
        <v>high sales</v>
      </c>
      <c r="F1326">
        <v>6658.02</v>
      </c>
      <c r="G1326" t="s">
        <v>1998</v>
      </c>
      <c r="H1326" s="1" t="str">
        <f t="shared" si="121"/>
        <v>Shipped</v>
      </c>
      <c r="I1326" s="4" t="str">
        <f t="shared" si="122"/>
        <v>completed</v>
      </c>
      <c r="J1326" t="s">
        <v>25</v>
      </c>
      <c r="K1326">
        <v>4</v>
      </c>
      <c r="L1326">
        <v>12</v>
      </c>
      <c r="M1326">
        <v>2003</v>
      </c>
      <c r="N1326" t="s">
        <v>504</v>
      </c>
      <c r="O1326">
        <v>121</v>
      </c>
      <c r="P1326" t="s">
        <v>616</v>
      </c>
      <c r="Q1326" t="s">
        <v>415</v>
      </c>
      <c r="R1326">
        <v>6175552555</v>
      </c>
      <c r="S1326" t="s">
        <v>416</v>
      </c>
      <c r="U1326" s="1" t="str">
        <f t="shared" si="123"/>
        <v>Boston</v>
      </c>
      <c r="V1326" t="s">
        <v>381</v>
      </c>
      <c r="W1326" t="s">
        <v>123</v>
      </c>
      <c r="X1326">
        <v>51003</v>
      </c>
      <c r="Y1326" s="1" t="str">
        <f t="shared" si="124"/>
        <v>USA</v>
      </c>
      <c r="Z1326" s="4" t="str">
        <f t="shared" si="125"/>
        <v>Usa</v>
      </c>
      <c r="AA1326" t="s">
        <v>32</v>
      </c>
      <c r="AB1326" t="s">
        <v>33</v>
      </c>
      <c r="AC1326" t="s">
        <v>417</v>
      </c>
      <c r="AD1326" t="s">
        <v>276</v>
      </c>
      <c r="AE1326" t="s">
        <v>51</v>
      </c>
    </row>
    <row r="1327" spans="1:31" x14ac:dyDescent="0.3">
      <c r="A1327">
        <v>10217</v>
      </c>
      <c r="B1327">
        <v>38</v>
      </c>
      <c r="C1327">
        <v>100</v>
      </c>
      <c r="D1327">
        <v>5</v>
      </c>
      <c r="E1327" s="4" t="str">
        <f t="shared" si="120"/>
        <v>high sales</v>
      </c>
      <c r="F1327">
        <v>4509.08</v>
      </c>
      <c r="G1327" t="s">
        <v>1999</v>
      </c>
      <c r="H1327" s="1" t="str">
        <f t="shared" si="121"/>
        <v>Shipped</v>
      </c>
      <c r="I1327" s="4" t="str">
        <f t="shared" si="122"/>
        <v>completed</v>
      </c>
      <c r="J1327" t="s">
        <v>25</v>
      </c>
      <c r="K1327">
        <v>1</v>
      </c>
      <c r="L1327">
        <v>2</v>
      </c>
      <c r="M1327">
        <v>2004</v>
      </c>
      <c r="N1327" t="s">
        <v>504</v>
      </c>
      <c r="O1327">
        <v>121</v>
      </c>
      <c r="P1327" t="s">
        <v>616</v>
      </c>
      <c r="Q1327" t="s">
        <v>418</v>
      </c>
      <c r="R1327" t="s">
        <v>419</v>
      </c>
      <c r="S1327" t="s">
        <v>420</v>
      </c>
      <c r="T1327" t="s">
        <v>421</v>
      </c>
      <c r="U1327" s="1" t="str">
        <f t="shared" si="123"/>
        <v>Singapore</v>
      </c>
      <c r="V1327" t="s">
        <v>199</v>
      </c>
      <c r="X1327">
        <v>69045</v>
      </c>
      <c r="Y1327" s="1" t="str">
        <f t="shared" si="124"/>
        <v>SINGAPORE</v>
      </c>
      <c r="Z1327" s="4" t="str">
        <f t="shared" si="125"/>
        <v>Singapore</v>
      </c>
      <c r="AA1327" t="s">
        <v>199</v>
      </c>
      <c r="AB1327" t="s">
        <v>96</v>
      </c>
      <c r="AC1327" t="s">
        <v>422</v>
      </c>
      <c r="AD1327" t="s">
        <v>423</v>
      </c>
      <c r="AE1327" t="s">
        <v>51</v>
      </c>
    </row>
    <row r="1328" spans="1:31" x14ac:dyDescent="0.3">
      <c r="A1328">
        <v>10229</v>
      </c>
      <c r="B1328">
        <v>41</v>
      </c>
      <c r="C1328">
        <v>100</v>
      </c>
      <c r="D1328">
        <v>10</v>
      </c>
      <c r="E1328" s="4" t="str">
        <f t="shared" si="120"/>
        <v>high sales</v>
      </c>
      <c r="F1328">
        <v>4716.2299999999996</v>
      </c>
      <c r="G1328" t="s">
        <v>2000</v>
      </c>
      <c r="H1328" s="1" t="str">
        <f t="shared" si="121"/>
        <v>Shipped</v>
      </c>
      <c r="I1328" s="4" t="str">
        <f t="shared" si="122"/>
        <v>completed</v>
      </c>
      <c r="J1328" t="s">
        <v>25</v>
      </c>
      <c r="K1328">
        <v>1</v>
      </c>
      <c r="L1328">
        <v>3</v>
      </c>
      <c r="M1328">
        <v>2004</v>
      </c>
      <c r="N1328" t="s">
        <v>504</v>
      </c>
      <c r="O1328">
        <v>121</v>
      </c>
      <c r="P1328" t="s">
        <v>616</v>
      </c>
      <c r="Q1328" t="s">
        <v>272</v>
      </c>
      <c r="R1328">
        <v>4155551450</v>
      </c>
      <c r="S1328" t="s">
        <v>273</v>
      </c>
      <c r="U1328" s="1" t="str">
        <f t="shared" si="123"/>
        <v>San Rafael</v>
      </c>
      <c r="V1328" t="s">
        <v>274</v>
      </c>
      <c r="W1328" t="s">
        <v>55</v>
      </c>
      <c r="X1328">
        <v>97562</v>
      </c>
      <c r="Y1328" s="1" t="str">
        <f t="shared" si="124"/>
        <v>USA</v>
      </c>
      <c r="Z1328" s="4" t="str">
        <f t="shared" si="125"/>
        <v>Usa</v>
      </c>
      <c r="AA1328" t="s">
        <v>32</v>
      </c>
      <c r="AB1328" t="s">
        <v>33</v>
      </c>
      <c r="AC1328" t="s">
        <v>275</v>
      </c>
      <c r="AD1328" t="s">
        <v>276</v>
      </c>
      <c r="AE1328" t="s">
        <v>51</v>
      </c>
    </row>
    <row r="1329" spans="1:31" x14ac:dyDescent="0.3">
      <c r="A1329">
        <v>10245</v>
      </c>
      <c r="B1329">
        <v>21</v>
      </c>
      <c r="C1329">
        <v>100</v>
      </c>
      <c r="D1329">
        <v>3</v>
      </c>
      <c r="E1329" s="4" t="str">
        <f t="shared" si="120"/>
        <v>low sales</v>
      </c>
      <c r="F1329">
        <v>2390.2199999999998</v>
      </c>
      <c r="G1329" t="s">
        <v>2001</v>
      </c>
      <c r="H1329" s="1" t="str">
        <f t="shared" si="121"/>
        <v>Shipped</v>
      </c>
      <c r="I1329" s="4" t="str">
        <f t="shared" si="122"/>
        <v>completed</v>
      </c>
      <c r="J1329" t="s">
        <v>25</v>
      </c>
      <c r="K1329">
        <v>2</v>
      </c>
      <c r="L1329">
        <v>5</v>
      </c>
      <c r="M1329">
        <v>2004</v>
      </c>
      <c r="N1329" t="s">
        <v>504</v>
      </c>
      <c r="O1329">
        <v>121</v>
      </c>
      <c r="P1329" t="s">
        <v>616</v>
      </c>
      <c r="Q1329" t="s">
        <v>242</v>
      </c>
      <c r="R1329">
        <v>2035559545</v>
      </c>
      <c r="S1329" t="s">
        <v>243</v>
      </c>
      <c r="U1329" s="1" t="str">
        <f t="shared" si="123"/>
        <v>New Haven</v>
      </c>
      <c r="V1329" t="s">
        <v>244</v>
      </c>
      <c r="W1329" t="s">
        <v>112</v>
      </c>
      <c r="X1329">
        <v>97823</v>
      </c>
      <c r="Y1329" s="1" t="str">
        <f t="shared" si="124"/>
        <v>USA</v>
      </c>
      <c r="Z1329" s="4" t="str">
        <f t="shared" si="125"/>
        <v>Usa</v>
      </c>
      <c r="AA1329" t="s">
        <v>32</v>
      </c>
      <c r="AB1329" t="s">
        <v>33</v>
      </c>
      <c r="AC1329" t="s">
        <v>83</v>
      </c>
      <c r="AD1329" t="s">
        <v>245</v>
      </c>
      <c r="AE1329" t="s">
        <v>36</v>
      </c>
    </row>
    <row r="1330" spans="1:31" x14ac:dyDescent="0.3">
      <c r="A1330">
        <v>10259</v>
      </c>
      <c r="B1330">
        <v>41</v>
      </c>
      <c r="C1330">
        <v>100</v>
      </c>
      <c r="D1330">
        <v>13</v>
      </c>
      <c r="E1330" s="4" t="str">
        <f t="shared" si="120"/>
        <v>high sales</v>
      </c>
      <c r="F1330">
        <v>4666.62</v>
      </c>
      <c r="G1330" t="s">
        <v>2002</v>
      </c>
      <c r="H1330" s="1" t="str">
        <f t="shared" si="121"/>
        <v>Shipped</v>
      </c>
      <c r="I1330" s="4" t="str">
        <f t="shared" si="122"/>
        <v>completed</v>
      </c>
      <c r="J1330" t="s">
        <v>25</v>
      </c>
      <c r="K1330">
        <v>2</v>
      </c>
      <c r="L1330">
        <v>6</v>
      </c>
      <c r="M1330">
        <v>2004</v>
      </c>
      <c r="N1330" t="s">
        <v>504</v>
      </c>
      <c r="O1330">
        <v>121</v>
      </c>
      <c r="P1330" t="s">
        <v>616</v>
      </c>
      <c r="Q1330" t="s">
        <v>418</v>
      </c>
      <c r="R1330" t="s">
        <v>419</v>
      </c>
      <c r="S1330" t="s">
        <v>420</v>
      </c>
      <c r="T1330" t="s">
        <v>421</v>
      </c>
      <c r="U1330" s="1" t="str">
        <f t="shared" si="123"/>
        <v>Singapore</v>
      </c>
      <c r="V1330" t="s">
        <v>199</v>
      </c>
      <c r="X1330">
        <v>69045</v>
      </c>
      <c r="Y1330" s="1" t="str">
        <f t="shared" si="124"/>
        <v>SINGAPORE</v>
      </c>
      <c r="Z1330" s="4" t="str">
        <f t="shared" si="125"/>
        <v>Singapore</v>
      </c>
      <c r="AA1330" t="s">
        <v>199</v>
      </c>
      <c r="AB1330" t="s">
        <v>96</v>
      </c>
      <c r="AC1330" t="s">
        <v>422</v>
      </c>
      <c r="AD1330" t="s">
        <v>423</v>
      </c>
      <c r="AE1330" t="s">
        <v>51</v>
      </c>
    </row>
    <row r="1331" spans="1:31" x14ac:dyDescent="0.3">
      <c r="A1331">
        <v>10270</v>
      </c>
      <c r="B1331">
        <v>38</v>
      </c>
      <c r="C1331">
        <v>100</v>
      </c>
      <c r="D1331">
        <v>3</v>
      </c>
      <c r="E1331" s="4" t="str">
        <f t="shared" si="120"/>
        <v>high sales</v>
      </c>
      <c r="F1331">
        <v>5383.08</v>
      </c>
      <c r="G1331" t="s">
        <v>2003</v>
      </c>
      <c r="H1331" s="1" t="str">
        <f t="shared" si="121"/>
        <v>Shipped</v>
      </c>
      <c r="I1331" s="4" t="str">
        <f t="shared" si="122"/>
        <v>completed</v>
      </c>
      <c r="J1331" t="s">
        <v>25</v>
      </c>
      <c r="K1331">
        <v>3</v>
      </c>
      <c r="L1331">
        <v>7</v>
      </c>
      <c r="M1331">
        <v>2004</v>
      </c>
      <c r="N1331" t="s">
        <v>504</v>
      </c>
      <c r="O1331">
        <v>121</v>
      </c>
      <c r="P1331" t="s">
        <v>616</v>
      </c>
      <c r="Q1331" t="s">
        <v>152</v>
      </c>
      <c r="R1331" t="s">
        <v>153</v>
      </c>
      <c r="S1331" t="s">
        <v>154</v>
      </c>
      <c r="T1331" t="s">
        <v>155</v>
      </c>
      <c r="U1331" s="1" t="str">
        <f t="shared" si="123"/>
        <v>Chatswood</v>
      </c>
      <c r="V1331" t="s">
        <v>156</v>
      </c>
      <c r="W1331" t="s">
        <v>157</v>
      </c>
      <c r="X1331">
        <v>2067</v>
      </c>
      <c r="Y1331" s="1" t="str">
        <f t="shared" si="124"/>
        <v>AUSTRALIA</v>
      </c>
      <c r="Z1331" s="4" t="str">
        <f t="shared" si="125"/>
        <v>Australia</v>
      </c>
      <c r="AA1331" t="s">
        <v>95</v>
      </c>
      <c r="AB1331" t="s">
        <v>96</v>
      </c>
      <c r="AC1331" t="s">
        <v>158</v>
      </c>
      <c r="AD1331" t="s">
        <v>159</v>
      </c>
      <c r="AE1331" t="s">
        <v>51</v>
      </c>
    </row>
    <row r="1332" spans="1:31" x14ac:dyDescent="0.3">
      <c r="A1332">
        <v>10281</v>
      </c>
      <c r="B1332">
        <v>25</v>
      </c>
      <c r="C1332">
        <v>99.29</v>
      </c>
      <c r="D1332">
        <v>10</v>
      </c>
      <c r="E1332" s="4" t="str">
        <f t="shared" si="120"/>
        <v>low sales</v>
      </c>
      <c r="F1332">
        <v>2482.25</v>
      </c>
      <c r="G1332" t="s">
        <v>2004</v>
      </c>
      <c r="H1332" s="1" t="str">
        <f t="shared" si="121"/>
        <v>Shipped</v>
      </c>
      <c r="I1332" s="4" t="str">
        <f t="shared" si="122"/>
        <v>completed</v>
      </c>
      <c r="J1332" t="s">
        <v>25</v>
      </c>
      <c r="K1332">
        <v>3</v>
      </c>
      <c r="L1332">
        <v>8</v>
      </c>
      <c r="M1332">
        <v>2004</v>
      </c>
      <c r="N1332" t="s">
        <v>504</v>
      </c>
      <c r="O1332">
        <v>121</v>
      </c>
      <c r="P1332" t="s">
        <v>616</v>
      </c>
      <c r="Q1332" t="s">
        <v>139</v>
      </c>
      <c r="R1332">
        <v>2155551555</v>
      </c>
      <c r="S1332" t="s">
        <v>140</v>
      </c>
      <c r="U1332" s="1" t="str">
        <f t="shared" si="123"/>
        <v>Allentown</v>
      </c>
      <c r="V1332" t="s">
        <v>141</v>
      </c>
      <c r="W1332" t="s">
        <v>142</v>
      </c>
      <c r="X1332">
        <v>70267</v>
      </c>
      <c r="Y1332" s="1" t="str">
        <f t="shared" si="124"/>
        <v>USA</v>
      </c>
      <c r="Z1332" s="4" t="str">
        <f t="shared" si="125"/>
        <v>Usa</v>
      </c>
      <c r="AA1332" t="s">
        <v>32</v>
      </c>
      <c r="AB1332" t="s">
        <v>33</v>
      </c>
      <c r="AC1332" t="s">
        <v>34</v>
      </c>
      <c r="AD1332" t="s">
        <v>143</v>
      </c>
      <c r="AE1332" t="s">
        <v>36</v>
      </c>
    </row>
    <row r="1333" spans="1:31" x14ac:dyDescent="0.3">
      <c r="A1333">
        <v>10291</v>
      </c>
      <c r="B1333">
        <v>48</v>
      </c>
      <c r="C1333">
        <v>100</v>
      </c>
      <c r="D1333">
        <v>5</v>
      </c>
      <c r="E1333" s="4" t="str">
        <f t="shared" si="120"/>
        <v>high sales</v>
      </c>
      <c r="F1333">
        <v>5288.64</v>
      </c>
      <c r="G1333" t="s">
        <v>2005</v>
      </c>
      <c r="H1333" s="1" t="str">
        <f t="shared" si="121"/>
        <v>Shipped</v>
      </c>
      <c r="I1333" s="4" t="str">
        <f t="shared" si="122"/>
        <v>completed</v>
      </c>
      <c r="J1333" t="s">
        <v>25</v>
      </c>
      <c r="K1333">
        <v>3</v>
      </c>
      <c r="L1333">
        <v>9</v>
      </c>
      <c r="M1333">
        <v>2004</v>
      </c>
      <c r="N1333" t="s">
        <v>504</v>
      </c>
      <c r="O1333">
        <v>121</v>
      </c>
      <c r="P1333" t="s">
        <v>616</v>
      </c>
      <c r="Q1333" t="s">
        <v>261</v>
      </c>
      <c r="R1333" t="s">
        <v>262</v>
      </c>
      <c r="S1333" t="s">
        <v>263</v>
      </c>
      <c r="U1333" s="1" t="str">
        <f t="shared" si="123"/>
        <v>Boras</v>
      </c>
      <c r="V1333" t="s">
        <v>264</v>
      </c>
      <c r="X1333" t="s">
        <v>265</v>
      </c>
      <c r="Y1333" s="1" t="str">
        <f t="shared" si="124"/>
        <v>SWEDEN</v>
      </c>
      <c r="Z1333" s="4" t="str">
        <f t="shared" si="125"/>
        <v>Sweden</v>
      </c>
      <c r="AA1333" t="s">
        <v>188</v>
      </c>
      <c r="AB1333" t="s">
        <v>42</v>
      </c>
      <c r="AC1333" t="s">
        <v>266</v>
      </c>
      <c r="AD1333" t="s">
        <v>206</v>
      </c>
      <c r="AE1333" t="s">
        <v>51</v>
      </c>
    </row>
    <row r="1334" spans="1:31" x14ac:dyDescent="0.3">
      <c r="A1334">
        <v>10305</v>
      </c>
      <c r="B1334">
        <v>22</v>
      </c>
      <c r="C1334">
        <v>99.29</v>
      </c>
      <c r="D1334">
        <v>14</v>
      </c>
      <c r="E1334" s="4" t="str">
        <f t="shared" si="120"/>
        <v>low sales</v>
      </c>
      <c r="F1334">
        <v>2184.38</v>
      </c>
      <c r="G1334" t="s">
        <v>2006</v>
      </c>
      <c r="H1334" s="1" t="str">
        <f t="shared" si="121"/>
        <v>Shipped</v>
      </c>
      <c r="I1334" s="4" t="str">
        <f t="shared" si="122"/>
        <v>completed</v>
      </c>
      <c r="J1334" t="s">
        <v>25</v>
      </c>
      <c r="K1334">
        <v>4</v>
      </c>
      <c r="L1334">
        <v>10</v>
      </c>
      <c r="M1334">
        <v>2004</v>
      </c>
      <c r="N1334" t="s">
        <v>504</v>
      </c>
      <c r="O1334">
        <v>121</v>
      </c>
      <c r="P1334" t="s">
        <v>616</v>
      </c>
      <c r="Q1334" t="s">
        <v>120</v>
      </c>
      <c r="R1334">
        <v>6175558555</v>
      </c>
      <c r="S1334" t="s">
        <v>121</v>
      </c>
      <c r="U1334" s="1" t="str">
        <f t="shared" si="123"/>
        <v>Cambridge</v>
      </c>
      <c r="V1334" t="s">
        <v>122</v>
      </c>
      <c r="W1334" t="s">
        <v>123</v>
      </c>
      <c r="X1334">
        <v>51247</v>
      </c>
      <c r="Y1334" s="1" t="str">
        <f t="shared" si="124"/>
        <v>USA</v>
      </c>
      <c r="Z1334" s="4" t="str">
        <f t="shared" si="125"/>
        <v>Usa</v>
      </c>
      <c r="AA1334" t="s">
        <v>32</v>
      </c>
      <c r="AB1334" t="s">
        <v>33</v>
      </c>
      <c r="AC1334" t="s">
        <v>124</v>
      </c>
      <c r="AD1334" t="s">
        <v>125</v>
      </c>
      <c r="AE1334" t="s">
        <v>36</v>
      </c>
    </row>
    <row r="1335" spans="1:31" x14ac:dyDescent="0.3">
      <c r="A1335">
        <v>10313</v>
      </c>
      <c r="B1335">
        <v>28</v>
      </c>
      <c r="C1335">
        <v>100</v>
      </c>
      <c r="D1335">
        <v>8</v>
      </c>
      <c r="E1335" s="4" t="str">
        <f t="shared" si="120"/>
        <v>low sales</v>
      </c>
      <c r="F1335">
        <v>2881.76</v>
      </c>
      <c r="G1335" t="s">
        <v>2007</v>
      </c>
      <c r="H1335" s="1" t="str">
        <f t="shared" si="121"/>
        <v>Shipped</v>
      </c>
      <c r="I1335" s="4" t="str">
        <f t="shared" si="122"/>
        <v>completed</v>
      </c>
      <c r="J1335" t="s">
        <v>25</v>
      </c>
      <c r="K1335">
        <v>4</v>
      </c>
      <c r="L1335">
        <v>10</v>
      </c>
      <c r="M1335">
        <v>2004</v>
      </c>
      <c r="N1335" t="s">
        <v>504</v>
      </c>
      <c r="O1335">
        <v>121</v>
      </c>
      <c r="P1335" t="s">
        <v>616</v>
      </c>
      <c r="Q1335" t="s">
        <v>225</v>
      </c>
      <c r="R1335" t="s">
        <v>226</v>
      </c>
      <c r="S1335" t="s">
        <v>227</v>
      </c>
      <c r="U1335" s="1" t="str">
        <f t="shared" si="123"/>
        <v>Vancouver</v>
      </c>
      <c r="V1335" t="s">
        <v>228</v>
      </c>
      <c r="W1335" t="s">
        <v>229</v>
      </c>
      <c r="X1335" t="s">
        <v>230</v>
      </c>
      <c r="Y1335" s="1" t="str">
        <f t="shared" si="124"/>
        <v>CANADA</v>
      </c>
      <c r="Z1335" s="4" t="str">
        <f t="shared" si="125"/>
        <v>Canada</v>
      </c>
      <c r="AA1335" t="s">
        <v>231</v>
      </c>
      <c r="AB1335" t="s">
        <v>33</v>
      </c>
      <c r="AC1335" t="s">
        <v>232</v>
      </c>
      <c r="AD1335" t="s">
        <v>233</v>
      </c>
      <c r="AE1335" t="s">
        <v>36</v>
      </c>
    </row>
    <row r="1336" spans="1:31" x14ac:dyDescent="0.3">
      <c r="A1336">
        <v>10323</v>
      </c>
      <c r="B1336">
        <v>47</v>
      </c>
      <c r="C1336">
        <v>100</v>
      </c>
      <c r="D1336">
        <v>1</v>
      </c>
      <c r="E1336" s="4" t="str">
        <f t="shared" si="120"/>
        <v>high sales</v>
      </c>
      <c r="F1336">
        <v>6203.06</v>
      </c>
      <c r="G1336" t="s">
        <v>2008</v>
      </c>
      <c r="H1336" s="1" t="str">
        <f t="shared" si="121"/>
        <v>Shipped</v>
      </c>
      <c r="I1336" s="4" t="str">
        <f t="shared" si="122"/>
        <v>completed</v>
      </c>
      <c r="J1336" t="s">
        <v>25</v>
      </c>
      <c r="K1336">
        <v>4</v>
      </c>
      <c r="L1336">
        <v>11</v>
      </c>
      <c r="M1336">
        <v>2004</v>
      </c>
      <c r="N1336" t="s">
        <v>504</v>
      </c>
      <c r="O1336">
        <v>121</v>
      </c>
      <c r="P1336" t="s">
        <v>616</v>
      </c>
      <c r="Q1336" t="s">
        <v>462</v>
      </c>
      <c r="R1336" t="s">
        <v>463</v>
      </c>
      <c r="S1336" t="s">
        <v>464</v>
      </c>
      <c r="U1336" s="1" t="str">
        <f t="shared" si="123"/>
        <v>Frankfurt</v>
      </c>
      <c r="V1336" t="s">
        <v>465</v>
      </c>
      <c r="X1336">
        <v>60528</v>
      </c>
      <c r="Y1336" s="1" t="str">
        <f t="shared" si="124"/>
        <v>GERMANY</v>
      </c>
      <c r="Z1336" s="4" t="str">
        <f t="shared" si="125"/>
        <v>Germany</v>
      </c>
      <c r="AA1336" t="s">
        <v>443</v>
      </c>
      <c r="AB1336" t="s">
        <v>42</v>
      </c>
      <c r="AC1336" t="s">
        <v>466</v>
      </c>
      <c r="AD1336" t="s">
        <v>414</v>
      </c>
      <c r="AE1336" t="s">
        <v>51</v>
      </c>
    </row>
    <row r="1337" spans="1:31" x14ac:dyDescent="0.3">
      <c r="A1337">
        <v>10334</v>
      </c>
      <c r="B1337">
        <v>49</v>
      </c>
      <c r="C1337">
        <v>100</v>
      </c>
      <c r="D1337">
        <v>4</v>
      </c>
      <c r="E1337" s="4" t="str">
        <f t="shared" si="120"/>
        <v>high sales</v>
      </c>
      <c r="F1337">
        <v>6763.47</v>
      </c>
      <c r="G1337" t="s">
        <v>2009</v>
      </c>
      <c r="H1337" s="1" t="str">
        <f t="shared" si="121"/>
        <v>On Hold</v>
      </c>
      <c r="I1337" s="4" t="str">
        <f t="shared" si="122"/>
        <v>not completed</v>
      </c>
      <c r="J1337" t="s">
        <v>401</v>
      </c>
      <c r="K1337">
        <v>4</v>
      </c>
      <c r="L1337">
        <v>11</v>
      </c>
      <c r="M1337">
        <v>2004</v>
      </c>
      <c r="N1337" t="s">
        <v>504</v>
      </c>
      <c r="O1337">
        <v>121</v>
      </c>
      <c r="P1337" t="s">
        <v>616</v>
      </c>
      <c r="Q1337" t="s">
        <v>183</v>
      </c>
      <c r="R1337" t="s">
        <v>184</v>
      </c>
      <c r="S1337" t="s">
        <v>185</v>
      </c>
      <c r="U1337" s="1" t="str">
        <f t="shared" si="123"/>
        <v>Lule</v>
      </c>
      <c r="V1337" t="s">
        <v>186</v>
      </c>
      <c r="X1337" t="s">
        <v>187</v>
      </c>
      <c r="Y1337" s="1" t="str">
        <f t="shared" si="124"/>
        <v>SWEDEN</v>
      </c>
      <c r="Z1337" s="4" t="str">
        <f t="shared" si="125"/>
        <v>Sweden</v>
      </c>
      <c r="AA1337" t="s">
        <v>188</v>
      </c>
      <c r="AB1337" t="s">
        <v>42</v>
      </c>
      <c r="AC1337" t="s">
        <v>189</v>
      </c>
      <c r="AD1337" t="s">
        <v>190</v>
      </c>
      <c r="AE1337" t="s">
        <v>51</v>
      </c>
    </row>
    <row r="1338" spans="1:31" x14ac:dyDescent="0.3">
      <c r="A1338">
        <v>10347</v>
      </c>
      <c r="B1338">
        <v>45</v>
      </c>
      <c r="C1338">
        <v>100</v>
      </c>
      <c r="D1338">
        <v>4</v>
      </c>
      <c r="E1338" s="4" t="str">
        <f t="shared" si="120"/>
        <v>high sales</v>
      </c>
      <c r="F1338">
        <v>5884.65</v>
      </c>
      <c r="G1338" t="s">
        <v>2010</v>
      </c>
      <c r="H1338" s="1" t="str">
        <f t="shared" si="121"/>
        <v>Shipped</v>
      </c>
      <c r="I1338" s="4" t="str">
        <f t="shared" si="122"/>
        <v>completed</v>
      </c>
      <c r="J1338" t="s">
        <v>25</v>
      </c>
      <c r="K1338">
        <v>4</v>
      </c>
      <c r="L1338">
        <v>11</v>
      </c>
      <c r="M1338">
        <v>2004</v>
      </c>
      <c r="N1338" t="s">
        <v>504</v>
      </c>
      <c r="O1338">
        <v>121</v>
      </c>
      <c r="P1338" t="s">
        <v>616</v>
      </c>
      <c r="Q1338" t="s">
        <v>89</v>
      </c>
      <c r="R1338" t="s">
        <v>90</v>
      </c>
      <c r="S1338" t="s">
        <v>91</v>
      </c>
      <c r="T1338" t="s">
        <v>92</v>
      </c>
      <c r="U1338" s="1" t="str">
        <f t="shared" si="123"/>
        <v>Melbourne</v>
      </c>
      <c r="V1338" t="s">
        <v>93</v>
      </c>
      <c r="W1338" t="s">
        <v>94</v>
      </c>
      <c r="X1338">
        <v>3004</v>
      </c>
      <c r="Y1338" s="1" t="str">
        <f t="shared" si="124"/>
        <v>AUSTRALIA</v>
      </c>
      <c r="Z1338" s="4" t="str">
        <f t="shared" si="125"/>
        <v>Australia</v>
      </c>
      <c r="AA1338" t="s">
        <v>95</v>
      </c>
      <c r="AB1338" t="s">
        <v>96</v>
      </c>
      <c r="AC1338" t="s">
        <v>97</v>
      </c>
      <c r="AD1338" t="s">
        <v>98</v>
      </c>
      <c r="AE1338" t="s">
        <v>51</v>
      </c>
    </row>
    <row r="1339" spans="1:31" x14ac:dyDescent="0.3">
      <c r="A1339">
        <v>10357</v>
      </c>
      <c r="B1339">
        <v>28</v>
      </c>
      <c r="C1339">
        <v>100</v>
      </c>
      <c r="D1339">
        <v>2</v>
      </c>
      <c r="E1339" s="4" t="str">
        <f t="shared" si="120"/>
        <v>low sales</v>
      </c>
      <c r="F1339">
        <v>3559.64</v>
      </c>
      <c r="G1339" t="s">
        <v>2011</v>
      </c>
      <c r="H1339" s="1" t="str">
        <f t="shared" si="121"/>
        <v>Shipped</v>
      </c>
      <c r="I1339" s="4" t="str">
        <f t="shared" si="122"/>
        <v>completed</v>
      </c>
      <c r="J1339" t="s">
        <v>25</v>
      </c>
      <c r="K1339">
        <v>4</v>
      </c>
      <c r="L1339">
        <v>12</v>
      </c>
      <c r="M1339">
        <v>2004</v>
      </c>
      <c r="N1339" t="s">
        <v>504</v>
      </c>
      <c r="O1339">
        <v>121</v>
      </c>
      <c r="P1339" t="s">
        <v>616</v>
      </c>
      <c r="Q1339" t="s">
        <v>272</v>
      </c>
      <c r="R1339">
        <v>4155551450</v>
      </c>
      <c r="S1339" t="s">
        <v>273</v>
      </c>
      <c r="U1339" s="1" t="str">
        <f t="shared" si="123"/>
        <v>San Rafael</v>
      </c>
      <c r="V1339" t="s">
        <v>274</v>
      </c>
      <c r="W1339" t="s">
        <v>55</v>
      </c>
      <c r="X1339">
        <v>97562</v>
      </c>
      <c r="Y1339" s="1" t="str">
        <f t="shared" si="124"/>
        <v>USA</v>
      </c>
      <c r="Z1339" s="4" t="str">
        <f t="shared" si="125"/>
        <v>Usa</v>
      </c>
      <c r="AA1339" t="s">
        <v>32</v>
      </c>
      <c r="AB1339" t="s">
        <v>33</v>
      </c>
      <c r="AC1339" t="s">
        <v>275</v>
      </c>
      <c r="AD1339" t="s">
        <v>276</v>
      </c>
      <c r="AE1339" t="s">
        <v>51</v>
      </c>
    </row>
    <row r="1340" spans="1:31" x14ac:dyDescent="0.3">
      <c r="A1340">
        <v>10370</v>
      </c>
      <c r="B1340">
        <v>29</v>
      </c>
      <c r="C1340">
        <v>57.53</v>
      </c>
      <c r="D1340">
        <v>6</v>
      </c>
      <c r="E1340" s="4" t="str">
        <f t="shared" si="120"/>
        <v>low sales</v>
      </c>
      <c r="F1340">
        <v>1668.37</v>
      </c>
      <c r="G1340" t="s">
        <v>2012</v>
      </c>
      <c r="H1340" s="1" t="str">
        <f t="shared" si="121"/>
        <v>Shipped</v>
      </c>
      <c r="I1340" s="4" t="str">
        <f t="shared" si="122"/>
        <v>completed</v>
      </c>
      <c r="J1340" t="s">
        <v>25</v>
      </c>
      <c r="K1340">
        <v>1</v>
      </c>
      <c r="L1340">
        <v>1</v>
      </c>
      <c r="M1340">
        <v>2005</v>
      </c>
      <c r="N1340" t="s">
        <v>504</v>
      </c>
      <c r="O1340">
        <v>121</v>
      </c>
      <c r="P1340" t="s">
        <v>616</v>
      </c>
      <c r="Q1340" t="s">
        <v>285</v>
      </c>
      <c r="R1340" t="s">
        <v>286</v>
      </c>
      <c r="S1340" t="s">
        <v>287</v>
      </c>
      <c r="T1340" t="s">
        <v>288</v>
      </c>
      <c r="U1340" s="1" t="str">
        <f t="shared" si="123"/>
        <v>North Sydney</v>
      </c>
      <c r="V1340" t="s">
        <v>289</v>
      </c>
      <c r="W1340" t="s">
        <v>157</v>
      </c>
      <c r="X1340">
        <v>2060</v>
      </c>
      <c r="Y1340" s="1" t="str">
        <f t="shared" si="124"/>
        <v>AUSTRALIA</v>
      </c>
      <c r="Z1340" s="4" t="str">
        <f t="shared" si="125"/>
        <v>Australia</v>
      </c>
      <c r="AA1340" t="s">
        <v>95</v>
      </c>
      <c r="AB1340" t="s">
        <v>96</v>
      </c>
      <c r="AC1340" t="s">
        <v>290</v>
      </c>
      <c r="AD1340" t="s">
        <v>291</v>
      </c>
      <c r="AE1340" t="s">
        <v>36</v>
      </c>
    </row>
    <row r="1341" spans="1:31" x14ac:dyDescent="0.3">
      <c r="A1341">
        <v>10382</v>
      </c>
      <c r="B1341">
        <v>39</v>
      </c>
      <c r="C1341">
        <v>100</v>
      </c>
      <c r="D1341">
        <v>1</v>
      </c>
      <c r="E1341" s="4" t="str">
        <f t="shared" si="120"/>
        <v>high sales</v>
      </c>
      <c r="F1341">
        <v>4890.6000000000004</v>
      </c>
      <c r="G1341" t="s">
        <v>2013</v>
      </c>
      <c r="H1341" s="1" t="str">
        <f t="shared" si="121"/>
        <v>Shipped</v>
      </c>
      <c r="I1341" s="4" t="str">
        <f t="shared" si="122"/>
        <v>completed</v>
      </c>
      <c r="J1341" t="s">
        <v>25</v>
      </c>
      <c r="K1341">
        <v>1</v>
      </c>
      <c r="L1341">
        <v>2</v>
      </c>
      <c r="M1341">
        <v>2005</v>
      </c>
      <c r="N1341" t="s">
        <v>504</v>
      </c>
      <c r="O1341">
        <v>121</v>
      </c>
      <c r="P1341" t="s">
        <v>616</v>
      </c>
      <c r="Q1341" t="s">
        <v>272</v>
      </c>
      <c r="R1341">
        <v>4155551450</v>
      </c>
      <c r="S1341" t="s">
        <v>273</v>
      </c>
      <c r="U1341" s="1" t="str">
        <f t="shared" si="123"/>
        <v>San Rafael</v>
      </c>
      <c r="V1341" t="s">
        <v>274</v>
      </c>
      <c r="W1341" t="s">
        <v>55</v>
      </c>
      <c r="X1341">
        <v>97562</v>
      </c>
      <c r="Y1341" s="1" t="str">
        <f t="shared" si="124"/>
        <v>USA</v>
      </c>
      <c r="Z1341" s="4" t="str">
        <f t="shared" si="125"/>
        <v>Usa</v>
      </c>
      <c r="AA1341" t="s">
        <v>32</v>
      </c>
      <c r="AB1341" t="s">
        <v>33</v>
      </c>
      <c r="AC1341" t="s">
        <v>275</v>
      </c>
      <c r="AD1341" t="s">
        <v>276</v>
      </c>
      <c r="AE1341" t="s">
        <v>51</v>
      </c>
    </row>
    <row r="1342" spans="1:31" x14ac:dyDescent="0.3">
      <c r="A1342">
        <v>10411</v>
      </c>
      <c r="B1342">
        <v>46</v>
      </c>
      <c r="C1342">
        <v>100</v>
      </c>
      <c r="D1342">
        <v>3</v>
      </c>
      <c r="E1342" s="4" t="str">
        <f t="shared" si="120"/>
        <v>high sales</v>
      </c>
      <c r="F1342">
        <v>5235.72</v>
      </c>
      <c r="G1342" t="s">
        <v>2014</v>
      </c>
      <c r="H1342" s="1" t="str">
        <f t="shared" si="121"/>
        <v>Shipped</v>
      </c>
      <c r="I1342" s="4" t="str">
        <f t="shared" si="122"/>
        <v>completed</v>
      </c>
      <c r="J1342" t="s">
        <v>25</v>
      </c>
      <c r="K1342">
        <v>2</v>
      </c>
      <c r="L1342">
        <v>5</v>
      </c>
      <c r="M1342">
        <v>2005</v>
      </c>
      <c r="N1342" t="s">
        <v>504</v>
      </c>
      <c r="O1342">
        <v>121</v>
      </c>
      <c r="P1342" t="s">
        <v>616</v>
      </c>
      <c r="Q1342" t="s">
        <v>292</v>
      </c>
      <c r="R1342" t="s">
        <v>293</v>
      </c>
      <c r="S1342" t="s">
        <v>294</v>
      </c>
      <c r="U1342" s="1" t="str">
        <f t="shared" si="123"/>
        <v>Montreal</v>
      </c>
      <c r="V1342" t="s">
        <v>295</v>
      </c>
      <c r="W1342" t="s">
        <v>296</v>
      </c>
      <c r="X1342" t="s">
        <v>297</v>
      </c>
      <c r="Y1342" s="1" t="str">
        <f t="shared" si="124"/>
        <v>CANADA</v>
      </c>
      <c r="Z1342" s="4" t="str">
        <f t="shared" si="125"/>
        <v>Canada</v>
      </c>
      <c r="AA1342" t="s">
        <v>231</v>
      </c>
      <c r="AB1342" t="s">
        <v>33</v>
      </c>
      <c r="AC1342" t="s">
        <v>298</v>
      </c>
      <c r="AD1342" t="s">
        <v>299</v>
      </c>
      <c r="AE1342" t="s">
        <v>51</v>
      </c>
    </row>
    <row r="1343" spans="1:31" x14ac:dyDescent="0.3">
      <c r="A1343">
        <v>10425</v>
      </c>
      <c r="B1343">
        <v>38</v>
      </c>
      <c r="C1343">
        <v>100</v>
      </c>
      <c r="D1343">
        <v>13</v>
      </c>
      <c r="E1343" s="4" t="str">
        <f t="shared" si="120"/>
        <v>high sales</v>
      </c>
      <c r="F1343">
        <v>4325.16</v>
      </c>
      <c r="G1343" t="s">
        <v>2015</v>
      </c>
      <c r="H1343" s="1" t="str">
        <f t="shared" si="121"/>
        <v>In Process</v>
      </c>
      <c r="I1343" s="4" t="str">
        <f t="shared" si="122"/>
        <v>not completed</v>
      </c>
      <c r="J1343" t="s">
        <v>300</v>
      </c>
      <c r="K1343">
        <v>2</v>
      </c>
      <c r="L1343">
        <v>5</v>
      </c>
      <c r="M1343">
        <v>2005</v>
      </c>
      <c r="N1343" t="s">
        <v>504</v>
      </c>
      <c r="O1343">
        <v>121</v>
      </c>
      <c r="P1343" t="s">
        <v>616</v>
      </c>
      <c r="Q1343" t="s">
        <v>114</v>
      </c>
      <c r="R1343" t="s">
        <v>115</v>
      </c>
      <c r="S1343" t="s">
        <v>116</v>
      </c>
      <c r="U1343" s="1" t="str">
        <f t="shared" si="123"/>
        <v>Nantes</v>
      </c>
      <c r="V1343" t="s">
        <v>117</v>
      </c>
      <c r="X1343">
        <v>44000</v>
      </c>
      <c r="Y1343" s="1" t="str">
        <f t="shared" si="124"/>
        <v>FRANCE</v>
      </c>
      <c r="Z1343" s="4" t="str">
        <f t="shared" si="125"/>
        <v>France</v>
      </c>
      <c r="AA1343" t="s">
        <v>41</v>
      </c>
      <c r="AB1343" t="s">
        <v>42</v>
      </c>
      <c r="AC1343" t="s">
        <v>118</v>
      </c>
      <c r="AD1343" t="s">
        <v>119</v>
      </c>
      <c r="AE1343" t="s">
        <v>51</v>
      </c>
    </row>
    <row r="1344" spans="1:31" x14ac:dyDescent="0.3">
      <c r="A1344">
        <v>10103</v>
      </c>
      <c r="B1344">
        <v>41</v>
      </c>
      <c r="C1344">
        <v>47.29</v>
      </c>
      <c r="D1344">
        <v>9</v>
      </c>
      <c r="E1344" s="4" t="str">
        <f t="shared" si="120"/>
        <v>low sales</v>
      </c>
      <c r="F1344">
        <v>1938.89</v>
      </c>
      <c r="G1344" t="s">
        <v>2016</v>
      </c>
      <c r="H1344" s="1" t="str">
        <f t="shared" si="121"/>
        <v>Shipped</v>
      </c>
      <c r="I1344" s="4" t="str">
        <f t="shared" si="122"/>
        <v>completed</v>
      </c>
      <c r="J1344" t="s">
        <v>25</v>
      </c>
      <c r="K1344">
        <v>1</v>
      </c>
      <c r="L1344">
        <v>1</v>
      </c>
      <c r="M1344">
        <v>2003</v>
      </c>
      <c r="N1344" t="s">
        <v>550</v>
      </c>
      <c r="O1344">
        <v>50</v>
      </c>
      <c r="P1344" t="s">
        <v>617</v>
      </c>
      <c r="Q1344" t="s">
        <v>133</v>
      </c>
      <c r="R1344" t="s">
        <v>134</v>
      </c>
      <c r="S1344" t="s">
        <v>135</v>
      </c>
      <c r="U1344" s="1" t="str">
        <f t="shared" si="123"/>
        <v>Stavern</v>
      </c>
      <c r="V1344" t="s">
        <v>136</v>
      </c>
      <c r="X1344">
        <v>4110</v>
      </c>
      <c r="Y1344" s="1" t="str">
        <f t="shared" si="124"/>
        <v>NORWAY</v>
      </c>
      <c r="Z1344" s="4" t="str">
        <f t="shared" si="125"/>
        <v>Norway</v>
      </c>
      <c r="AA1344" t="s">
        <v>78</v>
      </c>
      <c r="AB1344" t="s">
        <v>42</v>
      </c>
      <c r="AC1344" t="s">
        <v>137</v>
      </c>
      <c r="AD1344" t="s">
        <v>138</v>
      </c>
      <c r="AE1344" t="s">
        <v>36</v>
      </c>
    </row>
    <row r="1345" spans="1:31" x14ac:dyDescent="0.3">
      <c r="A1345">
        <v>10113</v>
      </c>
      <c r="B1345">
        <v>50</v>
      </c>
      <c r="C1345">
        <v>49.81</v>
      </c>
      <c r="D1345">
        <v>3</v>
      </c>
      <c r="E1345" s="4" t="str">
        <f t="shared" si="120"/>
        <v>low sales</v>
      </c>
      <c r="F1345">
        <v>2490.5</v>
      </c>
      <c r="G1345" t="s">
        <v>2017</v>
      </c>
      <c r="H1345" s="1" t="str">
        <f t="shared" si="121"/>
        <v>Shipped</v>
      </c>
      <c r="I1345" s="4" t="str">
        <f t="shared" si="122"/>
        <v>completed</v>
      </c>
      <c r="J1345" t="s">
        <v>25</v>
      </c>
      <c r="K1345">
        <v>1</v>
      </c>
      <c r="L1345">
        <v>3</v>
      </c>
      <c r="M1345">
        <v>2003</v>
      </c>
      <c r="N1345" t="s">
        <v>550</v>
      </c>
      <c r="O1345">
        <v>50</v>
      </c>
      <c r="P1345" t="s">
        <v>617</v>
      </c>
      <c r="Q1345" t="s">
        <v>272</v>
      </c>
      <c r="R1345">
        <v>4155551450</v>
      </c>
      <c r="S1345" t="s">
        <v>273</v>
      </c>
      <c r="U1345" s="1" t="str">
        <f t="shared" si="123"/>
        <v>San Rafael</v>
      </c>
      <c r="V1345" t="s">
        <v>274</v>
      </c>
      <c r="W1345" t="s">
        <v>55</v>
      </c>
      <c r="X1345">
        <v>97562</v>
      </c>
      <c r="Y1345" s="1" t="str">
        <f t="shared" si="124"/>
        <v>USA</v>
      </c>
      <c r="Z1345" s="4" t="str">
        <f t="shared" si="125"/>
        <v>Usa</v>
      </c>
      <c r="AA1345" t="s">
        <v>32</v>
      </c>
      <c r="AB1345" t="s">
        <v>33</v>
      </c>
      <c r="AC1345" t="s">
        <v>275</v>
      </c>
      <c r="AD1345" t="s">
        <v>276</v>
      </c>
      <c r="AE1345" t="s">
        <v>36</v>
      </c>
    </row>
    <row r="1346" spans="1:31" x14ac:dyDescent="0.3">
      <c r="A1346">
        <v>10126</v>
      </c>
      <c r="B1346">
        <v>43</v>
      </c>
      <c r="C1346">
        <v>53.83</v>
      </c>
      <c r="D1346">
        <v>9</v>
      </c>
      <c r="E1346" s="4" t="str">
        <f t="shared" si="120"/>
        <v>low sales</v>
      </c>
      <c r="F1346">
        <v>2314.69</v>
      </c>
      <c r="G1346" t="s">
        <v>2018</v>
      </c>
      <c r="H1346" s="1" t="str">
        <f t="shared" si="121"/>
        <v>Shipped</v>
      </c>
      <c r="I1346" s="4" t="str">
        <f t="shared" si="122"/>
        <v>completed</v>
      </c>
      <c r="J1346" t="s">
        <v>25</v>
      </c>
      <c r="K1346">
        <v>2</v>
      </c>
      <c r="L1346">
        <v>5</v>
      </c>
      <c r="M1346">
        <v>2003</v>
      </c>
      <c r="N1346" t="s">
        <v>550</v>
      </c>
      <c r="O1346">
        <v>50</v>
      </c>
      <c r="P1346" t="s">
        <v>617</v>
      </c>
      <c r="Q1346" t="s">
        <v>191</v>
      </c>
      <c r="R1346" t="s">
        <v>192</v>
      </c>
      <c r="S1346" t="s">
        <v>193</v>
      </c>
      <c r="U1346" s="1" t="str">
        <f t="shared" si="123"/>
        <v>Madrid</v>
      </c>
      <c r="V1346" t="s">
        <v>177</v>
      </c>
      <c r="X1346">
        <v>28023</v>
      </c>
      <c r="Y1346" s="1" t="str">
        <f t="shared" si="124"/>
        <v>SPAIN</v>
      </c>
      <c r="Z1346" s="4" t="str">
        <f t="shared" si="125"/>
        <v>Spain</v>
      </c>
      <c r="AA1346" t="s">
        <v>178</v>
      </c>
      <c r="AB1346" t="s">
        <v>42</v>
      </c>
      <c r="AC1346" t="s">
        <v>194</v>
      </c>
      <c r="AD1346" t="s">
        <v>195</v>
      </c>
      <c r="AE1346" t="s">
        <v>36</v>
      </c>
    </row>
    <row r="1347" spans="1:31" x14ac:dyDescent="0.3">
      <c r="A1347">
        <v>10140</v>
      </c>
      <c r="B1347">
        <v>29</v>
      </c>
      <c r="C1347">
        <v>43.27</v>
      </c>
      <c r="D1347">
        <v>9</v>
      </c>
      <c r="E1347" s="4" t="str">
        <f t="shared" ref="E1347:E1410" si="126">IF(F1347&gt;4000,"high sales","low sales")</f>
        <v>low sales</v>
      </c>
      <c r="F1347">
        <v>1254.83</v>
      </c>
      <c r="G1347" t="s">
        <v>2019</v>
      </c>
      <c r="H1347" s="1" t="str">
        <f t="shared" ref="H1347:H1410" si="127">PROPER(TRIM(J1347))</f>
        <v>Shipped</v>
      </c>
      <c r="I1347" s="4" t="str">
        <f t="shared" ref="I1347:I1410" si="128">IF(J1347="shipped","completed","not completed")</f>
        <v>completed</v>
      </c>
      <c r="J1347" t="s">
        <v>25</v>
      </c>
      <c r="K1347">
        <v>3</v>
      </c>
      <c r="L1347">
        <v>7</v>
      </c>
      <c r="M1347">
        <v>2003</v>
      </c>
      <c r="N1347" t="s">
        <v>550</v>
      </c>
      <c r="O1347">
        <v>50</v>
      </c>
      <c r="P1347" t="s">
        <v>617</v>
      </c>
      <c r="Q1347" t="s">
        <v>62</v>
      </c>
      <c r="R1347">
        <v>6505556809</v>
      </c>
      <c r="S1347" t="s">
        <v>63</v>
      </c>
      <c r="U1347" s="1" t="str">
        <f t="shared" ref="U1347:U1410" si="129">PROPER(TRIM(V1347))</f>
        <v>Burlingame</v>
      </c>
      <c r="V1347" t="s">
        <v>64</v>
      </c>
      <c r="W1347" t="s">
        <v>55</v>
      </c>
      <c r="X1347">
        <v>94217</v>
      </c>
      <c r="Y1347" s="1" t="str">
        <f t="shared" ref="Y1347:Y1410" si="130">UPPER(TRIM(AA1347))</f>
        <v>USA</v>
      </c>
      <c r="Z1347" s="4" t="str">
        <f t="shared" ref="Z1347:Z1410" si="131">PROPER(TRIM(AA1347))</f>
        <v>Usa</v>
      </c>
      <c r="AA1347" t="s">
        <v>32</v>
      </c>
      <c r="AB1347" t="s">
        <v>33</v>
      </c>
      <c r="AC1347" t="s">
        <v>65</v>
      </c>
      <c r="AD1347" t="s">
        <v>66</v>
      </c>
      <c r="AE1347" t="s">
        <v>36</v>
      </c>
    </row>
    <row r="1348" spans="1:31" x14ac:dyDescent="0.3">
      <c r="A1348">
        <v>10150</v>
      </c>
      <c r="B1348">
        <v>30</v>
      </c>
      <c r="C1348">
        <v>42.76</v>
      </c>
      <c r="D1348">
        <v>6</v>
      </c>
      <c r="E1348" s="4" t="str">
        <f t="shared" si="126"/>
        <v>low sales</v>
      </c>
      <c r="F1348">
        <v>1282.8</v>
      </c>
      <c r="G1348" t="s">
        <v>2020</v>
      </c>
      <c r="H1348" s="1" t="str">
        <f t="shared" si="127"/>
        <v>Shipped</v>
      </c>
      <c r="I1348" s="4" t="str">
        <f t="shared" si="128"/>
        <v>completed</v>
      </c>
      <c r="J1348" t="s">
        <v>25</v>
      </c>
      <c r="K1348">
        <v>3</v>
      </c>
      <c r="L1348">
        <v>9</v>
      </c>
      <c r="M1348">
        <v>2003</v>
      </c>
      <c r="N1348" t="s">
        <v>550</v>
      </c>
      <c r="O1348">
        <v>50</v>
      </c>
      <c r="P1348" t="s">
        <v>617</v>
      </c>
      <c r="Q1348" t="s">
        <v>196</v>
      </c>
      <c r="R1348" t="s">
        <v>197</v>
      </c>
      <c r="S1348" t="s">
        <v>198</v>
      </c>
      <c r="U1348" s="1" t="str">
        <f t="shared" si="129"/>
        <v>Singapore</v>
      </c>
      <c r="V1348" t="s">
        <v>199</v>
      </c>
      <c r="X1348">
        <v>79903</v>
      </c>
      <c r="Y1348" s="1" t="str">
        <f t="shared" si="130"/>
        <v>SINGAPORE</v>
      </c>
      <c r="Z1348" s="4" t="str">
        <f t="shared" si="131"/>
        <v>Singapore</v>
      </c>
      <c r="AA1348" t="s">
        <v>199</v>
      </c>
      <c r="AB1348" t="s">
        <v>200</v>
      </c>
      <c r="AC1348" t="s">
        <v>201</v>
      </c>
      <c r="AD1348" t="s">
        <v>202</v>
      </c>
      <c r="AE1348" t="s">
        <v>36</v>
      </c>
    </row>
    <row r="1349" spans="1:31" x14ac:dyDescent="0.3">
      <c r="A1349">
        <v>10164</v>
      </c>
      <c r="B1349">
        <v>25</v>
      </c>
      <c r="C1349">
        <v>53.83</v>
      </c>
      <c r="D1349">
        <v>7</v>
      </c>
      <c r="E1349" s="4" t="str">
        <f t="shared" si="126"/>
        <v>low sales</v>
      </c>
      <c r="F1349">
        <v>1345.75</v>
      </c>
      <c r="G1349" t="s">
        <v>2021</v>
      </c>
      <c r="H1349" s="1" t="str">
        <f t="shared" si="127"/>
        <v>Resolved</v>
      </c>
      <c r="I1349" s="4" t="str">
        <f t="shared" si="128"/>
        <v>not completed</v>
      </c>
      <c r="J1349" t="s">
        <v>408</v>
      </c>
      <c r="K1349">
        <v>4</v>
      </c>
      <c r="L1349">
        <v>10</v>
      </c>
      <c r="M1349">
        <v>2003</v>
      </c>
      <c r="N1349" t="s">
        <v>550</v>
      </c>
      <c r="O1349">
        <v>50</v>
      </c>
      <c r="P1349" t="s">
        <v>617</v>
      </c>
      <c r="Q1349" t="s">
        <v>409</v>
      </c>
      <c r="R1349" t="s">
        <v>410</v>
      </c>
      <c r="S1349" t="s">
        <v>411</v>
      </c>
      <c r="U1349" s="1" t="str">
        <f t="shared" si="129"/>
        <v>Graz</v>
      </c>
      <c r="V1349" t="s">
        <v>412</v>
      </c>
      <c r="X1349">
        <v>8010</v>
      </c>
      <c r="Y1349" s="1" t="str">
        <f t="shared" si="130"/>
        <v>AUSTRIA</v>
      </c>
      <c r="Z1349" s="4" t="str">
        <f t="shared" si="131"/>
        <v>Austria</v>
      </c>
      <c r="AA1349" t="s">
        <v>148</v>
      </c>
      <c r="AB1349" t="s">
        <v>42</v>
      </c>
      <c r="AC1349" t="s">
        <v>413</v>
      </c>
      <c r="AD1349" t="s">
        <v>414</v>
      </c>
      <c r="AE1349" t="s">
        <v>36</v>
      </c>
    </row>
    <row r="1350" spans="1:31" x14ac:dyDescent="0.3">
      <c r="A1350">
        <v>10174</v>
      </c>
      <c r="B1350">
        <v>49</v>
      </c>
      <c r="C1350">
        <v>44.78</v>
      </c>
      <c r="D1350">
        <v>2</v>
      </c>
      <c r="E1350" s="4" t="str">
        <f t="shared" si="126"/>
        <v>low sales</v>
      </c>
      <c r="F1350">
        <v>2194.2199999999998</v>
      </c>
      <c r="G1350" t="s">
        <v>2022</v>
      </c>
      <c r="H1350" s="1" t="str">
        <f t="shared" si="127"/>
        <v>Shipped</v>
      </c>
      <c r="I1350" s="4" t="str">
        <f t="shared" si="128"/>
        <v>completed</v>
      </c>
      <c r="J1350" t="s">
        <v>25</v>
      </c>
      <c r="K1350">
        <v>4</v>
      </c>
      <c r="L1350">
        <v>11</v>
      </c>
      <c r="M1350">
        <v>2003</v>
      </c>
      <c r="N1350" t="s">
        <v>550</v>
      </c>
      <c r="O1350">
        <v>50</v>
      </c>
      <c r="P1350" t="s">
        <v>617</v>
      </c>
      <c r="Q1350" t="s">
        <v>207</v>
      </c>
      <c r="R1350" t="s">
        <v>208</v>
      </c>
      <c r="S1350" t="s">
        <v>209</v>
      </c>
      <c r="U1350" s="1" t="str">
        <f t="shared" si="129"/>
        <v>South Brisbane</v>
      </c>
      <c r="V1350" t="s">
        <v>210</v>
      </c>
      <c r="W1350" t="s">
        <v>211</v>
      </c>
      <c r="X1350">
        <v>4101</v>
      </c>
      <c r="Y1350" s="1" t="str">
        <f t="shared" si="130"/>
        <v>AUSTRALIA</v>
      </c>
      <c r="Z1350" s="4" t="str">
        <f t="shared" si="131"/>
        <v>Australia</v>
      </c>
      <c r="AA1350" t="s">
        <v>95</v>
      </c>
      <c r="AB1350" t="s">
        <v>96</v>
      </c>
      <c r="AC1350" t="s">
        <v>212</v>
      </c>
      <c r="AD1350" t="s">
        <v>213</v>
      </c>
      <c r="AE1350" t="s">
        <v>36</v>
      </c>
    </row>
    <row r="1351" spans="1:31" x14ac:dyDescent="0.3">
      <c r="A1351">
        <v>10183</v>
      </c>
      <c r="B1351">
        <v>40</v>
      </c>
      <c r="C1351">
        <v>49.3</v>
      </c>
      <c r="D1351">
        <v>6</v>
      </c>
      <c r="E1351" s="4" t="str">
        <f t="shared" si="126"/>
        <v>low sales</v>
      </c>
      <c r="F1351">
        <v>1972</v>
      </c>
      <c r="G1351" t="s">
        <v>2023</v>
      </c>
      <c r="H1351" s="1" t="str">
        <f t="shared" si="127"/>
        <v>Shipped</v>
      </c>
      <c r="I1351" s="4" t="str">
        <f t="shared" si="128"/>
        <v>completed</v>
      </c>
      <c r="J1351" t="s">
        <v>25</v>
      </c>
      <c r="K1351">
        <v>4</v>
      </c>
      <c r="L1351">
        <v>11</v>
      </c>
      <c r="M1351">
        <v>2003</v>
      </c>
      <c r="N1351" t="s">
        <v>550</v>
      </c>
      <c r="O1351">
        <v>50</v>
      </c>
      <c r="P1351" t="s">
        <v>617</v>
      </c>
      <c r="Q1351" t="s">
        <v>214</v>
      </c>
      <c r="R1351">
        <v>2155554695</v>
      </c>
      <c r="S1351" t="s">
        <v>215</v>
      </c>
      <c r="U1351" s="1" t="str">
        <f t="shared" si="129"/>
        <v>Philadelphia</v>
      </c>
      <c r="V1351" t="s">
        <v>216</v>
      </c>
      <c r="W1351" t="s">
        <v>142</v>
      </c>
      <c r="X1351">
        <v>71270</v>
      </c>
      <c r="Y1351" s="1" t="str">
        <f t="shared" si="130"/>
        <v>USA</v>
      </c>
      <c r="Z1351" s="4" t="str">
        <f t="shared" si="131"/>
        <v>Usa</v>
      </c>
      <c r="AA1351" t="s">
        <v>32</v>
      </c>
      <c r="AB1351" t="s">
        <v>33</v>
      </c>
      <c r="AC1351" t="s">
        <v>217</v>
      </c>
      <c r="AD1351" t="s">
        <v>218</v>
      </c>
      <c r="AE1351" t="s">
        <v>36</v>
      </c>
    </row>
    <row r="1352" spans="1:31" x14ac:dyDescent="0.3">
      <c r="A1352">
        <v>10194</v>
      </c>
      <c r="B1352">
        <v>41</v>
      </c>
      <c r="C1352">
        <v>44.78</v>
      </c>
      <c r="D1352">
        <v>9</v>
      </c>
      <c r="E1352" s="4" t="str">
        <f t="shared" si="126"/>
        <v>low sales</v>
      </c>
      <c r="F1352">
        <v>1835.98</v>
      </c>
      <c r="G1352" t="s">
        <v>2024</v>
      </c>
      <c r="H1352" s="1" t="str">
        <f t="shared" si="127"/>
        <v>Shipped</v>
      </c>
      <c r="I1352" s="4" t="str">
        <f t="shared" si="128"/>
        <v>completed</v>
      </c>
      <c r="J1352" t="s">
        <v>25</v>
      </c>
      <c r="K1352">
        <v>4</v>
      </c>
      <c r="L1352">
        <v>11</v>
      </c>
      <c r="M1352">
        <v>2003</v>
      </c>
      <c r="N1352" t="s">
        <v>550</v>
      </c>
      <c r="O1352">
        <v>50</v>
      </c>
      <c r="P1352" t="s">
        <v>617</v>
      </c>
      <c r="Q1352" t="s">
        <v>219</v>
      </c>
      <c r="R1352" t="s">
        <v>220</v>
      </c>
      <c r="S1352" t="s">
        <v>221</v>
      </c>
      <c r="U1352" s="1" t="str">
        <f t="shared" si="129"/>
        <v>Lyon</v>
      </c>
      <c r="V1352" t="s">
        <v>222</v>
      </c>
      <c r="X1352">
        <v>69004</v>
      </c>
      <c r="Y1352" s="1" t="str">
        <f t="shared" si="130"/>
        <v>FRANCE</v>
      </c>
      <c r="Z1352" s="4" t="str">
        <f t="shared" si="131"/>
        <v>France</v>
      </c>
      <c r="AA1352" t="s">
        <v>41</v>
      </c>
      <c r="AB1352" t="s">
        <v>42</v>
      </c>
      <c r="AC1352" t="s">
        <v>223</v>
      </c>
      <c r="AD1352" t="s">
        <v>224</v>
      </c>
      <c r="AE1352" t="s">
        <v>36</v>
      </c>
    </row>
    <row r="1353" spans="1:31" x14ac:dyDescent="0.3">
      <c r="A1353">
        <v>10206</v>
      </c>
      <c r="B1353">
        <v>21</v>
      </c>
      <c r="C1353">
        <v>53.33</v>
      </c>
      <c r="D1353">
        <v>4</v>
      </c>
      <c r="E1353" s="4" t="str">
        <f t="shared" si="126"/>
        <v>low sales</v>
      </c>
      <c r="F1353">
        <v>1119.93</v>
      </c>
      <c r="G1353" t="s">
        <v>2025</v>
      </c>
      <c r="H1353" s="1" t="str">
        <f t="shared" si="127"/>
        <v>Shipped</v>
      </c>
      <c r="I1353" s="4" t="str">
        <f t="shared" si="128"/>
        <v>completed</v>
      </c>
      <c r="J1353" t="s">
        <v>25</v>
      </c>
      <c r="K1353">
        <v>4</v>
      </c>
      <c r="L1353">
        <v>12</v>
      </c>
      <c r="M1353">
        <v>2003</v>
      </c>
      <c r="N1353" t="s">
        <v>550</v>
      </c>
      <c r="O1353">
        <v>50</v>
      </c>
      <c r="P1353" t="s">
        <v>617</v>
      </c>
      <c r="Q1353" t="s">
        <v>225</v>
      </c>
      <c r="R1353" t="s">
        <v>226</v>
      </c>
      <c r="S1353" t="s">
        <v>227</v>
      </c>
      <c r="U1353" s="1" t="str">
        <f t="shared" si="129"/>
        <v>Vancouver</v>
      </c>
      <c r="V1353" t="s">
        <v>228</v>
      </c>
      <c r="W1353" t="s">
        <v>229</v>
      </c>
      <c r="X1353" t="s">
        <v>230</v>
      </c>
      <c r="Y1353" s="1" t="str">
        <f t="shared" si="130"/>
        <v>CANADA</v>
      </c>
      <c r="Z1353" s="4" t="str">
        <f t="shared" si="131"/>
        <v>Canada</v>
      </c>
      <c r="AA1353" t="s">
        <v>231</v>
      </c>
      <c r="AB1353" t="s">
        <v>33</v>
      </c>
      <c r="AC1353" t="s">
        <v>232</v>
      </c>
      <c r="AD1353" t="s">
        <v>233</v>
      </c>
      <c r="AE1353" t="s">
        <v>36</v>
      </c>
    </row>
    <row r="1354" spans="1:31" x14ac:dyDescent="0.3">
      <c r="A1354">
        <v>10215</v>
      </c>
      <c r="B1354">
        <v>46</v>
      </c>
      <c r="C1354">
        <v>45.28</v>
      </c>
      <c r="D1354">
        <v>1</v>
      </c>
      <c r="E1354" s="4" t="str">
        <f t="shared" si="126"/>
        <v>low sales</v>
      </c>
      <c r="F1354">
        <v>2082.88</v>
      </c>
      <c r="G1354" t="s">
        <v>2026</v>
      </c>
      <c r="H1354" s="1" t="str">
        <f t="shared" si="127"/>
        <v>Shipped</v>
      </c>
      <c r="I1354" s="4" t="str">
        <f t="shared" si="128"/>
        <v>completed</v>
      </c>
      <c r="J1354" t="s">
        <v>25</v>
      </c>
      <c r="K1354">
        <v>1</v>
      </c>
      <c r="L1354">
        <v>1</v>
      </c>
      <c r="M1354">
        <v>2004</v>
      </c>
      <c r="N1354" t="s">
        <v>550</v>
      </c>
      <c r="O1354">
        <v>50</v>
      </c>
      <c r="P1354" t="s">
        <v>617</v>
      </c>
      <c r="Q1354" t="s">
        <v>234</v>
      </c>
      <c r="R1354">
        <v>3105553722</v>
      </c>
      <c r="S1354" t="s">
        <v>235</v>
      </c>
      <c r="U1354" s="1" t="str">
        <f t="shared" si="129"/>
        <v>Burbank</v>
      </c>
      <c r="V1354" t="s">
        <v>236</v>
      </c>
      <c r="W1354" t="s">
        <v>55</v>
      </c>
      <c r="X1354">
        <v>94019</v>
      </c>
      <c r="Y1354" s="1" t="str">
        <f t="shared" si="130"/>
        <v>USA</v>
      </c>
      <c r="Z1354" s="4" t="str">
        <f t="shared" si="131"/>
        <v>Usa</v>
      </c>
      <c r="AA1354" t="s">
        <v>32</v>
      </c>
      <c r="AB1354" t="s">
        <v>33</v>
      </c>
      <c r="AC1354" t="s">
        <v>237</v>
      </c>
      <c r="AD1354" t="s">
        <v>238</v>
      </c>
      <c r="AE1354" t="s">
        <v>36</v>
      </c>
    </row>
    <row r="1355" spans="1:31" x14ac:dyDescent="0.3">
      <c r="A1355">
        <v>10229</v>
      </c>
      <c r="B1355">
        <v>39</v>
      </c>
      <c r="C1355">
        <v>40.25</v>
      </c>
      <c r="D1355">
        <v>14</v>
      </c>
      <c r="E1355" s="4" t="str">
        <f t="shared" si="126"/>
        <v>low sales</v>
      </c>
      <c r="F1355">
        <v>1569.75</v>
      </c>
      <c r="G1355" t="s">
        <v>2027</v>
      </c>
      <c r="H1355" s="1" t="str">
        <f t="shared" si="127"/>
        <v>Shipped</v>
      </c>
      <c r="I1355" s="4" t="str">
        <f t="shared" si="128"/>
        <v>completed</v>
      </c>
      <c r="J1355" t="s">
        <v>25</v>
      </c>
      <c r="K1355">
        <v>1</v>
      </c>
      <c r="L1355">
        <v>3</v>
      </c>
      <c r="M1355">
        <v>2004</v>
      </c>
      <c r="N1355" t="s">
        <v>550</v>
      </c>
      <c r="O1355">
        <v>50</v>
      </c>
      <c r="P1355" t="s">
        <v>617</v>
      </c>
      <c r="Q1355" t="s">
        <v>272</v>
      </c>
      <c r="R1355">
        <v>4155551450</v>
      </c>
      <c r="S1355" t="s">
        <v>273</v>
      </c>
      <c r="U1355" s="1" t="str">
        <f t="shared" si="129"/>
        <v>San Rafael</v>
      </c>
      <c r="V1355" t="s">
        <v>274</v>
      </c>
      <c r="W1355" t="s">
        <v>55</v>
      </c>
      <c r="X1355">
        <v>97562</v>
      </c>
      <c r="Y1355" s="1" t="str">
        <f t="shared" si="130"/>
        <v>USA</v>
      </c>
      <c r="Z1355" s="4" t="str">
        <f t="shared" si="131"/>
        <v>Usa</v>
      </c>
      <c r="AA1355" t="s">
        <v>32</v>
      </c>
      <c r="AB1355" t="s">
        <v>33</v>
      </c>
      <c r="AC1355" t="s">
        <v>275</v>
      </c>
      <c r="AD1355" t="s">
        <v>276</v>
      </c>
      <c r="AE1355" t="s">
        <v>36</v>
      </c>
    </row>
    <row r="1356" spans="1:31" x14ac:dyDescent="0.3">
      <c r="A1356">
        <v>10245</v>
      </c>
      <c r="B1356">
        <v>45</v>
      </c>
      <c r="C1356">
        <v>59.87</v>
      </c>
      <c r="D1356">
        <v>7</v>
      </c>
      <c r="E1356" s="4" t="str">
        <f t="shared" si="126"/>
        <v>low sales</v>
      </c>
      <c r="F1356">
        <v>2694.15</v>
      </c>
      <c r="G1356" t="s">
        <v>2028</v>
      </c>
      <c r="H1356" s="1" t="str">
        <f t="shared" si="127"/>
        <v>Shipped</v>
      </c>
      <c r="I1356" s="4" t="str">
        <f t="shared" si="128"/>
        <v>completed</v>
      </c>
      <c r="J1356" t="s">
        <v>25</v>
      </c>
      <c r="K1356">
        <v>2</v>
      </c>
      <c r="L1356">
        <v>5</v>
      </c>
      <c r="M1356">
        <v>2004</v>
      </c>
      <c r="N1356" t="s">
        <v>550</v>
      </c>
      <c r="O1356">
        <v>50</v>
      </c>
      <c r="P1356" t="s">
        <v>617</v>
      </c>
      <c r="Q1356" t="s">
        <v>242</v>
      </c>
      <c r="R1356">
        <v>2035559545</v>
      </c>
      <c r="S1356" t="s">
        <v>243</v>
      </c>
      <c r="U1356" s="1" t="str">
        <f t="shared" si="129"/>
        <v>New Haven</v>
      </c>
      <c r="V1356" t="s">
        <v>244</v>
      </c>
      <c r="W1356" t="s">
        <v>112</v>
      </c>
      <c r="X1356">
        <v>97823</v>
      </c>
      <c r="Y1356" s="1" t="str">
        <f t="shared" si="130"/>
        <v>USA</v>
      </c>
      <c r="Z1356" s="4" t="str">
        <f t="shared" si="131"/>
        <v>Usa</v>
      </c>
      <c r="AA1356" t="s">
        <v>32</v>
      </c>
      <c r="AB1356" t="s">
        <v>33</v>
      </c>
      <c r="AC1356" t="s">
        <v>83</v>
      </c>
      <c r="AD1356" t="s">
        <v>245</v>
      </c>
      <c r="AE1356" t="s">
        <v>36</v>
      </c>
    </row>
    <row r="1357" spans="1:31" x14ac:dyDescent="0.3">
      <c r="A1357">
        <v>10258</v>
      </c>
      <c r="B1357">
        <v>21</v>
      </c>
      <c r="C1357">
        <v>59.87</v>
      </c>
      <c r="D1357">
        <v>4</v>
      </c>
      <c r="E1357" s="4" t="str">
        <f t="shared" si="126"/>
        <v>low sales</v>
      </c>
      <c r="F1357">
        <v>1257.27</v>
      </c>
      <c r="G1357" t="s">
        <v>2029</v>
      </c>
      <c r="H1357" s="1" t="str">
        <f t="shared" si="127"/>
        <v>Shipped</v>
      </c>
      <c r="I1357" s="4" t="str">
        <f t="shared" si="128"/>
        <v>completed</v>
      </c>
      <c r="J1357" t="s">
        <v>25</v>
      </c>
      <c r="K1357">
        <v>2</v>
      </c>
      <c r="L1357">
        <v>6</v>
      </c>
      <c r="M1357">
        <v>2004</v>
      </c>
      <c r="N1357" t="s">
        <v>550</v>
      </c>
      <c r="O1357">
        <v>50</v>
      </c>
      <c r="P1357" t="s">
        <v>617</v>
      </c>
      <c r="Q1357" t="s">
        <v>246</v>
      </c>
      <c r="R1357" t="s">
        <v>247</v>
      </c>
      <c r="S1357" t="s">
        <v>248</v>
      </c>
      <c r="U1357" s="1" t="str">
        <f t="shared" si="129"/>
        <v>Minato-Ku</v>
      </c>
      <c r="V1357" t="s">
        <v>249</v>
      </c>
      <c r="W1357" t="s">
        <v>250</v>
      </c>
      <c r="X1357" t="s">
        <v>251</v>
      </c>
      <c r="Y1357" s="1" t="str">
        <f t="shared" si="130"/>
        <v>JAPAN</v>
      </c>
      <c r="Z1357" s="4" t="str">
        <f t="shared" si="131"/>
        <v>Japan</v>
      </c>
      <c r="AA1357" t="s">
        <v>200</v>
      </c>
      <c r="AB1357" t="s">
        <v>200</v>
      </c>
      <c r="AC1357" t="s">
        <v>252</v>
      </c>
      <c r="AD1357" t="s">
        <v>253</v>
      </c>
      <c r="AE1357" t="s">
        <v>36</v>
      </c>
    </row>
    <row r="1358" spans="1:31" x14ac:dyDescent="0.3">
      <c r="A1358">
        <v>10270</v>
      </c>
      <c r="B1358">
        <v>44</v>
      </c>
      <c r="C1358">
        <v>58.36</v>
      </c>
      <c r="D1358">
        <v>7</v>
      </c>
      <c r="E1358" s="4" t="str">
        <f t="shared" si="126"/>
        <v>low sales</v>
      </c>
      <c r="F1358">
        <v>2567.84</v>
      </c>
      <c r="G1358" t="s">
        <v>2030</v>
      </c>
      <c r="H1358" s="1" t="str">
        <f t="shared" si="127"/>
        <v>Shipped</v>
      </c>
      <c r="I1358" s="4" t="str">
        <f t="shared" si="128"/>
        <v>completed</v>
      </c>
      <c r="J1358" t="s">
        <v>25</v>
      </c>
      <c r="K1358">
        <v>3</v>
      </c>
      <c r="L1358">
        <v>7</v>
      </c>
      <c r="M1358">
        <v>2004</v>
      </c>
      <c r="N1358" t="s">
        <v>550</v>
      </c>
      <c r="O1358">
        <v>50</v>
      </c>
      <c r="P1358" t="s">
        <v>617</v>
      </c>
      <c r="Q1358" t="s">
        <v>152</v>
      </c>
      <c r="R1358" t="s">
        <v>153</v>
      </c>
      <c r="S1358" t="s">
        <v>154</v>
      </c>
      <c r="T1358" t="s">
        <v>155</v>
      </c>
      <c r="U1358" s="1" t="str">
        <f t="shared" si="129"/>
        <v>Chatswood</v>
      </c>
      <c r="V1358" t="s">
        <v>156</v>
      </c>
      <c r="W1358" t="s">
        <v>157</v>
      </c>
      <c r="X1358">
        <v>2067</v>
      </c>
      <c r="Y1358" s="1" t="str">
        <f t="shared" si="130"/>
        <v>AUSTRALIA</v>
      </c>
      <c r="Z1358" s="4" t="str">
        <f t="shared" si="131"/>
        <v>Australia</v>
      </c>
      <c r="AA1358" t="s">
        <v>95</v>
      </c>
      <c r="AB1358" t="s">
        <v>96</v>
      </c>
      <c r="AC1358" t="s">
        <v>158</v>
      </c>
      <c r="AD1358" t="s">
        <v>159</v>
      </c>
      <c r="AE1358" t="s">
        <v>36</v>
      </c>
    </row>
    <row r="1359" spans="1:31" x14ac:dyDescent="0.3">
      <c r="A1359">
        <v>10281</v>
      </c>
      <c r="B1359">
        <v>44</v>
      </c>
      <c r="C1359">
        <v>59.87</v>
      </c>
      <c r="D1359">
        <v>14</v>
      </c>
      <c r="E1359" s="4" t="str">
        <f t="shared" si="126"/>
        <v>low sales</v>
      </c>
      <c r="F1359">
        <v>2634.28</v>
      </c>
      <c r="G1359" t="s">
        <v>2031</v>
      </c>
      <c r="H1359" s="1" t="str">
        <f t="shared" si="127"/>
        <v>Shipped</v>
      </c>
      <c r="I1359" s="4" t="str">
        <f t="shared" si="128"/>
        <v>completed</v>
      </c>
      <c r="J1359" t="s">
        <v>25</v>
      </c>
      <c r="K1359">
        <v>3</v>
      </c>
      <c r="L1359">
        <v>8</v>
      </c>
      <c r="M1359">
        <v>2004</v>
      </c>
      <c r="N1359" t="s">
        <v>550</v>
      </c>
      <c r="O1359">
        <v>50</v>
      </c>
      <c r="P1359" t="s">
        <v>617</v>
      </c>
      <c r="Q1359" t="s">
        <v>139</v>
      </c>
      <c r="R1359">
        <v>2155551555</v>
      </c>
      <c r="S1359" t="s">
        <v>140</v>
      </c>
      <c r="U1359" s="1" t="str">
        <f t="shared" si="129"/>
        <v>Allentown</v>
      </c>
      <c r="V1359" t="s">
        <v>141</v>
      </c>
      <c r="W1359" t="s">
        <v>142</v>
      </c>
      <c r="X1359">
        <v>70267</v>
      </c>
      <c r="Y1359" s="1" t="str">
        <f t="shared" si="130"/>
        <v>USA</v>
      </c>
      <c r="Z1359" s="4" t="str">
        <f t="shared" si="131"/>
        <v>Usa</v>
      </c>
      <c r="AA1359" t="s">
        <v>32</v>
      </c>
      <c r="AB1359" t="s">
        <v>33</v>
      </c>
      <c r="AC1359" t="s">
        <v>34</v>
      </c>
      <c r="AD1359" t="s">
        <v>143</v>
      </c>
      <c r="AE1359" t="s">
        <v>36</v>
      </c>
    </row>
    <row r="1360" spans="1:31" x14ac:dyDescent="0.3">
      <c r="A1360">
        <v>10291</v>
      </c>
      <c r="B1360">
        <v>29</v>
      </c>
      <c r="C1360">
        <v>51.82</v>
      </c>
      <c r="D1360">
        <v>9</v>
      </c>
      <c r="E1360" s="4" t="str">
        <f t="shared" si="126"/>
        <v>low sales</v>
      </c>
      <c r="F1360">
        <v>1502.78</v>
      </c>
      <c r="G1360" t="s">
        <v>2032</v>
      </c>
      <c r="H1360" s="1" t="str">
        <f t="shared" si="127"/>
        <v>Shipped</v>
      </c>
      <c r="I1360" s="4" t="str">
        <f t="shared" si="128"/>
        <v>completed</v>
      </c>
      <c r="J1360" t="s">
        <v>25</v>
      </c>
      <c r="K1360">
        <v>3</v>
      </c>
      <c r="L1360">
        <v>9</v>
      </c>
      <c r="M1360">
        <v>2004</v>
      </c>
      <c r="N1360" t="s">
        <v>550</v>
      </c>
      <c r="O1360">
        <v>50</v>
      </c>
      <c r="P1360" t="s">
        <v>617</v>
      </c>
      <c r="Q1360" t="s">
        <v>261</v>
      </c>
      <c r="R1360" t="s">
        <v>262</v>
      </c>
      <c r="S1360" t="s">
        <v>263</v>
      </c>
      <c r="U1360" s="1" t="str">
        <f t="shared" si="129"/>
        <v>Boras</v>
      </c>
      <c r="V1360" t="s">
        <v>264</v>
      </c>
      <c r="X1360" t="s">
        <v>265</v>
      </c>
      <c r="Y1360" s="1" t="str">
        <f t="shared" si="130"/>
        <v>SWEDEN</v>
      </c>
      <c r="Z1360" s="4" t="str">
        <f t="shared" si="131"/>
        <v>Sweden</v>
      </c>
      <c r="AA1360" t="s">
        <v>188</v>
      </c>
      <c r="AB1360" t="s">
        <v>42</v>
      </c>
      <c r="AC1360" t="s">
        <v>266</v>
      </c>
      <c r="AD1360" t="s">
        <v>206</v>
      </c>
      <c r="AE1360" t="s">
        <v>36</v>
      </c>
    </row>
    <row r="1361" spans="1:31" x14ac:dyDescent="0.3">
      <c r="A1361">
        <v>10304</v>
      </c>
      <c r="B1361">
        <v>34</v>
      </c>
      <c r="C1361">
        <v>49.3</v>
      </c>
      <c r="D1361">
        <v>4</v>
      </c>
      <c r="E1361" s="4" t="str">
        <f t="shared" si="126"/>
        <v>low sales</v>
      </c>
      <c r="F1361">
        <v>1676.2</v>
      </c>
      <c r="G1361" t="s">
        <v>2033</v>
      </c>
      <c r="H1361" s="1" t="str">
        <f t="shared" si="127"/>
        <v>Shipped</v>
      </c>
      <c r="I1361" s="4" t="str">
        <f t="shared" si="128"/>
        <v>completed</v>
      </c>
      <c r="J1361" t="s">
        <v>25</v>
      </c>
      <c r="K1361">
        <v>4</v>
      </c>
      <c r="L1361">
        <v>10</v>
      </c>
      <c r="M1361">
        <v>2004</v>
      </c>
      <c r="N1361" t="s">
        <v>550</v>
      </c>
      <c r="O1361">
        <v>50</v>
      </c>
      <c r="P1361" t="s">
        <v>617</v>
      </c>
      <c r="Q1361" t="s">
        <v>267</v>
      </c>
      <c r="R1361" t="s">
        <v>268</v>
      </c>
      <c r="S1361" t="s">
        <v>269</v>
      </c>
      <c r="U1361" s="1" t="str">
        <f t="shared" si="129"/>
        <v>Versailles</v>
      </c>
      <c r="V1361" t="s">
        <v>270</v>
      </c>
      <c r="X1361">
        <v>78000</v>
      </c>
      <c r="Y1361" s="1" t="str">
        <f t="shared" si="130"/>
        <v>FRANCE</v>
      </c>
      <c r="Z1361" s="4" t="str">
        <f t="shared" si="131"/>
        <v>France</v>
      </c>
      <c r="AA1361" t="s">
        <v>41</v>
      </c>
      <c r="AB1361" t="s">
        <v>42</v>
      </c>
      <c r="AC1361" t="s">
        <v>271</v>
      </c>
      <c r="AD1361" t="s">
        <v>50</v>
      </c>
      <c r="AE1361" t="s">
        <v>36</v>
      </c>
    </row>
    <row r="1362" spans="1:31" x14ac:dyDescent="0.3">
      <c r="A1362">
        <v>10312</v>
      </c>
      <c r="B1362">
        <v>39</v>
      </c>
      <c r="C1362">
        <v>56.85</v>
      </c>
      <c r="D1362">
        <v>1</v>
      </c>
      <c r="E1362" s="4" t="str">
        <f t="shared" si="126"/>
        <v>low sales</v>
      </c>
      <c r="F1362">
        <v>2217.15</v>
      </c>
      <c r="G1362" t="s">
        <v>2034</v>
      </c>
      <c r="H1362" s="1" t="str">
        <f t="shared" si="127"/>
        <v>Shipped</v>
      </c>
      <c r="I1362" s="4" t="str">
        <f t="shared" si="128"/>
        <v>completed</v>
      </c>
      <c r="J1362" t="s">
        <v>25</v>
      </c>
      <c r="K1362">
        <v>4</v>
      </c>
      <c r="L1362">
        <v>10</v>
      </c>
      <c r="M1362">
        <v>2004</v>
      </c>
      <c r="N1362" t="s">
        <v>550</v>
      </c>
      <c r="O1362">
        <v>50</v>
      </c>
      <c r="P1362" t="s">
        <v>617</v>
      </c>
      <c r="Q1362" t="s">
        <v>272</v>
      </c>
      <c r="R1362">
        <v>4155551450</v>
      </c>
      <c r="S1362" t="s">
        <v>273</v>
      </c>
      <c r="U1362" s="1" t="str">
        <f t="shared" si="129"/>
        <v>San Rafael</v>
      </c>
      <c r="V1362" t="s">
        <v>274</v>
      </c>
      <c r="W1362" t="s">
        <v>55</v>
      </c>
      <c r="X1362">
        <v>97562</v>
      </c>
      <c r="Y1362" s="1" t="str">
        <f t="shared" si="130"/>
        <v>USA</v>
      </c>
      <c r="Z1362" s="4" t="str">
        <f t="shared" si="131"/>
        <v>Usa</v>
      </c>
      <c r="AA1362" t="s">
        <v>32</v>
      </c>
      <c r="AB1362" t="s">
        <v>33</v>
      </c>
      <c r="AC1362" t="s">
        <v>275</v>
      </c>
      <c r="AD1362" t="s">
        <v>276</v>
      </c>
      <c r="AE1362" t="s">
        <v>36</v>
      </c>
    </row>
    <row r="1363" spans="1:31" x14ac:dyDescent="0.3">
      <c r="A1363">
        <v>10324</v>
      </c>
      <c r="B1363">
        <v>38</v>
      </c>
      <c r="C1363">
        <v>100</v>
      </c>
      <c r="D1363">
        <v>6</v>
      </c>
      <c r="E1363" s="4" t="str">
        <f t="shared" si="126"/>
        <v>high sales</v>
      </c>
      <c r="F1363">
        <v>6832.02</v>
      </c>
      <c r="G1363" t="s">
        <v>2035</v>
      </c>
      <c r="H1363" s="1" t="str">
        <f t="shared" si="127"/>
        <v>Shipped</v>
      </c>
      <c r="I1363" s="4" t="str">
        <f t="shared" si="128"/>
        <v>completed</v>
      </c>
      <c r="J1363" t="s">
        <v>25</v>
      </c>
      <c r="K1363">
        <v>4</v>
      </c>
      <c r="L1363">
        <v>11</v>
      </c>
      <c r="M1363">
        <v>2004</v>
      </c>
      <c r="N1363" t="s">
        <v>550</v>
      </c>
      <c r="O1363">
        <v>50</v>
      </c>
      <c r="P1363" t="s">
        <v>617</v>
      </c>
      <c r="Q1363" t="s">
        <v>99</v>
      </c>
      <c r="R1363">
        <v>2125551500</v>
      </c>
      <c r="S1363" t="s">
        <v>100</v>
      </c>
      <c r="T1363" t="s">
        <v>101</v>
      </c>
      <c r="U1363" s="1" t="str">
        <f t="shared" si="129"/>
        <v>Nyc</v>
      </c>
      <c r="V1363" t="s">
        <v>30</v>
      </c>
      <c r="W1363" t="s">
        <v>31</v>
      </c>
      <c r="X1363">
        <v>10022</v>
      </c>
      <c r="Y1363" s="1" t="str">
        <f t="shared" si="130"/>
        <v>USA</v>
      </c>
      <c r="Z1363" s="4" t="str">
        <f t="shared" si="131"/>
        <v>Usa</v>
      </c>
      <c r="AA1363" t="s">
        <v>32</v>
      </c>
      <c r="AB1363" t="s">
        <v>33</v>
      </c>
      <c r="AC1363" t="s">
        <v>102</v>
      </c>
      <c r="AD1363" t="s">
        <v>103</v>
      </c>
      <c r="AE1363" t="s">
        <v>51</v>
      </c>
    </row>
    <row r="1364" spans="1:31" x14ac:dyDescent="0.3">
      <c r="A1364">
        <v>10333</v>
      </c>
      <c r="B1364">
        <v>24</v>
      </c>
      <c r="C1364">
        <v>79.86</v>
      </c>
      <c r="D1364">
        <v>8</v>
      </c>
      <c r="E1364" s="4" t="str">
        <f t="shared" si="126"/>
        <v>low sales</v>
      </c>
      <c r="F1364">
        <v>1916.64</v>
      </c>
      <c r="G1364" t="s">
        <v>2036</v>
      </c>
      <c r="H1364" s="1" t="str">
        <f t="shared" si="127"/>
        <v>Shipped</v>
      </c>
      <c r="I1364" s="4" t="str">
        <f t="shared" si="128"/>
        <v>completed</v>
      </c>
      <c r="J1364" t="s">
        <v>25</v>
      </c>
      <c r="K1364">
        <v>4</v>
      </c>
      <c r="L1364">
        <v>11</v>
      </c>
      <c r="M1364">
        <v>2004</v>
      </c>
      <c r="N1364" t="s">
        <v>550</v>
      </c>
      <c r="O1364">
        <v>50</v>
      </c>
      <c r="P1364" t="s">
        <v>617</v>
      </c>
      <c r="Q1364" t="s">
        <v>81</v>
      </c>
      <c r="R1364">
        <v>6505555787</v>
      </c>
      <c r="S1364" t="s">
        <v>82</v>
      </c>
      <c r="U1364" s="1" t="str">
        <f t="shared" si="129"/>
        <v>San Francisco</v>
      </c>
      <c r="V1364" t="s">
        <v>60</v>
      </c>
      <c r="W1364" t="s">
        <v>55</v>
      </c>
      <c r="Y1364" s="1" t="str">
        <f t="shared" si="130"/>
        <v>USA</v>
      </c>
      <c r="Z1364" s="4" t="str">
        <f t="shared" si="131"/>
        <v>Usa</v>
      </c>
      <c r="AA1364" t="s">
        <v>32</v>
      </c>
      <c r="AB1364" t="s">
        <v>33</v>
      </c>
      <c r="AC1364" t="s">
        <v>83</v>
      </c>
      <c r="AD1364" t="s">
        <v>57</v>
      </c>
      <c r="AE1364" t="s">
        <v>36</v>
      </c>
    </row>
    <row r="1365" spans="1:31" x14ac:dyDescent="0.3">
      <c r="A1365">
        <v>10348</v>
      </c>
      <c r="B1365">
        <v>29</v>
      </c>
      <c r="C1365">
        <v>100</v>
      </c>
      <c r="D1365">
        <v>6</v>
      </c>
      <c r="E1365" s="4" t="str">
        <f t="shared" si="126"/>
        <v>high sales</v>
      </c>
      <c r="F1365">
        <v>7110.8</v>
      </c>
      <c r="G1365" t="s">
        <v>2037</v>
      </c>
      <c r="H1365" s="1" t="str">
        <f t="shared" si="127"/>
        <v>Shipped</v>
      </c>
      <c r="I1365" s="4" t="str">
        <f t="shared" si="128"/>
        <v>completed</v>
      </c>
      <c r="J1365" t="s">
        <v>25</v>
      </c>
      <c r="K1365">
        <v>4</v>
      </c>
      <c r="L1365">
        <v>11</v>
      </c>
      <c r="M1365">
        <v>2004</v>
      </c>
      <c r="N1365" t="s">
        <v>550</v>
      </c>
      <c r="O1365">
        <v>50</v>
      </c>
      <c r="P1365" t="s">
        <v>617</v>
      </c>
      <c r="Q1365" t="s">
        <v>191</v>
      </c>
      <c r="R1365" t="s">
        <v>192</v>
      </c>
      <c r="S1365" t="s">
        <v>193</v>
      </c>
      <c r="U1365" s="1" t="str">
        <f t="shared" si="129"/>
        <v>Madrid</v>
      </c>
      <c r="V1365" t="s">
        <v>177</v>
      </c>
      <c r="X1365">
        <v>28023</v>
      </c>
      <c r="Y1365" s="1" t="str">
        <f t="shared" si="130"/>
        <v>SPAIN</v>
      </c>
      <c r="Z1365" s="4" t="str">
        <f t="shared" si="131"/>
        <v>Spain</v>
      </c>
      <c r="AA1365" t="s">
        <v>178</v>
      </c>
      <c r="AB1365" t="s">
        <v>42</v>
      </c>
      <c r="AC1365" t="s">
        <v>194</v>
      </c>
      <c r="AD1365" t="s">
        <v>195</v>
      </c>
      <c r="AE1365" t="s">
        <v>151</v>
      </c>
    </row>
    <row r="1366" spans="1:31" x14ac:dyDescent="0.3">
      <c r="A1366">
        <v>10358</v>
      </c>
      <c r="B1366">
        <v>30</v>
      </c>
      <c r="C1366">
        <v>100</v>
      </c>
      <c r="D1366">
        <v>8</v>
      </c>
      <c r="E1366" s="4" t="str">
        <f t="shared" si="126"/>
        <v>high sales</v>
      </c>
      <c r="F1366">
        <v>5302.8</v>
      </c>
      <c r="G1366" t="s">
        <v>2038</v>
      </c>
      <c r="H1366" s="1" t="str">
        <f t="shared" si="127"/>
        <v>Shipped</v>
      </c>
      <c r="I1366" s="4" t="str">
        <f t="shared" si="128"/>
        <v>completed</v>
      </c>
      <c r="J1366" t="s">
        <v>25</v>
      </c>
      <c r="K1366">
        <v>4</v>
      </c>
      <c r="L1366">
        <v>12</v>
      </c>
      <c r="M1366">
        <v>2004</v>
      </c>
      <c r="N1366" t="s">
        <v>550</v>
      </c>
      <c r="O1366">
        <v>50</v>
      </c>
      <c r="P1366" t="s">
        <v>617</v>
      </c>
      <c r="Q1366" t="s">
        <v>174</v>
      </c>
      <c r="R1366" t="s">
        <v>175</v>
      </c>
      <c r="S1366" t="s">
        <v>176</v>
      </c>
      <c r="U1366" s="1" t="str">
        <f t="shared" si="129"/>
        <v>Madrid</v>
      </c>
      <c r="V1366" t="s">
        <v>177</v>
      </c>
      <c r="X1366">
        <v>28034</v>
      </c>
      <c r="Y1366" s="1" t="str">
        <f t="shared" si="130"/>
        <v>SPAIN</v>
      </c>
      <c r="Z1366" s="4" t="str">
        <f t="shared" si="131"/>
        <v>Spain</v>
      </c>
      <c r="AA1366" t="s">
        <v>178</v>
      </c>
      <c r="AB1366" t="s">
        <v>42</v>
      </c>
      <c r="AC1366" t="s">
        <v>179</v>
      </c>
      <c r="AD1366" t="s">
        <v>180</v>
      </c>
      <c r="AE1366" t="s">
        <v>51</v>
      </c>
    </row>
    <row r="1367" spans="1:31" x14ac:dyDescent="0.3">
      <c r="A1367">
        <v>10370</v>
      </c>
      <c r="B1367">
        <v>20</v>
      </c>
      <c r="C1367">
        <v>100</v>
      </c>
      <c r="D1367">
        <v>2</v>
      </c>
      <c r="E1367" s="4" t="str">
        <f t="shared" si="126"/>
        <v>low sales</v>
      </c>
      <c r="F1367">
        <v>2730</v>
      </c>
      <c r="G1367" t="s">
        <v>2039</v>
      </c>
      <c r="H1367" s="1" t="str">
        <f t="shared" si="127"/>
        <v>Shipped</v>
      </c>
      <c r="I1367" s="4" t="str">
        <f t="shared" si="128"/>
        <v>completed</v>
      </c>
      <c r="J1367" t="s">
        <v>25</v>
      </c>
      <c r="K1367">
        <v>1</v>
      </c>
      <c r="L1367">
        <v>1</v>
      </c>
      <c r="M1367">
        <v>2005</v>
      </c>
      <c r="N1367" t="s">
        <v>550</v>
      </c>
      <c r="O1367">
        <v>50</v>
      </c>
      <c r="P1367" t="s">
        <v>617</v>
      </c>
      <c r="Q1367" t="s">
        <v>285</v>
      </c>
      <c r="R1367" t="s">
        <v>286</v>
      </c>
      <c r="S1367" t="s">
        <v>287</v>
      </c>
      <c r="T1367" t="s">
        <v>288</v>
      </c>
      <c r="U1367" s="1" t="str">
        <f t="shared" si="129"/>
        <v>North Sydney</v>
      </c>
      <c r="V1367" t="s">
        <v>289</v>
      </c>
      <c r="W1367" t="s">
        <v>157</v>
      </c>
      <c r="X1367">
        <v>2060</v>
      </c>
      <c r="Y1367" s="1" t="str">
        <f t="shared" si="130"/>
        <v>AUSTRALIA</v>
      </c>
      <c r="Z1367" s="4" t="str">
        <f t="shared" si="131"/>
        <v>Australia</v>
      </c>
      <c r="AA1367" t="s">
        <v>95</v>
      </c>
      <c r="AB1367" t="s">
        <v>96</v>
      </c>
      <c r="AC1367" t="s">
        <v>290</v>
      </c>
      <c r="AD1367" t="s">
        <v>291</v>
      </c>
      <c r="AE1367" t="s">
        <v>36</v>
      </c>
    </row>
    <row r="1368" spans="1:31" x14ac:dyDescent="0.3">
      <c r="A1368">
        <v>10382</v>
      </c>
      <c r="B1368">
        <v>39</v>
      </c>
      <c r="C1368">
        <v>100</v>
      </c>
      <c r="D1368">
        <v>2</v>
      </c>
      <c r="E1368" s="4" t="str">
        <f t="shared" si="126"/>
        <v>high sales</v>
      </c>
      <c r="F1368">
        <v>7827.3</v>
      </c>
      <c r="G1368" t="s">
        <v>2040</v>
      </c>
      <c r="H1368" s="1" t="str">
        <f t="shared" si="127"/>
        <v>Shipped</v>
      </c>
      <c r="I1368" s="4" t="str">
        <f t="shared" si="128"/>
        <v>completed</v>
      </c>
      <c r="J1368" t="s">
        <v>25</v>
      </c>
      <c r="K1368">
        <v>1</v>
      </c>
      <c r="L1368">
        <v>2</v>
      </c>
      <c r="M1368">
        <v>2005</v>
      </c>
      <c r="N1368" t="s">
        <v>550</v>
      </c>
      <c r="O1368">
        <v>50</v>
      </c>
      <c r="P1368" t="s">
        <v>617</v>
      </c>
      <c r="Q1368" t="s">
        <v>272</v>
      </c>
      <c r="R1368">
        <v>4155551450</v>
      </c>
      <c r="S1368" t="s">
        <v>273</v>
      </c>
      <c r="U1368" s="1" t="str">
        <f t="shared" si="129"/>
        <v>San Rafael</v>
      </c>
      <c r="V1368" t="s">
        <v>274</v>
      </c>
      <c r="W1368" t="s">
        <v>55</v>
      </c>
      <c r="X1368">
        <v>97562</v>
      </c>
      <c r="Y1368" s="1" t="str">
        <f t="shared" si="130"/>
        <v>USA</v>
      </c>
      <c r="Z1368" s="4" t="str">
        <f t="shared" si="131"/>
        <v>Usa</v>
      </c>
      <c r="AA1368" t="s">
        <v>32</v>
      </c>
      <c r="AB1368" t="s">
        <v>33</v>
      </c>
      <c r="AC1368" t="s">
        <v>275</v>
      </c>
      <c r="AD1368" t="s">
        <v>276</v>
      </c>
      <c r="AE1368" t="s">
        <v>151</v>
      </c>
    </row>
    <row r="1369" spans="1:31" x14ac:dyDescent="0.3">
      <c r="A1369">
        <v>10411</v>
      </c>
      <c r="B1369">
        <v>35</v>
      </c>
      <c r="C1369">
        <v>59.87</v>
      </c>
      <c r="D1369">
        <v>7</v>
      </c>
      <c r="E1369" s="4" t="str">
        <f t="shared" si="126"/>
        <v>low sales</v>
      </c>
      <c r="F1369">
        <v>2095.4499999999998</v>
      </c>
      <c r="G1369" t="s">
        <v>2041</v>
      </c>
      <c r="H1369" s="1" t="str">
        <f t="shared" si="127"/>
        <v>Shipped</v>
      </c>
      <c r="I1369" s="4" t="str">
        <f t="shared" si="128"/>
        <v>completed</v>
      </c>
      <c r="J1369" t="s">
        <v>25</v>
      </c>
      <c r="K1369">
        <v>2</v>
      </c>
      <c r="L1369">
        <v>5</v>
      </c>
      <c r="M1369">
        <v>2005</v>
      </c>
      <c r="N1369" t="s">
        <v>550</v>
      </c>
      <c r="O1369">
        <v>50</v>
      </c>
      <c r="P1369" t="s">
        <v>617</v>
      </c>
      <c r="Q1369" t="s">
        <v>292</v>
      </c>
      <c r="R1369" t="s">
        <v>293</v>
      </c>
      <c r="S1369" t="s">
        <v>294</v>
      </c>
      <c r="U1369" s="1" t="str">
        <f t="shared" si="129"/>
        <v>Montreal</v>
      </c>
      <c r="V1369" t="s">
        <v>295</v>
      </c>
      <c r="W1369" t="s">
        <v>296</v>
      </c>
      <c r="X1369" t="s">
        <v>297</v>
      </c>
      <c r="Y1369" s="1" t="str">
        <f t="shared" si="130"/>
        <v>CANADA</v>
      </c>
      <c r="Z1369" s="4" t="str">
        <f t="shared" si="131"/>
        <v>Canada</v>
      </c>
      <c r="AA1369" t="s">
        <v>231</v>
      </c>
      <c r="AB1369" t="s">
        <v>33</v>
      </c>
      <c r="AC1369" t="s">
        <v>298</v>
      </c>
      <c r="AD1369" t="s">
        <v>299</v>
      </c>
      <c r="AE1369" t="s">
        <v>36</v>
      </c>
    </row>
    <row r="1370" spans="1:31" x14ac:dyDescent="0.3">
      <c r="A1370">
        <v>10424</v>
      </c>
      <c r="B1370">
        <v>26</v>
      </c>
      <c r="C1370">
        <v>59.87</v>
      </c>
      <c r="D1370">
        <v>4</v>
      </c>
      <c r="E1370" s="4" t="str">
        <f t="shared" si="126"/>
        <v>low sales</v>
      </c>
      <c r="F1370">
        <v>1556.62</v>
      </c>
      <c r="G1370" t="s">
        <v>2042</v>
      </c>
      <c r="H1370" s="1" t="str">
        <f t="shared" si="127"/>
        <v>In Process</v>
      </c>
      <c r="I1370" s="4" t="str">
        <f t="shared" si="128"/>
        <v>not completed</v>
      </c>
      <c r="J1370" t="s">
        <v>300</v>
      </c>
      <c r="K1370">
        <v>2</v>
      </c>
      <c r="L1370">
        <v>5</v>
      </c>
      <c r="M1370">
        <v>2005</v>
      </c>
      <c r="N1370" t="s">
        <v>550</v>
      </c>
      <c r="O1370">
        <v>50</v>
      </c>
      <c r="P1370" t="s">
        <v>617</v>
      </c>
      <c r="Q1370" t="s">
        <v>174</v>
      </c>
      <c r="R1370" t="s">
        <v>175</v>
      </c>
      <c r="S1370" t="s">
        <v>176</v>
      </c>
      <c r="U1370" s="1" t="str">
        <f t="shared" si="129"/>
        <v>Madrid</v>
      </c>
      <c r="V1370" t="s">
        <v>177</v>
      </c>
      <c r="X1370">
        <v>28034</v>
      </c>
      <c r="Y1370" s="1" t="str">
        <f t="shared" si="130"/>
        <v>SPAIN</v>
      </c>
      <c r="Z1370" s="4" t="str">
        <f t="shared" si="131"/>
        <v>Spain</v>
      </c>
      <c r="AA1370" t="s">
        <v>178</v>
      </c>
      <c r="AB1370" t="s">
        <v>42</v>
      </c>
      <c r="AC1370" t="s">
        <v>179</v>
      </c>
      <c r="AD1370" t="s">
        <v>180</v>
      </c>
      <c r="AE1370" t="s">
        <v>36</v>
      </c>
    </row>
    <row r="1371" spans="1:31" x14ac:dyDescent="0.3">
      <c r="A1371">
        <v>10108</v>
      </c>
      <c r="B1371">
        <v>44</v>
      </c>
      <c r="C1371">
        <v>100</v>
      </c>
      <c r="D1371">
        <v>11</v>
      </c>
      <c r="E1371" s="4" t="str">
        <f t="shared" si="126"/>
        <v>high sales</v>
      </c>
      <c r="F1371">
        <v>5565.12</v>
      </c>
      <c r="G1371" t="s">
        <v>2043</v>
      </c>
      <c r="H1371" s="1" t="str">
        <f t="shared" si="127"/>
        <v>Shipped</v>
      </c>
      <c r="I1371" s="4" t="str">
        <f t="shared" si="128"/>
        <v>completed</v>
      </c>
      <c r="J1371" t="s">
        <v>25</v>
      </c>
      <c r="K1371">
        <v>1</v>
      </c>
      <c r="L1371">
        <v>3</v>
      </c>
      <c r="M1371">
        <v>2003</v>
      </c>
      <c r="N1371" t="s">
        <v>181</v>
      </c>
      <c r="O1371">
        <v>148</v>
      </c>
      <c r="P1371" t="s">
        <v>618</v>
      </c>
      <c r="Q1371" t="s">
        <v>425</v>
      </c>
      <c r="R1371" t="s">
        <v>426</v>
      </c>
      <c r="S1371" t="s">
        <v>427</v>
      </c>
      <c r="U1371" s="1" t="str">
        <f t="shared" si="129"/>
        <v>Makati City</v>
      </c>
      <c r="V1371" t="s">
        <v>428</v>
      </c>
      <c r="X1371" t="s">
        <v>429</v>
      </c>
      <c r="Y1371" s="1" t="str">
        <f t="shared" si="130"/>
        <v>PHILIPPINES</v>
      </c>
      <c r="Z1371" s="4" t="str">
        <f t="shared" si="131"/>
        <v>Philippines</v>
      </c>
      <c r="AA1371" t="s">
        <v>430</v>
      </c>
      <c r="AB1371" t="s">
        <v>200</v>
      </c>
      <c r="AC1371" t="s">
        <v>431</v>
      </c>
      <c r="AD1371" t="s">
        <v>432</v>
      </c>
      <c r="AE1371" t="s">
        <v>51</v>
      </c>
    </row>
    <row r="1372" spans="1:31" x14ac:dyDescent="0.3">
      <c r="A1372">
        <v>10122</v>
      </c>
      <c r="B1372">
        <v>28</v>
      </c>
      <c r="C1372">
        <v>100</v>
      </c>
      <c r="D1372">
        <v>15</v>
      </c>
      <c r="E1372" s="4" t="str">
        <f t="shared" si="126"/>
        <v>low sales</v>
      </c>
      <c r="F1372">
        <v>3583.16</v>
      </c>
      <c r="G1372" t="s">
        <v>2044</v>
      </c>
      <c r="H1372" s="1" t="str">
        <f t="shared" si="127"/>
        <v>Shipped</v>
      </c>
      <c r="I1372" s="4" t="str">
        <f t="shared" si="128"/>
        <v>completed</v>
      </c>
      <c r="J1372" t="s">
        <v>25</v>
      </c>
      <c r="K1372">
        <v>2</v>
      </c>
      <c r="L1372">
        <v>5</v>
      </c>
      <c r="M1372">
        <v>2003</v>
      </c>
      <c r="N1372" t="s">
        <v>181</v>
      </c>
      <c r="O1372">
        <v>148</v>
      </c>
      <c r="P1372" t="s">
        <v>618</v>
      </c>
      <c r="Q1372" t="s">
        <v>433</v>
      </c>
      <c r="R1372" t="s">
        <v>434</v>
      </c>
      <c r="S1372" t="s">
        <v>435</v>
      </c>
      <c r="U1372" s="1" t="str">
        <f t="shared" si="129"/>
        <v>Marseille</v>
      </c>
      <c r="V1372" t="s">
        <v>436</v>
      </c>
      <c r="X1372">
        <v>13008</v>
      </c>
      <c r="Y1372" s="1" t="str">
        <f t="shared" si="130"/>
        <v>FRANCE</v>
      </c>
      <c r="Z1372" s="4" t="str">
        <f t="shared" si="131"/>
        <v>France</v>
      </c>
      <c r="AA1372" t="s">
        <v>41</v>
      </c>
      <c r="AB1372" t="s">
        <v>42</v>
      </c>
      <c r="AC1372" t="s">
        <v>437</v>
      </c>
      <c r="AD1372" t="s">
        <v>438</v>
      </c>
      <c r="AE1372" t="s">
        <v>51</v>
      </c>
    </row>
    <row r="1373" spans="1:31" x14ac:dyDescent="0.3">
      <c r="A1373">
        <v>10135</v>
      </c>
      <c r="B1373">
        <v>31</v>
      </c>
      <c r="C1373">
        <v>100</v>
      </c>
      <c r="D1373">
        <v>12</v>
      </c>
      <c r="E1373" s="4" t="str">
        <f t="shared" si="126"/>
        <v>high sales</v>
      </c>
      <c r="F1373">
        <v>4705.18</v>
      </c>
      <c r="G1373" t="s">
        <v>2045</v>
      </c>
      <c r="H1373" s="1" t="str">
        <f t="shared" si="127"/>
        <v>Shipped</v>
      </c>
      <c r="I1373" s="4" t="str">
        <f t="shared" si="128"/>
        <v>completed</v>
      </c>
      <c r="J1373" t="s">
        <v>25</v>
      </c>
      <c r="K1373">
        <v>3</v>
      </c>
      <c r="L1373">
        <v>7</v>
      </c>
      <c r="M1373">
        <v>2003</v>
      </c>
      <c r="N1373" t="s">
        <v>181</v>
      </c>
      <c r="O1373">
        <v>148</v>
      </c>
      <c r="P1373" t="s">
        <v>618</v>
      </c>
      <c r="Q1373" t="s">
        <v>272</v>
      </c>
      <c r="R1373">
        <v>4155551450</v>
      </c>
      <c r="S1373" t="s">
        <v>273</v>
      </c>
      <c r="U1373" s="1" t="str">
        <f t="shared" si="129"/>
        <v>San Rafael</v>
      </c>
      <c r="V1373" t="s">
        <v>274</v>
      </c>
      <c r="W1373" t="s">
        <v>55</v>
      </c>
      <c r="X1373">
        <v>97562</v>
      </c>
      <c r="Y1373" s="1" t="str">
        <f t="shared" si="130"/>
        <v>USA</v>
      </c>
      <c r="Z1373" s="4" t="str">
        <f t="shared" si="131"/>
        <v>Usa</v>
      </c>
      <c r="AA1373" t="s">
        <v>32</v>
      </c>
      <c r="AB1373" t="s">
        <v>33</v>
      </c>
      <c r="AC1373" t="s">
        <v>275</v>
      </c>
      <c r="AD1373" t="s">
        <v>276</v>
      </c>
      <c r="AE1373" t="s">
        <v>51</v>
      </c>
    </row>
    <row r="1374" spans="1:31" x14ac:dyDescent="0.3">
      <c r="A1374">
        <v>10146</v>
      </c>
      <c r="B1374">
        <v>29</v>
      </c>
      <c r="C1374">
        <v>100</v>
      </c>
      <c r="D1374">
        <v>1</v>
      </c>
      <c r="E1374" s="4" t="str">
        <f t="shared" si="126"/>
        <v>high sales</v>
      </c>
      <c r="F1374">
        <v>4444.54</v>
      </c>
      <c r="G1374" t="s">
        <v>2046</v>
      </c>
      <c r="H1374" s="1" t="str">
        <f t="shared" si="127"/>
        <v>Shipped</v>
      </c>
      <c r="I1374" s="4" t="str">
        <f t="shared" si="128"/>
        <v>completed</v>
      </c>
      <c r="J1374" t="s">
        <v>25</v>
      </c>
      <c r="K1374">
        <v>3</v>
      </c>
      <c r="L1374">
        <v>9</v>
      </c>
      <c r="M1374">
        <v>2003</v>
      </c>
      <c r="N1374" t="s">
        <v>181</v>
      </c>
      <c r="O1374">
        <v>148</v>
      </c>
      <c r="P1374" t="s">
        <v>618</v>
      </c>
      <c r="Q1374" t="s">
        <v>568</v>
      </c>
      <c r="R1374">
        <v>2035554407</v>
      </c>
      <c r="S1374" t="s">
        <v>569</v>
      </c>
      <c r="U1374" s="1" t="str">
        <f t="shared" si="129"/>
        <v>Glendale</v>
      </c>
      <c r="V1374" t="s">
        <v>516</v>
      </c>
      <c r="W1374" t="s">
        <v>112</v>
      </c>
      <c r="X1374">
        <v>97561</v>
      </c>
      <c r="Y1374" s="1" t="str">
        <f t="shared" si="130"/>
        <v>USA</v>
      </c>
      <c r="Z1374" s="4" t="str">
        <f t="shared" si="131"/>
        <v>Usa</v>
      </c>
      <c r="AA1374" t="s">
        <v>32</v>
      </c>
      <c r="AB1374" t="s">
        <v>33</v>
      </c>
      <c r="AC1374" t="s">
        <v>570</v>
      </c>
      <c r="AD1374" t="s">
        <v>571</v>
      </c>
      <c r="AE1374" t="s">
        <v>51</v>
      </c>
    </row>
    <row r="1375" spans="1:31" x14ac:dyDescent="0.3">
      <c r="A1375">
        <v>10159</v>
      </c>
      <c r="B1375">
        <v>32</v>
      </c>
      <c r="C1375">
        <v>100</v>
      </c>
      <c r="D1375">
        <v>7</v>
      </c>
      <c r="E1375" s="4" t="str">
        <f t="shared" si="126"/>
        <v>high sales</v>
      </c>
      <c r="F1375">
        <v>4618.88</v>
      </c>
      <c r="G1375" t="s">
        <v>2047</v>
      </c>
      <c r="H1375" s="1" t="str">
        <f t="shared" si="127"/>
        <v>Shipped</v>
      </c>
      <c r="I1375" s="4" t="str">
        <f t="shared" si="128"/>
        <v>completed</v>
      </c>
      <c r="J1375" t="s">
        <v>25</v>
      </c>
      <c r="K1375">
        <v>4</v>
      </c>
      <c r="L1375">
        <v>10</v>
      </c>
      <c r="M1375">
        <v>2003</v>
      </c>
      <c r="N1375" t="s">
        <v>181</v>
      </c>
      <c r="O1375">
        <v>148</v>
      </c>
      <c r="P1375" t="s">
        <v>618</v>
      </c>
      <c r="Q1375" t="s">
        <v>58</v>
      </c>
      <c r="R1375">
        <v>6505551386</v>
      </c>
      <c r="S1375" t="s">
        <v>59</v>
      </c>
      <c r="U1375" s="1" t="str">
        <f t="shared" si="129"/>
        <v>San Francisco</v>
      </c>
      <c r="V1375" t="s">
        <v>60</v>
      </c>
      <c r="W1375" t="s">
        <v>55</v>
      </c>
      <c r="Y1375" s="1" t="str">
        <f t="shared" si="130"/>
        <v>USA</v>
      </c>
      <c r="Z1375" s="4" t="str">
        <f t="shared" si="131"/>
        <v>Usa</v>
      </c>
      <c r="AA1375" t="s">
        <v>32</v>
      </c>
      <c r="AB1375" t="s">
        <v>33</v>
      </c>
      <c r="AC1375" t="s">
        <v>61</v>
      </c>
      <c r="AD1375" t="s">
        <v>57</v>
      </c>
      <c r="AE1375" t="s">
        <v>51</v>
      </c>
    </row>
    <row r="1376" spans="1:31" x14ac:dyDescent="0.3">
      <c r="A1376">
        <v>10169</v>
      </c>
      <c r="B1376">
        <v>33</v>
      </c>
      <c r="C1376">
        <v>100</v>
      </c>
      <c r="D1376">
        <v>7</v>
      </c>
      <c r="E1376" s="4" t="str">
        <f t="shared" si="126"/>
        <v>high sales</v>
      </c>
      <c r="F1376">
        <v>4910.3999999999996</v>
      </c>
      <c r="G1376" t="s">
        <v>2048</v>
      </c>
      <c r="H1376" s="1" t="str">
        <f t="shared" si="127"/>
        <v>Shipped</v>
      </c>
      <c r="I1376" s="4" t="str">
        <f t="shared" si="128"/>
        <v>completed</v>
      </c>
      <c r="J1376" t="s">
        <v>25</v>
      </c>
      <c r="K1376">
        <v>4</v>
      </c>
      <c r="L1376">
        <v>11</v>
      </c>
      <c r="M1376">
        <v>2003</v>
      </c>
      <c r="N1376" t="s">
        <v>181</v>
      </c>
      <c r="O1376">
        <v>148</v>
      </c>
      <c r="P1376" t="s">
        <v>618</v>
      </c>
      <c r="Q1376" t="s">
        <v>285</v>
      </c>
      <c r="R1376" t="s">
        <v>286</v>
      </c>
      <c r="S1376" t="s">
        <v>287</v>
      </c>
      <c r="T1376" t="s">
        <v>288</v>
      </c>
      <c r="U1376" s="1" t="str">
        <f t="shared" si="129"/>
        <v>North Sydney</v>
      </c>
      <c r="V1376" t="s">
        <v>289</v>
      </c>
      <c r="W1376" t="s">
        <v>157</v>
      </c>
      <c r="X1376">
        <v>2060</v>
      </c>
      <c r="Y1376" s="1" t="str">
        <f t="shared" si="130"/>
        <v>AUSTRALIA</v>
      </c>
      <c r="Z1376" s="4" t="str">
        <f t="shared" si="131"/>
        <v>Australia</v>
      </c>
      <c r="AA1376" t="s">
        <v>95</v>
      </c>
      <c r="AB1376" t="s">
        <v>96</v>
      </c>
      <c r="AC1376" t="s">
        <v>290</v>
      </c>
      <c r="AD1376" t="s">
        <v>291</v>
      </c>
      <c r="AE1376" t="s">
        <v>51</v>
      </c>
    </row>
    <row r="1377" spans="1:31" x14ac:dyDescent="0.3">
      <c r="A1377">
        <v>10180</v>
      </c>
      <c r="B1377">
        <v>44</v>
      </c>
      <c r="C1377">
        <v>100</v>
      </c>
      <c r="D1377">
        <v>2</v>
      </c>
      <c r="E1377" s="4" t="str">
        <f t="shared" si="126"/>
        <v>high sales</v>
      </c>
      <c r="F1377">
        <v>5565.12</v>
      </c>
      <c r="G1377" t="s">
        <v>2049</v>
      </c>
      <c r="H1377" s="1" t="str">
        <f t="shared" si="127"/>
        <v>Shipped</v>
      </c>
      <c r="I1377" s="4" t="str">
        <f t="shared" si="128"/>
        <v>completed</v>
      </c>
      <c r="J1377" t="s">
        <v>25</v>
      </c>
      <c r="K1377">
        <v>4</v>
      </c>
      <c r="L1377">
        <v>11</v>
      </c>
      <c r="M1377">
        <v>2003</v>
      </c>
      <c r="N1377" t="s">
        <v>181</v>
      </c>
      <c r="O1377">
        <v>148</v>
      </c>
      <c r="P1377" t="s">
        <v>618</v>
      </c>
      <c r="Q1377" t="s">
        <v>67</v>
      </c>
      <c r="R1377" t="s">
        <v>68</v>
      </c>
      <c r="S1377" t="s">
        <v>69</v>
      </c>
      <c r="U1377" s="1" t="str">
        <f t="shared" si="129"/>
        <v>Lille</v>
      </c>
      <c r="V1377" t="s">
        <v>70</v>
      </c>
      <c r="X1377">
        <v>59000</v>
      </c>
      <c r="Y1377" s="1" t="str">
        <f t="shared" si="130"/>
        <v>FRANCE</v>
      </c>
      <c r="Z1377" s="4" t="str">
        <f t="shared" si="131"/>
        <v>France</v>
      </c>
      <c r="AA1377" t="s">
        <v>41</v>
      </c>
      <c r="AB1377" t="s">
        <v>42</v>
      </c>
      <c r="AC1377" t="s">
        <v>71</v>
      </c>
      <c r="AD1377" t="s">
        <v>72</v>
      </c>
      <c r="AE1377" t="s">
        <v>51</v>
      </c>
    </row>
    <row r="1378" spans="1:31" x14ac:dyDescent="0.3">
      <c r="A1378">
        <v>10191</v>
      </c>
      <c r="B1378">
        <v>32</v>
      </c>
      <c r="C1378">
        <v>100</v>
      </c>
      <c r="D1378">
        <v>8</v>
      </c>
      <c r="E1378" s="4" t="str">
        <f t="shared" si="126"/>
        <v>high sales</v>
      </c>
      <c r="F1378">
        <v>4237.76</v>
      </c>
      <c r="G1378" t="s">
        <v>2050</v>
      </c>
      <c r="H1378" s="1" t="str">
        <f t="shared" si="127"/>
        <v>Shipped</v>
      </c>
      <c r="I1378" s="4" t="str">
        <f t="shared" si="128"/>
        <v>completed</v>
      </c>
      <c r="J1378" t="s">
        <v>25</v>
      </c>
      <c r="K1378">
        <v>4</v>
      </c>
      <c r="L1378">
        <v>11</v>
      </c>
      <c r="M1378">
        <v>2003</v>
      </c>
      <c r="N1378" t="s">
        <v>181</v>
      </c>
      <c r="O1378">
        <v>148</v>
      </c>
      <c r="P1378" t="s">
        <v>618</v>
      </c>
      <c r="Q1378" t="s">
        <v>439</v>
      </c>
      <c r="R1378" t="s">
        <v>440</v>
      </c>
      <c r="S1378" t="s">
        <v>441</v>
      </c>
      <c r="U1378" s="1" t="str">
        <f t="shared" si="129"/>
        <v>Koln</v>
      </c>
      <c r="V1378" t="s">
        <v>442</v>
      </c>
      <c r="X1378">
        <v>50739</v>
      </c>
      <c r="Y1378" s="1" t="str">
        <f t="shared" si="130"/>
        <v>GERMANY</v>
      </c>
      <c r="Z1378" s="4" t="str">
        <f t="shared" si="131"/>
        <v>Germany</v>
      </c>
      <c r="AA1378" t="s">
        <v>443</v>
      </c>
      <c r="AB1378" t="s">
        <v>42</v>
      </c>
      <c r="AC1378" t="s">
        <v>444</v>
      </c>
      <c r="AD1378" t="s">
        <v>445</v>
      </c>
      <c r="AE1378" t="s">
        <v>51</v>
      </c>
    </row>
    <row r="1379" spans="1:31" x14ac:dyDescent="0.3">
      <c r="A1379">
        <v>10211</v>
      </c>
      <c r="B1379">
        <v>41</v>
      </c>
      <c r="C1379">
        <v>100</v>
      </c>
      <c r="D1379">
        <v>7</v>
      </c>
      <c r="E1379" s="4" t="str">
        <f t="shared" si="126"/>
        <v>high sales</v>
      </c>
      <c r="F1379">
        <v>5673.58</v>
      </c>
      <c r="G1379" t="s">
        <v>2051</v>
      </c>
      <c r="H1379" s="1" t="str">
        <f t="shared" si="127"/>
        <v>Shipped</v>
      </c>
      <c r="I1379" s="4" t="str">
        <f t="shared" si="128"/>
        <v>completed</v>
      </c>
      <c r="J1379" t="s">
        <v>25</v>
      </c>
      <c r="K1379">
        <v>1</v>
      </c>
      <c r="L1379">
        <v>1</v>
      </c>
      <c r="M1379">
        <v>2004</v>
      </c>
      <c r="N1379" t="s">
        <v>181</v>
      </c>
      <c r="O1379">
        <v>148</v>
      </c>
      <c r="P1379" t="s">
        <v>618</v>
      </c>
      <c r="Q1379" t="s">
        <v>84</v>
      </c>
      <c r="R1379" t="s">
        <v>85</v>
      </c>
      <c r="S1379" t="s">
        <v>86</v>
      </c>
      <c r="U1379" s="1" t="str">
        <f t="shared" si="129"/>
        <v>Paris</v>
      </c>
      <c r="V1379" t="s">
        <v>48</v>
      </c>
      <c r="X1379">
        <v>75016</v>
      </c>
      <c r="Y1379" s="1" t="str">
        <f t="shared" si="130"/>
        <v>FRANCE</v>
      </c>
      <c r="Z1379" s="4" t="str">
        <f t="shared" si="131"/>
        <v>France</v>
      </c>
      <c r="AA1379" t="s">
        <v>41</v>
      </c>
      <c r="AB1379" t="s">
        <v>42</v>
      </c>
      <c r="AC1379" t="s">
        <v>87</v>
      </c>
      <c r="AD1379" t="s">
        <v>88</v>
      </c>
      <c r="AE1379" t="s">
        <v>51</v>
      </c>
    </row>
    <row r="1380" spans="1:31" x14ac:dyDescent="0.3">
      <c r="A1380">
        <v>10225</v>
      </c>
      <c r="B1380">
        <v>35</v>
      </c>
      <c r="C1380">
        <v>100</v>
      </c>
      <c r="D1380">
        <v>14</v>
      </c>
      <c r="E1380" s="4" t="str">
        <f t="shared" si="126"/>
        <v>high sales</v>
      </c>
      <c r="F1380">
        <v>5260.15</v>
      </c>
      <c r="G1380" t="s">
        <v>2052</v>
      </c>
      <c r="H1380" s="1" t="str">
        <f t="shared" si="127"/>
        <v>Shipped</v>
      </c>
      <c r="I1380" s="4" t="str">
        <f t="shared" si="128"/>
        <v>completed</v>
      </c>
      <c r="J1380" t="s">
        <v>25</v>
      </c>
      <c r="K1380">
        <v>1</v>
      </c>
      <c r="L1380">
        <v>2</v>
      </c>
      <c r="M1380">
        <v>2004</v>
      </c>
      <c r="N1380" t="s">
        <v>181</v>
      </c>
      <c r="O1380">
        <v>148</v>
      </c>
      <c r="P1380" t="s">
        <v>618</v>
      </c>
      <c r="Q1380" t="s">
        <v>446</v>
      </c>
      <c r="R1380" t="s">
        <v>447</v>
      </c>
      <c r="S1380" t="s">
        <v>448</v>
      </c>
      <c r="U1380" s="1" t="str">
        <f t="shared" si="129"/>
        <v>Gensve</v>
      </c>
      <c r="V1380" t="s">
        <v>449</v>
      </c>
      <c r="X1380">
        <v>1203</v>
      </c>
      <c r="Y1380" s="1" t="str">
        <f t="shared" si="130"/>
        <v>SWITZERLAND</v>
      </c>
      <c r="Z1380" s="4" t="str">
        <f t="shared" si="131"/>
        <v>Switzerland</v>
      </c>
      <c r="AA1380" t="s">
        <v>450</v>
      </c>
      <c r="AB1380" t="s">
        <v>42</v>
      </c>
      <c r="AC1380" t="s">
        <v>451</v>
      </c>
      <c r="AD1380" t="s">
        <v>103</v>
      </c>
      <c r="AE1380" t="s">
        <v>51</v>
      </c>
    </row>
    <row r="1381" spans="1:31" x14ac:dyDescent="0.3">
      <c r="A1381">
        <v>10238</v>
      </c>
      <c r="B1381">
        <v>44</v>
      </c>
      <c r="C1381">
        <v>100</v>
      </c>
      <c r="D1381">
        <v>8</v>
      </c>
      <c r="E1381" s="4" t="str">
        <f t="shared" si="126"/>
        <v>high sales</v>
      </c>
      <c r="F1381">
        <v>6350.96</v>
      </c>
      <c r="G1381" t="s">
        <v>2053</v>
      </c>
      <c r="H1381" s="1" t="str">
        <f t="shared" si="127"/>
        <v>Shipped</v>
      </c>
      <c r="I1381" s="4" t="str">
        <f t="shared" si="128"/>
        <v>completed</v>
      </c>
      <c r="J1381" t="s">
        <v>25</v>
      </c>
      <c r="K1381">
        <v>2</v>
      </c>
      <c r="L1381">
        <v>4</v>
      </c>
      <c r="M1381">
        <v>2004</v>
      </c>
      <c r="N1381" t="s">
        <v>181</v>
      </c>
      <c r="O1381">
        <v>148</v>
      </c>
      <c r="P1381" t="s">
        <v>618</v>
      </c>
      <c r="Q1381" t="s">
        <v>322</v>
      </c>
      <c r="R1381" t="s">
        <v>323</v>
      </c>
      <c r="S1381" t="s">
        <v>324</v>
      </c>
      <c r="U1381" s="1" t="str">
        <f t="shared" si="129"/>
        <v>Kobenhavn</v>
      </c>
      <c r="V1381" t="s">
        <v>325</v>
      </c>
      <c r="X1381">
        <v>1734</v>
      </c>
      <c r="Y1381" s="1" t="str">
        <f t="shared" si="130"/>
        <v>DENMARK</v>
      </c>
      <c r="Z1381" s="4" t="str">
        <f t="shared" si="131"/>
        <v>Denmark</v>
      </c>
      <c r="AA1381" t="s">
        <v>326</v>
      </c>
      <c r="AB1381" t="s">
        <v>42</v>
      </c>
      <c r="AC1381" t="s">
        <v>327</v>
      </c>
      <c r="AD1381" t="s">
        <v>328</v>
      </c>
      <c r="AE1381" t="s">
        <v>51</v>
      </c>
    </row>
    <row r="1382" spans="1:31" x14ac:dyDescent="0.3">
      <c r="A1382">
        <v>10252</v>
      </c>
      <c r="B1382">
        <v>26</v>
      </c>
      <c r="C1382">
        <v>100</v>
      </c>
      <c r="D1382">
        <v>4</v>
      </c>
      <c r="E1382" s="4" t="str">
        <f t="shared" si="126"/>
        <v>low sales</v>
      </c>
      <c r="F1382">
        <v>3559.4</v>
      </c>
      <c r="G1382" t="s">
        <v>2054</v>
      </c>
      <c r="H1382" s="1" t="str">
        <f t="shared" si="127"/>
        <v>Shipped</v>
      </c>
      <c r="I1382" s="4" t="str">
        <f t="shared" si="128"/>
        <v>completed</v>
      </c>
      <c r="J1382" t="s">
        <v>25</v>
      </c>
      <c r="K1382">
        <v>2</v>
      </c>
      <c r="L1382">
        <v>5</v>
      </c>
      <c r="M1382">
        <v>2004</v>
      </c>
      <c r="N1382" t="s">
        <v>181</v>
      </c>
      <c r="O1382">
        <v>148</v>
      </c>
      <c r="P1382" t="s">
        <v>618</v>
      </c>
      <c r="Q1382" t="s">
        <v>84</v>
      </c>
      <c r="R1382" t="s">
        <v>85</v>
      </c>
      <c r="S1382" t="s">
        <v>86</v>
      </c>
      <c r="U1382" s="1" t="str">
        <f t="shared" si="129"/>
        <v>Paris</v>
      </c>
      <c r="V1382" t="s">
        <v>48</v>
      </c>
      <c r="X1382">
        <v>75016</v>
      </c>
      <c r="Y1382" s="1" t="str">
        <f t="shared" si="130"/>
        <v>FRANCE</v>
      </c>
      <c r="Z1382" s="4" t="str">
        <f t="shared" si="131"/>
        <v>France</v>
      </c>
      <c r="AA1382" t="s">
        <v>41</v>
      </c>
      <c r="AB1382" t="s">
        <v>42</v>
      </c>
      <c r="AC1382" t="s">
        <v>87</v>
      </c>
      <c r="AD1382" t="s">
        <v>88</v>
      </c>
      <c r="AE1382" t="s">
        <v>51</v>
      </c>
    </row>
    <row r="1383" spans="1:31" x14ac:dyDescent="0.3">
      <c r="A1383">
        <v>10264</v>
      </c>
      <c r="B1383">
        <v>20</v>
      </c>
      <c r="C1383">
        <v>100</v>
      </c>
      <c r="D1383">
        <v>2</v>
      </c>
      <c r="E1383" s="4" t="str">
        <f t="shared" si="126"/>
        <v>low sales</v>
      </c>
      <c r="F1383">
        <v>2410.6</v>
      </c>
      <c r="G1383" t="s">
        <v>2055</v>
      </c>
      <c r="H1383" s="1" t="str">
        <f t="shared" si="127"/>
        <v>Shipped</v>
      </c>
      <c r="I1383" s="4" t="str">
        <f t="shared" si="128"/>
        <v>completed</v>
      </c>
      <c r="J1383" t="s">
        <v>25</v>
      </c>
      <c r="K1383">
        <v>2</v>
      </c>
      <c r="L1383">
        <v>6</v>
      </c>
      <c r="M1383">
        <v>2004</v>
      </c>
      <c r="N1383" t="s">
        <v>181</v>
      </c>
      <c r="O1383">
        <v>148</v>
      </c>
      <c r="P1383" t="s">
        <v>618</v>
      </c>
      <c r="Q1383" t="s">
        <v>379</v>
      </c>
      <c r="R1383">
        <v>6175559555</v>
      </c>
      <c r="S1383" t="s">
        <v>380</v>
      </c>
      <c r="U1383" s="1" t="str">
        <f t="shared" si="129"/>
        <v>Boston</v>
      </c>
      <c r="V1383" t="s">
        <v>381</v>
      </c>
      <c r="W1383" t="s">
        <v>123</v>
      </c>
      <c r="X1383">
        <v>51003</v>
      </c>
      <c r="Y1383" s="1" t="str">
        <f t="shared" si="130"/>
        <v>USA</v>
      </c>
      <c r="Z1383" s="4" t="str">
        <f t="shared" si="131"/>
        <v>Usa</v>
      </c>
      <c r="AA1383" t="s">
        <v>32</v>
      </c>
      <c r="AB1383" t="s">
        <v>33</v>
      </c>
      <c r="AC1383" t="s">
        <v>382</v>
      </c>
      <c r="AD1383" t="s">
        <v>66</v>
      </c>
      <c r="AE1383" t="s">
        <v>36</v>
      </c>
    </row>
    <row r="1384" spans="1:31" x14ac:dyDescent="0.3">
      <c r="A1384">
        <v>10276</v>
      </c>
      <c r="B1384">
        <v>48</v>
      </c>
      <c r="C1384">
        <v>100</v>
      </c>
      <c r="D1384">
        <v>8</v>
      </c>
      <c r="E1384" s="4" t="str">
        <f t="shared" si="126"/>
        <v>high sales</v>
      </c>
      <c r="F1384">
        <v>5713.92</v>
      </c>
      <c r="G1384" t="s">
        <v>2056</v>
      </c>
      <c r="H1384" s="1" t="str">
        <f t="shared" si="127"/>
        <v>Shipped</v>
      </c>
      <c r="I1384" s="4" t="str">
        <f t="shared" si="128"/>
        <v>completed</v>
      </c>
      <c r="J1384" t="s">
        <v>25</v>
      </c>
      <c r="K1384">
        <v>3</v>
      </c>
      <c r="L1384">
        <v>8</v>
      </c>
      <c r="M1384">
        <v>2004</v>
      </c>
      <c r="N1384" t="s">
        <v>181</v>
      </c>
      <c r="O1384">
        <v>148</v>
      </c>
      <c r="P1384" t="s">
        <v>618</v>
      </c>
      <c r="Q1384" t="s">
        <v>458</v>
      </c>
      <c r="R1384">
        <v>6175557555</v>
      </c>
      <c r="S1384" t="s">
        <v>459</v>
      </c>
      <c r="U1384" s="1" t="str">
        <f t="shared" si="129"/>
        <v>Brickhaven</v>
      </c>
      <c r="V1384" t="s">
        <v>283</v>
      </c>
      <c r="W1384" t="s">
        <v>123</v>
      </c>
      <c r="X1384">
        <v>58339</v>
      </c>
      <c r="Y1384" s="1" t="str">
        <f t="shared" si="130"/>
        <v>USA</v>
      </c>
      <c r="Z1384" s="4" t="str">
        <f t="shared" si="131"/>
        <v>Usa</v>
      </c>
      <c r="AA1384" t="s">
        <v>32</v>
      </c>
      <c r="AB1384" t="s">
        <v>33</v>
      </c>
      <c r="AC1384" t="s">
        <v>460</v>
      </c>
      <c r="AD1384" t="s">
        <v>461</v>
      </c>
      <c r="AE1384" t="s">
        <v>51</v>
      </c>
    </row>
    <row r="1385" spans="1:31" x14ac:dyDescent="0.3">
      <c r="A1385">
        <v>10287</v>
      </c>
      <c r="B1385">
        <v>34</v>
      </c>
      <c r="C1385">
        <v>100</v>
      </c>
      <c r="D1385">
        <v>17</v>
      </c>
      <c r="E1385" s="4" t="str">
        <f t="shared" si="126"/>
        <v>high sales</v>
      </c>
      <c r="F1385">
        <v>4300.32</v>
      </c>
      <c r="G1385" t="s">
        <v>2057</v>
      </c>
      <c r="H1385" s="1" t="str">
        <f t="shared" si="127"/>
        <v>Shipped</v>
      </c>
      <c r="I1385" s="4" t="str">
        <f t="shared" si="128"/>
        <v>completed</v>
      </c>
      <c r="J1385" t="s">
        <v>25</v>
      </c>
      <c r="K1385">
        <v>3</v>
      </c>
      <c r="L1385">
        <v>8</v>
      </c>
      <c r="M1385">
        <v>2004</v>
      </c>
      <c r="N1385" t="s">
        <v>181</v>
      </c>
      <c r="O1385">
        <v>148</v>
      </c>
      <c r="P1385" t="s">
        <v>618</v>
      </c>
      <c r="Q1385" t="s">
        <v>446</v>
      </c>
      <c r="R1385" t="s">
        <v>447</v>
      </c>
      <c r="S1385" t="s">
        <v>448</v>
      </c>
      <c r="U1385" s="1" t="str">
        <f t="shared" si="129"/>
        <v>Gensve</v>
      </c>
      <c r="V1385" t="s">
        <v>449</v>
      </c>
      <c r="X1385">
        <v>1203</v>
      </c>
      <c r="Y1385" s="1" t="str">
        <f t="shared" si="130"/>
        <v>SWITZERLAND</v>
      </c>
      <c r="Z1385" s="4" t="str">
        <f t="shared" si="131"/>
        <v>Switzerland</v>
      </c>
      <c r="AA1385" t="s">
        <v>450</v>
      </c>
      <c r="AB1385" t="s">
        <v>42</v>
      </c>
      <c r="AC1385" t="s">
        <v>451</v>
      </c>
      <c r="AD1385" t="s">
        <v>103</v>
      </c>
      <c r="AE1385" t="s">
        <v>51</v>
      </c>
    </row>
    <row r="1386" spans="1:31" x14ac:dyDescent="0.3">
      <c r="A1386">
        <v>10299</v>
      </c>
      <c r="B1386">
        <v>49</v>
      </c>
      <c r="C1386">
        <v>100</v>
      </c>
      <c r="D1386">
        <v>2</v>
      </c>
      <c r="E1386" s="4" t="str">
        <f t="shared" si="126"/>
        <v>high sales</v>
      </c>
      <c r="F1386">
        <v>7947.31</v>
      </c>
      <c r="G1386" t="s">
        <v>2058</v>
      </c>
      <c r="H1386" s="1" t="str">
        <f t="shared" si="127"/>
        <v>Shipped</v>
      </c>
      <c r="I1386" s="4" t="str">
        <f t="shared" si="128"/>
        <v>completed</v>
      </c>
      <c r="J1386" t="s">
        <v>25</v>
      </c>
      <c r="K1386">
        <v>3</v>
      </c>
      <c r="L1386">
        <v>9</v>
      </c>
      <c r="M1386">
        <v>2004</v>
      </c>
      <c r="N1386" t="s">
        <v>181</v>
      </c>
      <c r="O1386">
        <v>148</v>
      </c>
      <c r="P1386" t="s">
        <v>618</v>
      </c>
      <c r="Q1386" t="s">
        <v>126</v>
      </c>
      <c r="R1386" t="s">
        <v>127</v>
      </c>
      <c r="S1386" t="s">
        <v>128</v>
      </c>
      <c r="U1386" s="1" t="str">
        <f t="shared" si="129"/>
        <v>Helsinki</v>
      </c>
      <c r="V1386" t="s">
        <v>129</v>
      </c>
      <c r="X1386">
        <v>21240</v>
      </c>
      <c r="Y1386" s="1" t="str">
        <f t="shared" si="130"/>
        <v>FINLAND</v>
      </c>
      <c r="Z1386" s="4" t="str">
        <f t="shared" si="131"/>
        <v>Finland</v>
      </c>
      <c r="AA1386" t="s">
        <v>130</v>
      </c>
      <c r="AB1386" t="s">
        <v>42</v>
      </c>
      <c r="AC1386" t="s">
        <v>131</v>
      </c>
      <c r="AD1386" t="s">
        <v>132</v>
      </c>
      <c r="AE1386" t="s">
        <v>151</v>
      </c>
    </row>
    <row r="1387" spans="1:31" x14ac:dyDescent="0.3">
      <c r="A1387">
        <v>10310</v>
      </c>
      <c r="B1387">
        <v>40</v>
      </c>
      <c r="C1387">
        <v>100</v>
      </c>
      <c r="D1387">
        <v>15</v>
      </c>
      <c r="E1387" s="4" t="str">
        <f t="shared" si="126"/>
        <v>high sales</v>
      </c>
      <c r="F1387">
        <v>5356.8</v>
      </c>
      <c r="G1387" t="s">
        <v>2059</v>
      </c>
      <c r="H1387" s="1" t="str">
        <f t="shared" si="127"/>
        <v>Shipped</v>
      </c>
      <c r="I1387" s="4" t="str">
        <f t="shared" si="128"/>
        <v>completed</v>
      </c>
      <c r="J1387" t="s">
        <v>25</v>
      </c>
      <c r="K1387">
        <v>4</v>
      </c>
      <c r="L1387">
        <v>10</v>
      </c>
      <c r="M1387">
        <v>2004</v>
      </c>
      <c r="N1387" t="s">
        <v>181</v>
      </c>
      <c r="O1387">
        <v>148</v>
      </c>
      <c r="P1387" t="s">
        <v>618</v>
      </c>
      <c r="Q1387" t="s">
        <v>439</v>
      </c>
      <c r="R1387" t="s">
        <v>440</v>
      </c>
      <c r="S1387" t="s">
        <v>441</v>
      </c>
      <c r="U1387" s="1" t="str">
        <f t="shared" si="129"/>
        <v>Koln</v>
      </c>
      <c r="V1387" t="s">
        <v>442</v>
      </c>
      <c r="X1387">
        <v>50739</v>
      </c>
      <c r="Y1387" s="1" t="str">
        <f t="shared" si="130"/>
        <v>GERMANY</v>
      </c>
      <c r="Z1387" s="4" t="str">
        <f t="shared" si="131"/>
        <v>Germany</v>
      </c>
      <c r="AA1387" t="s">
        <v>443</v>
      </c>
      <c r="AB1387" t="s">
        <v>42</v>
      </c>
      <c r="AC1387" t="s">
        <v>444</v>
      </c>
      <c r="AD1387" t="s">
        <v>445</v>
      </c>
      <c r="AE1387" t="s">
        <v>51</v>
      </c>
    </row>
    <row r="1388" spans="1:31" x14ac:dyDescent="0.3">
      <c r="A1388">
        <v>10319</v>
      </c>
      <c r="B1388">
        <v>45</v>
      </c>
      <c r="C1388">
        <v>100</v>
      </c>
      <c r="D1388">
        <v>3</v>
      </c>
      <c r="E1388" s="4" t="str">
        <f t="shared" si="126"/>
        <v>high sales</v>
      </c>
      <c r="F1388">
        <v>7901.1</v>
      </c>
      <c r="G1388" t="s">
        <v>2060</v>
      </c>
      <c r="H1388" s="1" t="str">
        <f t="shared" si="127"/>
        <v>Shipped</v>
      </c>
      <c r="I1388" s="4" t="str">
        <f t="shared" si="128"/>
        <v>completed</v>
      </c>
      <c r="J1388" t="s">
        <v>25</v>
      </c>
      <c r="K1388">
        <v>4</v>
      </c>
      <c r="L1388">
        <v>11</v>
      </c>
      <c r="M1388">
        <v>2004</v>
      </c>
      <c r="N1388" t="s">
        <v>181</v>
      </c>
      <c r="O1388">
        <v>148</v>
      </c>
      <c r="P1388" t="s">
        <v>618</v>
      </c>
      <c r="Q1388" t="s">
        <v>507</v>
      </c>
      <c r="R1388">
        <v>2125551957</v>
      </c>
      <c r="S1388" t="s">
        <v>508</v>
      </c>
      <c r="T1388" t="s">
        <v>509</v>
      </c>
      <c r="U1388" s="1" t="str">
        <f t="shared" si="129"/>
        <v>Nyc</v>
      </c>
      <c r="V1388" t="s">
        <v>30</v>
      </c>
      <c r="W1388" t="s">
        <v>31</v>
      </c>
      <c r="X1388">
        <v>10022</v>
      </c>
      <c r="Y1388" s="1" t="str">
        <f t="shared" si="130"/>
        <v>USA</v>
      </c>
      <c r="Z1388" s="4" t="str">
        <f t="shared" si="131"/>
        <v>Usa</v>
      </c>
      <c r="AA1388" t="s">
        <v>32</v>
      </c>
      <c r="AB1388" t="s">
        <v>33</v>
      </c>
      <c r="AC1388" t="s">
        <v>510</v>
      </c>
      <c r="AD1388" t="s">
        <v>511</v>
      </c>
      <c r="AE1388" t="s">
        <v>151</v>
      </c>
    </row>
    <row r="1389" spans="1:31" x14ac:dyDescent="0.3">
      <c r="A1389">
        <v>10330</v>
      </c>
      <c r="B1389">
        <v>50</v>
      </c>
      <c r="C1389">
        <v>100</v>
      </c>
      <c r="D1389">
        <v>4</v>
      </c>
      <c r="E1389" s="4" t="str">
        <f t="shared" si="126"/>
        <v>high sales</v>
      </c>
      <c r="F1389">
        <v>6101</v>
      </c>
      <c r="G1389" t="s">
        <v>2061</v>
      </c>
      <c r="H1389" s="1" t="str">
        <f t="shared" si="127"/>
        <v>Shipped</v>
      </c>
      <c r="I1389" s="4" t="str">
        <f t="shared" si="128"/>
        <v>completed</v>
      </c>
      <c r="J1389" t="s">
        <v>25</v>
      </c>
      <c r="K1389">
        <v>4</v>
      </c>
      <c r="L1389">
        <v>11</v>
      </c>
      <c r="M1389">
        <v>2004</v>
      </c>
      <c r="N1389" t="s">
        <v>181</v>
      </c>
      <c r="O1389">
        <v>148</v>
      </c>
      <c r="P1389" t="s">
        <v>618</v>
      </c>
      <c r="Q1389" t="s">
        <v>425</v>
      </c>
      <c r="R1389" t="s">
        <v>426</v>
      </c>
      <c r="S1389" t="s">
        <v>427</v>
      </c>
      <c r="U1389" s="1" t="str">
        <f t="shared" si="129"/>
        <v>Makati City</v>
      </c>
      <c r="V1389" t="s">
        <v>428</v>
      </c>
      <c r="X1389" t="s">
        <v>429</v>
      </c>
      <c r="Y1389" s="1" t="str">
        <f t="shared" si="130"/>
        <v>PHILIPPINES</v>
      </c>
      <c r="Z1389" s="4" t="str">
        <f t="shared" si="131"/>
        <v>Philippines</v>
      </c>
      <c r="AA1389" t="s">
        <v>430</v>
      </c>
      <c r="AB1389" t="s">
        <v>200</v>
      </c>
      <c r="AC1389" t="s">
        <v>431</v>
      </c>
      <c r="AD1389" t="s">
        <v>432</v>
      </c>
      <c r="AE1389" t="s">
        <v>51</v>
      </c>
    </row>
    <row r="1390" spans="1:31" x14ac:dyDescent="0.3">
      <c r="A1390">
        <v>10342</v>
      </c>
      <c r="B1390">
        <v>38</v>
      </c>
      <c r="C1390">
        <v>100</v>
      </c>
      <c r="D1390">
        <v>11</v>
      </c>
      <c r="E1390" s="4" t="str">
        <f t="shared" si="126"/>
        <v>high sales</v>
      </c>
      <c r="F1390">
        <v>6276.46</v>
      </c>
      <c r="G1390" t="s">
        <v>2062</v>
      </c>
      <c r="H1390" s="1" t="str">
        <f t="shared" si="127"/>
        <v>Shipped</v>
      </c>
      <c r="I1390" s="4" t="str">
        <f t="shared" si="128"/>
        <v>completed</v>
      </c>
      <c r="J1390" t="s">
        <v>25</v>
      </c>
      <c r="K1390">
        <v>4</v>
      </c>
      <c r="L1390">
        <v>11</v>
      </c>
      <c r="M1390">
        <v>2004</v>
      </c>
      <c r="N1390" t="s">
        <v>181</v>
      </c>
      <c r="O1390">
        <v>148</v>
      </c>
      <c r="P1390" t="s">
        <v>618</v>
      </c>
      <c r="Q1390" t="s">
        <v>89</v>
      </c>
      <c r="R1390" t="s">
        <v>90</v>
      </c>
      <c r="S1390" t="s">
        <v>91</v>
      </c>
      <c r="T1390" t="s">
        <v>92</v>
      </c>
      <c r="U1390" s="1" t="str">
        <f t="shared" si="129"/>
        <v>Melbourne</v>
      </c>
      <c r="V1390" t="s">
        <v>93</v>
      </c>
      <c r="W1390" t="s">
        <v>94</v>
      </c>
      <c r="X1390">
        <v>3004</v>
      </c>
      <c r="Y1390" s="1" t="str">
        <f t="shared" si="130"/>
        <v>AUSTRALIA</v>
      </c>
      <c r="Z1390" s="4" t="str">
        <f t="shared" si="131"/>
        <v>Australia</v>
      </c>
      <c r="AA1390" t="s">
        <v>95</v>
      </c>
      <c r="AB1390" t="s">
        <v>96</v>
      </c>
      <c r="AC1390" t="s">
        <v>97</v>
      </c>
      <c r="AD1390" t="s">
        <v>98</v>
      </c>
      <c r="AE1390" t="s">
        <v>51</v>
      </c>
    </row>
    <row r="1391" spans="1:31" x14ac:dyDescent="0.3">
      <c r="A1391">
        <v>10355</v>
      </c>
      <c r="B1391">
        <v>25</v>
      </c>
      <c r="C1391">
        <v>100</v>
      </c>
      <c r="D1391">
        <v>2</v>
      </c>
      <c r="E1391" s="4" t="str">
        <f t="shared" si="126"/>
        <v>high sales</v>
      </c>
      <c r="F1391">
        <v>4203.5</v>
      </c>
      <c r="G1391" t="s">
        <v>2063</v>
      </c>
      <c r="H1391" s="1" t="str">
        <f t="shared" si="127"/>
        <v>Shipped</v>
      </c>
      <c r="I1391" s="4" t="str">
        <f t="shared" si="128"/>
        <v>completed</v>
      </c>
      <c r="J1391" t="s">
        <v>25</v>
      </c>
      <c r="K1391">
        <v>4</v>
      </c>
      <c r="L1391">
        <v>12</v>
      </c>
      <c r="M1391">
        <v>2004</v>
      </c>
      <c r="N1391" t="s">
        <v>181</v>
      </c>
      <c r="O1391">
        <v>148</v>
      </c>
      <c r="P1391" t="s">
        <v>618</v>
      </c>
      <c r="Q1391" t="s">
        <v>174</v>
      </c>
      <c r="R1391" t="s">
        <v>175</v>
      </c>
      <c r="S1391" t="s">
        <v>176</v>
      </c>
      <c r="U1391" s="1" t="str">
        <f t="shared" si="129"/>
        <v>Madrid</v>
      </c>
      <c r="V1391" t="s">
        <v>177</v>
      </c>
      <c r="X1391">
        <v>28034</v>
      </c>
      <c r="Y1391" s="1" t="str">
        <f t="shared" si="130"/>
        <v>SPAIN</v>
      </c>
      <c r="Z1391" s="4" t="str">
        <f t="shared" si="131"/>
        <v>Spain</v>
      </c>
      <c r="AA1391" t="s">
        <v>178</v>
      </c>
      <c r="AB1391" t="s">
        <v>42</v>
      </c>
      <c r="AC1391" t="s">
        <v>179</v>
      </c>
      <c r="AD1391" t="s">
        <v>180</v>
      </c>
      <c r="AE1391" t="s">
        <v>51</v>
      </c>
    </row>
    <row r="1392" spans="1:31" x14ac:dyDescent="0.3">
      <c r="A1392">
        <v>10363</v>
      </c>
      <c r="B1392">
        <v>28</v>
      </c>
      <c r="C1392">
        <v>58.18</v>
      </c>
      <c r="D1392">
        <v>13</v>
      </c>
      <c r="E1392" s="4" t="str">
        <f t="shared" si="126"/>
        <v>low sales</v>
      </c>
      <c r="F1392">
        <v>1629.04</v>
      </c>
      <c r="G1392" t="s">
        <v>2064</v>
      </c>
      <c r="H1392" s="1" t="str">
        <f t="shared" si="127"/>
        <v>Shipped</v>
      </c>
      <c r="I1392" s="4" t="str">
        <f t="shared" si="128"/>
        <v>completed</v>
      </c>
      <c r="J1392" t="s">
        <v>25</v>
      </c>
      <c r="K1392">
        <v>1</v>
      </c>
      <c r="L1392">
        <v>1</v>
      </c>
      <c r="M1392">
        <v>2005</v>
      </c>
      <c r="N1392" t="s">
        <v>181</v>
      </c>
      <c r="O1392">
        <v>148</v>
      </c>
      <c r="P1392" t="s">
        <v>618</v>
      </c>
      <c r="Q1392" t="s">
        <v>467</v>
      </c>
      <c r="R1392" t="s">
        <v>468</v>
      </c>
      <c r="S1392" t="s">
        <v>469</v>
      </c>
      <c r="U1392" s="1" t="str">
        <f t="shared" si="129"/>
        <v>Espoo</v>
      </c>
      <c r="V1392" t="s">
        <v>470</v>
      </c>
      <c r="X1392" t="s">
        <v>471</v>
      </c>
      <c r="Y1392" s="1" t="str">
        <f t="shared" si="130"/>
        <v>FINLAND</v>
      </c>
      <c r="Z1392" s="4" t="str">
        <f t="shared" si="131"/>
        <v>Finland</v>
      </c>
      <c r="AA1392" t="s">
        <v>130</v>
      </c>
      <c r="AB1392" t="s">
        <v>42</v>
      </c>
      <c r="AC1392" t="s">
        <v>472</v>
      </c>
      <c r="AD1392" t="s">
        <v>473</v>
      </c>
      <c r="AE1392" t="s">
        <v>36</v>
      </c>
    </row>
    <row r="1393" spans="1:31" x14ac:dyDescent="0.3">
      <c r="A1393">
        <v>10378</v>
      </c>
      <c r="B1393">
        <v>49</v>
      </c>
      <c r="C1393">
        <v>67.14</v>
      </c>
      <c r="D1393">
        <v>8</v>
      </c>
      <c r="E1393" s="4" t="str">
        <f t="shared" si="126"/>
        <v>low sales</v>
      </c>
      <c r="F1393">
        <v>3289.86</v>
      </c>
      <c r="G1393" t="s">
        <v>2065</v>
      </c>
      <c r="H1393" s="1" t="str">
        <f t="shared" si="127"/>
        <v>Shipped</v>
      </c>
      <c r="I1393" s="4" t="str">
        <f t="shared" si="128"/>
        <v>completed</v>
      </c>
      <c r="J1393" t="s">
        <v>25</v>
      </c>
      <c r="K1393">
        <v>1</v>
      </c>
      <c r="L1393">
        <v>2</v>
      </c>
      <c r="M1393">
        <v>2005</v>
      </c>
      <c r="N1393" t="s">
        <v>181</v>
      </c>
      <c r="O1393">
        <v>148</v>
      </c>
      <c r="P1393" t="s">
        <v>618</v>
      </c>
      <c r="Q1393" t="s">
        <v>174</v>
      </c>
      <c r="R1393" t="s">
        <v>175</v>
      </c>
      <c r="S1393" t="s">
        <v>176</v>
      </c>
      <c r="U1393" s="1" t="str">
        <f t="shared" si="129"/>
        <v>Madrid</v>
      </c>
      <c r="V1393" t="s">
        <v>177</v>
      </c>
      <c r="X1393">
        <v>28034</v>
      </c>
      <c r="Y1393" s="1" t="str">
        <f t="shared" si="130"/>
        <v>SPAIN</v>
      </c>
      <c r="Z1393" s="4" t="str">
        <f t="shared" si="131"/>
        <v>Spain</v>
      </c>
      <c r="AA1393" t="s">
        <v>178</v>
      </c>
      <c r="AB1393" t="s">
        <v>42</v>
      </c>
      <c r="AC1393" t="s">
        <v>179</v>
      </c>
      <c r="AD1393" t="s">
        <v>180</v>
      </c>
      <c r="AE1393" t="s">
        <v>51</v>
      </c>
    </row>
    <row r="1394" spans="1:31" x14ac:dyDescent="0.3">
      <c r="A1394">
        <v>10390</v>
      </c>
      <c r="B1394">
        <v>49</v>
      </c>
      <c r="C1394">
        <v>100</v>
      </c>
      <c r="D1394">
        <v>3</v>
      </c>
      <c r="E1394" s="4" t="str">
        <f t="shared" si="126"/>
        <v>high sales</v>
      </c>
      <c r="F1394">
        <v>6862.94</v>
      </c>
      <c r="G1394" t="s">
        <v>2066</v>
      </c>
      <c r="H1394" s="1" t="str">
        <f t="shared" si="127"/>
        <v>Shipped</v>
      </c>
      <c r="I1394" s="4" t="str">
        <f t="shared" si="128"/>
        <v>completed</v>
      </c>
      <c r="J1394" t="s">
        <v>25</v>
      </c>
      <c r="K1394">
        <v>1</v>
      </c>
      <c r="L1394">
        <v>3</v>
      </c>
      <c r="M1394">
        <v>2005</v>
      </c>
      <c r="N1394" t="s">
        <v>181</v>
      </c>
      <c r="O1394">
        <v>148</v>
      </c>
      <c r="P1394" t="s">
        <v>618</v>
      </c>
      <c r="Q1394" t="s">
        <v>272</v>
      </c>
      <c r="R1394">
        <v>4155551450</v>
      </c>
      <c r="S1394" t="s">
        <v>273</v>
      </c>
      <c r="U1394" s="1" t="str">
        <f t="shared" si="129"/>
        <v>San Rafael</v>
      </c>
      <c r="V1394" t="s">
        <v>274</v>
      </c>
      <c r="W1394" t="s">
        <v>55</v>
      </c>
      <c r="X1394">
        <v>97562</v>
      </c>
      <c r="Y1394" s="1" t="str">
        <f t="shared" si="130"/>
        <v>USA</v>
      </c>
      <c r="Z1394" s="4" t="str">
        <f t="shared" si="131"/>
        <v>Usa</v>
      </c>
      <c r="AA1394" t="s">
        <v>32</v>
      </c>
      <c r="AB1394" t="s">
        <v>33</v>
      </c>
      <c r="AC1394" t="s">
        <v>275</v>
      </c>
      <c r="AD1394" t="s">
        <v>276</v>
      </c>
      <c r="AE1394" t="s">
        <v>51</v>
      </c>
    </row>
    <row r="1395" spans="1:31" x14ac:dyDescent="0.3">
      <c r="A1395">
        <v>10110</v>
      </c>
      <c r="B1395">
        <v>42</v>
      </c>
      <c r="C1395">
        <v>61.29</v>
      </c>
      <c r="D1395">
        <v>9</v>
      </c>
      <c r="E1395" s="4" t="str">
        <f t="shared" si="126"/>
        <v>low sales</v>
      </c>
      <c r="F1395">
        <v>2574.1799999999998</v>
      </c>
      <c r="G1395" t="s">
        <v>2067</v>
      </c>
      <c r="H1395" s="1" t="str">
        <f t="shared" si="127"/>
        <v>Shipped</v>
      </c>
      <c r="I1395" s="4" t="str">
        <f t="shared" si="128"/>
        <v>completed</v>
      </c>
      <c r="J1395" t="s">
        <v>25</v>
      </c>
      <c r="K1395">
        <v>1</v>
      </c>
      <c r="L1395">
        <v>3</v>
      </c>
      <c r="M1395">
        <v>2003</v>
      </c>
      <c r="N1395" t="s">
        <v>181</v>
      </c>
      <c r="O1395">
        <v>71</v>
      </c>
      <c r="P1395" t="s">
        <v>619</v>
      </c>
      <c r="Q1395" t="s">
        <v>492</v>
      </c>
      <c r="R1395" t="s">
        <v>493</v>
      </c>
      <c r="S1395" t="s">
        <v>494</v>
      </c>
      <c r="U1395" s="1" t="str">
        <f t="shared" si="129"/>
        <v>Manchester</v>
      </c>
      <c r="V1395" t="s">
        <v>495</v>
      </c>
      <c r="X1395" t="s">
        <v>496</v>
      </c>
      <c r="Y1395" s="1" t="str">
        <f t="shared" si="130"/>
        <v>UK</v>
      </c>
      <c r="Z1395" s="4" t="str">
        <f t="shared" si="131"/>
        <v>Uk</v>
      </c>
      <c r="AA1395" t="s">
        <v>170</v>
      </c>
      <c r="AB1395" t="s">
        <v>42</v>
      </c>
      <c r="AC1395" t="s">
        <v>497</v>
      </c>
      <c r="AD1395" t="s">
        <v>94</v>
      </c>
      <c r="AE1395" t="s">
        <v>36</v>
      </c>
    </row>
    <row r="1396" spans="1:31" x14ac:dyDescent="0.3">
      <c r="A1396">
        <v>10124</v>
      </c>
      <c r="B1396">
        <v>23</v>
      </c>
      <c r="C1396">
        <v>57.73</v>
      </c>
      <c r="D1396">
        <v>8</v>
      </c>
      <c r="E1396" s="4" t="str">
        <f t="shared" si="126"/>
        <v>low sales</v>
      </c>
      <c r="F1396">
        <v>1327.79</v>
      </c>
      <c r="G1396" t="s">
        <v>2068</v>
      </c>
      <c r="H1396" s="1" t="str">
        <f t="shared" si="127"/>
        <v>Shipped</v>
      </c>
      <c r="I1396" s="4" t="str">
        <f t="shared" si="128"/>
        <v>completed</v>
      </c>
      <c r="J1396" t="s">
        <v>25</v>
      </c>
      <c r="K1396">
        <v>2</v>
      </c>
      <c r="L1396">
        <v>5</v>
      </c>
      <c r="M1396">
        <v>2003</v>
      </c>
      <c r="N1396" t="s">
        <v>181</v>
      </c>
      <c r="O1396">
        <v>71</v>
      </c>
      <c r="P1396" t="s">
        <v>619</v>
      </c>
      <c r="Q1396" t="s">
        <v>539</v>
      </c>
      <c r="R1396">
        <v>7025551838</v>
      </c>
      <c r="S1396" t="s">
        <v>540</v>
      </c>
      <c r="U1396" s="1" t="str">
        <f t="shared" si="129"/>
        <v>Las Vegas</v>
      </c>
      <c r="V1396" t="s">
        <v>541</v>
      </c>
      <c r="W1396" t="s">
        <v>542</v>
      </c>
      <c r="X1396">
        <v>83030</v>
      </c>
      <c r="Y1396" s="1" t="str">
        <f t="shared" si="130"/>
        <v>USA</v>
      </c>
      <c r="Z1396" s="4" t="str">
        <f t="shared" si="131"/>
        <v>Usa</v>
      </c>
      <c r="AA1396" t="s">
        <v>32</v>
      </c>
      <c r="AB1396" t="s">
        <v>33</v>
      </c>
      <c r="AC1396" t="s">
        <v>113</v>
      </c>
      <c r="AD1396" t="s">
        <v>400</v>
      </c>
      <c r="AE1396" t="s">
        <v>36</v>
      </c>
    </row>
    <row r="1397" spans="1:31" x14ac:dyDescent="0.3">
      <c r="A1397">
        <v>10148</v>
      </c>
      <c r="B1397">
        <v>29</v>
      </c>
      <c r="C1397">
        <v>81.25</v>
      </c>
      <c r="D1397">
        <v>2</v>
      </c>
      <c r="E1397" s="4" t="str">
        <f t="shared" si="126"/>
        <v>low sales</v>
      </c>
      <c r="F1397">
        <v>2356.25</v>
      </c>
      <c r="G1397" t="s">
        <v>2069</v>
      </c>
      <c r="H1397" s="1" t="str">
        <f t="shared" si="127"/>
        <v>Shipped</v>
      </c>
      <c r="I1397" s="4" t="str">
        <f t="shared" si="128"/>
        <v>completed</v>
      </c>
      <c r="J1397" t="s">
        <v>25</v>
      </c>
      <c r="K1397">
        <v>3</v>
      </c>
      <c r="L1397">
        <v>9</v>
      </c>
      <c r="M1397">
        <v>2003</v>
      </c>
      <c r="N1397" t="s">
        <v>181</v>
      </c>
      <c r="O1397">
        <v>71</v>
      </c>
      <c r="P1397" t="s">
        <v>619</v>
      </c>
      <c r="Q1397" t="s">
        <v>285</v>
      </c>
      <c r="R1397" t="s">
        <v>286</v>
      </c>
      <c r="S1397" t="s">
        <v>287</v>
      </c>
      <c r="T1397" t="s">
        <v>288</v>
      </c>
      <c r="U1397" s="1" t="str">
        <f t="shared" si="129"/>
        <v>North Sydney</v>
      </c>
      <c r="V1397" t="s">
        <v>289</v>
      </c>
      <c r="W1397" t="s">
        <v>157</v>
      </c>
      <c r="X1397">
        <v>2060</v>
      </c>
      <c r="Y1397" s="1" t="str">
        <f t="shared" si="130"/>
        <v>AUSTRALIA</v>
      </c>
      <c r="Z1397" s="4" t="str">
        <f t="shared" si="131"/>
        <v>Australia</v>
      </c>
      <c r="AA1397" t="s">
        <v>95</v>
      </c>
      <c r="AB1397" t="s">
        <v>96</v>
      </c>
      <c r="AC1397" t="s">
        <v>290</v>
      </c>
      <c r="AD1397" t="s">
        <v>291</v>
      </c>
      <c r="AE1397" t="s">
        <v>36</v>
      </c>
    </row>
    <row r="1398" spans="1:31" x14ac:dyDescent="0.3">
      <c r="A1398">
        <v>10161</v>
      </c>
      <c r="B1398">
        <v>25</v>
      </c>
      <c r="C1398">
        <v>80.540000000000006</v>
      </c>
      <c r="D1398">
        <v>1</v>
      </c>
      <c r="E1398" s="4" t="str">
        <f t="shared" si="126"/>
        <v>low sales</v>
      </c>
      <c r="F1398">
        <v>2013.5</v>
      </c>
      <c r="G1398" t="s">
        <v>2070</v>
      </c>
      <c r="H1398" s="1" t="str">
        <f t="shared" si="127"/>
        <v>Shipped</v>
      </c>
      <c r="I1398" s="4" t="str">
        <f t="shared" si="128"/>
        <v>completed</v>
      </c>
      <c r="J1398" t="s">
        <v>25</v>
      </c>
      <c r="K1398">
        <v>4</v>
      </c>
      <c r="L1398">
        <v>10</v>
      </c>
      <c r="M1398">
        <v>2003</v>
      </c>
      <c r="N1398" t="s">
        <v>181</v>
      </c>
      <c r="O1398">
        <v>71</v>
      </c>
      <c r="P1398" t="s">
        <v>619</v>
      </c>
      <c r="Q1398" t="s">
        <v>498</v>
      </c>
      <c r="R1398" t="s">
        <v>499</v>
      </c>
      <c r="S1398" t="s">
        <v>500</v>
      </c>
      <c r="U1398" s="1" t="str">
        <f t="shared" si="129"/>
        <v>Aaarhus</v>
      </c>
      <c r="V1398" t="s">
        <v>501</v>
      </c>
      <c r="X1398">
        <v>8200</v>
      </c>
      <c r="Y1398" s="1" t="str">
        <f t="shared" si="130"/>
        <v>DENMARK</v>
      </c>
      <c r="Z1398" s="4" t="str">
        <f t="shared" si="131"/>
        <v>Denmark</v>
      </c>
      <c r="AA1398" t="s">
        <v>326</v>
      </c>
      <c r="AB1398" t="s">
        <v>42</v>
      </c>
      <c r="AC1398" t="s">
        <v>502</v>
      </c>
      <c r="AD1398" t="s">
        <v>503</v>
      </c>
      <c r="AE1398" t="s">
        <v>36</v>
      </c>
    </row>
    <row r="1399" spans="1:31" x14ac:dyDescent="0.3">
      <c r="A1399">
        <v>10173</v>
      </c>
      <c r="B1399">
        <v>39</v>
      </c>
      <c r="C1399">
        <v>71.98</v>
      </c>
      <c r="D1399">
        <v>15</v>
      </c>
      <c r="E1399" s="4" t="str">
        <f t="shared" si="126"/>
        <v>low sales</v>
      </c>
      <c r="F1399">
        <v>2807.22</v>
      </c>
      <c r="G1399" t="s">
        <v>2071</v>
      </c>
      <c r="H1399" s="1" t="str">
        <f t="shared" si="127"/>
        <v>Shipped</v>
      </c>
      <c r="I1399" s="4" t="str">
        <f t="shared" si="128"/>
        <v>completed</v>
      </c>
      <c r="J1399" t="s">
        <v>25</v>
      </c>
      <c r="K1399">
        <v>4</v>
      </c>
      <c r="L1399">
        <v>11</v>
      </c>
      <c r="M1399">
        <v>2003</v>
      </c>
      <c r="N1399" t="s">
        <v>181</v>
      </c>
      <c r="O1399">
        <v>71</v>
      </c>
      <c r="P1399" t="s">
        <v>619</v>
      </c>
      <c r="Q1399" t="s">
        <v>552</v>
      </c>
      <c r="R1399" t="s">
        <v>553</v>
      </c>
      <c r="S1399" t="s">
        <v>554</v>
      </c>
      <c r="U1399" s="1" t="str">
        <f t="shared" si="129"/>
        <v>Bergamo</v>
      </c>
      <c r="V1399" t="s">
        <v>555</v>
      </c>
      <c r="X1399">
        <v>24100</v>
      </c>
      <c r="Y1399" s="1" t="str">
        <f t="shared" si="130"/>
        <v>ITALY</v>
      </c>
      <c r="Z1399" s="4" t="str">
        <f t="shared" si="131"/>
        <v>Italy</v>
      </c>
      <c r="AA1399" t="s">
        <v>258</v>
      </c>
      <c r="AB1399" t="s">
        <v>42</v>
      </c>
      <c r="AC1399" t="s">
        <v>556</v>
      </c>
      <c r="AD1399" t="s">
        <v>557</v>
      </c>
      <c r="AE1399" t="s">
        <v>36</v>
      </c>
    </row>
    <row r="1400" spans="1:31" x14ac:dyDescent="0.3">
      <c r="A1400">
        <v>10182</v>
      </c>
      <c r="B1400">
        <v>44</v>
      </c>
      <c r="C1400">
        <v>69.84</v>
      </c>
      <c r="D1400">
        <v>12</v>
      </c>
      <c r="E1400" s="4" t="str">
        <f t="shared" si="126"/>
        <v>low sales</v>
      </c>
      <c r="F1400">
        <v>3072.96</v>
      </c>
      <c r="G1400" t="s">
        <v>2072</v>
      </c>
      <c r="H1400" s="1" t="str">
        <f t="shared" si="127"/>
        <v>Shipped</v>
      </c>
      <c r="I1400" s="4" t="str">
        <f t="shared" si="128"/>
        <v>completed</v>
      </c>
      <c r="J1400" t="s">
        <v>25</v>
      </c>
      <c r="K1400">
        <v>4</v>
      </c>
      <c r="L1400">
        <v>11</v>
      </c>
      <c r="M1400">
        <v>2003</v>
      </c>
      <c r="N1400" t="s">
        <v>181</v>
      </c>
      <c r="O1400">
        <v>71</v>
      </c>
      <c r="P1400" t="s">
        <v>619</v>
      </c>
      <c r="Q1400" t="s">
        <v>272</v>
      </c>
      <c r="R1400">
        <v>4155551450</v>
      </c>
      <c r="S1400" t="s">
        <v>273</v>
      </c>
      <c r="U1400" s="1" t="str">
        <f t="shared" si="129"/>
        <v>San Rafael</v>
      </c>
      <c r="V1400" t="s">
        <v>274</v>
      </c>
      <c r="W1400" t="s">
        <v>55</v>
      </c>
      <c r="X1400">
        <v>97562</v>
      </c>
      <c r="Y1400" s="1" t="str">
        <f t="shared" si="130"/>
        <v>USA</v>
      </c>
      <c r="Z1400" s="4" t="str">
        <f t="shared" si="131"/>
        <v>Usa</v>
      </c>
      <c r="AA1400" t="s">
        <v>32</v>
      </c>
      <c r="AB1400" t="s">
        <v>33</v>
      </c>
      <c r="AC1400" t="s">
        <v>275</v>
      </c>
      <c r="AD1400" t="s">
        <v>276</v>
      </c>
      <c r="AE1400" t="s">
        <v>51</v>
      </c>
    </row>
    <row r="1401" spans="1:31" x14ac:dyDescent="0.3">
      <c r="A1401">
        <v>10193</v>
      </c>
      <c r="B1401">
        <v>25</v>
      </c>
      <c r="C1401">
        <v>76.260000000000005</v>
      </c>
      <c r="D1401">
        <v>16</v>
      </c>
      <c r="E1401" s="4" t="str">
        <f t="shared" si="126"/>
        <v>low sales</v>
      </c>
      <c r="F1401">
        <v>1906.5</v>
      </c>
      <c r="G1401" t="s">
        <v>2073</v>
      </c>
      <c r="H1401" s="1" t="str">
        <f t="shared" si="127"/>
        <v>Shipped</v>
      </c>
      <c r="I1401" s="4" t="str">
        <f t="shared" si="128"/>
        <v>completed</v>
      </c>
      <c r="J1401" t="s">
        <v>25</v>
      </c>
      <c r="K1401">
        <v>4</v>
      </c>
      <c r="L1401">
        <v>11</v>
      </c>
      <c r="M1401">
        <v>2003</v>
      </c>
      <c r="N1401" t="s">
        <v>181</v>
      </c>
      <c r="O1401">
        <v>71</v>
      </c>
      <c r="P1401" t="s">
        <v>619</v>
      </c>
      <c r="Q1401" t="s">
        <v>558</v>
      </c>
      <c r="R1401" t="s">
        <v>559</v>
      </c>
      <c r="S1401" t="s">
        <v>560</v>
      </c>
      <c r="U1401" s="1" t="str">
        <f t="shared" si="129"/>
        <v>Glen Waverly</v>
      </c>
      <c r="V1401" t="s">
        <v>561</v>
      </c>
      <c r="W1401" t="s">
        <v>94</v>
      </c>
      <c r="X1401">
        <v>3150</v>
      </c>
      <c r="Y1401" s="1" t="str">
        <f t="shared" si="130"/>
        <v>AUSTRALIA</v>
      </c>
      <c r="Z1401" s="4" t="str">
        <f t="shared" si="131"/>
        <v>Australia</v>
      </c>
      <c r="AA1401" t="s">
        <v>95</v>
      </c>
      <c r="AB1401" t="s">
        <v>96</v>
      </c>
      <c r="AC1401" t="s">
        <v>562</v>
      </c>
      <c r="AD1401" t="s">
        <v>563</v>
      </c>
      <c r="AE1401" t="s">
        <v>36</v>
      </c>
    </row>
    <row r="1402" spans="1:31" x14ac:dyDescent="0.3">
      <c r="A1402">
        <v>10204</v>
      </c>
      <c r="B1402">
        <v>45</v>
      </c>
      <c r="C1402">
        <v>76.260000000000005</v>
      </c>
      <c r="D1402">
        <v>6</v>
      </c>
      <c r="E1402" s="4" t="str">
        <f t="shared" si="126"/>
        <v>low sales</v>
      </c>
      <c r="F1402">
        <v>3431.7</v>
      </c>
      <c r="G1402" t="s">
        <v>2074</v>
      </c>
      <c r="H1402" s="1" t="str">
        <f t="shared" si="127"/>
        <v>Shipped</v>
      </c>
      <c r="I1402" s="4" t="str">
        <f t="shared" si="128"/>
        <v>completed</v>
      </c>
      <c r="J1402" t="s">
        <v>25</v>
      </c>
      <c r="K1402">
        <v>4</v>
      </c>
      <c r="L1402">
        <v>12</v>
      </c>
      <c r="M1402">
        <v>2003</v>
      </c>
      <c r="N1402" t="s">
        <v>181</v>
      </c>
      <c r="O1402">
        <v>71</v>
      </c>
      <c r="P1402" t="s">
        <v>619</v>
      </c>
      <c r="Q1402" t="s">
        <v>475</v>
      </c>
      <c r="R1402">
        <v>2125557413</v>
      </c>
      <c r="S1402" t="s">
        <v>476</v>
      </c>
      <c r="T1402" t="s">
        <v>477</v>
      </c>
      <c r="U1402" s="1" t="str">
        <f t="shared" si="129"/>
        <v>Nyc</v>
      </c>
      <c r="V1402" t="s">
        <v>30</v>
      </c>
      <c r="W1402" t="s">
        <v>31</v>
      </c>
      <c r="X1402">
        <v>10022</v>
      </c>
      <c r="Y1402" s="1" t="str">
        <f t="shared" si="130"/>
        <v>USA</v>
      </c>
      <c r="Z1402" s="4" t="str">
        <f t="shared" si="131"/>
        <v>Usa</v>
      </c>
      <c r="AA1402" t="s">
        <v>32</v>
      </c>
      <c r="AB1402" t="s">
        <v>33</v>
      </c>
      <c r="AC1402" t="s">
        <v>56</v>
      </c>
      <c r="AD1402" t="s">
        <v>478</v>
      </c>
      <c r="AE1402" t="s">
        <v>51</v>
      </c>
    </row>
    <row r="1403" spans="1:31" x14ac:dyDescent="0.3">
      <c r="A1403">
        <v>10213</v>
      </c>
      <c r="B1403">
        <v>25</v>
      </c>
      <c r="C1403">
        <v>83.39</v>
      </c>
      <c r="D1403">
        <v>2</v>
      </c>
      <c r="E1403" s="4" t="str">
        <f t="shared" si="126"/>
        <v>low sales</v>
      </c>
      <c r="F1403">
        <v>2084.75</v>
      </c>
      <c r="G1403" t="s">
        <v>2075</v>
      </c>
      <c r="H1403" s="1" t="str">
        <f t="shared" si="127"/>
        <v>Shipped</v>
      </c>
      <c r="I1403" s="4" t="str">
        <f t="shared" si="128"/>
        <v>completed</v>
      </c>
      <c r="J1403" t="s">
        <v>25</v>
      </c>
      <c r="K1403">
        <v>1</v>
      </c>
      <c r="L1403">
        <v>1</v>
      </c>
      <c r="M1403">
        <v>2004</v>
      </c>
      <c r="N1403" t="s">
        <v>181</v>
      </c>
      <c r="O1403">
        <v>71</v>
      </c>
      <c r="P1403" t="s">
        <v>619</v>
      </c>
      <c r="Q1403" t="s">
        <v>346</v>
      </c>
      <c r="R1403" t="s">
        <v>347</v>
      </c>
      <c r="S1403" t="s">
        <v>348</v>
      </c>
      <c r="U1403" s="1" t="str">
        <f t="shared" si="129"/>
        <v>London</v>
      </c>
      <c r="V1403" t="s">
        <v>332</v>
      </c>
      <c r="X1403" t="s">
        <v>349</v>
      </c>
      <c r="Y1403" s="1" t="str">
        <f t="shared" si="130"/>
        <v>UK</v>
      </c>
      <c r="Z1403" s="4" t="str">
        <f t="shared" si="131"/>
        <v>Uk</v>
      </c>
      <c r="AA1403" t="s">
        <v>170</v>
      </c>
      <c r="AB1403" t="s">
        <v>42</v>
      </c>
      <c r="AC1403" t="s">
        <v>350</v>
      </c>
      <c r="AD1403" t="s">
        <v>351</v>
      </c>
      <c r="AE1403" t="s">
        <v>36</v>
      </c>
    </row>
    <row r="1404" spans="1:31" x14ac:dyDescent="0.3">
      <c r="A1404">
        <v>10227</v>
      </c>
      <c r="B1404">
        <v>37</v>
      </c>
      <c r="C1404">
        <v>57.73</v>
      </c>
      <c r="D1404">
        <v>12</v>
      </c>
      <c r="E1404" s="4" t="str">
        <f t="shared" si="126"/>
        <v>low sales</v>
      </c>
      <c r="F1404">
        <v>2136.0100000000002</v>
      </c>
      <c r="G1404" t="s">
        <v>2076</v>
      </c>
      <c r="H1404" s="1" t="str">
        <f t="shared" si="127"/>
        <v>Shipped</v>
      </c>
      <c r="I1404" s="4" t="str">
        <f t="shared" si="128"/>
        <v>completed</v>
      </c>
      <c r="J1404" t="s">
        <v>25</v>
      </c>
      <c r="K1404">
        <v>1</v>
      </c>
      <c r="L1404">
        <v>3</v>
      </c>
      <c r="M1404">
        <v>2004</v>
      </c>
      <c r="N1404" t="s">
        <v>181</v>
      </c>
      <c r="O1404">
        <v>71</v>
      </c>
      <c r="P1404" t="s">
        <v>619</v>
      </c>
      <c r="Q1404" t="s">
        <v>219</v>
      </c>
      <c r="R1404" t="s">
        <v>220</v>
      </c>
      <c r="S1404" t="s">
        <v>221</v>
      </c>
      <c r="U1404" s="1" t="str">
        <f t="shared" si="129"/>
        <v>Lyon</v>
      </c>
      <c r="V1404" t="s">
        <v>222</v>
      </c>
      <c r="X1404">
        <v>69004</v>
      </c>
      <c r="Y1404" s="1" t="str">
        <f t="shared" si="130"/>
        <v>FRANCE</v>
      </c>
      <c r="Z1404" s="4" t="str">
        <f t="shared" si="131"/>
        <v>France</v>
      </c>
      <c r="AA1404" t="s">
        <v>41</v>
      </c>
      <c r="AB1404" t="s">
        <v>42</v>
      </c>
      <c r="AC1404" t="s">
        <v>223</v>
      </c>
      <c r="AD1404" t="s">
        <v>224</v>
      </c>
      <c r="AE1404" t="s">
        <v>36</v>
      </c>
    </row>
    <row r="1405" spans="1:31" x14ac:dyDescent="0.3">
      <c r="A1405">
        <v>10241</v>
      </c>
      <c r="B1405">
        <v>30</v>
      </c>
      <c r="C1405">
        <v>66.989999999999995</v>
      </c>
      <c r="D1405">
        <v>4</v>
      </c>
      <c r="E1405" s="4" t="str">
        <f t="shared" si="126"/>
        <v>low sales</v>
      </c>
      <c r="F1405">
        <v>2009.7</v>
      </c>
      <c r="G1405" t="s">
        <v>2077</v>
      </c>
      <c r="H1405" s="1" t="str">
        <f t="shared" si="127"/>
        <v>Shipped</v>
      </c>
      <c r="I1405" s="4" t="str">
        <f t="shared" si="128"/>
        <v>completed</v>
      </c>
      <c r="J1405" t="s">
        <v>25</v>
      </c>
      <c r="K1405">
        <v>2</v>
      </c>
      <c r="L1405">
        <v>4</v>
      </c>
      <c r="M1405">
        <v>2004</v>
      </c>
      <c r="N1405" t="s">
        <v>181</v>
      </c>
      <c r="O1405">
        <v>71</v>
      </c>
      <c r="P1405" t="s">
        <v>619</v>
      </c>
      <c r="Q1405" t="s">
        <v>531</v>
      </c>
      <c r="R1405" t="s">
        <v>532</v>
      </c>
      <c r="S1405" t="s">
        <v>533</v>
      </c>
      <c r="U1405" s="1" t="str">
        <f t="shared" si="129"/>
        <v>Strasbourg</v>
      </c>
      <c r="V1405" t="s">
        <v>534</v>
      </c>
      <c r="X1405">
        <v>67000</v>
      </c>
      <c r="Y1405" s="1" t="str">
        <f t="shared" si="130"/>
        <v>FRANCE</v>
      </c>
      <c r="Z1405" s="4" t="str">
        <f t="shared" si="131"/>
        <v>France</v>
      </c>
      <c r="AA1405" t="s">
        <v>41</v>
      </c>
      <c r="AB1405" t="s">
        <v>42</v>
      </c>
      <c r="AC1405" t="s">
        <v>535</v>
      </c>
      <c r="AD1405" t="s">
        <v>536</v>
      </c>
      <c r="AE1405" t="s">
        <v>36</v>
      </c>
    </row>
    <row r="1406" spans="1:31" x14ac:dyDescent="0.3">
      <c r="A1406">
        <v>10267</v>
      </c>
      <c r="B1406">
        <v>36</v>
      </c>
      <c r="C1406">
        <v>75.55</v>
      </c>
      <c r="D1406">
        <v>1</v>
      </c>
      <c r="E1406" s="4" t="str">
        <f t="shared" si="126"/>
        <v>low sales</v>
      </c>
      <c r="F1406">
        <v>2719.8</v>
      </c>
      <c r="G1406" t="s">
        <v>2078</v>
      </c>
      <c r="H1406" s="1" t="str">
        <f t="shared" si="127"/>
        <v>Shipped</v>
      </c>
      <c r="I1406" s="4" t="str">
        <f t="shared" si="128"/>
        <v>completed</v>
      </c>
      <c r="J1406" t="s">
        <v>25</v>
      </c>
      <c r="K1406">
        <v>3</v>
      </c>
      <c r="L1406">
        <v>7</v>
      </c>
      <c r="M1406">
        <v>2004</v>
      </c>
      <c r="N1406" t="s">
        <v>181</v>
      </c>
      <c r="O1406">
        <v>71</v>
      </c>
      <c r="P1406" t="s">
        <v>619</v>
      </c>
      <c r="Q1406" t="s">
        <v>475</v>
      </c>
      <c r="R1406">
        <v>2125557413</v>
      </c>
      <c r="S1406" t="s">
        <v>476</v>
      </c>
      <c r="T1406" t="s">
        <v>477</v>
      </c>
      <c r="U1406" s="1" t="str">
        <f t="shared" si="129"/>
        <v>Nyc</v>
      </c>
      <c r="V1406" t="s">
        <v>30</v>
      </c>
      <c r="W1406" t="s">
        <v>31</v>
      </c>
      <c r="X1406">
        <v>10022</v>
      </c>
      <c r="Y1406" s="1" t="str">
        <f t="shared" si="130"/>
        <v>USA</v>
      </c>
      <c r="Z1406" s="4" t="str">
        <f t="shared" si="131"/>
        <v>Usa</v>
      </c>
      <c r="AA1406" t="s">
        <v>32</v>
      </c>
      <c r="AB1406" t="s">
        <v>33</v>
      </c>
      <c r="AC1406" t="s">
        <v>56</v>
      </c>
      <c r="AD1406" t="s">
        <v>478</v>
      </c>
      <c r="AE1406" t="s">
        <v>36</v>
      </c>
    </row>
    <row r="1407" spans="1:31" x14ac:dyDescent="0.3">
      <c r="A1407">
        <v>10279</v>
      </c>
      <c r="B1407">
        <v>26</v>
      </c>
      <c r="C1407">
        <v>60.58</v>
      </c>
      <c r="D1407">
        <v>1</v>
      </c>
      <c r="E1407" s="4" t="str">
        <f t="shared" si="126"/>
        <v>low sales</v>
      </c>
      <c r="F1407">
        <v>1575.08</v>
      </c>
      <c r="G1407" t="s">
        <v>2079</v>
      </c>
      <c r="H1407" s="1" t="str">
        <f t="shared" si="127"/>
        <v>Shipped</v>
      </c>
      <c r="I1407" s="4" t="str">
        <f t="shared" si="128"/>
        <v>completed</v>
      </c>
      <c r="J1407" t="s">
        <v>25</v>
      </c>
      <c r="K1407">
        <v>3</v>
      </c>
      <c r="L1407">
        <v>8</v>
      </c>
      <c r="M1407">
        <v>2004</v>
      </c>
      <c r="N1407" t="s">
        <v>181</v>
      </c>
      <c r="O1407">
        <v>71</v>
      </c>
      <c r="P1407" t="s">
        <v>619</v>
      </c>
      <c r="Q1407" t="s">
        <v>174</v>
      </c>
      <c r="R1407" t="s">
        <v>175</v>
      </c>
      <c r="S1407" t="s">
        <v>176</v>
      </c>
      <c r="U1407" s="1" t="str">
        <f t="shared" si="129"/>
        <v>Madrid</v>
      </c>
      <c r="V1407" t="s">
        <v>177</v>
      </c>
      <c r="X1407">
        <v>28034</v>
      </c>
      <c r="Y1407" s="1" t="str">
        <f t="shared" si="130"/>
        <v>SPAIN</v>
      </c>
      <c r="Z1407" s="4" t="str">
        <f t="shared" si="131"/>
        <v>Spain</v>
      </c>
      <c r="AA1407" t="s">
        <v>178</v>
      </c>
      <c r="AB1407" t="s">
        <v>42</v>
      </c>
      <c r="AC1407" t="s">
        <v>179</v>
      </c>
      <c r="AD1407" t="s">
        <v>180</v>
      </c>
      <c r="AE1407" t="s">
        <v>36</v>
      </c>
    </row>
    <row r="1408" spans="1:31" x14ac:dyDescent="0.3">
      <c r="A1408">
        <v>10288</v>
      </c>
      <c r="B1408">
        <v>23</v>
      </c>
      <c r="C1408">
        <v>73.41</v>
      </c>
      <c r="D1408">
        <v>7</v>
      </c>
      <c r="E1408" s="4" t="str">
        <f t="shared" si="126"/>
        <v>low sales</v>
      </c>
      <c r="F1408">
        <v>1688.43</v>
      </c>
      <c r="G1408" t="s">
        <v>2080</v>
      </c>
      <c r="H1408" s="1" t="str">
        <f t="shared" si="127"/>
        <v>Shipped</v>
      </c>
      <c r="I1408" s="4" t="str">
        <f t="shared" si="128"/>
        <v>completed</v>
      </c>
      <c r="J1408" t="s">
        <v>25</v>
      </c>
      <c r="K1408">
        <v>3</v>
      </c>
      <c r="L1408">
        <v>9</v>
      </c>
      <c r="M1408">
        <v>2004</v>
      </c>
      <c r="N1408" t="s">
        <v>181</v>
      </c>
      <c r="O1408">
        <v>71</v>
      </c>
      <c r="P1408" t="s">
        <v>619</v>
      </c>
      <c r="Q1408" t="s">
        <v>418</v>
      </c>
      <c r="R1408" t="s">
        <v>419</v>
      </c>
      <c r="S1408" t="s">
        <v>420</v>
      </c>
      <c r="T1408" t="s">
        <v>421</v>
      </c>
      <c r="U1408" s="1" t="str">
        <f t="shared" si="129"/>
        <v>Singapore</v>
      </c>
      <c r="V1408" t="s">
        <v>199</v>
      </c>
      <c r="X1408">
        <v>69045</v>
      </c>
      <c r="Y1408" s="1" t="str">
        <f t="shared" si="130"/>
        <v>SINGAPORE</v>
      </c>
      <c r="Z1408" s="4" t="str">
        <f t="shared" si="131"/>
        <v>Singapore</v>
      </c>
      <c r="AA1408" t="s">
        <v>199</v>
      </c>
      <c r="AB1408" t="s">
        <v>96</v>
      </c>
      <c r="AC1408" t="s">
        <v>422</v>
      </c>
      <c r="AD1408" t="s">
        <v>423</v>
      </c>
      <c r="AE1408" t="s">
        <v>36</v>
      </c>
    </row>
    <row r="1409" spans="1:31" x14ac:dyDescent="0.3">
      <c r="A1409">
        <v>10302</v>
      </c>
      <c r="B1409">
        <v>23</v>
      </c>
      <c r="C1409">
        <v>72.7</v>
      </c>
      <c r="D1409">
        <v>3</v>
      </c>
      <c r="E1409" s="4" t="str">
        <f t="shared" si="126"/>
        <v>low sales</v>
      </c>
      <c r="F1409">
        <v>1672.1</v>
      </c>
      <c r="G1409" t="s">
        <v>2081</v>
      </c>
      <c r="H1409" s="1" t="str">
        <f t="shared" si="127"/>
        <v>Shipped</v>
      </c>
      <c r="I1409" s="4" t="str">
        <f t="shared" si="128"/>
        <v>completed</v>
      </c>
      <c r="J1409" t="s">
        <v>25</v>
      </c>
      <c r="K1409">
        <v>4</v>
      </c>
      <c r="L1409">
        <v>10</v>
      </c>
      <c r="M1409">
        <v>2003</v>
      </c>
      <c r="N1409" t="s">
        <v>181</v>
      </c>
      <c r="O1409">
        <v>71</v>
      </c>
      <c r="P1409" t="s">
        <v>619</v>
      </c>
      <c r="Q1409" t="s">
        <v>165</v>
      </c>
      <c r="R1409" t="s">
        <v>166</v>
      </c>
      <c r="S1409" t="s">
        <v>167</v>
      </c>
      <c r="U1409" s="1" t="str">
        <f t="shared" si="129"/>
        <v>Liverpool</v>
      </c>
      <c r="V1409" t="s">
        <v>168</v>
      </c>
      <c r="X1409" t="s">
        <v>169</v>
      </c>
      <c r="Y1409" s="1" t="str">
        <f t="shared" si="130"/>
        <v>UK</v>
      </c>
      <c r="Z1409" s="4" t="str">
        <f t="shared" si="131"/>
        <v>Uk</v>
      </c>
      <c r="AA1409" t="s">
        <v>170</v>
      </c>
      <c r="AB1409" t="s">
        <v>42</v>
      </c>
      <c r="AC1409" t="s">
        <v>171</v>
      </c>
      <c r="AD1409" t="s">
        <v>172</v>
      </c>
      <c r="AE1409" t="s">
        <v>36</v>
      </c>
    </row>
    <row r="1410" spans="1:31" x14ac:dyDescent="0.3">
      <c r="A1410">
        <v>10311</v>
      </c>
      <c r="B1410">
        <v>25</v>
      </c>
      <c r="C1410">
        <v>66.989999999999995</v>
      </c>
      <c r="D1410">
        <v>2</v>
      </c>
      <c r="E1410" s="4" t="str">
        <f t="shared" si="126"/>
        <v>low sales</v>
      </c>
      <c r="F1410">
        <v>1674.75</v>
      </c>
      <c r="G1410" t="s">
        <v>2082</v>
      </c>
      <c r="H1410" s="1" t="str">
        <f t="shared" si="127"/>
        <v>Shipped</v>
      </c>
      <c r="I1410" s="4" t="str">
        <f t="shared" si="128"/>
        <v>completed</v>
      </c>
      <c r="J1410" t="s">
        <v>25</v>
      </c>
      <c r="K1410">
        <v>4</v>
      </c>
      <c r="L1410">
        <v>10</v>
      </c>
      <c r="M1410">
        <v>2004</v>
      </c>
      <c r="N1410" t="s">
        <v>181</v>
      </c>
      <c r="O1410">
        <v>71</v>
      </c>
      <c r="P1410" t="s">
        <v>619</v>
      </c>
      <c r="Q1410" t="s">
        <v>174</v>
      </c>
      <c r="R1410" t="s">
        <v>175</v>
      </c>
      <c r="S1410" t="s">
        <v>176</v>
      </c>
      <c r="U1410" s="1" t="str">
        <f t="shared" si="129"/>
        <v>Madrid</v>
      </c>
      <c r="V1410" t="s">
        <v>177</v>
      </c>
      <c r="X1410">
        <v>28034</v>
      </c>
      <c r="Y1410" s="1" t="str">
        <f t="shared" si="130"/>
        <v>SPAIN</v>
      </c>
      <c r="Z1410" s="4" t="str">
        <f t="shared" si="131"/>
        <v>Spain</v>
      </c>
      <c r="AA1410" t="s">
        <v>178</v>
      </c>
      <c r="AB1410" t="s">
        <v>42</v>
      </c>
      <c r="AC1410" t="s">
        <v>179</v>
      </c>
      <c r="AD1410" t="s">
        <v>180</v>
      </c>
      <c r="AE1410" t="s">
        <v>36</v>
      </c>
    </row>
    <row r="1411" spans="1:31" x14ac:dyDescent="0.3">
      <c r="A1411">
        <v>10332</v>
      </c>
      <c r="B1411">
        <v>21</v>
      </c>
      <c r="C1411">
        <v>100</v>
      </c>
      <c r="D1411">
        <v>3</v>
      </c>
      <c r="E1411" s="4" t="str">
        <f t="shared" ref="E1411:E1474" si="132">IF(F1411&gt;4000,"high sales","low sales")</f>
        <v>low sales</v>
      </c>
      <c r="F1411">
        <v>3472.98</v>
      </c>
      <c r="G1411" t="s">
        <v>2083</v>
      </c>
      <c r="H1411" s="1" t="str">
        <f t="shared" ref="H1411:H1474" si="133">PROPER(TRIM(J1411))</f>
        <v>Shipped</v>
      </c>
      <c r="I1411" s="4" t="str">
        <f t="shared" ref="I1411:I1474" si="134">IF(J1411="shipped","completed","not completed")</f>
        <v>completed</v>
      </c>
      <c r="J1411" t="s">
        <v>25</v>
      </c>
      <c r="K1411">
        <v>4</v>
      </c>
      <c r="L1411">
        <v>11</v>
      </c>
      <c r="M1411">
        <v>2004</v>
      </c>
      <c r="N1411" t="s">
        <v>181</v>
      </c>
      <c r="O1411">
        <v>71</v>
      </c>
      <c r="P1411" t="s">
        <v>619</v>
      </c>
      <c r="Q1411" t="s">
        <v>492</v>
      </c>
      <c r="R1411" t="s">
        <v>493</v>
      </c>
      <c r="S1411" t="s">
        <v>494</v>
      </c>
      <c r="U1411" s="1" t="str">
        <f t="shared" ref="U1411:U1474" si="135">PROPER(TRIM(V1411))</f>
        <v>Manchester</v>
      </c>
      <c r="V1411" t="s">
        <v>495</v>
      </c>
      <c r="X1411" t="s">
        <v>496</v>
      </c>
      <c r="Y1411" s="1" t="str">
        <f t="shared" ref="Y1411:Y1474" si="136">UPPER(TRIM(AA1411))</f>
        <v>UK</v>
      </c>
      <c r="Z1411" s="4" t="str">
        <f t="shared" ref="Z1411:Z1474" si="137">PROPER(TRIM(AA1411))</f>
        <v>Uk</v>
      </c>
      <c r="AA1411" t="s">
        <v>170</v>
      </c>
      <c r="AB1411" t="s">
        <v>42</v>
      </c>
      <c r="AC1411" t="s">
        <v>497</v>
      </c>
      <c r="AD1411" t="s">
        <v>94</v>
      </c>
      <c r="AE1411" t="s">
        <v>51</v>
      </c>
    </row>
    <row r="1412" spans="1:31" x14ac:dyDescent="0.3">
      <c r="A1412">
        <v>10344</v>
      </c>
      <c r="B1412">
        <v>26</v>
      </c>
      <c r="C1412">
        <v>63.43</v>
      </c>
      <c r="D1412">
        <v>5</v>
      </c>
      <c r="E1412" s="4" t="str">
        <f t="shared" si="132"/>
        <v>low sales</v>
      </c>
      <c r="F1412">
        <v>1649.18</v>
      </c>
      <c r="G1412" t="s">
        <v>2084</v>
      </c>
      <c r="H1412" s="1" t="str">
        <f t="shared" si="133"/>
        <v>Shipped</v>
      </c>
      <c r="I1412" s="4" t="str">
        <f t="shared" si="134"/>
        <v>completed</v>
      </c>
      <c r="J1412" t="s">
        <v>25</v>
      </c>
      <c r="K1412">
        <v>4</v>
      </c>
      <c r="L1412">
        <v>11</v>
      </c>
      <c r="M1412">
        <v>2004</v>
      </c>
      <c r="N1412" t="s">
        <v>181</v>
      </c>
      <c r="O1412">
        <v>71</v>
      </c>
      <c r="P1412" t="s">
        <v>619</v>
      </c>
      <c r="Q1412" t="s">
        <v>433</v>
      </c>
      <c r="R1412" t="s">
        <v>434</v>
      </c>
      <c r="S1412" t="s">
        <v>435</v>
      </c>
      <c r="U1412" s="1" t="str">
        <f t="shared" si="135"/>
        <v>Marseille</v>
      </c>
      <c r="V1412" t="s">
        <v>436</v>
      </c>
      <c r="X1412">
        <v>13008</v>
      </c>
      <c r="Y1412" s="1" t="str">
        <f t="shared" si="136"/>
        <v>FRANCE</v>
      </c>
      <c r="Z1412" s="4" t="str">
        <f t="shared" si="137"/>
        <v>France</v>
      </c>
      <c r="AA1412" t="s">
        <v>41</v>
      </c>
      <c r="AB1412" t="s">
        <v>42</v>
      </c>
      <c r="AC1412" t="s">
        <v>437</v>
      </c>
      <c r="AD1412" t="s">
        <v>438</v>
      </c>
      <c r="AE1412" t="s">
        <v>36</v>
      </c>
    </row>
    <row r="1413" spans="1:31" x14ac:dyDescent="0.3">
      <c r="A1413">
        <v>10367</v>
      </c>
      <c r="B1413">
        <v>44</v>
      </c>
      <c r="C1413">
        <v>85.25</v>
      </c>
      <c r="D1413">
        <v>9</v>
      </c>
      <c r="E1413" s="4" t="str">
        <f t="shared" si="132"/>
        <v>low sales</v>
      </c>
      <c r="F1413">
        <v>3751</v>
      </c>
      <c r="G1413" t="s">
        <v>2085</v>
      </c>
      <c r="H1413" s="1" t="str">
        <f t="shared" si="133"/>
        <v>Resolved</v>
      </c>
      <c r="I1413" s="4" t="str">
        <f t="shared" si="134"/>
        <v>not completed</v>
      </c>
      <c r="J1413" t="s">
        <v>408</v>
      </c>
      <c r="K1413">
        <v>1</v>
      </c>
      <c r="L1413">
        <v>1</v>
      </c>
      <c r="M1413">
        <v>2005</v>
      </c>
      <c r="N1413" t="s">
        <v>181</v>
      </c>
      <c r="O1413">
        <v>71</v>
      </c>
      <c r="P1413" t="s">
        <v>619</v>
      </c>
      <c r="Q1413" t="s">
        <v>52</v>
      </c>
      <c r="R1413">
        <v>6265557265</v>
      </c>
      <c r="S1413" t="s">
        <v>53</v>
      </c>
      <c r="U1413" s="1" t="str">
        <f t="shared" si="135"/>
        <v>Pasadena</v>
      </c>
      <c r="V1413" t="s">
        <v>54</v>
      </c>
      <c r="W1413" t="s">
        <v>55</v>
      </c>
      <c r="X1413">
        <v>90003</v>
      </c>
      <c r="Y1413" s="1" t="str">
        <f t="shared" si="136"/>
        <v>USA</v>
      </c>
      <c r="Z1413" s="4" t="str">
        <f t="shared" si="137"/>
        <v>Usa</v>
      </c>
      <c r="AA1413" t="s">
        <v>32</v>
      </c>
      <c r="AB1413" t="s">
        <v>33</v>
      </c>
      <c r="AC1413" t="s">
        <v>56</v>
      </c>
      <c r="AD1413" t="s">
        <v>57</v>
      </c>
      <c r="AE1413" t="s">
        <v>51</v>
      </c>
    </row>
    <row r="1414" spans="1:31" x14ac:dyDescent="0.3">
      <c r="A1414">
        <v>10380</v>
      </c>
      <c r="B1414">
        <v>24</v>
      </c>
      <c r="C1414">
        <v>100</v>
      </c>
      <c r="D1414">
        <v>2</v>
      </c>
      <c r="E1414" s="4" t="str">
        <f t="shared" si="132"/>
        <v>high sales</v>
      </c>
      <c r="F1414">
        <v>4536</v>
      </c>
      <c r="G1414" t="s">
        <v>2086</v>
      </c>
      <c r="H1414" s="1" t="str">
        <f t="shared" si="133"/>
        <v>Shipped</v>
      </c>
      <c r="I1414" s="4" t="str">
        <f t="shared" si="134"/>
        <v>completed</v>
      </c>
      <c r="J1414" t="s">
        <v>25</v>
      </c>
      <c r="K1414">
        <v>1</v>
      </c>
      <c r="L1414">
        <v>2</v>
      </c>
      <c r="M1414">
        <v>2005</v>
      </c>
      <c r="N1414" t="s">
        <v>181</v>
      </c>
      <c r="O1414">
        <v>71</v>
      </c>
      <c r="P1414" t="s">
        <v>619</v>
      </c>
      <c r="Q1414" t="s">
        <v>174</v>
      </c>
      <c r="R1414" t="s">
        <v>175</v>
      </c>
      <c r="S1414" t="s">
        <v>176</v>
      </c>
      <c r="U1414" s="1" t="str">
        <f t="shared" si="135"/>
        <v>Madrid</v>
      </c>
      <c r="V1414" t="s">
        <v>177</v>
      </c>
      <c r="X1414">
        <v>28034</v>
      </c>
      <c r="Y1414" s="1" t="str">
        <f t="shared" si="136"/>
        <v>SPAIN</v>
      </c>
      <c r="Z1414" s="4" t="str">
        <f t="shared" si="137"/>
        <v>Spain</v>
      </c>
      <c r="AA1414" t="s">
        <v>178</v>
      </c>
      <c r="AB1414" t="s">
        <v>42</v>
      </c>
      <c r="AC1414" t="s">
        <v>179</v>
      </c>
      <c r="AD1414" t="s">
        <v>180</v>
      </c>
      <c r="AE1414" t="s">
        <v>51</v>
      </c>
    </row>
    <row r="1415" spans="1:31" x14ac:dyDescent="0.3">
      <c r="A1415">
        <v>10407</v>
      </c>
      <c r="B1415">
        <v>66</v>
      </c>
      <c r="C1415">
        <v>66.989999999999995</v>
      </c>
      <c r="D1415">
        <v>4</v>
      </c>
      <c r="E1415" s="4" t="str">
        <f t="shared" si="132"/>
        <v>high sales</v>
      </c>
      <c r="F1415">
        <v>4421.34</v>
      </c>
      <c r="G1415" t="s">
        <v>2087</v>
      </c>
      <c r="H1415" s="1" t="str">
        <f t="shared" si="133"/>
        <v>On Hold</v>
      </c>
      <c r="I1415" s="4" t="str">
        <f t="shared" si="134"/>
        <v>not completed</v>
      </c>
      <c r="J1415" t="s">
        <v>401</v>
      </c>
      <c r="K1415">
        <v>2</v>
      </c>
      <c r="L1415">
        <v>4</v>
      </c>
      <c r="M1415">
        <v>2005</v>
      </c>
      <c r="N1415" t="s">
        <v>181</v>
      </c>
      <c r="O1415">
        <v>71</v>
      </c>
      <c r="P1415" t="s">
        <v>619</v>
      </c>
      <c r="Q1415" t="s">
        <v>397</v>
      </c>
      <c r="R1415">
        <v>4085553659</v>
      </c>
      <c r="S1415" t="s">
        <v>398</v>
      </c>
      <c r="U1415" s="1" t="str">
        <f t="shared" si="135"/>
        <v>San Jose</v>
      </c>
      <c r="V1415" t="s">
        <v>399</v>
      </c>
      <c r="W1415" t="s">
        <v>55</v>
      </c>
      <c r="X1415">
        <v>94217</v>
      </c>
      <c r="Y1415" s="1" t="str">
        <f t="shared" si="136"/>
        <v>USA</v>
      </c>
      <c r="Z1415" s="4" t="str">
        <f t="shared" si="137"/>
        <v>Usa</v>
      </c>
      <c r="AA1415" t="s">
        <v>32</v>
      </c>
      <c r="AB1415" t="s">
        <v>33</v>
      </c>
      <c r="AC1415" t="s">
        <v>102</v>
      </c>
      <c r="AD1415" t="s">
        <v>400</v>
      </c>
      <c r="AE1415" t="s">
        <v>51</v>
      </c>
    </row>
    <row r="1416" spans="1:31" x14ac:dyDescent="0.3">
      <c r="A1416">
        <v>10420</v>
      </c>
      <c r="B1416">
        <v>36</v>
      </c>
      <c r="C1416">
        <v>57.73</v>
      </c>
      <c r="D1416">
        <v>7</v>
      </c>
      <c r="E1416" s="4" t="str">
        <f t="shared" si="132"/>
        <v>low sales</v>
      </c>
      <c r="F1416">
        <v>2078.2800000000002</v>
      </c>
      <c r="G1416" t="s">
        <v>2088</v>
      </c>
      <c r="H1416" s="1" t="str">
        <f t="shared" si="133"/>
        <v>In Process</v>
      </c>
      <c r="I1416" s="4" t="str">
        <f t="shared" si="134"/>
        <v>not completed</v>
      </c>
      <c r="J1416" t="s">
        <v>300</v>
      </c>
      <c r="K1416">
        <v>2</v>
      </c>
      <c r="L1416">
        <v>5</v>
      </c>
      <c r="M1416">
        <v>2005</v>
      </c>
      <c r="N1416" t="s">
        <v>181</v>
      </c>
      <c r="O1416">
        <v>71</v>
      </c>
      <c r="P1416" t="s">
        <v>619</v>
      </c>
      <c r="Q1416" t="s">
        <v>152</v>
      </c>
      <c r="R1416" t="s">
        <v>153</v>
      </c>
      <c r="S1416" t="s">
        <v>154</v>
      </c>
      <c r="T1416" t="s">
        <v>155</v>
      </c>
      <c r="U1416" s="1" t="str">
        <f t="shared" si="135"/>
        <v>Chatswood</v>
      </c>
      <c r="V1416" t="s">
        <v>156</v>
      </c>
      <c r="W1416" t="s">
        <v>157</v>
      </c>
      <c r="X1416">
        <v>2067</v>
      </c>
      <c r="Y1416" s="1" t="str">
        <f t="shared" si="136"/>
        <v>AUSTRALIA</v>
      </c>
      <c r="Z1416" s="4" t="str">
        <f t="shared" si="137"/>
        <v>Australia</v>
      </c>
      <c r="AA1416" t="s">
        <v>95</v>
      </c>
      <c r="AB1416" t="s">
        <v>96</v>
      </c>
      <c r="AC1416" t="s">
        <v>158</v>
      </c>
      <c r="AD1416" t="s">
        <v>159</v>
      </c>
      <c r="AE1416" t="s">
        <v>36</v>
      </c>
    </row>
    <row r="1417" spans="1:31" x14ac:dyDescent="0.3">
      <c r="A1417">
        <v>10110</v>
      </c>
      <c r="B1417">
        <v>36</v>
      </c>
      <c r="C1417">
        <v>85.25</v>
      </c>
      <c r="D1417">
        <v>13</v>
      </c>
      <c r="E1417" s="4" t="str">
        <f t="shared" si="132"/>
        <v>low sales</v>
      </c>
      <c r="F1417">
        <v>3069</v>
      </c>
      <c r="G1417" t="s">
        <v>2089</v>
      </c>
      <c r="H1417" s="1" t="str">
        <f t="shared" si="133"/>
        <v>Shipped</v>
      </c>
      <c r="I1417" s="4" t="str">
        <f t="shared" si="134"/>
        <v>completed</v>
      </c>
      <c r="J1417" t="s">
        <v>25</v>
      </c>
      <c r="K1417">
        <v>1</v>
      </c>
      <c r="L1417">
        <v>3</v>
      </c>
      <c r="M1417">
        <v>2003</v>
      </c>
      <c r="N1417" t="s">
        <v>181</v>
      </c>
      <c r="O1417">
        <v>73</v>
      </c>
      <c r="P1417" t="s">
        <v>620</v>
      </c>
      <c r="Q1417" t="s">
        <v>492</v>
      </c>
      <c r="R1417" t="s">
        <v>493</v>
      </c>
      <c r="S1417" t="s">
        <v>494</v>
      </c>
      <c r="U1417" s="1" t="str">
        <f t="shared" si="135"/>
        <v>Manchester</v>
      </c>
      <c r="V1417" t="s">
        <v>495</v>
      </c>
      <c r="X1417" t="s">
        <v>496</v>
      </c>
      <c r="Y1417" s="1" t="str">
        <f t="shared" si="136"/>
        <v>UK</v>
      </c>
      <c r="Z1417" s="4" t="str">
        <f t="shared" si="137"/>
        <v>Uk</v>
      </c>
      <c r="AA1417" t="s">
        <v>170</v>
      </c>
      <c r="AB1417" t="s">
        <v>42</v>
      </c>
      <c r="AC1417" t="s">
        <v>497</v>
      </c>
      <c r="AD1417" t="s">
        <v>94</v>
      </c>
      <c r="AE1417" t="s">
        <v>51</v>
      </c>
    </row>
    <row r="1418" spans="1:31" x14ac:dyDescent="0.3">
      <c r="A1418">
        <v>10124</v>
      </c>
      <c r="B1418">
        <v>22</v>
      </c>
      <c r="C1418">
        <v>77.900000000000006</v>
      </c>
      <c r="D1418">
        <v>12</v>
      </c>
      <c r="E1418" s="4" t="str">
        <f t="shared" si="132"/>
        <v>low sales</v>
      </c>
      <c r="F1418">
        <v>1713.8</v>
      </c>
      <c r="G1418" t="s">
        <v>2090</v>
      </c>
      <c r="H1418" s="1" t="str">
        <f t="shared" si="133"/>
        <v>Shipped</v>
      </c>
      <c r="I1418" s="4" t="str">
        <f t="shared" si="134"/>
        <v>completed</v>
      </c>
      <c r="J1418" t="s">
        <v>25</v>
      </c>
      <c r="K1418">
        <v>2</v>
      </c>
      <c r="L1418">
        <v>5</v>
      </c>
      <c r="M1418">
        <v>2003</v>
      </c>
      <c r="N1418" t="s">
        <v>181</v>
      </c>
      <c r="O1418">
        <v>73</v>
      </c>
      <c r="P1418" t="s">
        <v>620</v>
      </c>
      <c r="Q1418" t="s">
        <v>539</v>
      </c>
      <c r="R1418">
        <v>7025551838</v>
      </c>
      <c r="S1418" t="s">
        <v>540</v>
      </c>
      <c r="U1418" s="1" t="str">
        <f t="shared" si="135"/>
        <v>Las Vegas</v>
      </c>
      <c r="V1418" t="s">
        <v>541</v>
      </c>
      <c r="W1418" t="s">
        <v>542</v>
      </c>
      <c r="X1418">
        <v>83030</v>
      </c>
      <c r="Y1418" s="1" t="str">
        <f t="shared" si="136"/>
        <v>USA</v>
      </c>
      <c r="Z1418" s="4" t="str">
        <f t="shared" si="137"/>
        <v>Usa</v>
      </c>
      <c r="AA1418" t="s">
        <v>32</v>
      </c>
      <c r="AB1418" t="s">
        <v>33</v>
      </c>
      <c r="AC1418" t="s">
        <v>113</v>
      </c>
      <c r="AD1418" t="s">
        <v>400</v>
      </c>
      <c r="AE1418" t="s">
        <v>36</v>
      </c>
    </row>
    <row r="1419" spans="1:31" x14ac:dyDescent="0.3">
      <c r="A1419">
        <v>10148</v>
      </c>
      <c r="B1419">
        <v>25</v>
      </c>
      <c r="C1419">
        <v>60.26</v>
      </c>
      <c r="D1419">
        <v>6</v>
      </c>
      <c r="E1419" s="4" t="str">
        <f t="shared" si="132"/>
        <v>low sales</v>
      </c>
      <c r="F1419">
        <v>1506.5</v>
      </c>
      <c r="G1419" t="s">
        <v>2091</v>
      </c>
      <c r="H1419" s="1" t="str">
        <f t="shared" si="133"/>
        <v>Shipped</v>
      </c>
      <c r="I1419" s="4" t="str">
        <f t="shared" si="134"/>
        <v>completed</v>
      </c>
      <c r="J1419" t="s">
        <v>25</v>
      </c>
      <c r="K1419">
        <v>3</v>
      </c>
      <c r="L1419">
        <v>9</v>
      </c>
      <c r="M1419">
        <v>2003</v>
      </c>
      <c r="N1419" t="s">
        <v>181</v>
      </c>
      <c r="O1419">
        <v>73</v>
      </c>
      <c r="P1419" t="s">
        <v>620</v>
      </c>
      <c r="Q1419" t="s">
        <v>285</v>
      </c>
      <c r="R1419" t="s">
        <v>286</v>
      </c>
      <c r="S1419" t="s">
        <v>287</v>
      </c>
      <c r="T1419" t="s">
        <v>288</v>
      </c>
      <c r="U1419" s="1" t="str">
        <f t="shared" si="135"/>
        <v>North Sydney</v>
      </c>
      <c r="V1419" t="s">
        <v>289</v>
      </c>
      <c r="W1419" t="s">
        <v>157</v>
      </c>
      <c r="X1419">
        <v>2060</v>
      </c>
      <c r="Y1419" s="1" t="str">
        <f t="shared" si="136"/>
        <v>AUSTRALIA</v>
      </c>
      <c r="Z1419" s="4" t="str">
        <f t="shared" si="137"/>
        <v>Australia</v>
      </c>
      <c r="AA1419" t="s">
        <v>95</v>
      </c>
      <c r="AB1419" t="s">
        <v>96</v>
      </c>
      <c r="AC1419" t="s">
        <v>290</v>
      </c>
      <c r="AD1419" t="s">
        <v>291</v>
      </c>
      <c r="AE1419" t="s">
        <v>36</v>
      </c>
    </row>
    <row r="1420" spans="1:31" x14ac:dyDescent="0.3">
      <c r="A1420">
        <v>10161</v>
      </c>
      <c r="B1420">
        <v>37</v>
      </c>
      <c r="C1420">
        <v>72.760000000000005</v>
      </c>
      <c r="D1420">
        <v>5</v>
      </c>
      <c r="E1420" s="4" t="str">
        <f t="shared" si="132"/>
        <v>low sales</v>
      </c>
      <c r="F1420">
        <v>2692.12</v>
      </c>
      <c r="G1420" t="s">
        <v>2092</v>
      </c>
      <c r="H1420" s="1" t="str">
        <f t="shared" si="133"/>
        <v>Shipped</v>
      </c>
      <c r="I1420" s="4" t="str">
        <f t="shared" si="134"/>
        <v>completed</v>
      </c>
      <c r="J1420" t="s">
        <v>25</v>
      </c>
      <c r="K1420">
        <v>4</v>
      </c>
      <c r="L1420">
        <v>10</v>
      </c>
      <c r="M1420">
        <v>2003</v>
      </c>
      <c r="N1420" t="s">
        <v>181</v>
      </c>
      <c r="O1420">
        <v>73</v>
      </c>
      <c r="P1420" t="s">
        <v>620</v>
      </c>
      <c r="Q1420" t="s">
        <v>498</v>
      </c>
      <c r="R1420" t="s">
        <v>499</v>
      </c>
      <c r="S1420" t="s">
        <v>500</v>
      </c>
      <c r="U1420" s="1" t="str">
        <f t="shared" si="135"/>
        <v>Aaarhus</v>
      </c>
      <c r="V1420" t="s">
        <v>501</v>
      </c>
      <c r="X1420">
        <v>8200</v>
      </c>
      <c r="Y1420" s="1" t="str">
        <f t="shared" si="136"/>
        <v>DENMARK</v>
      </c>
      <c r="Z1420" s="4" t="str">
        <f t="shared" si="137"/>
        <v>Denmark</v>
      </c>
      <c r="AA1420" t="s">
        <v>326</v>
      </c>
      <c r="AB1420" t="s">
        <v>42</v>
      </c>
      <c r="AC1420" t="s">
        <v>502</v>
      </c>
      <c r="AD1420" t="s">
        <v>503</v>
      </c>
      <c r="AE1420" t="s">
        <v>36</v>
      </c>
    </row>
    <row r="1421" spans="1:31" x14ac:dyDescent="0.3">
      <c r="A1421">
        <v>10172</v>
      </c>
      <c r="B1421">
        <v>32</v>
      </c>
      <c r="C1421">
        <v>75.69</v>
      </c>
      <c r="D1421">
        <v>3</v>
      </c>
      <c r="E1421" s="4" t="str">
        <f t="shared" si="132"/>
        <v>low sales</v>
      </c>
      <c r="F1421">
        <v>2422.08</v>
      </c>
      <c r="G1421" t="s">
        <v>2093</v>
      </c>
      <c r="H1421" s="1" t="str">
        <f t="shared" si="133"/>
        <v>Shipped</v>
      </c>
      <c r="I1421" s="4" t="str">
        <f t="shared" si="134"/>
        <v>completed</v>
      </c>
      <c r="J1421" t="s">
        <v>25</v>
      </c>
      <c r="K1421">
        <v>4</v>
      </c>
      <c r="L1421">
        <v>11</v>
      </c>
      <c r="M1421">
        <v>2003</v>
      </c>
      <c r="N1421" t="s">
        <v>181</v>
      </c>
      <c r="O1421">
        <v>73</v>
      </c>
      <c r="P1421" t="s">
        <v>620</v>
      </c>
      <c r="Q1421" t="s">
        <v>109</v>
      </c>
      <c r="R1421">
        <v>2035552570</v>
      </c>
      <c r="S1421" t="s">
        <v>110</v>
      </c>
      <c r="U1421" s="1" t="str">
        <f t="shared" si="135"/>
        <v>Bridgewater</v>
      </c>
      <c r="V1421" t="s">
        <v>111</v>
      </c>
      <c r="W1421" t="s">
        <v>112</v>
      </c>
      <c r="X1421">
        <v>97562</v>
      </c>
      <c r="Y1421" s="1" t="str">
        <f t="shared" si="136"/>
        <v>USA</v>
      </c>
      <c r="Z1421" s="4" t="str">
        <f t="shared" si="137"/>
        <v>Usa</v>
      </c>
      <c r="AA1421" t="s">
        <v>32</v>
      </c>
      <c r="AB1421" t="s">
        <v>33</v>
      </c>
      <c r="AC1421" t="s">
        <v>113</v>
      </c>
      <c r="AD1421" t="s">
        <v>57</v>
      </c>
      <c r="AE1421" t="s">
        <v>36</v>
      </c>
    </row>
    <row r="1422" spans="1:31" x14ac:dyDescent="0.3">
      <c r="A1422">
        <v>10182</v>
      </c>
      <c r="B1422">
        <v>47</v>
      </c>
      <c r="C1422">
        <v>74.22</v>
      </c>
      <c r="D1422">
        <v>16</v>
      </c>
      <c r="E1422" s="4" t="str">
        <f t="shared" si="132"/>
        <v>low sales</v>
      </c>
      <c r="F1422">
        <v>3488.34</v>
      </c>
      <c r="G1422" t="s">
        <v>2094</v>
      </c>
      <c r="H1422" s="1" t="str">
        <f t="shared" si="133"/>
        <v>Shipped</v>
      </c>
      <c r="I1422" s="4" t="str">
        <f t="shared" si="134"/>
        <v>completed</v>
      </c>
      <c r="J1422" t="s">
        <v>25</v>
      </c>
      <c r="K1422">
        <v>4</v>
      </c>
      <c r="L1422">
        <v>11</v>
      </c>
      <c r="M1422">
        <v>2003</v>
      </c>
      <c r="N1422" t="s">
        <v>181</v>
      </c>
      <c r="O1422">
        <v>73</v>
      </c>
      <c r="P1422" t="s">
        <v>620</v>
      </c>
      <c r="Q1422" t="s">
        <v>272</v>
      </c>
      <c r="R1422">
        <v>4155551450</v>
      </c>
      <c r="S1422" t="s">
        <v>273</v>
      </c>
      <c r="U1422" s="1" t="str">
        <f t="shared" si="135"/>
        <v>San Rafael</v>
      </c>
      <c r="V1422" t="s">
        <v>274</v>
      </c>
      <c r="W1422" t="s">
        <v>55</v>
      </c>
      <c r="X1422">
        <v>97562</v>
      </c>
      <c r="Y1422" s="1" t="str">
        <f t="shared" si="136"/>
        <v>USA</v>
      </c>
      <c r="Z1422" s="4" t="str">
        <f t="shared" si="137"/>
        <v>Usa</v>
      </c>
      <c r="AA1422" t="s">
        <v>32</v>
      </c>
      <c r="AB1422" t="s">
        <v>33</v>
      </c>
      <c r="AC1422" t="s">
        <v>275</v>
      </c>
      <c r="AD1422" t="s">
        <v>276</v>
      </c>
      <c r="AE1422" t="s">
        <v>51</v>
      </c>
    </row>
    <row r="1423" spans="1:31" x14ac:dyDescent="0.3">
      <c r="A1423">
        <v>10192</v>
      </c>
      <c r="B1423">
        <v>37</v>
      </c>
      <c r="C1423">
        <v>69.819999999999993</v>
      </c>
      <c r="D1423">
        <v>4</v>
      </c>
      <c r="E1423" s="4" t="str">
        <f t="shared" si="132"/>
        <v>low sales</v>
      </c>
      <c r="F1423">
        <v>2583.34</v>
      </c>
      <c r="G1423" t="s">
        <v>2095</v>
      </c>
      <c r="H1423" s="1" t="str">
        <f t="shared" si="133"/>
        <v>Shipped</v>
      </c>
      <c r="I1423" s="4" t="str">
        <f t="shared" si="134"/>
        <v>completed</v>
      </c>
      <c r="J1423" t="s">
        <v>25</v>
      </c>
      <c r="K1423">
        <v>4</v>
      </c>
      <c r="L1423">
        <v>11</v>
      </c>
      <c r="M1423">
        <v>2003</v>
      </c>
      <c r="N1423" t="s">
        <v>181</v>
      </c>
      <c r="O1423">
        <v>73</v>
      </c>
      <c r="P1423" t="s">
        <v>620</v>
      </c>
      <c r="Q1423" t="s">
        <v>277</v>
      </c>
      <c r="R1423">
        <v>6035558647</v>
      </c>
      <c r="S1423" t="s">
        <v>278</v>
      </c>
      <c r="U1423" s="1" t="str">
        <f t="shared" si="135"/>
        <v>Nashua</v>
      </c>
      <c r="V1423" t="s">
        <v>279</v>
      </c>
      <c r="W1423" t="s">
        <v>280</v>
      </c>
      <c r="X1423">
        <v>62005</v>
      </c>
      <c r="Y1423" s="1" t="str">
        <f t="shared" si="136"/>
        <v>USA</v>
      </c>
      <c r="Z1423" s="4" t="str">
        <f t="shared" si="137"/>
        <v>Usa</v>
      </c>
      <c r="AA1423" t="s">
        <v>32</v>
      </c>
      <c r="AB1423" t="s">
        <v>33</v>
      </c>
      <c r="AC1423" t="s">
        <v>56</v>
      </c>
      <c r="AD1423" t="s">
        <v>276</v>
      </c>
      <c r="AE1423" t="s">
        <v>36</v>
      </c>
    </row>
    <row r="1424" spans="1:31" x14ac:dyDescent="0.3">
      <c r="A1424">
        <v>10204</v>
      </c>
      <c r="B1424">
        <v>20</v>
      </c>
      <c r="C1424">
        <v>62.47</v>
      </c>
      <c r="D1424">
        <v>10</v>
      </c>
      <c r="E1424" s="4" t="str">
        <f t="shared" si="132"/>
        <v>low sales</v>
      </c>
      <c r="F1424">
        <v>1249.4000000000001</v>
      </c>
      <c r="G1424" t="s">
        <v>2096</v>
      </c>
      <c r="H1424" s="1" t="str">
        <f t="shared" si="133"/>
        <v>Shipped</v>
      </c>
      <c r="I1424" s="4" t="str">
        <f t="shared" si="134"/>
        <v>completed</v>
      </c>
      <c r="J1424" t="s">
        <v>25</v>
      </c>
      <c r="K1424">
        <v>4</v>
      </c>
      <c r="L1424">
        <v>12</v>
      </c>
      <c r="M1424">
        <v>2003</v>
      </c>
      <c r="N1424" t="s">
        <v>181</v>
      </c>
      <c r="O1424">
        <v>73</v>
      </c>
      <c r="P1424" t="s">
        <v>620</v>
      </c>
      <c r="Q1424" t="s">
        <v>475</v>
      </c>
      <c r="R1424">
        <v>2125557413</v>
      </c>
      <c r="S1424" t="s">
        <v>476</v>
      </c>
      <c r="T1424" t="s">
        <v>477</v>
      </c>
      <c r="U1424" s="1" t="str">
        <f t="shared" si="135"/>
        <v>Nyc</v>
      </c>
      <c r="V1424" t="s">
        <v>30</v>
      </c>
      <c r="W1424" t="s">
        <v>31</v>
      </c>
      <c r="X1424">
        <v>10022</v>
      </c>
      <c r="Y1424" s="1" t="str">
        <f t="shared" si="136"/>
        <v>USA</v>
      </c>
      <c r="Z1424" s="4" t="str">
        <f t="shared" si="137"/>
        <v>Usa</v>
      </c>
      <c r="AA1424" t="s">
        <v>32</v>
      </c>
      <c r="AB1424" t="s">
        <v>33</v>
      </c>
      <c r="AC1424" t="s">
        <v>56</v>
      </c>
      <c r="AD1424" t="s">
        <v>478</v>
      </c>
      <c r="AE1424" t="s">
        <v>36</v>
      </c>
    </row>
    <row r="1425" spans="1:31" x14ac:dyDescent="0.3">
      <c r="A1425">
        <v>10212</v>
      </c>
      <c r="B1425">
        <v>41</v>
      </c>
      <c r="C1425">
        <v>82.31</v>
      </c>
      <c r="D1425">
        <v>3</v>
      </c>
      <c r="E1425" s="4" t="str">
        <f t="shared" si="132"/>
        <v>low sales</v>
      </c>
      <c r="F1425">
        <v>3374.71</v>
      </c>
      <c r="G1425" t="s">
        <v>2097</v>
      </c>
      <c r="H1425" s="1" t="str">
        <f t="shared" si="133"/>
        <v>Shipped</v>
      </c>
      <c r="I1425" s="4" t="str">
        <f t="shared" si="134"/>
        <v>completed</v>
      </c>
      <c r="J1425" t="s">
        <v>25</v>
      </c>
      <c r="K1425">
        <v>1</v>
      </c>
      <c r="L1425">
        <v>1</v>
      </c>
      <c r="M1425">
        <v>2004</v>
      </c>
      <c r="N1425" t="s">
        <v>181</v>
      </c>
      <c r="O1425">
        <v>73</v>
      </c>
      <c r="P1425" t="s">
        <v>620</v>
      </c>
      <c r="Q1425" t="s">
        <v>174</v>
      </c>
      <c r="R1425" t="s">
        <v>175</v>
      </c>
      <c r="S1425" t="s">
        <v>176</v>
      </c>
      <c r="U1425" s="1" t="str">
        <f t="shared" si="135"/>
        <v>Madrid</v>
      </c>
      <c r="V1425" t="s">
        <v>177</v>
      </c>
      <c r="X1425">
        <v>28034</v>
      </c>
      <c r="Y1425" s="1" t="str">
        <f t="shared" si="136"/>
        <v>SPAIN</v>
      </c>
      <c r="Z1425" s="4" t="str">
        <f t="shared" si="137"/>
        <v>Spain</v>
      </c>
      <c r="AA1425" t="s">
        <v>178</v>
      </c>
      <c r="AB1425" t="s">
        <v>42</v>
      </c>
      <c r="AC1425" t="s">
        <v>179</v>
      </c>
      <c r="AD1425" t="s">
        <v>180</v>
      </c>
      <c r="AE1425" t="s">
        <v>51</v>
      </c>
    </row>
    <row r="1426" spans="1:31" x14ac:dyDescent="0.3">
      <c r="A1426">
        <v>10226</v>
      </c>
      <c r="B1426">
        <v>21</v>
      </c>
      <c r="C1426">
        <v>60.26</v>
      </c>
      <c r="D1426">
        <v>1</v>
      </c>
      <c r="E1426" s="4" t="str">
        <f t="shared" si="132"/>
        <v>low sales</v>
      </c>
      <c r="F1426">
        <v>1265.46</v>
      </c>
      <c r="G1426" t="s">
        <v>2098</v>
      </c>
      <c r="H1426" s="1" t="str">
        <f t="shared" si="133"/>
        <v>Shipped</v>
      </c>
      <c r="I1426" s="4" t="str">
        <f t="shared" si="134"/>
        <v>completed</v>
      </c>
      <c r="J1426" t="s">
        <v>25</v>
      </c>
      <c r="K1426">
        <v>1</v>
      </c>
      <c r="L1426">
        <v>2</v>
      </c>
      <c r="M1426">
        <v>2004</v>
      </c>
      <c r="N1426" t="s">
        <v>181</v>
      </c>
      <c r="O1426">
        <v>73</v>
      </c>
      <c r="P1426" t="s">
        <v>620</v>
      </c>
      <c r="Q1426" t="s">
        <v>362</v>
      </c>
      <c r="R1426">
        <v>7605558146</v>
      </c>
      <c r="S1426" t="s">
        <v>363</v>
      </c>
      <c r="U1426" s="1" t="str">
        <f t="shared" si="135"/>
        <v>San Diego</v>
      </c>
      <c r="V1426" t="s">
        <v>364</v>
      </c>
      <c r="W1426" t="s">
        <v>55</v>
      </c>
      <c r="X1426">
        <v>91217</v>
      </c>
      <c r="Y1426" s="1" t="str">
        <f t="shared" si="136"/>
        <v>USA</v>
      </c>
      <c r="Z1426" s="4" t="str">
        <f t="shared" si="137"/>
        <v>Usa</v>
      </c>
      <c r="AA1426" t="s">
        <v>32</v>
      </c>
      <c r="AB1426" t="s">
        <v>33</v>
      </c>
      <c r="AC1426" t="s">
        <v>237</v>
      </c>
      <c r="AD1426" t="s">
        <v>276</v>
      </c>
      <c r="AE1426" t="s">
        <v>36</v>
      </c>
    </row>
    <row r="1427" spans="1:31" x14ac:dyDescent="0.3">
      <c r="A1427">
        <v>10241</v>
      </c>
      <c r="B1427">
        <v>22</v>
      </c>
      <c r="C1427">
        <v>76.430000000000007</v>
      </c>
      <c r="D1427">
        <v>8</v>
      </c>
      <c r="E1427" s="4" t="str">
        <f t="shared" si="132"/>
        <v>low sales</v>
      </c>
      <c r="F1427">
        <v>1681.46</v>
      </c>
      <c r="G1427" t="s">
        <v>2099</v>
      </c>
      <c r="H1427" s="1" t="str">
        <f t="shared" si="133"/>
        <v>Shipped</v>
      </c>
      <c r="I1427" s="4" t="str">
        <f t="shared" si="134"/>
        <v>completed</v>
      </c>
      <c r="J1427" t="s">
        <v>25</v>
      </c>
      <c r="K1427">
        <v>2</v>
      </c>
      <c r="L1427">
        <v>4</v>
      </c>
      <c r="M1427">
        <v>2004</v>
      </c>
      <c r="N1427" t="s">
        <v>181</v>
      </c>
      <c r="O1427">
        <v>73</v>
      </c>
      <c r="P1427" t="s">
        <v>620</v>
      </c>
      <c r="Q1427" t="s">
        <v>531</v>
      </c>
      <c r="R1427" t="s">
        <v>532</v>
      </c>
      <c r="S1427" t="s">
        <v>533</v>
      </c>
      <c r="U1427" s="1" t="str">
        <f t="shared" si="135"/>
        <v>Strasbourg</v>
      </c>
      <c r="V1427" t="s">
        <v>534</v>
      </c>
      <c r="X1427">
        <v>67000</v>
      </c>
      <c r="Y1427" s="1" t="str">
        <f t="shared" si="136"/>
        <v>FRANCE</v>
      </c>
      <c r="Z1427" s="4" t="str">
        <f t="shared" si="137"/>
        <v>France</v>
      </c>
      <c r="AA1427" t="s">
        <v>41</v>
      </c>
      <c r="AB1427" t="s">
        <v>42</v>
      </c>
      <c r="AC1427" t="s">
        <v>535</v>
      </c>
      <c r="AD1427" t="s">
        <v>536</v>
      </c>
      <c r="AE1427" t="s">
        <v>36</v>
      </c>
    </row>
    <row r="1428" spans="1:31" x14ac:dyDescent="0.3">
      <c r="A1428">
        <v>10267</v>
      </c>
      <c r="B1428">
        <v>40</v>
      </c>
      <c r="C1428">
        <v>80.099999999999994</v>
      </c>
      <c r="D1428">
        <v>5</v>
      </c>
      <c r="E1428" s="4" t="str">
        <f t="shared" si="132"/>
        <v>low sales</v>
      </c>
      <c r="F1428">
        <v>3204</v>
      </c>
      <c r="G1428" t="s">
        <v>2100</v>
      </c>
      <c r="H1428" s="1" t="str">
        <f t="shared" si="133"/>
        <v>Shipped</v>
      </c>
      <c r="I1428" s="4" t="str">
        <f t="shared" si="134"/>
        <v>completed</v>
      </c>
      <c r="J1428" t="s">
        <v>25</v>
      </c>
      <c r="K1428">
        <v>3</v>
      </c>
      <c r="L1428">
        <v>7</v>
      </c>
      <c r="M1428">
        <v>2004</v>
      </c>
      <c r="N1428" t="s">
        <v>181</v>
      </c>
      <c r="O1428">
        <v>73</v>
      </c>
      <c r="P1428" t="s">
        <v>620</v>
      </c>
      <c r="Q1428" t="s">
        <v>475</v>
      </c>
      <c r="R1428">
        <v>2125557413</v>
      </c>
      <c r="S1428" t="s">
        <v>476</v>
      </c>
      <c r="T1428" t="s">
        <v>477</v>
      </c>
      <c r="U1428" s="1" t="str">
        <f t="shared" si="135"/>
        <v>Nyc</v>
      </c>
      <c r="V1428" t="s">
        <v>30</v>
      </c>
      <c r="W1428" t="s">
        <v>31</v>
      </c>
      <c r="X1428">
        <v>10022</v>
      </c>
      <c r="Y1428" s="1" t="str">
        <f t="shared" si="136"/>
        <v>USA</v>
      </c>
      <c r="Z1428" s="4" t="str">
        <f t="shared" si="137"/>
        <v>Usa</v>
      </c>
      <c r="AA1428" t="s">
        <v>32</v>
      </c>
      <c r="AB1428" t="s">
        <v>33</v>
      </c>
      <c r="AC1428" t="s">
        <v>56</v>
      </c>
      <c r="AD1428" t="s">
        <v>478</v>
      </c>
      <c r="AE1428" t="s">
        <v>51</v>
      </c>
    </row>
    <row r="1429" spans="1:31" x14ac:dyDescent="0.3">
      <c r="A1429">
        <v>10279</v>
      </c>
      <c r="B1429">
        <v>32</v>
      </c>
      <c r="C1429">
        <v>74.959999999999994</v>
      </c>
      <c r="D1429">
        <v>5</v>
      </c>
      <c r="E1429" s="4" t="str">
        <f t="shared" si="132"/>
        <v>low sales</v>
      </c>
      <c r="F1429">
        <v>2398.7199999999998</v>
      </c>
      <c r="G1429" t="s">
        <v>2101</v>
      </c>
      <c r="H1429" s="1" t="str">
        <f t="shared" si="133"/>
        <v>Shipped</v>
      </c>
      <c r="I1429" s="4" t="str">
        <f t="shared" si="134"/>
        <v>completed</v>
      </c>
      <c r="J1429" t="s">
        <v>25</v>
      </c>
      <c r="K1429">
        <v>3</v>
      </c>
      <c r="L1429">
        <v>8</v>
      </c>
      <c r="M1429">
        <v>2004</v>
      </c>
      <c r="N1429" t="s">
        <v>181</v>
      </c>
      <c r="O1429">
        <v>73</v>
      </c>
      <c r="P1429" t="s">
        <v>620</v>
      </c>
      <c r="Q1429" t="s">
        <v>174</v>
      </c>
      <c r="R1429" t="s">
        <v>175</v>
      </c>
      <c r="S1429" t="s">
        <v>176</v>
      </c>
      <c r="U1429" s="1" t="str">
        <f t="shared" si="135"/>
        <v>Madrid</v>
      </c>
      <c r="V1429" t="s">
        <v>177</v>
      </c>
      <c r="X1429">
        <v>28034</v>
      </c>
      <c r="Y1429" s="1" t="str">
        <f t="shared" si="136"/>
        <v>SPAIN</v>
      </c>
      <c r="Z1429" s="4" t="str">
        <f t="shared" si="137"/>
        <v>Spain</v>
      </c>
      <c r="AA1429" t="s">
        <v>178</v>
      </c>
      <c r="AB1429" t="s">
        <v>42</v>
      </c>
      <c r="AC1429" t="s">
        <v>179</v>
      </c>
      <c r="AD1429" t="s">
        <v>180</v>
      </c>
      <c r="AE1429" t="s">
        <v>36</v>
      </c>
    </row>
    <row r="1430" spans="1:31" x14ac:dyDescent="0.3">
      <c r="A1430">
        <v>10288</v>
      </c>
      <c r="B1430">
        <v>36</v>
      </c>
      <c r="C1430">
        <v>66.14</v>
      </c>
      <c r="D1430">
        <v>11</v>
      </c>
      <c r="E1430" s="4" t="str">
        <f t="shared" si="132"/>
        <v>low sales</v>
      </c>
      <c r="F1430">
        <v>2381.04</v>
      </c>
      <c r="G1430" t="s">
        <v>2102</v>
      </c>
      <c r="H1430" s="1" t="str">
        <f t="shared" si="133"/>
        <v>Shipped</v>
      </c>
      <c r="I1430" s="4" t="str">
        <f t="shared" si="134"/>
        <v>completed</v>
      </c>
      <c r="J1430" t="s">
        <v>25</v>
      </c>
      <c r="K1430">
        <v>3</v>
      </c>
      <c r="L1430">
        <v>9</v>
      </c>
      <c r="M1430">
        <v>2004</v>
      </c>
      <c r="N1430" t="s">
        <v>181</v>
      </c>
      <c r="O1430">
        <v>73</v>
      </c>
      <c r="P1430" t="s">
        <v>620</v>
      </c>
      <c r="Q1430" t="s">
        <v>418</v>
      </c>
      <c r="R1430" t="s">
        <v>419</v>
      </c>
      <c r="S1430" t="s">
        <v>420</v>
      </c>
      <c r="T1430" t="s">
        <v>421</v>
      </c>
      <c r="U1430" s="1" t="str">
        <f t="shared" si="135"/>
        <v>Singapore</v>
      </c>
      <c r="V1430" t="s">
        <v>199</v>
      </c>
      <c r="X1430">
        <v>69045</v>
      </c>
      <c r="Y1430" s="1" t="str">
        <f t="shared" si="136"/>
        <v>SINGAPORE</v>
      </c>
      <c r="Z1430" s="4" t="str">
        <f t="shared" si="137"/>
        <v>Singapore</v>
      </c>
      <c r="AA1430" t="s">
        <v>199</v>
      </c>
      <c r="AB1430" t="s">
        <v>96</v>
      </c>
      <c r="AC1430" t="s">
        <v>422</v>
      </c>
      <c r="AD1430" t="s">
        <v>423</v>
      </c>
      <c r="AE1430" t="s">
        <v>36</v>
      </c>
    </row>
    <row r="1431" spans="1:31" x14ac:dyDescent="0.3">
      <c r="A1431">
        <v>10301</v>
      </c>
      <c r="B1431">
        <v>27</v>
      </c>
      <c r="C1431">
        <v>72.02</v>
      </c>
      <c r="D1431">
        <v>1</v>
      </c>
      <c r="E1431" s="4" t="str">
        <f t="shared" si="132"/>
        <v>low sales</v>
      </c>
      <c r="F1431">
        <v>1944.54</v>
      </c>
      <c r="G1431" t="s">
        <v>2103</v>
      </c>
      <c r="H1431" s="1" t="str">
        <f t="shared" si="133"/>
        <v>Shipped</v>
      </c>
      <c r="I1431" s="4" t="str">
        <f t="shared" si="134"/>
        <v>completed</v>
      </c>
      <c r="J1431" t="s">
        <v>25</v>
      </c>
      <c r="K1431">
        <v>4</v>
      </c>
      <c r="L1431">
        <v>10</v>
      </c>
      <c r="M1431">
        <v>2003</v>
      </c>
      <c r="N1431" t="s">
        <v>181</v>
      </c>
      <c r="O1431">
        <v>73</v>
      </c>
      <c r="P1431" t="s">
        <v>620</v>
      </c>
      <c r="Q1431" t="s">
        <v>543</v>
      </c>
      <c r="R1431" t="s">
        <v>544</v>
      </c>
      <c r="S1431" t="s">
        <v>545</v>
      </c>
      <c r="U1431" s="1" t="str">
        <f t="shared" si="135"/>
        <v>Oslo</v>
      </c>
      <c r="V1431" t="s">
        <v>546</v>
      </c>
      <c r="X1431" t="s">
        <v>547</v>
      </c>
      <c r="Y1431" s="1" t="str">
        <f t="shared" si="136"/>
        <v>NORWAY</v>
      </c>
      <c r="Z1431" s="4" t="str">
        <f t="shared" si="137"/>
        <v>Norway</v>
      </c>
      <c r="AA1431" t="s">
        <v>78</v>
      </c>
      <c r="AB1431" t="s">
        <v>42</v>
      </c>
      <c r="AC1431" t="s">
        <v>548</v>
      </c>
      <c r="AD1431" t="s">
        <v>549</v>
      </c>
      <c r="AE1431" t="s">
        <v>36</v>
      </c>
    </row>
    <row r="1432" spans="1:31" x14ac:dyDescent="0.3">
      <c r="A1432">
        <v>10311</v>
      </c>
      <c r="B1432">
        <v>26</v>
      </c>
      <c r="C1432">
        <v>87.45</v>
      </c>
      <c r="D1432">
        <v>6</v>
      </c>
      <c r="E1432" s="4" t="str">
        <f t="shared" si="132"/>
        <v>low sales</v>
      </c>
      <c r="F1432">
        <v>2273.6999999999998</v>
      </c>
      <c r="G1432" t="s">
        <v>2104</v>
      </c>
      <c r="H1432" s="1" t="str">
        <f t="shared" si="133"/>
        <v>Shipped</v>
      </c>
      <c r="I1432" s="4" t="str">
        <f t="shared" si="134"/>
        <v>completed</v>
      </c>
      <c r="J1432" t="s">
        <v>25</v>
      </c>
      <c r="K1432">
        <v>4</v>
      </c>
      <c r="L1432">
        <v>10</v>
      </c>
      <c r="M1432">
        <v>2004</v>
      </c>
      <c r="N1432" t="s">
        <v>181</v>
      </c>
      <c r="O1432">
        <v>73</v>
      </c>
      <c r="P1432" t="s">
        <v>620</v>
      </c>
      <c r="Q1432" t="s">
        <v>174</v>
      </c>
      <c r="R1432" t="s">
        <v>175</v>
      </c>
      <c r="S1432" t="s">
        <v>176</v>
      </c>
      <c r="U1432" s="1" t="str">
        <f t="shared" si="135"/>
        <v>Madrid</v>
      </c>
      <c r="V1432" t="s">
        <v>177</v>
      </c>
      <c r="X1432">
        <v>28034</v>
      </c>
      <c r="Y1432" s="1" t="str">
        <f t="shared" si="136"/>
        <v>SPAIN</v>
      </c>
      <c r="Z1432" s="4" t="str">
        <f t="shared" si="137"/>
        <v>Spain</v>
      </c>
      <c r="AA1432" t="s">
        <v>178</v>
      </c>
      <c r="AB1432" t="s">
        <v>42</v>
      </c>
      <c r="AC1432" t="s">
        <v>179</v>
      </c>
      <c r="AD1432" t="s">
        <v>180</v>
      </c>
      <c r="AE1432" t="s">
        <v>36</v>
      </c>
    </row>
    <row r="1433" spans="1:31" x14ac:dyDescent="0.3">
      <c r="A1433">
        <v>10321</v>
      </c>
      <c r="B1433">
        <v>30</v>
      </c>
      <c r="C1433">
        <v>70.55</v>
      </c>
      <c r="D1433">
        <v>3</v>
      </c>
      <c r="E1433" s="4" t="str">
        <f t="shared" si="132"/>
        <v>low sales</v>
      </c>
      <c r="F1433">
        <v>2116.5</v>
      </c>
      <c r="G1433" t="s">
        <v>2105</v>
      </c>
      <c r="H1433" s="1" t="str">
        <f t="shared" si="133"/>
        <v>Shipped</v>
      </c>
      <c r="I1433" s="4" t="str">
        <f t="shared" si="134"/>
        <v>completed</v>
      </c>
      <c r="J1433" t="s">
        <v>25</v>
      </c>
      <c r="K1433">
        <v>4</v>
      </c>
      <c r="L1433">
        <v>11</v>
      </c>
      <c r="M1433">
        <v>2004</v>
      </c>
      <c r="N1433" t="s">
        <v>181</v>
      </c>
      <c r="O1433">
        <v>73</v>
      </c>
      <c r="P1433" t="s">
        <v>620</v>
      </c>
      <c r="Q1433" t="s">
        <v>160</v>
      </c>
      <c r="R1433">
        <v>5085552555</v>
      </c>
      <c r="S1433" t="s">
        <v>161</v>
      </c>
      <c r="U1433" s="1" t="str">
        <f t="shared" si="135"/>
        <v>New Bedford</v>
      </c>
      <c r="V1433" t="s">
        <v>162</v>
      </c>
      <c r="W1433" t="s">
        <v>123</v>
      </c>
      <c r="X1433">
        <v>50553</v>
      </c>
      <c r="Y1433" s="1" t="str">
        <f t="shared" si="136"/>
        <v>USA</v>
      </c>
      <c r="Z1433" s="4" t="str">
        <f t="shared" si="137"/>
        <v>Usa</v>
      </c>
      <c r="AA1433" t="s">
        <v>32</v>
      </c>
      <c r="AB1433" t="s">
        <v>33</v>
      </c>
      <c r="AC1433" t="s">
        <v>163</v>
      </c>
      <c r="AD1433" t="s">
        <v>164</v>
      </c>
      <c r="AE1433" t="s">
        <v>36</v>
      </c>
    </row>
    <row r="1434" spans="1:31" x14ac:dyDescent="0.3">
      <c r="A1434">
        <v>10332</v>
      </c>
      <c r="B1434">
        <v>23</v>
      </c>
      <c r="C1434">
        <v>56.84</v>
      </c>
      <c r="D1434">
        <v>4</v>
      </c>
      <c r="E1434" s="4" t="str">
        <f t="shared" si="132"/>
        <v>low sales</v>
      </c>
      <c r="F1434">
        <v>1307.32</v>
      </c>
      <c r="G1434" t="s">
        <v>2106</v>
      </c>
      <c r="H1434" s="1" t="str">
        <f t="shared" si="133"/>
        <v>Shipped</v>
      </c>
      <c r="I1434" s="4" t="str">
        <f t="shared" si="134"/>
        <v>completed</v>
      </c>
      <c r="J1434" t="s">
        <v>25</v>
      </c>
      <c r="K1434">
        <v>4</v>
      </c>
      <c r="L1434">
        <v>11</v>
      </c>
      <c r="M1434">
        <v>2004</v>
      </c>
      <c r="N1434" t="s">
        <v>181</v>
      </c>
      <c r="O1434">
        <v>73</v>
      </c>
      <c r="P1434" t="s">
        <v>620</v>
      </c>
      <c r="Q1434" t="s">
        <v>492</v>
      </c>
      <c r="R1434" t="s">
        <v>493</v>
      </c>
      <c r="S1434" t="s">
        <v>494</v>
      </c>
      <c r="U1434" s="1" t="str">
        <f t="shared" si="135"/>
        <v>Manchester</v>
      </c>
      <c r="V1434" t="s">
        <v>495</v>
      </c>
      <c r="X1434" t="s">
        <v>496</v>
      </c>
      <c r="Y1434" s="1" t="str">
        <f t="shared" si="136"/>
        <v>UK</v>
      </c>
      <c r="Z1434" s="4" t="str">
        <f t="shared" si="137"/>
        <v>Uk</v>
      </c>
      <c r="AA1434" t="s">
        <v>170</v>
      </c>
      <c r="AB1434" t="s">
        <v>42</v>
      </c>
      <c r="AC1434" t="s">
        <v>497</v>
      </c>
      <c r="AD1434" t="s">
        <v>94</v>
      </c>
      <c r="AE1434" t="s">
        <v>36</v>
      </c>
    </row>
    <row r="1435" spans="1:31" x14ac:dyDescent="0.3">
      <c r="A1435">
        <v>10344</v>
      </c>
      <c r="B1435">
        <v>29</v>
      </c>
      <c r="C1435">
        <v>59.53</v>
      </c>
      <c r="D1435">
        <v>7</v>
      </c>
      <c r="E1435" s="4" t="str">
        <f t="shared" si="132"/>
        <v>low sales</v>
      </c>
      <c r="F1435">
        <v>1726.37</v>
      </c>
      <c r="G1435" t="s">
        <v>2107</v>
      </c>
      <c r="H1435" s="1" t="str">
        <f t="shared" si="133"/>
        <v>Shipped</v>
      </c>
      <c r="I1435" s="4" t="str">
        <f t="shared" si="134"/>
        <v>completed</v>
      </c>
      <c r="J1435" t="s">
        <v>25</v>
      </c>
      <c r="K1435">
        <v>4</v>
      </c>
      <c r="L1435">
        <v>11</v>
      </c>
      <c r="M1435">
        <v>2004</v>
      </c>
      <c r="N1435" t="s">
        <v>181</v>
      </c>
      <c r="O1435">
        <v>73</v>
      </c>
      <c r="P1435" t="s">
        <v>620</v>
      </c>
      <c r="Q1435" t="s">
        <v>433</v>
      </c>
      <c r="R1435" t="s">
        <v>434</v>
      </c>
      <c r="S1435" t="s">
        <v>435</v>
      </c>
      <c r="U1435" s="1" t="str">
        <f t="shared" si="135"/>
        <v>Marseille</v>
      </c>
      <c r="V1435" t="s">
        <v>436</v>
      </c>
      <c r="X1435">
        <v>13008</v>
      </c>
      <c r="Y1435" s="1" t="str">
        <f t="shared" si="136"/>
        <v>FRANCE</v>
      </c>
      <c r="Z1435" s="4" t="str">
        <f t="shared" si="137"/>
        <v>France</v>
      </c>
      <c r="AA1435" t="s">
        <v>41</v>
      </c>
      <c r="AB1435" t="s">
        <v>42</v>
      </c>
      <c r="AC1435" t="s">
        <v>437</v>
      </c>
      <c r="AD1435" t="s">
        <v>438</v>
      </c>
      <c r="AE1435" t="s">
        <v>36</v>
      </c>
    </row>
    <row r="1436" spans="1:31" x14ac:dyDescent="0.3">
      <c r="A1436">
        <v>10367</v>
      </c>
      <c r="B1436">
        <v>21</v>
      </c>
      <c r="C1436">
        <v>60.37</v>
      </c>
      <c r="D1436">
        <v>10</v>
      </c>
      <c r="E1436" s="4" t="str">
        <f t="shared" si="132"/>
        <v>low sales</v>
      </c>
      <c r="F1436">
        <v>1267.77</v>
      </c>
      <c r="G1436" t="s">
        <v>2108</v>
      </c>
      <c r="H1436" s="1" t="str">
        <f t="shared" si="133"/>
        <v>Resolved</v>
      </c>
      <c r="I1436" s="4" t="str">
        <f t="shared" si="134"/>
        <v>not completed</v>
      </c>
      <c r="J1436" t="s">
        <v>408</v>
      </c>
      <c r="K1436">
        <v>1</v>
      </c>
      <c r="L1436">
        <v>1</v>
      </c>
      <c r="M1436">
        <v>2005</v>
      </c>
      <c r="N1436" t="s">
        <v>181</v>
      </c>
      <c r="O1436">
        <v>73</v>
      </c>
      <c r="P1436" t="s">
        <v>620</v>
      </c>
      <c r="Q1436" t="s">
        <v>52</v>
      </c>
      <c r="R1436">
        <v>6265557265</v>
      </c>
      <c r="S1436" t="s">
        <v>53</v>
      </c>
      <c r="U1436" s="1" t="str">
        <f t="shared" si="135"/>
        <v>Pasadena</v>
      </c>
      <c r="V1436" t="s">
        <v>54</v>
      </c>
      <c r="W1436" t="s">
        <v>55</v>
      </c>
      <c r="X1436">
        <v>90003</v>
      </c>
      <c r="Y1436" s="1" t="str">
        <f t="shared" si="136"/>
        <v>USA</v>
      </c>
      <c r="Z1436" s="4" t="str">
        <f t="shared" si="137"/>
        <v>Usa</v>
      </c>
      <c r="AA1436" t="s">
        <v>32</v>
      </c>
      <c r="AB1436" t="s">
        <v>33</v>
      </c>
      <c r="AC1436" t="s">
        <v>56</v>
      </c>
      <c r="AD1436" t="s">
        <v>57</v>
      </c>
      <c r="AE1436" t="s">
        <v>36</v>
      </c>
    </row>
    <row r="1437" spans="1:31" x14ac:dyDescent="0.3">
      <c r="A1437">
        <v>10380</v>
      </c>
      <c r="B1437">
        <v>34</v>
      </c>
      <c r="C1437">
        <v>100</v>
      </c>
      <c r="D1437">
        <v>3</v>
      </c>
      <c r="E1437" s="4" t="str">
        <f t="shared" si="132"/>
        <v>low sales</v>
      </c>
      <c r="F1437">
        <v>3441.82</v>
      </c>
      <c r="G1437" t="s">
        <v>2109</v>
      </c>
      <c r="H1437" s="1" t="str">
        <f t="shared" si="133"/>
        <v>Shipped</v>
      </c>
      <c r="I1437" s="4" t="str">
        <f t="shared" si="134"/>
        <v>completed</v>
      </c>
      <c r="J1437" t="s">
        <v>25</v>
      </c>
      <c r="K1437">
        <v>1</v>
      </c>
      <c r="L1437">
        <v>2</v>
      </c>
      <c r="M1437">
        <v>2005</v>
      </c>
      <c r="N1437" t="s">
        <v>181</v>
      </c>
      <c r="O1437">
        <v>73</v>
      </c>
      <c r="P1437" t="s">
        <v>620</v>
      </c>
      <c r="Q1437" t="s">
        <v>174</v>
      </c>
      <c r="R1437" t="s">
        <v>175</v>
      </c>
      <c r="S1437" t="s">
        <v>176</v>
      </c>
      <c r="U1437" s="1" t="str">
        <f t="shared" si="135"/>
        <v>Madrid</v>
      </c>
      <c r="V1437" t="s">
        <v>177</v>
      </c>
      <c r="X1437">
        <v>28034</v>
      </c>
      <c r="Y1437" s="1" t="str">
        <f t="shared" si="136"/>
        <v>SPAIN</v>
      </c>
      <c r="Z1437" s="4" t="str">
        <f t="shared" si="137"/>
        <v>Spain</v>
      </c>
      <c r="AA1437" t="s">
        <v>178</v>
      </c>
      <c r="AB1437" t="s">
        <v>42</v>
      </c>
      <c r="AC1437" t="s">
        <v>179</v>
      </c>
      <c r="AD1437" t="s">
        <v>180</v>
      </c>
      <c r="AE1437" t="s">
        <v>51</v>
      </c>
    </row>
    <row r="1438" spans="1:31" x14ac:dyDescent="0.3">
      <c r="A1438">
        <v>10407</v>
      </c>
      <c r="B1438">
        <v>26</v>
      </c>
      <c r="C1438">
        <v>76.430000000000007</v>
      </c>
      <c r="D1438">
        <v>8</v>
      </c>
      <c r="E1438" s="4" t="str">
        <f t="shared" si="132"/>
        <v>low sales</v>
      </c>
      <c r="F1438">
        <v>1987.18</v>
      </c>
      <c r="G1438" t="s">
        <v>2110</v>
      </c>
      <c r="H1438" s="1" t="str">
        <f t="shared" si="133"/>
        <v>On Hold</v>
      </c>
      <c r="I1438" s="4" t="str">
        <f t="shared" si="134"/>
        <v>not completed</v>
      </c>
      <c r="J1438" t="s">
        <v>401</v>
      </c>
      <c r="K1438">
        <v>2</v>
      </c>
      <c r="L1438">
        <v>4</v>
      </c>
      <c r="M1438">
        <v>2005</v>
      </c>
      <c r="N1438" t="s">
        <v>181</v>
      </c>
      <c r="O1438">
        <v>73</v>
      </c>
      <c r="P1438" t="s">
        <v>620</v>
      </c>
      <c r="Q1438" t="s">
        <v>397</v>
      </c>
      <c r="R1438">
        <v>4085553659</v>
      </c>
      <c r="S1438" t="s">
        <v>398</v>
      </c>
      <c r="U1438" s="1" t="str">
        <f t="shared" si="135"/>
        <v>San Jose</v>
      </c>
      <c r="V1438" t="s">
        <v>399</v>
      </c>
      <c r="W1438" t="s">
        <v>55</v>
      </c>
      <c r="X1438">
        <v>94217</v>
      </c>
      <c r="Y1438" s="1" t="str">
        <f t="shared" si="136"/>
        <v>USA</v>
      </c>
      <c r="Z1438" s="4" t="str">
        <f t="shared" si="137"/>
        <v>Usa</v>
      </c>
      <c r="AA1438" t="s">
        <v>32</v>
      </c>
      <c r="AB1438" t="s">
        <v>33</v>
      </c>
      <c r="AC1438" t="s">
        <v>102</v>
      </c>
      <c r="AD1438" t="s">
        <v>400</v>
      </c>
      <c r="AE1438" t="s">
        <v>36</v>
      </c>
    </row>
    <row r="1439" spans="1:31" x14ac:dyDescent="0.3">
      <c r="A1439">
        <v>10420</v>
      </c>
      <c r="B1439">
        <v>60</v>
      </c>
      <c r="C1439">
        <v>64.67</v>
      </c>
      <c r="D1439">
        <v>11</v>
      </c>
      <c r="E1439" s="4" t="str">
        <f t="shared" si="132"/>
        <v>low sales</v>
      </c>
      <c r="F1439">
        <v>3880.2</v>
      </c>
      <c r="G1439" t="s">
        <v>2111</v>
      </c>
      <c r="H1439" s="1" t="str">
        <f t="shared" si="133"/>
        <v>In Process</v>
      </c>
      <c r="I1439" s="4" t="str">
        <f t="shared" si="134"/>
        <v>not completed</v>
      </c>
      <c r="J1439" t="s">
        <v>300</v>
      </c>
      <c r="K1439">
        <v>2</v>
      </c>
      <c r="L1439">
        <v>5</v>
      </c>
      <c r="M1439">
        <v>2005</v>
      </c>
      <c r="N1439" t="s">
        <v>181</v>
      </c>
      <c r="O1439">
        <v>73</v>
      </c>
      <c r="P1439" t="s">
        <v>620</v>
      </c>
      <c r="Q1439" t="s">
        <v>152</v>
      </c>
      <c r="R1439" t="s">
        <v>153</v>
      </c>
      <c r="S1439" t="s">
        <v>154</v>
      </c>
      <c r="T1439" t="s">
        <v>155</v>
      </c>
      <c r="U1439" s="1" t="str">
        <f t="shared" si="135"/>
        <v>Chatswood</v>
      </c>
      <c r="V1439" t="s">
        <v>156</v>
      </c>
      <c r="W1439" t="s">
        <v>157</v>
      </c>
      <c r="X1439">
        <v>2067</v>
      </c>
      <c r="Y1439" s="1" t="str">
        <f t="shared" si="136"/>
        <v>AUSTRALIA</v>
      </c>
      <c r="Z1439" s="4" t="str">
        <f t="shared" si="137"/>
        <v>Australia</v>
      </c>
      <c r="AA1439" t="s">
        <v>95</v>
      </c>
      <c r="AB1439" t="s">
        <v>96</v>
      </c>
      <c r="AC1439" t="s">
        <v>158</v>
      </c>
      <c r="AD1439" t="s">
        <v>159</v>
      </c>
      <c r="AE1439" t="s">
        <v>51</v>
      </c>
    </row>
    <row r="1440" spans="1:31" x14ac:dyDescent="0.3">
      <c r="A1440">
        <v>10104</v>
      </c>
      <c r="B1440">
        <v>35</v>
      </c>
      <c r="C1440">
        <v>55.49</v>
      </c>
      <c r="D1440">
        <v>6</v>
      </c>
      <c r="E1440" s="4" t="str">
        <f t="shared" si="132"/>
        <v>low sales</v>
      </c>
      <c r="F1440">
        <v>1942.15</v>
      </c>
      <c r="G1440" t="s">
        <v>2112</v>
      </c>
      <c r="H1440" s="1" t="str">
        <f t="shared" si="133"/>
        <v>Shipped</v>
      </c>
      <c r="I1440" s="4" t="str">
        <f t="shared" si="134"/>
        <v>completed</v>
      </c>
      <c r="J1440" t="s">
        <v>25</v>
      </c>
      <c r="K1440">
        <v>1</v>
      </c>
      <c r="L1440">
        <v>1</v>
      </c>
      <c r="M1440">
        <v>2003</v>
      </c>
      <c r="N1440" t="s">
        <v>181</v>
      </c>
      <c r="O1440">
        <v>57</v>
      </c>
      <c r="P1440" t="s">
        <v>621</v>
      </c>
      <c r="Q1440" t="s">
        <v>174</v>
      </c>
      <c r="R1440" t="s">
        <v>175</v>
      </c>
      <c r="S1440" t="s">
        <v>176</v>
      </c>
      <c r="U1440" s="1" t="str">
        <f t="shared" si="135"/>
        <v>Madrid</v>
      </c>
      <c r="V1440" t="s">
        <v>177</v>
      </c>
      <c r="X1440">
        <v>28034</v>
      </c>
      <c r="Y1440" s="1" t="str">
        <f t="shared" si="136"/>
        <v>SPAIN</v>
      </c>
      <c r="Z1440" s="4" t="str">
        <f t="shared" si="137"/>
        <v>Spain</v>
      </c>
      <c r="AA1440" t="s">
        <v>178</v>
      </c>
      <c r="AB1440" t="s">
        <v>42</v>
      </c>
      <c r="AC1440" t="s">
        <v>179</v>
      </c>
      <c r="AD1440" t="s">
        <v>180</v>
      </c>
      <c r="AE1440" t="s">
        <v>36</v>
      </c>
    </row>
    <row r="1441" spans="1:31" x14ac:dyDescent="0.3">
      <c r="A1441">
        <v>10115</v>
      </c>
      <c r="B1441">
        <v>47</v>
      </c>
      <c r="C1441">
        <v>69.36</v>
      </c>
      <c r="D1441">
        <v>2</v>
      </c>
      <c r="E1441" s="4" t="str">
        <f t="shared" si="132"/>
        <v>low sales</v>
      </c>
      <c r="F1441">
        <v>3259.92</v>
      </c>
      <c r="G1441" t="s">
        <v>2113</v>
      </c>
      <c r="H1441" s="1" t="str">
        <f t="shared" si="133"/>
        <v>Shipped</v>
      </c>
      <c r="I1441" s="4" t="str">
        <f t="shared" si="134"/>
        <v>completed</v>
      </c>
      <c r="J1441" t="s">
        <v>25</v>
      </c>
      <c r="K1441">
        <v>2</v>
      </c>
      <c r="L1441">
        <v>4</v>
      </c>
      <c r="M1441">
        <v>2003</v>
      </c>
      <c r="N1441" t="s">
        <v>181</v>
      </c>
      <c r="O1441">
        <v>57</v>
      </c>
      <c r="P1441" t="s">
        <v>621</v>
      </c>
      <c r="Q1441" t="s">
        <v>203</v>
      </c>
      <c r="R1441">
        <v>2125558493</v>
      </c>
      <c r="S1441" t="s">
        <v>204</v>
      </c>
      <c r="T1441" t="s">
        <v>205</v>
      </c>
      <c r="U1441" s="1" t="str">
        <f t="shared" si="135"/>
        <v>Nyc</v>
      </c>
      <c r="V1441" t="s">
        <v>30</v>
      </c>
      <c r="W1441" t="s">
        <v>31</v>
      </c>
      <c r="X1441">
        <v>10022</v>
      </c>
      <c r="Y1441" s="1" t="str">
        <f t="shared" si="136"/>
        <v>USA</v>
      </c>
      <c r="Z1441" s="4" t="str">
        <f t="shared" si="137"/>
        <v>Usa</v>
      </c>
      <c r="AA1441" t="s">
        <v>32</v>
      </c>
      <c r="AB1441" t="s">
        <v>33</v>
      </c>
      <c r="AC1441" t="s">
        <v>124</v>
      </c>
      <c r="AD1441" t="s">
        <v>206</v>
      </c>
      <c r="AE1441" t="s">
        <v>51</v>
      </c>
    </row>
    <row r="1442" spans="1:31" x14ac:dyDescent="0.3">
      <c r="A1442">
        <v>10127</v>
      </c>
      <c r="B1442">
        <v>20</v>
      </c>
      <c r="C1442">
        <v>60.69</v>
      </c>
      <c r="D1442">
        <v>8</v>
      </c>
      <c r="E1442" s="4" t="str">
        <f t="shared" si="132"/>
        <v>low sales</v>
      </c>
      <c r="F1442">
        <v>1213.8</v>
      </c>
      <c r="G1442" t="s">
        <v>2114</v>
      </c>
      <c r="H1442" s="1" t="str">
        <f t="shared" si="133"/>
        <v>Shipped</v>
      </c>
      <c r="I1442" s="4" t="str">
        <f t="shared" si="134"/>
        <v>completed</v>
      </c>
      <c r="J1442" t="s">
        <v>25</v>
      </c>
      <c r="K1442">
        <v>2</v>
      </c>
      <c r="L1442">
        <v>6</v>
      </c>
      <c r="M1442">
        <v>2003</v>
      </c>
      <c r="N1442" t="s">
        <v>181</v>
      </c>
      <c r="O1442">
        <v>57</v>
      </c>
      <c r="P1442" t="s">
        <v>621</v>
      </c>
      <c r="Q1442" t="s">
        <v>475</v>
      </c>
      <c r="R1442">
        <v>2125557413</v>
      </c>
      <c r="S1442" t="s">
        <v>476</v>
      </c>
      <c r="T1442" t="s">
        <v>477</v>
      </c>
      <c r="U1442" s="1" t="str">
        <f t="shared" si="135"/>
        <v>Nyc</v>
      </c>
      <c r="V1442" t="s">
        <v>30</v>
      </c>
      <c r="W1442" t="s">
        <v>31</v>
      </c>
      <c r="X1442">
        <v>10022</v>
      </c>
      <c r="Y1442" s="1" t="str">
        <f t="shared" si="136"/>
        <v>USA</v>
      </c>
      <c r="Z1442" s="4" t="str">
        <f t="shared" si="137"/>
        <v>Usa</v>
      </c>
      <c r="AA1442" t="s">
        <v>32</v>
      </c>
      <c r="AB1442" t="s">
        <v>33</v>
      </c>
      <c r="AC1442" t="s">
        <v>56</v>
      </c>
      <c r="AD1442" t="s">
        <v>478</v>
      </c>
      <c r="AE1442" t="s">
        <v>36</v>
      </c>
    </row>
    <row r="1443" spans="1:31" x14ac:dyDescent="0.3">
      <c r="A1443">
        <v>10141</v>
      </c>
      <c r="B1443">
        <v>20</v>
      </c>
      <c r="C1443">
        <v>54.33</v>
      </c>
      <c r="D1443">
        <v>2</v>
      </c>
      <c r="E1443" s="4" t="str">
        <f t="shared" si="132"/>
        <v>low sales</v>
      </c>
      <c r="F1443">
        <v>1086.5999999999999</v>
      </c>
      <c r="G1443" t="s">
        <v>2115</v>
      </c>
      <c r="H1443" s="1" t="str">
        <f t="shared" si="133"/>
        <v>Shipped</v>
      </c>
      <c r="I1443" s="4" t="str">
        <f t="shared" si="134"/>
        <v>completed</v>
      </c>
      <c r="J1443" t="s">
        <v>25</v>
      </c>
      <c r="K1443">
        <v>3</v>
      </c>
      <c r="L1443">
        <v>8</v>
      </c>
      <c r="M1443">
        <v>2003</v>
      </c>
      <c r="N1443" t="s">
        <v>181</v>
      </c>
      <c r="O1443">
        <v>57</v>
      </c>
      <c r="P1443" t="s">
        <v>621</v>
      </c>
      <c r="Q1443" t="s">
        <v>467</v>
      </c>
      <c r="R1443" t="s">
        <v>468</v>
      </c>
      <c r="S1443" t="s">
        <v>469</v>
      </c>
      <c r="U1443" s="1" t="str">
        <f t="shared" si="135"/>
        <v>Espoo</v>
      </c>
      <c r="V1443" t="s">
        <v>470</v>
      </c>
      <c r="X1443" t="s">
        <v>471</v>
      </c>
      <c r="Y1443" s="1" t="str">
        <f t="shared" si="136"/>
        <v>FINLAND</v>
      </c>
      <c r="Z1443" s="4" t="str">
        <f t="shared" si="137"/>
        <v>Finland</v>
      </c>
      <c r="AA1443" t="s">
        <v>130</v>
      </c>
      <c r="AB1443" t="s">
        <v>42</v>
      </c>
      <c r="AC1443" t="s">
        <v>472</v>
      </c>
      <c r="AD1443" t="s">
        <v>473</v>
      </c>
      <c r="AE1443" t="s">
        <v>36</v>
      </c>
    </row>
    <row r="1444" spans="1:31" x14ac:dyDescent="0.3">
      <c r="A1444">
        <v>10152</v>
      </c>
      <c r="B1444">
        <v>25</v>
      </c>
      <c r="C1444">
        <v>65.31</v>
      </c>
      <c r="D1444">
        <v>4</v>
      </c>
      <c r="E1444" s="4" t="str">
        <f t="shared" si="132"/>
        <v>low sales</v>
      </c>
      <c r="F1444">
        <v>1632.75</v>
      </c>
      <c r="G1444" t="s">
        <v>2116</v>
      </c>
      <c r="H1444" s="1" t="str">
        <f t="shared" si="133"/>
        <v>Shipped</v>
      </c>
      <c r="I1444" s="4" t="str">
        <f t="shared" si="134"/>
        <v>completed</v>
      </c>
      <c r="J1444" t="s">
        <v>25</v>
      </c>
      <c r="K1444">
        <v>3</v>
      </c>
      <c r="L1444">
        <v>9</v>
      </c>
      <c r="M1444">
        <v>2003</v>
      </c>
      <c r="N1444" t="s">
        <v>181</v>
      </c>
      <c r="O1444">
        <v>57</v>
      </c>
      <c r="P1444" t="s">
        <v>621</v>
      </c>
      <c r="Q1444" t="s">
        <v>207</v>
      </c>
      <c r="R1444" t="s">
        <v>208</v>
      </c>
      <c r="S1444" t="s">
        <v>209</v>
      </c>
      <c r="U1444" s="1" t="str">
        <f t="shared" si="135"/>
        <v>South Brisbane</v>
      </c>
      <c r="V1444" t="s">
        <v>210</v>
      </c>
      <c r="W1444" t="s">
        <v>211</v>
      </c>
      <c r="X1444">
        <v>4101</v>
      </c>
      <c r="Y1444" s="1" t="str">
        <f t="shared" si="136"/>
        <v>AUSTRALIA</v>
      </c>
      <c r="Z1444" s="4" t="str">
        <f t="shared" si="137"/>
        <v>Australia</v>
      </c>
      <c r="AA1444" t="s">
        <v>95</v>
      </c>
      <c r="AB1444" t="s">
        <v>96</v>
      </c>
      <c r="AC1444" t="s">
        <v>212</v>
      </c>
      <c r="AD1444" t="s">
        <v>213</v>
      </c>
      <c r="AE1444" t="s">
        <v>36</v>
      </c>
    </row>
    <row r="1445" spans="1:31" x14ac:dyDescent="0.3">
      <c r="A1445">
        <v>10165</v>
      </c>
      <c r="B1445">
        <v>25</v>
      </c>
      <c r="C1445">
        <v>69.36</v>
      </c>
      <c r="D1445">
        <v>9</v>
      </c>
      <c r="E1445" s="4" t="str">
        <f t="shared" si="132"/>
        <v>low sales</v>
      </c>
      <c r="F1445">
        <v>1734</v>
      </c>
      <c r="G1445" t="s">
        <v>2117</v>
      </c>
      <c r="H1445" s="1" t="str">
        <f t="shared" si="133"/>
        <v>Shipped</v>
      </c>
      <c r="I1445" s="4" t="str">
        <f t="shared" si="134"/>
        <v>completed</v>
      </c>
      <c r="J1445" t="s">
        <v>25</v>
      </c>
      <c r="K1445">
        <v>4</v>
      </c>
      <c r="L1445">
        <v>10</v>
      </c>
      <c r="M1445">
        <v>2003</v>
      </c>
      <c r="N1445" t="s">
        <v>181</v>
      </c>
      <c r="O1445">
        <v>57</v>
      </c>
      <c r="P1445" t="s">
        <v>621</v>
      </c>
      <c r="Q1445" t="s">
        <v>196</v>
      </c>
      <c r="R1445" t="s">
        <v>197</v>
      </c>
      <c r="S1445" t="s">
        <v>198</v>
      </c>
      <c r="U1445" s="1" t="str">
        <f t="shared" si="135"/>
        <v>Singapore</v>
      </c>
      <c r="V1445" t="s">
        <v>199</v>
      </c>
      <c r="X1445">
        <v>79903</v>
      </c>
      <c r="Y1445" s="1" t="str">
        <f t="shared" si="136"/>
        <v>SINGAPORE</v>
      </c>
      <c r="Z1445" s="4" t="str">
        <f t="shared" si="137"/>
        <v>Singapore</v>
      </c>
      <c r="AA1445" t="s">
        <v>199</v>
      </c>
      <c r="AB1445" t="s">
        <v>200</v>
      </c>
      <c r="AC1445" t="s">
        <v>201</v>
      </c>
      <c r="AD1445" t="s">
        <v>202</v>
      </c>
      <c r="AE1445" t="s">
        <v>36</v>
      </c>
    </row>
    <row r="1446" spans="1:31" x14ac:dyDescent="0.3">
      <c r="A1446">
        <v>10176</v>
      </c>
      <c r="B1446">
        <v>27</v>
      </c>
      <c r="C1446">
        <v>68.78</v>
      </c>
      <c r="D1446">
        <v>8</v>
      </c>
      <c r="E1446" s="4" t="str">
        <f t="shared" si="132"/>
        <v>low sales</v>
      </c>
      <c r="F1446">
        <v>1857.06</v>
      </c>
      <c r="G1446" t="s">
        <v>2118</v>
      </c>
      <c r="H1446" s="1" t="str">
        <f t="shared" si="133"/>
        <v>Shipped</v>
      </c>
      <c r="I1446" s="4" t="str">
        <f t="shared" si="134"/>
        <v>completed</v>
      </c>
      <c r="J1446" t="s">
        <v>25</v>
      </c>
      <c r="K1446">
        <v>4</v>
      </c>
      <c r="L1446">
        <v>11</v>
      </c>
      <c r="M1446">
        <v>2003</v>
      </c>
      <c r="N1446" t="s">
        <v>181</v>
      </c>
      <c r="O1446">
        <v>57</v>
      </c>
      <c r="P1446" t="s">
        <v>621</v>
      </c>
      <c r="Q1446" t="s">
        <v>452</v>
      </c>
      <c r="R1446" t="s">
        <v>453</v>
      </c>
      <c r="S1446" t="s">
        <v>454</v>
      </c>
      <c r="U1446" s="1" t="str">
        <f t="shared" si="135"/>
        <v>Reggio Emilia</v>
      </c>
      <c r="V1446" t="s">
        <v>455</v>
      </c>
      <c r="X1446">
        <v>42100</v>
      </c>
      <c r="Y1446" s="1" t="str">
        <f t="shared" si="136"/>
        <v>ITALY</v>
      </c>
      <c r="Z1446" s="4" t="str">
        <f t="shared" si="137"/>
        <v>Italy</v>
      </c>
      <c r="AA1446" t="s">
        <v>258</v>
      </c>
      <c r="AB1446" t="s">
        <v>42</v>
      </c>
      <c r="AC1446" t="s">
        <v>456</v>
      </c>
      <c r="AD1446" t="s">
        <v>457</v>
      </c>
      <c r="AE1446" t="s">
        <v>36</v>
      </c>
    </row>
    <row r="1447" spans="1:31" x14ac:dyDescent="0.3">
      <c r="A1447">
        <v>10184</v>
      </c>
      <c r="B1447">
        <v>31</v>
      </c>
      <c r="C1447">
        <v>60.11</v>
      </c>
      <c r="D1447">
        <v>3</v>
      </c>
      <c r="E1447" s="4" t="str">
        <f t="shared" si="132"/>
        <v>low sales</v>
      </c>
      <c r="F1447">
        <v>1863.41</v>
      </c>
      <c r="G1447" t="s">
        <v>2119</v>
      </c>
      <c r="H1447" s="1" t="str">
        <f t="shared" si="133"/>
        <v>Shipped</v>
      </c>
      <c r="I1447" s="4" t="str">
        <f t="shared" si="134"/>
        <v>completed</v>
      </c>
      <c r="J1447" t="s">
        <v>25</v>
      </c>
      <c r="K1447">
        <v>4</v>
      </c>
      <c r="L1447">
        <v>11</v>
      </c>
      <c r="M1447">
        <v>2003</v>
      </c>
      <c r="N1447" t="s">
        <v>181</v>
      </c>
      <c r="O1447">
        <v>57</v>
      </c>
      <c r="P1447" t="s">
        <v>621</v>
      </c>
      <c r="Q1447" t="s">
        <v>520</v>
      </c>
      <c r="R1447" t="s">
        <v>521</v>
      </c>
      <c r="S1447" t="s">
        <v>522</v>
      </c>
      <c r="U1447" s="1" t="str">
        <f t="shared" si="135"/>
        <v>Sevilla</v>
      </c>
      <c r="V1447" t="s">
        <v>523</v>
      </c>
      <c r="X1447">
        <v>41101</v>
      </c>
      <c r="Y1447" s="1" t="str">
        <f t="shared" si="136"/>
        <v>SPAIN</v>
      </c>
      <c r="Z1447" s="4" t="str">
        <f t="shared" si="137"/>
        <v>Spain</v>
      </c>
      <c r="AA1447" t="s">
        <v>178</v>
      </c>
      <c r="AB1447" t="s">
        <v>42</v>
      </c>
      <c r="AC1447" t="s">
        <v>524</v>
      </c>
      <c r="AD1447" t="s">
        <v>525</v>
      </c>
      <c r="AE1447" t="s">
        <v>36</v>
      </c>
    </row>
    <row r="1448" spans="1:31" x14ac:dyDescent="0.3">
      <c r="A1448">
        <v>10195</v>
      </c>
      <c r="B1448">
        <v>44</v>
      </c>
      <c r="C1448">
        <v>66.47</v>
      </c>
      <c r="D1448">
        <v>3</v>
      </c>
      <c r="E1448" s="4" t="str">
        <f t="shared" si="132"/>
        <v>low sales</v>
      </c>
      <c r="F1448">
        <v>2924.68</v>
      </c>
      <c r="G1448" t="s">
        <v>2120</v>
      </c>
      <c r="H1448" s="1" t="str">
        <f t="shared" si="133"/>
        <v>Shipped</v>
      </c>
      <c r="I1448" s="4" t="str">
        <f t="shared" si="134"/>
        <v>completed</v>
      </c>
      <c r="J1448" t="s">
        <v>25</v>
      </c>
      <c r="K1448">
        <v>4</v>
      </c>
      <c r="L1448">
        <v>11</v>
      </c>
      <c r="M1448">
        <v>2003</v>
      </c>
      <c r="N1448" t="s">
        <v>181</v>
      </c>
      <c r="O1448">
        <v>57</v>
      </c>
      <c r="P1448" t="s">
        <v>621</v>
      </c>
      <c r="Q1448" t="s">
        <v>317</v>
      </c>
      <c r="R1448">
        <v>9145554562</v>
      </c>
      <c r="S1448" t="s">
        <v>318</v>
      </c>
      <c r="U1448" s="1" t="str">
        <f t="shared" si="135"/>
        <v>White Plains</v>
      </c>
      <c r="V1448" t="s">
        <v>319</v>
      </c>
      <c r="W1448" t="s">
        <v>31</v>
      </c>
      <c r="X1448">
        <v>24067</v>
      </c>
      <c r="Y1448" s="1" t="str">
        <f t="shared" si="136"/>
        <v>USA</v>
      </c>
      <c r="Z1448" s="4" t="str">
        <f t="shared" si="137"/>
        <v>Usa</v>
      </c>
      <c r="AA1448" t="s">
        <v>32</v>
      </c>
      <c r="AB1448" t="s">
        <v>33</v>
      </c>
      <c r="AC1448" t="s">
        <v>102</v>
      </c>
      <c r="AD1448" t="s">
        <v>238</v>
      </c>
      <c r="AE1448" t="s">
        <v>36</v>
      </c>
    </row>
    <row r="1449" spans="1:31" x14ac:dyDescent="0.3">
      <c r="A1449">
        <v>10207</v>
      </c>
      <c r="B1449">
        <v>49</v>
      </c>
      <c r="C1449">
        <v>46.82</v>
      </c>
      <c r="D1449">
        <v>4</v>
      </c>
      <c r="E1449" s="4" t="str">
        <f t="shared" si="132"/>
        <v>low sales</v>
      </c>
      <c r="F1449">
        <v>2294.1799999999998</v>
      </c>
      <c r="G1449" t="s">
        <v>2121</v>
      </c>
      <c r="H1449" s="1" t="str">
        <f t="shared" si="133"/>
        <v>Shipped</v>
      </c>
      <c r="I1449" s="4" t="str">
        <f t="shared" si="134"/>
        <v>completed</v>
      </c>
      <c r="J1449" t="s">
        <v>25</v>
      </c>
      <c r="K1449">
        <v>4</v>
      </c>
      <c r="L1449">
        <v>12</v>
      </c>
      <c r="M1449">
        <v>2003</v>
      </c>
      <c r="N1449" t="s">
        <v>181</v>
      </c>
      <c r="O1449">
        <v>57</v>
      </c>
      <c r="P1449" t="s">
        <v>621</v>
      </c>
      <c r="Q1449" t="s">
        <v>415</v>
      </c>
      <c r="R1449">
        <v>6175552555</v>
      </c>
      <c r="S1449" t="s">
        <v>416</v>
      </c>
      <c r="U1449" s="1" t="str">
        <f t="shared" si="135"/>
        <v>Boston</v>
      </c>
      <c r="V1449" t="s">
        <v>381</v>
      </c>
      <c r="W1449" t="s">
        <v>123</v>
      </c>
      <c r="X1449">
        <v>51003</v>
      </c>
      <c r="Y1449" s="1" t="str">
        <f t="shared" si="136"/>
        <v>USA</v>
      </c>
      <c r="Z1449" s="4" t="str">
        <f t="shared" si="137"/>
        <v>Usa</v>
      </c>
      <c r="AA1449" t="s">
        <v>32</v>
      </c>
      <c r="AB1449" t="s">
        <v>33</v>
      </c>
      <c r="AC1449" t="s">
        <v>417</v>
      </c>
      <c r="AD1449" t="s">
        <v>276</v>
      </c>
      <c r="AE1449" t="s">
        <v>36</v>
      </c>
    </row>
    <row r="1450" spans="1:31" x14ac:dyDescent="0.3">
      <c r="A1450">
        <v>10220</v>
      </c>
      <c r="B1450">
        <v>26</v>
      </c>
      <c r="C1450">
        <v>56.07</v>
      </c>
      <c r="D1450">
        <v>8</v>
      </c>
      <c r="E1450" s="4" t="str">
        <f t="shared" si="132"/>
        <v>low sales</v>
      </c>
      <c r="F1450">
        <v>1457.82</v>
      </c>
      <c r="G1450" t="s">
        <v>2122</v>
      </c>
      <c r="H1450" s="1" t="str">
        <f t="shared" si="133"/>
        <v>Shipped</v>
      </c>
      <c r="I1450" s="4" t="str">
        <f t="shared" si="134"/>
        <v>completed</v>
      </c>
      <c r="J1450" t="s">
        <v>25</v>
      </c>
      <c r="K1450">
        <v>1</v>
      </c>
      <c r="L1450">
        <v>2</v>
      </c>
      <c r="M1450">
        <v>2004</v>
      </c>
      <c r="N1450" t="s">
        <v>181</v>
      </c>
      <c r="O1450">
        <v>57</v>
      </c>
      <c r="P1450" t="s">
        <v>621</v>
      </c>
      <c r="Q1450" t="s">
        <v>479</v>
      </c>
      <c r="R1450" t="s">
        <v>480</v>
      </c>
      <c r="S1450" t="s">
        <v>481</v>
      </c>
      <c r="T1450" t="s">
        <v>482</v>
      </c>
      <c r="U1450" s="1" t="str">
        <f t="shared" si="135"/>
        <v>Dublin</v>
      </c>
      <c r="V1450" t="s">
        <v>483</v>
      </c>
      <c r="X1450">
        <v>2</v>
      </c>
      <c r="Y1450" s="1" t="str">
        <f t="shared" si="136"/>
        <v>IRELAND</v>
      </c>
      <c r="Z1450" s="4" t="str">
        <f t="shared" si="137"/>
        <v>Ireland</v>
      </c>
      <c r="AA1450" t="s">
        <v>484</v>
      </c>
      <c r="AB1450" t="s">
        <v>42</v>
      </c>
      <c r="AC1450" t="s">
        <v>485</v>
      </c>
      <c r="AD1450" t="s">
        <v>486</v>
      </c>
      <c r="AE1450" t="s">
        <v>36</v>
      </c>
    </row>
    <row r="1451" spans="1:31" x14ac:dyDescent="0.3">
      <c r="A1451">
        <v>10230</v>
      </c>
      <c r="B1451">
        <v>36</v>
      </c>
      <c r="C1451">
        <v>54.33</v>
      </c>
      <c r="D1451">
        <v>6</v>
      </c>
      <c r="E1451" s="4" t="str">
        <f t="shared" si="132"/>
        <v>low sales</v>
      </c>
      <c r="F1451">
        <v>1955.88</v>
      </c>
      <c r="G1451" t="s">
        <v>2123</v>
      </c>
      <c r="H1451" s="1" t="str">
        <f t="shared" si="133"/>
        <v>Shipped</v>
      </c>
      <c r="I1451" s="4" t="str">
        <f t="shared" si="134"/>
        <v>completed</v>
      </c>
      <c r="J1451" t="s">
        <v>25</v>
      </c>
      <c r="K1451">
        <v>1</v>
      </c>
      <c r="L1451">
        <v>3</v>
      </c>
      <c r="M1451">
        <v>2004</v>
      </c>
      <c r="N1451" t="s">
        <v>181</v>
      </c>
      <c r="O1451">
        <v>57</v>
      </c>
      <c r="P1451" t="s">
        <v>621</v>
      </c>
      <c r="Q1451" t="s">
        <v>462</v>
      </c>
      <c r="R1451" t="s">
        <v>463</v>
      </c>
      <c r="S1451" t="s">
        <v>464</v>
      </c>
      <c r="U1451" s="1" t="str">
        <f t="shared" si="135"/>
        <v>Frankfurt</v>
      </c>
      <c r="V1451" t="s">
        <v>465</v>
      </c>
      <c r="X1451">
        <v>60528</v>
      </c>
      <c r="Y1451" s="1" t="str">
        <f t="shared" si="136"/>
        <v>GERMANY</v>
      </c>
      <c r="Z1451" s="4" t="str">
        <f t="shared" si="137"/>
        <v>Germany</v>
      </c>
      <c r="AA1451" t="s">
        <v>443</v>
      </c>
      <c r="AB1451" t="s">
        <v>42</v>
      </c>
      <c r="AC1451" t="s">
        <v>466</v>
      </c>
      <c r="AD1451" t="s">
        <v>414</v>
      </c>
      <c r="AE1451" t="s">
        <v>36</v>
      </c>
    </row>
    <row r="1452" spans="1:31" x14ac:dyDescent="0.3">
      <c r="A1452">
        <v>10246</v>
      </c>
      <c r="B1452">
        <v>44</v>
      </c>
      <c r="C1452">
        <v>52.6</v>
      </c>
      <c r="D1452">
        <v>2</v>
      </c>
      <c r="E1452" s="4" t="str">
        <f t="shared" si="132"/>
        <v>low sales</v>
      </c>
      <c r="F1452">
        <v>2314.4</v>
      </c>
      <c r="G1452" t="s">
        <v>2124</v>
      </c>
      <c r="H1452" s="1" t="str">
        <f t="shared" si="133"/>
        <v>Shipped</v>
      </c>
      <c r="I1452" s="4" t="str">
        <f t="shared" si="134"/>
        <v>completed</v>
      </c>
      <c r="J1452" t="s">
        <v>25</v>
      </c>
      <c r="K1452">
        <v>2</v>
      </c>
      <c r="L1452">
        <v>5</v>
      </c>
      <c r="M1452">
        <v>2004</v>
      </c>
      <c r="N1452" t="s">
        <v>181</v>
      </c>
      <c r="O1452">
        <v>57</v>
      </c>
      <c r="P1452" t="s">
        <v>621</v>
      </c>
      <c r="Q1452" t="s">
        <v>174</v>
      </c>
      <c r="R1452" t="s">
        <v>175</v>
      </c>
      <c r="S1452" t="s">
        <v>176</v>
      </c>
      <c r="U1452" s="1" t="str">
        <f t="shared" si="135"/>
        <v>Madrid</v>
      </c>
      <c r="V1452" t="s">
        <v>177</v>
      </c>
      <c r="X1452">
        <v>28034</v>
      </c>
      <c r="Y1452" s="1" t="str">
        <f t="shared" si="136"/>
        <v>SPAIN</v>
      </c>
      <c r="Z1452" s="4" t="str">
        <f t="shared" si="137"/>
        <v>Spain</v>
      </c>
      <c r="AA1452" t="s">
        <v>178</v>
      </c>
      <c r="AB1452" t="s">
        <v>42</v>
      </c>
      <c r="AC1452" t="s">
        <v>179</v>
      </c>
      <c r="AD1452" t="s">
        <v>180</v>
      </c>
      <c r="AE1452" t="s">
        <v>36</v>
      </c>
    </row>
    <row r="1453" spans="1:31" x14ac:dyDescent="0.3">
      <c r="A1453">
        <v>10259</v>
      </c>
      <c r="B1453">
        <v>28</v>
      </c>
      <c r="C1453">
        <v>46.82</v>
      </c>
      <c r="D1453">
        <v>1</v>
      </c>
      <c r="E1453" s="4" t="str">
        <f t="shared" si="132"/>
        <v>low sales</v>
      </c>
      <c r="F1453">
        <v>1310.96</v>
      </c>
      <c r="G1453" t="s">
        <v>2125</v>
      </c>
      <c r="H1453" s="1" t="str">
        <f t="shared" si="133"/>
        <v>Shipped</v>
      </c>
      <c r="I1453" s="4" t="str">
        <f t="shared" si="134"/>
        <v>completed</v>
      </c>
      <c r="J1453" t="s">
        <v>25</v>
      </c>
      <c r="K1453">
        <v>2</v>
      </c>
      <c r="L1453">
        <v>6</v>
      </c>
      <c r="M1453">
        <v>2004</v>
      </c>
      <c r="N1453" t="s">
        <v>181</v>
      </c>
      <c r="O1453">
        <v>57</v>
      </c>
      <c r="P1453" t="s">
        <v>621</v>
      </c>
      <c r="Q1453" t="s">
        <v>418</v>
      </c>
      <c r="R1453" t="s">
        <v>419</v>
      </c>
      <c r="S1453" t="s">
        <v>420</v>
      </c>
      <c r="T1453" t="s">
        <v>421</v>
      </c>
      <c r="U1453" s="1" t="str">
        <f t="shared" si="135"/>
        <v>Singapore</v>
      </c>
      <c r="V1453" t="s">
        <v>199</v>
      </c>
      <c r="X1453">
        <v>69045</v>
      </c>
      <c r="Y1453" s="1" t="str">
        <f t="shared" si="136"/>
        <v>SINGAPORE</v>
      </c>
      <c r="Z1453" s="4" t="str">
        <f t="shared" si="137"/>
        <v>Singapore</v>
      </c>
      <c r="AA1453" t="s">
        <v>199</v>
      </c>
      <c r="AB1453" t="s">
        <v>96</v>
      </c>
      <c r="AC1453" t="s">
        <v>422</v>
      </c>
      <c r="AD1453" t="s">
        <v>423</v>
      </c>
      <c r="AE1453" t="s">
        <v>36</v>
      </c>
    </row>
    <row r="1454" spans="1:31" x14ac:dyDescent="0.3">
      <c r="A1454">
        <v>10271</v>
      </c>
      <c r="B1454">
        <v>45</v>
      </c>
      <c r="C1454">
        <v>64.739999999999995</v>
      </c>
      <c r="D1454">
        <v>2</v>
      </c>
      <c r="E1454" s="4" t="str">
        <f t="shared" si="132"/>
        <v>low sales</v>
      </c>
      <c r="F1454">
        <v>2913.3</v>
      </c>
      <c r="G1454" t="s">
        <v>2126</v>
      </c>
      <c r="H1454" s="1" t="str">
        <f t="shared" si="133"/>
        <v>Shipped</v>
      </c>
      <c r="I1454" s="4" t="str">
        <f t="shared" si="134"/>
        <v>completed</v>
      </c>
      <c r="J1454" t="s">
        <v>25</v>
      </c>
      <c r="K1454">
        <v>3</v>
      </c>
      <c r="L1454">
        <v>7</v>
      </c>
      <c r="M1454">
        <v>2004</v>
      </c>
      <c r="N1454" t="s">
        <v>181</v>
      </c>
      <c r="O1454">
        <v>57</v>
      </c>
      <c r="P1454" t="s">
        <v>621</v>
      </c>
      <c r="Q1454" t="s">
        <v>272</v>
      </c>
      <c r="R1454">
        <v>4155551450</v>
      </c>
      <c r="S1454" t="s">
        <v>273</v>
      </c>
      <c r="U1454" s="1" t="str">
        <f t="shared" si="135"/>
        <v>San Rafael</v>
      </c>
      <c r="V1454" t="s">
        <v>274</v>
      </c>
      <c r="W1454" t="s">
        <v>55</v>
      </c>
      <c r="X1454">
        <v>97562</v>
      </c>
      <c r="Y1454" s="1" t="str">
        <f t="shared" si="136"/>
        <v>USA</v>
      </c>
      <c r="Z1454" s="4" t="str">
        <f t="shared" si="137"/>
        <v>Usa</v>
      </c>
      <c r="AA1454" t="s">
        <v>32</v>
      </c>
      <c r="AB1454" t="s">
        <v>33</v>
      </c>
      <c r="AC1454" t="s">
        <v>275</v>
      </c>
      <c r="AD1454" t="s">
        <v>276</v>
      </c>
      <c r="AE1454" t="s">
        <v>36</v>
      </c>
    </row>
    <row r="1455" spans="1:31" x14ac:dyDescent="0.3">
      <c r="A1455">
        <v>10282</v>
      </c>
      <c r="B1455">
        <v>29</v>
      </c>
      <c r="C1455">
        <v>46.82</v>
      </c>
      <c r="D1455">
        <v>11</v>
      </c>
      <c r="E1455" s="4" t="str">
        <f t="shared" si="132"/>
        <v>low sales</v>
      </c>
      <c r="F1455">
        <v>1357.78</v>
      </c>
      <c r="G1455" t="s">
        <v>2127</v>
      </c>
      <c r="H1455" s="1" t="str">
        <f t="shared" si="133"/>
        <v>Shipped</v>
      </c>
      <c r="I1455" s="4" t="str">
        <f t="shared" si="134"/>
        <v>completed</v>
      </c>
      <c r="J1455" t="s">
        <v>25</v>
      </c>
      <c r="K1455">
        <v>3</v>
      </c>
      <c r="L1455">
        <v>8</v>
      </c>
      <c r="M1455">
        <v>2004</v>
      </c>
      <c r="N1455" t="s">
        <v>181</v>
      </c>
      <c r="O1455">
        <v>57</v>
      </c>
      <c r="P1455" t="s">
        <v>621</v>
      </c>
      <c r="Q1455" t="s">
        <v>272</v>
      </c>
      <c r="R1455">
        <v>4155551450</v>
      </c>
      <c r="S1455" t="s">
        <v>273</v>
      </c>
      <c r="U1455" s="1" t="str">
        <f t="shared" si="135"/>
        <v>San Rafael</v>
      </c>
      <c r="V1455" t="s">
        <v>274</v>
      </c>
      <c r="W1455" t="s">
        <v>55</v>
      </c>
      <c r="X1455">
        <v>97562</v>
      </c>
      <c r="Y1455" s="1" t="str">
        <f t="shared" si="136"/>
        <v>USA</v>
      </c>
      <c r="Z1455" s="4" t="str">
        <f t="shared" si="137"/>
        <v>Usa</v>
      </c>
      <c r="AA1455" t="s">
        <v>32</v>
      </c>
      <c r="AB1455" t="s">
        <v>33</v>
      </c>
      <c r="AC1455" t="s">
        <v>275</v>
      </c>
      <c r="AD1455" t="s">
        <v>276</v>
      </c>
      <c r="AE1455" t="s">
        <v>36</v>
      </c>
    </row>
    <row r="1456" spans="1:31" x14ac:dyDescent="0.3">
      <c r="A1456">
        <v>10292</v>
      </c>
      <c r="B1456">
        <v>40</v>
      </c>
      <c r="C1456">
        <v>53.75</v>
      </c>
      <c r="D1456">
        <v>5</v>
      </c>
      <c r="E1456" s="4" t="str">
        <f t="shared" si="132"/>
        <v>low sales</v>
      </c>
      <c r="F1456">
        <v>2150</v>
      </c>
      <c r="G1456" t="s">
        <v>2128</v>
      </c>
      <c r="H1456" s="1" t="str">
        <f t="shared" si="133"/>
        <v>Shipped</v>
      </c>
      <c r="I1456" s="4" t="str">
        <f t="shared" si="134"/>
        <v>completed</v>
      </c>
      <c r="J1456" t="s">
        <v>25</v>
      </c>
      <c r="K1456">
        <v>3</v>
      </c>
      <c r="L1456">
        <v>9</v>
      </c>
      <c r="M1456">
        <v>2004</v>
      </c>
      <c r="N1456" t="s">
        <v>181</v>
      </c>
      <c r="O1456">
        <v>57</v>
      </c>
      <c r="P1456" t="s">
        <v>621</v>
      </c>
      <c r="Q1456" t="s">
        <v>28</v>
      </c>
      <c r="R1456">
        <v>2125557818</v>
      </c>
      <c r="S1456" t="s">
        <v>29</v>
      </c>
      <c r="U1456" s="1" t="str">
        <f t="shared" si="135"/>
        <v>Nyc</v>
      </c>
      <c r="V1456" t="s">
        <v>30</v>
      </c>
      <c r="W1456" t="s">
        <v>31</v>
      </c>
      <c r="X1456">
        <v>10022</v>
      </c>
      <c r="Y1456" s="1" t="str">
        <f t="shared" si="136"/>
        <v>USA</v>
      </c>
      <c r="Z1456" s="4" t="str">
        <f t="shared" si="137"/>
        <v>Usa</v>
      </c>
      <c r="AA1456" t="s">
        <v>32</v>
      </c>
      <c r="AB1456" t="s">
        <v>33</v>
      </c>
      <c r="AC1456" t="s">
        <v>34</v>
      </c>
      <c r="AD1456" t="s">
        <v>35</v>
      </c>
      <c r="AE1456" t="s">
        <v>36</v>
      </c>
    </row>
    <row r="1457" spans="1:31" x14ac:dyDescent="0.3">
      <c r="A1457">
        <v>10305</v>
      </c>
      <c r="B1457">
        <v>45</v>
      </c>
      <c r="C1457">
        <v>61.85</v>
      </c>
      <c r="D1457">
        <v>2</v>
      </c>
      <c r="E1457" s="4" t="str">
        <f t="shared" si="132"/>
        <v>low sales</v>
      </c>
      <c r="F1457">
        <v>2783.25</v>
      </c>
      <c r="G1457" t="s">
        <v>2129</v>
      </c>
      <c r="H1457" s="1" t="str">
        <f t="shared" si="133"/>
        <v>Shipped</v>
      </c>
      <c r="I1457" s="4" t="str">
        <f t="shared" si="134"/>
        <v>completed</v>
      </c>
      <c r="J1457" t="s">
        <v>25</v>
      </c>
      <c r="K1457">
        <v>4</v>
      </c>
      <c r="L1457">
        <v>10</v>
      </c>
      <c r="M1457">
        <v>2004</v>
      </c>
      <c r="N1457" t="s">
        <v>181</v>
      </c>
      <c r="O1457">
        <v>57</v>
      </c>
      <c r="P1457" t="s">
        <v>621</v>
      </c>
      <c r="Q1457" t="s">
        <v>120</v>
      </c>
      <c r="R1457">
        <v>6175558555</v>
      </c>
      <c r="S1457" t="s">
        <v>121</v>
      </c>
      <c r="U1457" s="1" t="str">
        <f t="shared" si="135"/>
        <v>Cambridge</v>
      </c>
      <c r="V1457" t="s">
        <v>122</v>
      </c>
      <c r="W1457" t="s">
        <v>123</v>
      </c>
      <c r="X1457">
        <v>51247</v>
      </c>
      <c r="Y1457" s="1" t="str">
        <f t="shared" si="136"/>
        <v>USA</v>
      </c>
      <c r="Z1457" s="4" t="str">
        <f t="shared" si="137"/>
        <v>Usa</v>
      </c>
      <c r="AA1457" t="s">
        <v>32</v>
      </c>
      <c r="AB1457" t="s">
        <v>33</v>
      </c>
      <c r="AC1457" t="s">
        <v>124</v>
      </c>
      <c r="AD1457" t="s">
        <v>125</v>
      </c>
      <c r="AE1457" t="s">
        <v>36</v>
      </c>
    </row>
    <row r="1458" spans="1:31" x14ac:dyDescent="0.3">
      <c r="A1458">
        <v>10314</v>
      </c>
      <c r="B1458">
        <v>44</v>
      </c>
      <c r="C1458">
        <v>53.18</v>
      </c>
      <c r="D1458">
        <v>11</v>
      </c>
      <c r="E1458" s="4" t="str">
        <f t="shared" si="132"/>
        <v>low sales</v>
      </c>
      <c r="F1458">
        <v>2339.92</v>
      </c>
      <c r="G1458" t="s">
        <v>2130</v>
      </c>
      <c r="H1458" s="1" t="str">
        <f t="shared" si="133"/>
        <v>Shipped</v>
      </c>
      <c r="I1458" s="4" t="str">
        <f t="shared" si="134"/>
        <v>completed</v>
      </c>
      <c r="J1458" t="s">
        <v>25</v>
      </c>
      <c r="K1458">
        <v>4</v>
      </c>
      <c r="L1458">
        <v>10</v>
      </c>
      <c r="M1458">
        <v>2004</v>
      </c>
      <c r="N1458" t="s">
        <v>181</v>
      </c>
      <c r="O1458">
        <v>57</v>
      </c>
      <c r="P1458" t="s">
        <v>621</v>
      </c>
      <c r="Q1458" t="s">
        <v>498</v>
      </c>
      <c r="R1458" t="s">
        <v>499</v>
      </c>
      <c r="S1458" t="s">
        <v>500</v>
      </c>
      <c r="U1458" s="1" t="str">
        <f t="shared" si="135"/>
        <v>Aaarhus</v>
      </c>
      <c r="V1458" t="s">
        <v>501</v>
      </c>
      <c r="X1458">
        <v>8200</v>
      </c>
      <c r="Y1458" s="1" t="str">
        <f t="shared" si="136"/>
        <v>DENMARK</v>
      </c>
      <c r="Z1458" s="4" t="str">
        <f t="shared" si="137"/>
        <v>Denmark</v>
      </c>
      <c r="AA1458" t="s">
        <v>326</v>
      </c>
      <c r="AB1458" t="s">
        <v>42</v>
      </c>
      <c r="AC1458" t="s">
        <v>502</v>
      </c>
      <c r="AD1458" t="s">
        <v>503</v>
      </c>
      <c r="AE1458" t="s">
        <v>36</v>
      </c>
    </row>
    <row r="1459" spans="1:31" x14ac:dyDescent="0.3">
      <c r="A1459">
        <v>10324</v>
      </c>
      <c r="B1459">
        <v>25</v>
      </c>
      <c r="C1459">
        <v>69.16</v>
      </c>
      <c r="D1459">
        <v>14</v>
      </c>
      <c r="E1459" s="4" t="str">
        <f t="shared" si="132"/>
        <v>low sales</v>
      </c>
      <c r="F1459">
        <v>1729</v>
      </c>
      <c r="G1459" t="s">
        <v>2131</v>
      </c>
      <c r="H1459" s="1" t="str">
        <f t="shared" si="133"/>
        <v>Shipped</v>
      </c>
      <c r="I1459" s="4" t="str">
        <f t="shared" si="134"/>
        <v>completed</v>
      </c>
      <c r="J1459" t="s">
        <v>25</v>
      </c>
      <c r="K1459">
        <v>4</v>
      </c>
      <c r="L1459">
        <v>11</v>
      </c>
      <c r="M1459">
        <v>2004</v>
      </c>
      <c r="N1459" t="s">
        <v>181</v>
      </c>
      <c r="O1459">
        <v>57</v>
      </c>
      <c r="P1459" t="s">
        <v>621</v>
      </c>
      <c r="Q1459" t="s">
        <v>99</v>
      </c>
      <c r="R1459">
        <v>2125551500</v>
      </c>
      <c r="S1459" t="s">
        <v>100</v>
      </c>
      <c r="T1459" t="s">
        <v>101</v>
      </c>
      <c r="U1459" s="1" t="str">
        <f t="shared" si="135"/>
        <v>Nyc</v>
      </c>
      <c r="V1459" t="s">
        <v>30</v>
      </c>
      <c r="W1459" t="s">
        <v>31</v>
      </c>
      <c r="X1459">
        <v>10022</v>
      </c>
      <c r="Y1459" s="1" t="str">
        <f t="shared" si="136"/>
        <v>USA</v>
      </c>
      <c r="Z1459" s="4" t="str">
        <f t="shared" si="137"/>
        <v>Usa</v>
      </c>
      <c r="AA1459" t="s">
        <v>32</v>
      </c>
      <c r="AB1459" t="s">
        <v>33</v>
      </c>
      <c r="AC1459" t="s">
        <v>102</v>
      </c>
      <c r="AD1459" t="s">
        <v>103</v>
      </c>
      <c r="AE1459" t="s">
        <v>36</v>
      </c>
    </row>
    <row r="1460" spans="1:31" x14ac:dyDescent="0.3">
      <c r="A1460">
        <v>10336</v>
      </c>
      <c r="B1460">
        <v>45</v>
      </c>
      <c r="C1460">
        <v>100</v>
      </c>
      <c r="D1460">
        <v>4</v>
      </c>
      <c r="E1460" s="4" t="str">
        <f t="shared" si="132"/>
        <v>high sales</v>
      </c>
      <c r="F1460">
        <v>5972.4</v>
      </c>
      <c r="G1460" t="s">
        <v>2132</v>
      </c>
      <c r="H1460" s="1" t="str">
        <f t="shared" si="133"/>
        <v>Shipped</v>
      </c>
      <c r="I1460" s="4" t="str">
        <f t="shared" si="134"/>
        <v>completed</v>
      </c>
      <c r="J1460" t="s">
        <v>25</v>
      </c>
      <c r="K1460">
        <v>4</v>
      </c>
      <c r="L1460">
        <v>11</v>
      </c>
      <c r="M1460">
        <v>2004</v>
      </c>
      <c r="N1460" t="s">
        <v>181</v>
      </c>
      <c r="O1460">
        <v>57</v>
      </c>
      <c r="P1460" t="s">
        <v>621</v>
      </c>
      <c r="Q1460" t="s">
        <v>403</v>
      </c>
      <c r="R1460" t="s">
        <v>404</v>
      </c>
      <c r="S1460" t="s">
        <v>405</v>
      </c>
      <c r="U1460" s="1" t="str">
        <f t="shared" si="135"/>
        <v>Paris</v>
      </c>
      <c r="V1460" t="s">
        <v>48</v>
      </c>
      <c r="X1460">
        <v>75012</v>
      </c>
      <c r="Y1460" s="1" t="str">
        <f t="shared" si="136"/>
        <v>FRANCE</v>
      </c>
      <c r="Z1460" s="4" t="str">
        <f t="shared" si="137"/>
        <v>France</v>
      </c>
      <c r="AA1460" t="s">
        <v>41</v>
      </c>
      <c r="AB1460" t="s">
        <v>42</v>
      </c>
      <c r="AC1460" t="s">
        <v>406</v>
      </c>
      <c r="AD1460" t="s">
        <v>407</v>
      </c>
      <c r="AE1460" t="s">
        <v>51</v>
      </c>
    </row>
    <row r="1461" spans="1:31" x14ac:dyDescent="0.3">
      <c r="A1461">
        <v>10349</v>
      </c>
      <c r="B1461">
        <v>48</v>
      </c>
      <c r="C1461">
        <v>47.4</v>
      </c>
      <c r="D1461">
        <v>4</v>
      </c>
      <c r="E1461" s="4" t="str">
        <f t="shared" si="132"/>
        <v>low sales</v>
      </c>
      <c r="F1461">
        <v>2275.1999999999998</v>
      </c>
      <c r="G1461" t="s">
        <v>2133</v>
      </c>
      <c r="H1461" s="1" t="str">
        <f t="shared" si="133"/>
        <v>Shipped</v>
      </c>
      <c r="I1461" s="4" t="str">
        <f t="shared" si="134"/>
        <v>completed</v>
      </c>
      <c r="J1461" t="s">
        <v>25</v>
      </c>
      <c r="K1461">
        <v>4</v>
      </c>
      <c r="L1461">
        <v>12</v>
      </c>
      <c r="M1461">
        <v>2004</v>
      </c>
      <c r="N1461" t="s">
        <v>181</v>
      </c>
      <c r="O1461">
        <v>57</v>
      </c>
      <c r="P1461" t="s">
        <v>621</v>
      </c>
      <c r="Q1461" t="s">
        <v>475</v>
      </c>
      <c r="R1461">
        <v>2125557413</v>
      </c>
      <c r="S1461" t="s">
        <v>476</v>
      </c>
      <c r="T1461" t="s">
        <v>477</v>
      </c>
      <c r="U1461" s="1" t="str">
        <f t="shared" si="135"/>
        <v>Nyc</v>
      </c>
      <c r="V1461" t="s">
        <v>30</v>
      </c>
      <c r="W1461" t="s">
        <v>31</v>
      </c>
      <c r="X1461">
        <v>10022</v>
      </c>
      <c r="Y1461" s="1" t="str">
        <f t="shared" si="136"/>
        <v>USA</v>
      </c>
      <c r="Z1461" s="4" t="str">
        <f t="shared" si="137"/>
        <v>Usa</v>
      </c>
      <c r="AA1461" t="s">
        <v>32</v>
      </c>
      <c r="AB1461" t="s">
        <v>33</v>
      </c>
      <c r="AC1461" t="s">
        <v>56</v>
      </c>
      <c r="AD1461" t="s">
        <v>478</v>
      </c>
      <c r="AE1461" t="s">
        <v>36</v>
      </c>
    </row>
    <row r="1462" spans="1:31" x14ac:dyDescent="0.3">
      <c r="A1462">
        <v>10358</v>
      </c>
      <c r="B1462">
        <v>44</v>
      </c>
      <c r="C1462">
        <v>60.76</v>
      </c>
      <c r="D1462">
        <v>14</v>
      </c>
      <c r="E1462" s="4" t="str">
        <f t="shared" si="132"/>
        <v>low sales</v>
      </c>
      <c r="F1462">
        <v>2673.44</v>
      </c>
      <c r="G1462" t="s">
        <v>2134</v>
      </c>
      <c r="H1462" s="1" t="str">
        <f t="shared" si="133"/>
        <v>Shipped</v>
      </c>
      <c r="I1462" s="4" t="str">
        <f t="shared" si="134"/>
        <v>completed</v>
      </c>
      <c r="J1462" t="s">
        <v>25</v>
      </c>
      <c r="K1462">
        <v>4</v>
      </c>
      <c r="L1462">
        <v>12</v>
      </c>
      <c r="M1462">
        <v>2004</v>
      </c>
      <c r="N1462" t="s">
        <v>181</v>
      </c>
      <c r="O1462">
        <v>57</v>
      </c>
      <c r="P1462" t="s">
        <v>621</v>
      </c>
      <c r="Q1462" t="s">
        <v>174</v>
      </c>
      <c r="R1462" t="s">
        <v>175</v>
      </c>
      <c r="S1462" t="s">
        <v>176</v>
      </c>
      <c r="U1462" s="1" t="str">
        <f t="shared" si="135"/>
        <v>Madrid</v>
      </c>
      <c r="V1462" t="s">
        <v>177</v>
      </c>
      <c r="X1462">
        <v>28034</v>
      </c>
      <c r="Y1462" s="1" t="str">
        <f t="shared" si="136"/>
        <v>SPAIN</v>
      </c>
      <c r="Z1462" s="4" t="str">
        <f t="shared" si="137"/>
        <v>Spain</v>
      </c>
      <c r="AA1462" t="s">
        <v>178</v>
      </c>
      <c r="AB1462" t="s">
        <v>42</v>
      </c>
      <c r="AC1462" t="s">
        <v>179</v>
      </c>
      <c r="AD1462" t="s">
        <v>180</v>
      </c>
      <c r="AE1462" t="s">
        <v>36</v>
      </c>
    </row>
    <row r="1463" spans="1:31" x14ac:dyDescent="0.3">
      <c r="A1463">
        <v>10371</v>
      </c>
      <c r="B1463">
        <v>25</v>
      </c>
      <c r="C1463">
        <v>97.27</v>
      </c>
      <c r="D1463">
        <v>12</v>
      </c>
      <c r="E1463" s="4" t="str">
        <f t="shared" si="132"/>
        <v>low sales</v>
      </c>
      <c r="F1463">
        <v>2431.75</v>
      </c>
      <c r="G1463" t="s">
        <v>2135</v>
      </c>
      <c r="H1463" s="1" t="str">
        <f t="shared" si="133"/>
        <v>Shipped</v>
      </c>
      <c r="I1463" s="4" t="str">
        <f t="shared" si="134"/>
        <v>completed</v>
      </c>
      <c r="J1463" t="s">
        <v>25</v>
      </c>
      <c r="K1463">
        <v>1</v>
      </c>
      <c r="L1463">
        <v>1</v>
      </c>
      <c r="M1463">
        <v>2005</v>
      </c>
      <c r="N1463" t="s">
        <v>181</v>
      </c>
      <c r="O1463">
        <v>57</v>
      </c>
      <c r="P1463" t="s">
        <v>621</v>
      </c>
      <c r="Q1463" t="s">
        <v>272</v>
      </c>
      <c r="R1463">
        <v>4155551450</v>
      </c>
      <c r="S1463" t="s">
        <v>273</v>
      </c>
      <c r="U1463" s="1" t="str">
        <f t="shared" si="135"/>
        <v>San Rafael</v>
      </c>
      <c r="V1463" t="s">
        <v>274</v>
      </c>
      <c r="W1463" t="s">
        <v>55</v>
      </c>
      <c r="X1463">
        <v>97562</v>
      </c>
      <c r="Y1463" s="1" t="str">
        <f t="shared" si="136"/>
        <v>USA</v>
      </c>
      <c r="Z1463" s="4" t="str">
        <f t="shared" si="137"/>
        <v>Usa</v>
      </c>
      <c r="AA1463" t="s">
        <v>32</v>
      </c>
      <c r="AB1463" t="s">
        <v>33</v>
      </c>
      <c r="AC1463" t="s">
        <v>275</v>
      </c>
      <c r="AD1463" t="s">
        <v>276</v>
      </c>
      <c r="AE1463" t="s">
        <v>36</v>
      </c>
    </row>
    <row r="1464" spans="1:31" x14ac:dyDescent="0.3">
      <c r="A1464">
        <v>10383</v>
      </c>
      <c r="B1464">
        <v>22</v>
      </c>
      <c r="C1464">
        <v>91.76</v>
      </c>
      <c r="D1464">
        <v>2</v>
      </c>
      <c r="E1464" s="4" t="str">
        <f t="shared" si="132"/>
        <v>low sales</v>
      </c>
      <c r="F1464">
        <v>2018.72</v>
      </c>
      <c r="G1464" t="s">
        <v>2136</v>
      </c>
      <c r="H1464" s="1" t="str">
        <f t="shared" si="133"/>
        <v>Shipped</v>
      </c>
      <c r="I1464" s="4" t="str">
        <f t="shared" si="134"/>
        <v>completed</v>
      </c>
      <c r="J1464" t="s">
        <v>25</v>
      </c>
      <c r="K1464">
        <v>1</v>
      </c>
      <c r="L1464">
        <v>2</v>
      </c>
      <c r="M1464">
        <v>2005</v>
      </c>
      <c r="N1464" t="s">
        <v>181</v>
      </c>
      <c r="O1464">
        <v>57</v>
      </c>
      <c r="P1464" t="s">
        <v>621</v>
      </c>
      <c r="Q1464" t="s">
        <v>174</v>
      </c>
      <c r="R1464" t="s">
        <v>175</v>
      </c>
      <c r="S1464" t="s">
        <v>176</v>
      </c>
      <c r="U1464" s="1" t="str">
        <f t="shared" si="135"/>
        <v>Madrid</v>
      </c>
      <c r="V1464" t="s">
        <v>177</v>
      </c>
      <c r="X1464">
        <v>28034</v>
      </c>
      <c r="Y1464" s="1" t="str">
        <f t="shared" si="136"/>
        <v>SPAIN</v>
      </c>
      <c r="Z1464" s="4" t="str">
        <f t="shared" si="137"/>
        <v>Spain</v>
      </c>
      <c r="AA1464" t="s">
        <v>178</v>
      </c>
      <c r="AB1464" t="s">
        <v>42</v>
      </c>
      <c r="AC1464" t="s">
        <v>179</v>
      </c>
      <c r="AD1464" t="s">
        <v>180</v>
      </c>
      <c r="AE1464" t="s">
        <v>36</v>
      </c>
    </row>
    <row r="1465" spans="1:31" x14ac:dyDescent="0.3">
      <c r="A1465">
        <v>10394</v>
      </c>
      <c r="B1465">
        <v>31</v>
      </c>
      <c r="C1465">
        <v>50.29</v>
      </c>
      <c r="D1465">
        <v>2</v>
      </c>
      <c r="E1465" s="4" t="str">
        <f t="shared" si="132"/>
        <v>low sales</v>
      </c>
      <c r="F1465">
        <v>1558.99</v>
      </c>
      <c r="G1465" t="s">
        <v>2137</v>
      </c>
      <c r="H1465" s="1" t="str">
        <f t="shared" si="133"/>
        <v>Shipped</v>
      </c>
      <c r="I1465" s="4" t="str">
        <f t="shared" si="134"/>
        <v>completed</v>
      </c>
      <c r="J1465" t="s">
        <v>25</v>
      </c>
      <c r="K1465">
        <v>1</v>
      </c>
      <c r="L1465">
        <v>3</v>
      </c>
      <c r="M1465">
        <v>2005</v>
      </c>
      <c r="N1465" t="s">
        <v>181</v>
      </c>
      <c r="O1465">
        <v>57</v>
      </c>
      <c r="P1465" t="s">
        <v>621</v>
      </c>
      <c r="Q1465" t="s">
        <v>174</v>
      </c>
      <c r="R1465" t="s">
        <v>175</v>
      </c>
      <c r="S1465" t="s">
        <v>176</v>
      </c>
      <c r="U1465" s="1" t="str">
        <f t="shared" si="135"/>
        <v>Madrid</v>
      </c>
      <c r="V1465" t="s">
        <v>177</v>
      </c>
      <c r="X1465">
        <v>28034</v>
      </c>
      <c r="Y1465" s="1" t="str">
        <f t="shared" si="136"/>
        <v>SPAIN</v>
      </c>
      <c r="Z1465" s="4" t="str">
        <f t="shared" si="137"/>
        <v>Spain</v>
      </c>
      <c r="AA1465" t="s">
        <v>178</v>
      </c>
      <c r="AB1465" t="s">
        <v>42</v>
      </c>
      <c r="AC1465" t="s">
        <v>179</v>
      </c>
      <c r="AD1465" t="s">
        <v>180</v>
      </c>
      <c r="AE1465" t="s">
        <v>36</v>
      </c>
    </row>
    <row r="1466" spans="1:31" x14ac:dyDescent="0.3">
      <c r="A1466">
        <v>10412</v>
      </c>
      <c r="B1466">
        <v>21</v>
      </c>
      <c r="C1466">
        <v>52.6</v>
      </c>
      <c r="D1466">
        <v>2</v>
      </c>
      <c r="E1466" s="4" t="str">
        <f t="shared" si="132"/>
        <v>low sales</v>
      </c>
      <c r="F1466">
        <v>1104.5999999999999</v>
      </c>
      <c r="G1466" t="s">
        <v>2138</v>
      </c>
      <c r="H1466" s="1" t="str">
        <f t="shared" si="133"/>
        <v>Shipped</v>
      </c>
      <c r="I1466" s="4" t="str">
        <f t="shared" si="134"/>
        <v>completed</v>
      </c>
      <c r="J1466" t="s">
        <v>25</v>
      </c>
      <c r="K1466">
        <v>2</v>
      </c>
      <c r="L1466">
        <v>5</v>
      </c>
      <c r="M1466">
        <v>2005</v>
      </c>
      <c r="N1466" t="s">
        <v>181</v>
      </c>
      <c r="O1466">
        <v>57</v>
      </c>
      <c r="P1466" t="s">
        <v>621</v>
      </c>
      <c r="Q1466" t="s">
        <v>174</v>
      </c>
      <c r="R1466" t="s">
        <v>175</v>
      </c>
      <c r="S1466" t="s">
        <v>176</v>
      </c>
      <c r="U1466" s="1" t="str">
        <f t="shared" si="135"/>
        <v>Madrid</v>
      </c>
      <c r="V1466" t="s">
        <v>177</v>
      </c>
      <c r="X1466">
        <v>28034</v>
      </c>
      <c r="Y1466" s="1" t="str">
        <f t="shared" si="136"/>
        <v>SPAIN</v>
      </c>
      <c r="Z1466" s="4" t="str">
        <f t="shared" si="137"/>
        <v>Spain</v>
      </c>
      <c r="AA1466" t="s">
        <v>178</v>
      </c>
      <c r="AB1466" t="s">
        <v>42</v>
      </c>
      <c r="AC1466" t="s">
        <v>179</v>
      </c>
      <c r="AD1466" t="s">
        <v>180</v>
      </c>
      <c r="AE1466" t="s">
        <v>36</v>
      </c>
    </row>
    <row r="1467" spans="1:31" x14ac:dyDescent="0.3">
      <c r="A1467">
        <v>10425</v>
      </c>
      <c r="B1467">
        <v>55</v>
      </c>
      <c r="C1467">
        <v>46.82</v>
      </c>
      <c r="D1467">
        <v>1</v>
      </c>
      <c r="E1467" s="4" t="str">
        <f t="shared" si="132"/>
        <v>low sales</v>
      </c>
      <c r="F1467">
        <v>2575.1</v>
      </c>
      <c r="G1467" t="s">
        <v>2139</v>
      </c>
      <c r="H1467" s="1" t="str">
        <f t="shared" si="133"/>
        <v>In Process</v>
      </c>
      <c r="I1467" s="4" t="str">
        <f t="shared" si="134"/>
        <v>not completed</v>
      </c>
      <c r="J1467" t="s">
        <v>300</v>
      </c>
      <c r="K1467">
        <v>2</v>
      </c>
      <c r="L1467">
        <v>5</v>
      </c>
      <c r="M1467">
        <v>2005</v>
      </c>
      <c r="N1467" t="s">
        <v>181</v>
      </c>
      <c r="O1467">
        <v>57</v>
      </c>
      <c r="P1467" t="s">
        <v>621</v>
      </c>
      <c r="Q1467" t="s">
        <v>114</v>
      </c>
      <c r="R1467" t="s">
        <v>115</v>
      </c>
      <c r="S1467" t="s">
        <v>116</v>
      </c>
      <c r="U1467" s="1" t="str">
        <f t="shared" si="135"/>
        <v>Nantes</v>
      </c>
      <c r="V1467" t="s">
        <v>117</v>
      </c>
      <c r="X1467">
        <v>44000</v>
      </c>
      <c r="Y1467" s="1" t="str">
        <f t="shared" si="136"/>
        <v>FRANCE</v>
      </c>
      <c r="Z1467" s="4" t="str">
        <f t="shared" si="137"/>
        <v>France</v>
      </c>
      <c r="AA1467" t="s">
        <v>41</v>
      </c>
      <c r="AB1467" t="s">
        <v>42</v>
      </c>
      <c r="AC1467" t="s">
        <v>118</v>
      </c>
      <c r="AD1467" t="s">
        <v>119</v>
      </c>
      <c r="AE1467" t="s">
        <v>36</v>
      </c>
    </row>
    <row r="1468" spans="1:31" x14ac:dyDescent="0.3">
      <c r="A1468">
        <v>10107</v>
      </c>
      <c r="B1468">
        <v>25</v>
      </c>
      <c r="C1468">
        <v>100</v>
      </c>
      <c r="D1468">
        <v>3</v>
      </c>
      <c r="E1468" s="4" t="str">
        <f t="shared" si="132"/>
        <v>low sales</v>
      </c>
      <c r="F1468">
        <v>2845.75</v>
      </c>
      <c r="G1468" t="s">
        <v>2140</v>
      </c>
      <c r="H1468" s="1" t="str">
        <f t="shared" si="133"/>
        <v>Shipped</v>
      </c>
      <c r="I1468" s="4" t="str">
        <f t="shared" si="134"/>
        <v>completed</v>
      </c>
      <c r="J1468" t="s">
        <v>25</v>
      </c>
      <c r="K1468">
        <v>1</v>
      </c>
      <c r="L1468">
        <v>2</v>
      </c>
      <c r="M1468">
        <v>2003</v>
      </c>
      <c r="N1468" t="s">
        <v>26</v>
      </c>
      <c r="O1468">
        <v>112</v>
      </c>
      <c r="P1468" t="s">
        <v>622</v>
      </c>
      <c r="Q1468" t="s">
        <v>28</v>
      </c>
      <c r="R1468">
        <v>2125557818</v>
      </c>
      <c r="S1468" t="s">
        <v>29</v>
      </c>
      <c r="U1468" s="1" t="str">
        <f t="shared" si="135"/>
        <v>Nyc</v>
      </c>
      <c r="V1468" t="s">
        <v>30</v>
      </c>
      <c r="W1468" t="s">
        <v>31</v>
      </c>
      <c r="X1468">
        <v>10022</v>
      </c>
      <c r="Y1468" s="1" t="str">
        <f t="shared" si="136"/>
        <v>USA</v>
      </c>
      <c r="Z1468" s="4" t="str">
        <f t="shared" si="137"/>
        <v>Usa</v>
      </c>
      <c r="AA1468" t="s">
        <v>32</v>
      </c>
      <c r="AB1468" t="s">
        <v>33</v>
      </c>
      <c r="AC1468" t="s">
        <v>34</v>
      </c>
      <c r="AD1468" t="s">
        <v>35</v>
      </c>
      <c r="AE1468" t="s">
        <v>36</v>
      </c>
    </row>
    <row r="1469" spans="1:31" x14ac:dyDescent="0.3">
      <c r="A1469">
        <v>10120</v>
      </c>
      <c r="B1469">
        <v>35</v>
      </c>
      <c r="C1469">
        <v>98.05</v>
      </c>
      <c r="D1469">
        <v>1</v>
      </c>
      <c r="E1469" s="4" t="str">
        <f t="shared" si="132"/>
        <v>low sales</v>
      </c>
      <c r="F1469">
        <v>3431.75</v>
      </c>
      <c r="G1469" t="s">
        <v>2141</v>
      </c>
      <c r="H1469" s="1" t="str">
        <f t="shared" si="133"/>
        <v>Shipped</v>
      </c>
      <c r="I1469" s="4" t="str">
        <f t="shared" si="134"/>
        <v>completed</v>
      </c>
      <c r="J1469" t="s">
        <v>25</v>
      </c>
      <c r="K1469">
        <v>2</v>
      </c>
      <c r="L1469">
        <v>4</v>
      </c>
      <c r="M1469">
        <v>2003</v>
      </c>
      <c r="N1469" t="s">
        <v>26</v>
      </c>
      <c r="O1469">
        <v>112</v>
      </c>
      <c r="P1469" t="s">
        <v>622</v>
      </c>
      <c r="Q1469" t="s">
        <v>89</v>
      </c>
      <c r="R1469" t="s">
        <v>90</v>
      </c>
      <c r="S1469" t="s">
        <v>91</v>
      </c>
      <c r="T1469" t="s">
        <v>92</v>
      </c>
      <c r="U1469" s="1" t="str">
        <f t="shared" si="135"/>
        <v>Melbourne</v>
      </c>
      <c r="V1469" t="s">
        <v>93</v>
      </c>
      <c r="W1469" t="s">
        <v>94</v>
      </c>
      <c r="X1469">
        <v>3004</v>
      </c>
      <c r="Y1469" s="1" t="str">
        <f t="shared" si="136"/>
        <v>AUSTRALIA</v>
      </c>
      <c r="Z1469" s="4" t="str">
        <f t="shared" si="137"/>
        <v>Australia</v>
      </c>
      <c r="AA1469" t="s">
        <v>95</v>
      </c>
      <c r="AB1469" t="s">
        <v>96</v>
      </c>
      <c r="AC1469" t="s">
        <v>97</v>
      </c>
      <c r="AD1469" t="s">
        <v>98</v>
      </c>
      <c r="AE1469" t="s">
        <v>51</v>
      </c>
    </row>
    <row r="1470" spans="1:31" x14ac:dyDescent="0.3">
      <c r="A1470">
        <v>10134</v>
      </c>
      <c r="B1470">
        <v>35</v>
      </c>
      <c r="C1470">
        <v>93.54</v>
      </c>
      <c r="D1470">
        <v>3</v>
      </c>
      <c r="E1470" s="4" t="str">
        <f t="shared" si="132"/>
        <v>low sales</v>
      </c>
      <c r="F1470">
        <v>3273.9</v>
      </c>
      <c r="G1470" t="s">
        <v>2142</v>
      </c>
      <c r="H1470" s="1" t="str">
        <f t="shared" si="133"/>
        <v>Shipped</v>
      </c>
      <c r="I1470" s="4" t="str">
        <f t="shared" si="134"/>
        <v>completed</v>
      </c>
      <c r="J1470" t="s">
        <v>25</v>
      </c>
      <c r="K1470">
        <v>3</v>
      </c>
      <c r="L1470">
        <v>7</v>
      </c>
      <c r="M1470">
        <v>2003</v>
      </c>
      <c r="N1470" t="s">
        <v>26</v>
      </c>
      <c r="O1470">
        <v>112</v>
      </c>
      <c r="P1470" t="s">
        <v>622</v>
      </c>
      <c r="Q1470" t="s">
        <v>45</v>
      </c>
      <c r="R1470" t="s">
        <v>46</v>
      </c>
      <c r="S1470" t="s">
        <v>47</v>
      </c>
      <c r="U1470" s="1" t="str">
        <f t="shared" si="135"/>
        <v>Paris</v>
      </c>
      <c r="V1470" t="s">
        <v>48</v>
      </c>
      <c r="X1470">
        <v>75508</v>
      </c>
      <c r="Y1470" s="1" t="str">
        <f t="shared" si="136"/>
        <v>FRANCE</v>
      </c>
      <c r="Z1470" s="4" t="str">
        <f t="shared" si="137"/>
        <v>France</v>
      </c>
      <c r="AA1470" t="s">
        <v>41</v>
      </c>
      <c r="AB1470" t="s">
        <v>42</v>
      </c>
      <c r="AC1470" t="s">
        <v>49</v>
      </c>
      <c r="AD1470" t="s">
        <v>50</v>
      </c>
      <c r="AE1470" t="s">
        <v>51</v>
      </c>
    </row>
    <row r="1471" spans="1:31" x14ac:dyDescent="0.3">
      <c r="A1471">
        <v>10145</v>
      </c>
      <c r="B1471">
        <v>43</v>
      </c>
      <c r="C1471">
        <v>95.8</v>
      </c>
      <c r="D1471">
        <v>7</v>
      </c>
      <c r="E1471" s="4" t="str">
        <f t="shared" si="132"/>
        <v>high sales</v>
      </c>
      <c r="F1471">
        <v>4119.3999999999996</v>
      </c>
      <c r="G1471" t="s">
        <v>2143</v>
      </c>
      <c r="H1471" s="1" t="str">
        <f t="shared" si="133"/>
        <v>Shipped</v>
      </c>
      <c r="I1471" s="4" t="str">
        <f t="shared" si="134"/>
        <v>completed</v>
      </c>
      <c r="J1471" t="s">
        <v>25</v>
      </c>
      <c r="K1471">
        <v>3</v>
      </c>
      <c r="L1471">
        <v>8</v>
      </c>
      <c r="M1471">
        <v>2003</v>
      </c>
      <c r="N1471" t="s">
        <v>26</v>
      </c>
      <c r="O1471">
        <v>112</v>
      </c>
      <c r="P1471" t="s">
        <v>622</v>
      </c>
      <c r="Q1471" t="s">
        <v>52</v>
      </c>
      <c r="R1471">
        <v>6265557265</v>
      </c>
      <c r="S1471" t="s">
        <v>53</v>
      </c>
      <c r="U1471" s="1" t="str">
        <f t="shared" si="135"/>
        <v>Pasadena</v>
      </c>
      <c r="V1471" t="s">
        <v>54</v>
      </c>
      <c r="W1471" t="s">
        <v>55</v>
      </c>
      <c r="X1471">
        <v>90003</v>
      </c>
      <c r="Y1471" s="1" t="str">
        <f t="shared" si="136"/>
        <v>USA</v>
      </c>
      <c r="Z1471" s="4" t="str">
        <f t="shared" si="137"/>
        <v>Usa</v>
      </c>
      <c r="AA1471" t="s">
        <v>32</v>
      </c>
      <c r="AB1471" t="s">
        <v>33</v>
      </c>
      <c r="AC1471" t="s">
        <v>56</v>
      </c>
      <c r="AD1471" t="s">
        <v>57</v>
      </c>
      <c r="AE1471" t="s">
        <v>51</v>
      </c>
    </row>
    <row r="1472" spans="1:31" x14ac:dyDescent="0.3">
      <c r="A1472">
        <v>10159</v>
      </c>
      <c r="B1472">
        <v>44</v>
      </c>
      <c r="C1472">
        <v>100</v>
      </c>
      <c r="D1472">
        <v>15</v>
      </c>
      <c r="E1472" s="4" t="str">
        <f t="shared" si="132"/>
        <v>high sales</v>
      </c>
      <c r="F1472">
        <v>5355.68</v>
      </c>
      <c r="G1472" t="s">
        <v>2144</v>
      </c>
      <c r="H1472" s="1" t="str">
        <f t="shared" si="133"/>
        <v>Shipped</v>
      </c>
      <c r="I1472" s="4" t="str">
        <f t="shared" si="134"/>
        <v>completed</v>
      </c>
      <c r="J1472" t="s">
        <v>25</v>
      </c>
      <c r="K1472">
        <v>4</v>
      </c>
      <c r="L1472">
        <v>10</v>
      </c>
      <c r="M1472">
        <v>2003</v>
      </c>
      <c r="N1472" t="s">
        <v>26</v>
      </c>
      <c r="O1472">
        <v>112</v>
      </c>
      <c r="P1472" t="s">
        <v>622</v>
      </c>
      <c r="Q1472" t="s">
        <v>58</v>
      </c>
      <c r="R1472">
        <v>6505551386</v>
      </c>
      <c r="S1472" t="s">
        <v>59</v>
      </c>
      <c r="U1472" s="1" t="str">
        <f t="shared" si="135"/>
        <v>San Francisco</v>
      </c>
      <c r="V1472" t="s">
        <v>60</v>
      </c>
      <c r="W1472" t="s">
        <v>55</v>
      </c>
      <c r="Y1472" s="1" t="str">
        <f t="shared" si="136"/>
        <v>USA</v>
      </c>
      <c r="Z1472" s="4" t="str">
        <f t="shared" si="137"/>
        <v>Usa</v>
      </c>
      <c r="AA1472" t="s">
        <v>32</v>
      </c>
      <c r="AB1472" t="s">
        <v>33</v>
      </c>
      <c r="AC1472" t="s">
        <v>61</v>
      </c>
      <c r="AD1472" t="s">
        <v>57</v>
      </c>
      <c r="AE1472" t="s">
        <v>51</v>
      </c>
    </row>
    <row r="1473" spans="1:31" x14ac:dyDescent="0.3">
      <c r="A1473">
        <v>10168</v>
      </c>
      <c r="B1473">
        <v>50</v>
      </c>
      <c r="C1473">
        <v>100</v>
      </c>
      <c r="D1473">
        <v>2</v>
      </c>
      <c r="E1473" s="4" t="str">
        <f t="shared" si="132"/>
        <v>high sales</v>
      </c>
      <c r="F1473">
        <v>5747.5</v>
      </c>
      <c r="G1473" t="s">
        <v>2145</v>
      </c>
      <c r="H1473" s="1" t="str">
        <f t="shared" si="133"/>
        <v>Shipped</v>
      </c>
      <c r="I1473" s="4" t="str">
        <f t="shared" si="134"/>
        <v>completed</v>
      </c>
      <c r="J1473" t="s">
        <v>25</v>
      </c>
      <c r="K1473">
        <v>4</v>
      </c>
      <c r="L1473">
        <v>10</v>
      </c>
      <c r="M1473">
        <v>2003</v>
      </c>
      <c r="N1473" t="s">
        <v>26</v>
      </c>
      <c r="O1473">
        <v>112</v>
      </c>
      <c r="P1473" t="s">
        <v>622</v>
      </c>
      <c r="Q1473" t="s">
        <v>62</v>
      </c>
      <c r="R1473">
        <v>6505556809</v>
      </c>
      <c r="S1473" t="s">
        <v>63</v>
      </c>
      <c r="U1473" s="1" t="str">
        <f t="shared" si="135"/>
        <v>Burlingame</v>
      </c>
      <c r="V1473" t="s">
        <v>64</v>
      </c>
      <c r="W1473" t="s">
        <v>55</v>
      </c>
      <c r="X1473">
        <v>94217</v>
      </c>
      <c r="Y1473" s="1" t="str">
        <f t="shared" si="136"/>
        <v>USA</v>
      </c>
      <c r="Z1473" s="4" t="str">
        <f t="shared" si="137"/>
        <v>Usa</v>
      </c>
      <c r="AA1473" t="s">
        <v>32</v>
      </c>
      <c r="AB1473" t="s">
        <v>33</v>
      </c>
      <c r="AC1473" t="s">
        <v>65</v>
      </c>
      <c r="AD1473" t="s">
        <v>66</v>
      </c>
      <c r="AE1473" t="s">
        <v>51</v>
      </c>
    </row>
    <row r="1474" spans="1:31" x14ac:dyDescent="0.3">
      <c r="A1474">
        <v>10180</v>
      </c>
      <c r="B1474">
        <v>48</v>
      </c>
      <c r="C1474">
        <v>100</v>
      </c>
      <c r="D1474">
        <v>10</v>
      </c>
      <c r="E1474" s="4" t="str">
        <f t="shared" si="132"/>
        <v>high sales</v>
      </c>
      <c r="F1474">
        <v>5355.36</v>
      </c>
      <c r="G1474" t="s">
        <v>2146</v>
      </c>
      <c r="H1474" s="1" t="str">
        <f t="shared" si="133"/>
        <v>Shipped</v>
      </c>
      <c r="I1474" s="4" t="str">
        <f t="shared" si="134"/>
        <v>completed</v>
      </c>
      <c r="J1474" t="s">
        <v>25</v>
      </c>
      <c r="K1474">
        <v>4</v>
      </c>
      <c r="L1474">
        <v>11</v>
      </c>
      <c r="M1474">
        <v>2003</v>
      </c>
      <c r="N1474" t="s">
        <v>26</v>
      </c>
      <c r="O1474">
        <v>112</v>
      </c>
      <c r="P1474" t="s">
        <v>622</v>
      </c>
      <c r="Q1474" t="s">
        <v>67</v>
      </c>
      <c r="R1474" t="s">
        <v>68</v>
      </c>
      <c r="S1474" t="s">
        <v>69</v>
      </c>
      <c r="U1474" s="1" t="str">
        <f t="shared" si="135"/>
        <v>Lille</v>
      </c>
      <c r="V1474" t="s">
        <v>70</v>
      </c>
      <c r="X1474">
        <v>59000</v>
      </c>
      <c r="Y1474" s="1" t="str">
        <f t="shared" si="136"/>
        <v>FRANCE</v>
      </c>
      <c r="Z1474" s="4" t="str">
        <f t="shared" si="137"/>
        <v>France</v>
      </c>
      <c r="AA1474" t="s">
        <v>41</v>
      </c>
      <c r="AB1474" t="s">
        <v>42</v>
      </c>
      <c r="AC1474" t="s">
        <v>71</v>
      </c>
      <c r="AD1474" t="s">
        <v>72</v>
      </c>
      <c r="AE1474" t="s">
        <v>51</v>
      </c>
    </row>
    <row r="1475" spans="1:31" x14ac:dyDescent="0.3">
      <c r="A1475">
        <v>10188</v>
      </c>
      <c r="B1475">
        <v>25</v>
      </c>
      <c r="C1475">
        <v>100</v>
      </c>
      <c r="D1475">
        <v>2</v>
      </c>
      <c r="E1475" s="4" t="str">
        <f t="shared" ref="E1475:E1538" si="138">IF(F1475&gt;4000,"high sales","low sales")</f>
        <v>low sales</v>
      </c>
      <c r="F1475">
        <v>2535.75</v>
      </c>
      <c r="G1475" t="s">
        <v>2147</v>
      </c>
      <c r="H1475" s="1" t="str">
        <f t="shared" ref="H1475:H1538" si="139">PROPER(TRIM(J1475))</f>
        <v>Shipped</v>
      </c>
      <c r="I1475" s="4" t="str">
        <f t="shared" ref="I1475:I1538" si="140">IF(J1475="shipped","completed","not completed")</f>
        <v>completed</v>
      </c>
      <c r="J1475" t="s">
        <v>25</v>
      </c>
      <c r="K1475">
        <v>4</v>
      </c>
      <c r="L1475">
        <v>11</v>
      </c>
      <c r="M1475">
        <v>2003</v>
      </c>
      <c r="N1475" t="s">
        <v>26</v>
      </c>
      <c r="O1475">
        <v>112</v>
      </c>
      <c r="P1475" t="s">
        <v>622</v>
      </c>
      <c r="Q1475" t="s">
        <v>73</v>
      </c>
      <c r="R1475" t="s">
        <v>74</v>
      </c>
      <c r="S1475" t="s">
        <v>75</v>
      </c>
      <c r="U1475" s="1" t="str">
        <f t="shared" ref="U1475:U1538" si="141">PROPER(TRIM(V1475))</f>
        <v>Bergen</v>
      </c>
      <c r="V1475" t="s">
        <v>76</v>
      </c>
      <c r="X1475" t="s">
        <v>77</v>
      </c>
      <c r="Y1475" s="1" t="str">
        <f t="shared" ref="Y1475:Y1538" si="142">UPPER(TRIM(AA1475))</f>
        <v>NORWAY</v>
      </c>
      <c r="Z1475" s="4" t="str">
        <f t="shared" ref="Z1475:Z1538" si="143">PROPER(TRIM(AA1475))</f>
        <v>Norway</v>
      </c>
      <c r="AA1475" t="s">
        <v>78</v>
      </c>
      <c r="AB1475" t="s">
        <v>42</v>
      </c>
      <c r="AC1475" t="s">
        <v>79</v>
      </c>
      <c r="AD1475" t="s">
        <v>80</v>
      </c>
      <c r="AE1475" t="s">
        <v>36</v>
      </c>
    </row>
    <row r="1476" spans="1:31" x14ac:dyDescent="0.3">
      <c r="A1476">
        <v>10201</v>
      </c>
      <c r="B1476">
        <v>39</v>
      </c>
      <c r="C1476">
        <v>100</v>
      </c>
      <c r="D1476">
        <v>3</v>
      </c>
      <c r="E1476" s="4" t="str">
        <f t="shared" si="138"/>
        <v>high sales</v>
      </c>
      <c r="F1476">
        <v>4351.2299999999996</v>
      </c>
      <c r="G1476" t="s">
        <v>2148</v>
      </c>
      <c r="H1476" s="1" t="str">
        <f t="shared" si="139"/>
        <v>Shipped</v>
      </c>
      <c r="I1476" s="4" t="str">
        <f t="shared" si="140"/>
        <v>completed</v>
      </c>
      <c r="J1476" t="s">
        <v>25</v>
      </c>
      <c r="K1476">
        <v>4</v>
      </c>
      <c r="L1476">
        <v>12</v>
      </c>
      <c r="M1476">
        <v>2003</v>
      </c>
      <c r="N1476" t="s">
        <v>26</v>
      </c>
      <c r="O1476">
        <v>112</v>
      </c>
      <c r="P1476" t="s">
        <v>622</v>
      </c>
      <c r="Q1476" t="s">
        <v>81</v>
      </c>
      <c r="R1476">
        <v>6505555787</v>
      </c>
      <c r="S1476" t="s">
        <v>82</v>
      </c>
      <c r="U1476" s="1" t="str">
        <f t="shared" si="141"/>
        <v>San Francisco</v>
      </c>
      <c r="V1476" t="s">
        <v>60</v>
      </c>
      <c r="W1476" t="s">
        <v>55</v>
      </c>
      <c r="Y1476" s="1" t="str">
        <f t="shared" si="142"/>
        <v>USA</v>
      </c>
      <c r="Z1476" s="4" t="str">
        <f t="shared" si="143"/>
        <v>Usa</v>
      </c>
      <c r="AA1476" t="s">
        <v>32</v>
      </c>
      <c r="AB1476" t="s">
        <v>33</v>
      </c>
      <c r="AC1476" t="s">
        <v>83</v>
      </c>
      <c r="AD1476" t="s">
        <v>57</v>
      </c>
      <c r="AE1476" t="s">
        <v>51</v>
      </c>
    </row>
    <row r="1477" spans="1:31" x14ac:dyDescent="0.3">
      <c r="A1477">
        <v>10211</v>
      </c>
      <c r="B1477">
        <v>25</v>
      </c>
      <c r="C1477">
        <v>90.16</v>
      </c>
      <c r="D1477">
        <v>15</v>
      </c>
      <c r="E1477" s="4" t="str">
        <f t="shared" si="138"/>
        <v>low sales</v>
      </c>
      <c r="F1477">
        <v>2254</v>
      </c>
      <c r="G1477" t="s">
        <v>2149</v>
      </c>
      <c r="H1477" s="1" t="str">
        <f t="shared" si="139"/>
        <v>Shipped</v>
      </c>
      <c r="I1477" s="4" t="str">
        <f t="shared" si="140"/>
        <v>completed</v>
      </c>
      <c r="J1477" t="s">
        <v>25</v>
      </c>
      <c r="K1477">
        <v>1</v>
      </c>
      <c r="L1477">
        <v>1</v>
      </c>
      <c r="M1477">
        <v>2004</v>
      </c>
      <c r="N1477" t="s">
        <v>26</v>
      </c>
      <c r="O1477">
        <v>112</v>
      </c>
      <c r="P1477" t="s">
        <v>622</v>
      </c>
      <c r="Q1477" t="s">
        <v>84</v>
      </c>
      <c r="R1477" t="s">
        <v>85</v>
      </c>
      <c r="S1477" t="s">
        <v>86</v>
      </c>
      <c r="U1477" s="1" t="str">
        <f t="shared" si="141"/>
        <v>Paris</v>
      </c>
      <c r="V1477" t="s">
        <v>48</v>
      </c>
      <c r="X1477">
        <v>75016</v>
      </c>
      <c r="Y1477" s="1" t="str">
        <f t="shared" si="142"/>
        <v>FRANCE</v>
      </c>
      <c r="Z1477" s="4" t="str">
        <f t="shared" si="143"/>
        <v>France</v>
      </c>
      <c r="AA1477" t="s">
        <v>41</v>
      </c>
      <c r="AB1477" t="s">
        <v>42</v>
      </c>
      <c r="AC1477" t="s">
        <v>87</v>
      </c>
      <c r="AD1477" t="s">
        <v>88</v>
      </c>
      <c r="AE1477" t="s">
        <v>36</v>
      </c>
    </row>
    <row r="1478" spans="1:31" x14ac:dyDescent="0.3">
      <c r="A1478">
        <v>10223</v>
      </c>
      <c r="B1478">
        <v>32</v>
      </c>
      <c r="C1478">
        <v>91.29</v>
      </c>
      <c r="D1478">
        <v>2</v>
      </c>
      <c r="E1478" s="4" t="str">
        <f t="shared" si="138"/>
        <v>low sales</v>
      </c>
      <c r="F1478">
        <v>2921.28</v>
      </c>
      <c r="G1478" t="s">
        <v>2150</v>
      </c>
      <c r="H1478" s="1" t="str">
        <f t="shared" si="139"/>
        <v>Shipped</v>
      </c>
      <c r="I1478" s="4" t="str">
        <f t="shared" si="140"/>
        <v>completed</v>
      </c>
      <c r="J1478" t="s">
        <v>25</v>
      </c>
      <c r="K1478">
        <v>1</v>
      </c>
      <c r="L1478">
        <v>2</v>
      </c>
      <c r="M1478">
        <v>2004</v>
      </c>
      <c r="N1478" t="s">
        <v>26</v>
      </c>
      <c r="O1478">
        <v>112</v>
      </c>
      <c r="P1478" t="s">
        <v>622</v>
      </c>
      <c r="Q1478" t="s">
        <v>89</v>
      </c>
      <c r="R1478" t="s">
        <v>90</v>
      </c>
      <c r="S1478" t="s">
        <v>91</v>
      </c>
      <c r="T1478" t="s">
        <v>92</v>
      </c>
      <c r="U1478" s="1" t="str">
        <f t="shared" si="141"/>
        <v>Melbourne</v>
      </c>
      <c r="V1478" t="s">
        <v>93</v>
      </c>
      <c r="W1478" t="s">
        <v>94</v>
      </c>
      <c r="X1478">
        <v>3004</v>
      </c>
      <c r="Y1478" s="1" t="str">
        <f t="shared" si="142"/>
        <v>AUSTRALIA</v>
      </c>
      <c r="Z1478" s="4" t="str">
        <f t="shared" si="143"/>
        <v>Australia</v>
      </c>
      <c r="AA1478" t="s">
        <v>95</v>
      </c>
      <c r="AB1478" t="s">
        <v>96</v>
      </c>
      <c r="AC1478" t="s">
        <v>97</v>
      </c>
      <c r="AD1478" t="s">
        <v>98</v>
      </c>
      <c r="AE1478" t="s">
        <v>36</v>
      </c>
    </row>
    <row r="1479" spans="1:31" x14ac:dyDescent="0.3">
      <c r="A1479">
        <v>10237</v>
      </c>
      <c r="B1479">
        <v>20</v>
      </c>
      <c r="C1479">
        <v>100</v>
      </c>
      <c r="D1479">
        <v>8</v>
      </c>
      <c r="E1479" s="4" t="str">
        <f t="shared" si="138"/>
        <v>low sales</v>
      </c>
      <c r="F1479">
        <v>2299</v>
      </c>
      <c r="G1479" t="s">
        <v>2151</v>
      </c>
      <c r="H1479" s="1" t="str">
        <f t="shared" si="139"/>
        <v>Shipped</v>
      </c>
      <c r="I1479" s="4" t="str">
        <f t="shared" si="140"/>
        <v>completed</v>
      </c>
      <c r="J1479" t="s">
        <v>25</v>
      </c>
      <c r="K1479">
        <v>2</v>
      </c>
      <c r="L1479">
        <v>4</v>
      </c>
      <c r="M1479">
        <v>2004</v>
      </c>
      <c r="N1479" t="s">
        <v>26</v>
      </c>
      <c r="O1479">
        <v>112</v>
      </c>
      <c r="P1479" t="s">
        <v>622</v>
      </c>
      <c r="Q1479" t="s">
        <v>99</v>
      </c>
      <c r="R1479">
        <v>2125551500</v>
      </c>
      <c r="S1479" t="s">
        <v>100</v>
      </c>
      <c r="T1479" t="s">
        <v>101</v>
      </c>
      <c r="U1479" s="1" t="str">
        <f t="shared" si="141"/>
        <v>Nyc</v>
      </c>
      <c r="V1479" t="s">
        <v>30</v>
      </c>
      <c r="W1479" t="s">
        <v>31</v>
      </c>
      <c r="X1479">
        <v>10022</v>
      </c>
      <c r="Y1479" s="1" t="str">
        <f t="shared" si="142"/>
        <v>USA</v>
      </c>
      <c r="Z1479" s="4" t="str">
        <f t="shared" si="143"/>
        <v>Usa</v>
      </c>
      <c r="AA1479" t="s">
        <v>32</v>
      </c>
      <c r="AB1479" t="s">
        <v>33</v>
      </c>
      <c r="AC1479" t="s">
        <v>102</v>
      </c>
      <c r="AD1479" t="s">
        <v>103</v>
      </c>
      <c r="AE1479" t="s">
        <v>36</v>
      </c>
    </row>
    <row r="1480" spans="1:31" x14ac:dyDescent="0.3">
      <c r="A1480">
        <v>10251</v>
      </c>
      <c r="B1480">
        <v>26</v>
      </c>
      <c r="C1480">
        <v>100</v>
      </c>
      <c r="D1480">
        <v>3</v>
      </c>
      <c r="E1480" s="4" t="str">
        <f t="shared" si="138"/>
        <v>low sales</v>
      </c>
      <c r="F1480">
        <v>2637.18</v>
      </c>
      <c r="G1480" t="s">
        <v>2152</v>
      </c>
      <c r="H1480" s="1" t="str">
        <f t="shared" si="139"/>
        <v>Shipped</v>
      </c>
      <c r="I1480" s="4" t="str">
        <f t="shared" si="140"/>
        <v>completed</v>
      </c>
      <c r="J1480" t="s">
        <v>25</v>
      </c>
      <c r="K1480">
        <v>2</v>
      </c>
      <c r="L1480">
        <v>5</v>
      </c>
      <c r="M1480">
        <v>2004</v>
      </c>
      <c r="N1480" t="s">
        <v>26</v>
      </c>
      <c r="O1480">
        <v>112</v>
      </c>
      <c r="P1480" t="s">
        <v>622</v>
      </c>
      <c r="Q1480" t="s">
        <v>104</v>
      </c>
      <c r="R1480">
        <v>2015559350</v>
      </c>
      <c r="S1480" t="s">
        <v>105</v>
      </c>
      <c r="U1480" s="1" t="str">
        <f t="shared" si="141"/>
        <v>Newark</v>
      </c>
      <c r="V1480" t="s">
        <v>106</v>
      </c>
      <c r="W1480" t="s">
        <v>107</v>
      </c>
      <c r="X1480">
        <v>94019</v>
      </c>
      <c r="Y1480" s="1" t="str">
        <f t="shared" si="142"/>
        <v>USA</v>
      </c>
      <c r="Z1480" s="4" t="str">
        <f t="shared" si="143"/>
        <v>Usa</v>
      </c>
      <c r="AA1480" t="s">
        <v>32</v>
      </c>
      <c r="AB1480" t="s">
        <v>33</v>
      </c>
      <c r="AC1480" t="s">
        <v>61</v>
      </c>
      <c r="AD1480" t="s">
        <v>108</v>
      </c>
      <c r="AE1480" t="s">
        <v>36</v>
      </c>
    </row>
    <row r="1481" spans="1:31" x14ac:dyDescent="0.3">
      <c r="A1481">
        <v>10263</v>
      </c>
      <c r="B1481">
        <v>42</v>
      </c>
      <c r="C1481">
        <v>100</v>
      </c>
      <c r="D1481">
        <v>3</v>
      </c>
      <c r="E1481" s="4" t="str">
        <f t="shared" si="138"/>
        <v>high sales</v>
      </c>
      <c r="F1481">
        <v>4307.5200000000004</v>
      </c>
      <c r="G1481" t="s">
        <v>2153</v>
      </c>
      <c r="H1481" s="1" t="str">
        <f t="shared" si="139"/>
        <v>Shipped</v>
      </c>
      <c r="I1481" s="4" t="str">
        <f t="shared" si="140"/>
        <v>completed</v>
      </c>
      <c r="J1481" t="s">
        <v>25</v>
      </c>
      <c r="K1481">
        <v>2</v>
      </c>
      <c r="L1481">
        <v>6</v>
      </c>
      <c r="M1481">
        <v>2004</v>
      </c>
      <c r="N1481" t="s">
        <v>26</v>
      </c>
      <c r="O1481">
        <v>112</v>
      </c>
      <c r="P1481" t="s">
        <v>622</v>
      </c>
      <c r="Q1481" t="s">
        <v>109</v>
      </c>
      <c r="R1481">
        <v>2035552570</v>
      </c>
      <c r="S1481" t="s">
        <v>110</v>
      </c>
      <c r="U1481" s="1" t="str">
        <f t="shared" si="141"/>
        <v>Bridgewater</v>
      </c>
      <c r="V1481" t="s">
        <v>111</v>
      </c>
      <c r="W1481" t="s">
        <v>112</v>
      </c>
      <c r="X1481">
        <v>97562</v>
      </c>
      <c r="Y1481" s="1" t="str">
        <f t="shared" si="142"/>
        <v>USA</v>
      </c>
      <c r="Z1481" s="4" t="str">
        <f t="shared" si="143"/>
        <v>Usa</v>
      </c>
      <c r="AA1481" t="s">
        <v>32</v>
      </c>
      <c r="AB1481" t="s">
        <v>33</v>
      </c>
      <c r="AC1481" t="s">
        <v>113</v>
      </c>
      <c r="AD1481" t="s">
        <v>57</v>
      </c>
      <c r="AE1481" t="s">
        <v>51</v>
      </c>
    </row>
    <row r="1482" spans="1:31" x14ac:dyDescent="0.3">
      <c r="A1482">
        <v>10275</v>
      </c>
      <c r="B1482">
        <v>21</v>
      </c>
      <c r="C1482">
        <v>100</v>
      </c>
      <c r="D1482">
        <v>2</v>
      </c>
      <c r="E1482" s="4" t="str">
        <f t="shared" si="138"/>
        <v>low sales</v>
      </c>
      <c r="F1482">
        <v>2153.7600000000002</v>
      </c>
      <c r="G1482" t="s">
        <v>2154</v>
      </c>
      <c r="H1482" s="1" t="str">
        <f t="shared" si="139"/>
        <v>Shipped</v>
      </c>
      <c r="I1482" s="4" t="str">
        <f t="shared" si="140"/>
        <v>completed</v>
      </c>
      <c r="J1482" t="s">
        <v>25</v>
      </c>
      <c r="K1482">
        <v>3</v>
      </c>
      <c r="L1482">
        <v>7</v>
      </c>
      <c r="M1482">
        <v>2004</v>
      </c>
      <c r="N1482" t="s">
        <v>26</v>
      </c>
      <c r="O1482">
        <v>112</v>
      </c>
      <c r="P1482" t="s">
        <v>622</v>
      </c>
      <c r="Q1482" t="s">
        <v>114</v>
      </c>
      <c r="R1482" t="s">
        <v>115</v>
      </c>
      <c r="S1482" t="s">
        <v>116</v>
      </c>
      <c r="U1482" s="1" t="str">
        <f t="shared" si="141"/>
        <v>Nantes</v>
      </c>
      <c r="V1482" t="s">
        <v>117</v>
      </c>
      <c r="X1482">
        <v>44000</v>
      </c>
      <c r="Y1482" s="1" t="str">
        <f t="shared" si="142"/>
        <v>FRANCE</v>
      </c>
      <c r="Z1482" s="4" t="str">
        <f t="shared" si="143"/>
        <v>France</v>
      </c>
      <c r="AA1482" t="s">
        <v>41</v>
      </c>
      <c r="AB1482" t="s">
        <v>42</v>
      </c>
      <c r="AC1482" t="s">
        <v>118</v>
      </c>
      <c r="AD1482" t="s">
        <v>119</v>
      </c>
      <c r="AE1482" t="s">
        <v>36</v>
      </c>
    </row>
    <row r="1483" spans="1:31" x14ac:dyDescent="0.3">
      <c r="A1483">
        <v>10285</v>
      </c>
      <c r="B1483">
        <v>34</v>
      </c>
      <c r="C1483">
        <v>100</v>
      </c>
      <c r="D1483">
        <v>7</v>
      </c>
      <c r="E1483" s="4" t="str">
        <f t="shared" si="138"/>
        <v>low sales</v>
      </c>
      <c r="F1483">
        <v>3716.88</v>
      </c>
      <c r="G1483" t="s">
        <v>2155</v>
      </c>
      <c r="H1483" s="1" t="str">
        <f t="shared" si="139"/>
        <v>Shipped</v>
      </c>
      <c r="I1483" s="4" t="str">
        <f t="shared" si="140"/>
        <v>completed</v>
      </c>
      <c r="J1483" t="s">
        <v>25</v>
      </c>
      <c r="K1483">
        <v>3</v>
      </c>
      <c r="L1483">
        <v>8</v>
      </c>
      <c r="M1483">
        <v>2004</v>
      </c>
      <c r="N1483" t="s">
        <v>26</v>
      </c>
      <c r="O1483">
        <v>112</v>
      </c>
      <c r="P1483" t="s">
        <v>622</v>
      </c>
      <c r="Q1483" t="s">
        <v>120</v>
      </c>
      <c r="R1483">
        <v>6175558555</v>
      </c>
      <c r="S1483" t="s">
        <v>121</v>
      </c>
      <c r="U1483" s="1" t="str">
        <f t="shared" si="141"/>
        <v>Cambridge</v>
      </c>
      <c r="V1483" t="s">
        <v>122</v>
      </c>
      <c r="W1483" t="s">
        <v>123</v>
      </c>
      <c r="X1483">
        <v>51247</v>
      </c>
      <c r="Y1483" s="1" t="str">
        <f t="shared" si="142"/>
        <v>USA</v>
      </c>
      <c r="Z1483" s="4" t="str">
        <f t="shared" si="143"/>
        <v>Usa</v>
      </c>
      <c r="AA1483" t="s">
        <v>32</v>
      </c>
      <c r="AB1483" t="s">
        <v>33</v>
      </c>
      <c r="AC1483" t="s">
        <v>124</v>
      </c>
      <c r="AD1483" t="s">
        <v>125</v>
      </c>
      <c r="AE1483" t="s">
        <v>51</v>
      </c>
    </row>
    <row r="1484" spans="1:31" x14ac:dyDescent="0.3">
      <c r="A1484">
        <v>10299</v>
      </c>
      <c r="B1484">
        <v>47</v>
      </c>
      <c r="C1484">
        <v>100</v>
      </c>
      <c r="D1484">
        <v>10</v>
      </c>
      <c r="E1484" s="4" t="str">
        <f t="shared" si="138"/>
        <v>high sales</v>
      </c>
      <c r="F1484">
        <v>5455.76</v>
      </c>
      <c r="G1484" t="s">
        <v>2156</v>
      </c>
      <c r="H1484" s="1" t="str">
        <f t="shared" si="139"/>
        <v>Shipped</v>
      </c>
      <c r="I1484" s="4" t="str">
        <f t="shared" si="140"/>
        <v>completed</v>
      </c>
      <c r="J1484" t="s">
        <v>25</v>
      </c>
      <c r="K1484">
        <v>3</v>
      </c>
      <c r="L1484">
        <v>9</v>
      </c>
      <c r="M1484">
        <v>2004</v>
      </c>
      <c r="N1484" t="s">
        <v>26</v>
      </c>
      <c r="O1484">
        <v>112</v>
      </c>
      <c r="P1484" t="s">
        <v>622</v>
      </c>
      <c r="Q1484" t="s">
        <v>126</v>
      </c>
      <c r="R1484" t="s">
        <v>127</v>
      </c>
      <c r="S1484" t="s">
        <v>128</v>
      </c>
      <c r="U1484" s="1" t="str">
        <f t="shared" si="141"/>
        <v>Helsinki</v>
      </c>
      <c r="V1484" t="s">
        <v>129</v>
      </c>
      <c r="X1484">
        <v>21240</v>
      </c>
      <c r="Y1484" s="1" t="str">
        <f t="shared" si="142"/>
        <v>FINLAND</v>
      </c>
      <c r="Z1484" s="4" t="str">
        <f t="shared" si="143"/>
        <v>Finland</v>
      </c>
      <c r="AA1484" t="s">
        <v>130</v>
      </c>
      <c r="AB1484" t="s">
        <v>42</v>
      </c>
      <c r="AC1484" t="s">
        <v>131</v>
      </c>
      <c r="AD1484" t="s">
        <v>132</v>
      </c>
      <c r="AE1484" t="s">
        <v>51</v>
      </c>
    </row>
    <row r="1485" spans="1:31" x14ac:dyDescent="0.3">
      <c r="A1485">
        <v>10309</v>
      </c>
      <c r="B1485">
        <v>21</v>
      </c>
      <c r="C1485">
        <v>100</v>
      </c>
      <c r="D1485">
        <v>6</v>
      </c>
      <c r="E1485" s="4" t="str">
        <f t="shared" si="138"/>
        <v>low sales</v>
      </c>
      <c r="F1485">
        <v>2650.62</v>
      </c>
      <c r="G1485" t="s">
        <v>2157</v>
      </c>
      <c r="H1485" s="1" t="str">
        <f t="shared" si="139"/>
        <v>Shipped</v>
      </c>
      <c r="I1485" s="4" t="str">
        <f t="shared" si="140"/>
        <v>completed</v>
      </c>
      <c r="J1485" t="s">
        <v>25</v>
      </c>
      <c r="K1485">
        <v>4</v>
      </c>
      <c r="L1485">
        <v>10</v>
      </c>
      <c r="M1485">
        <v>2004</v>
      </c>
      <c r="N1485" t="s">
        <v>26</v>
      </c>
      <c r="O1485">
        <v>112</v>
      </c>
      <c r="P1485" t="s">
        <v>622</v>
      </c>
      <c r="Q1485" t="s">
        <v>133</v>
      </c>
      <c r="R1485" t="s">
        <v>134</v>
      </c>
      <c r="S1485" t="s">
        <v>135</v>
      </c>
      <c r="U1485" s="1" t="str">
        <f t="shared" si="141"/>
        <v>Stavern</v>
      </c>
      <c r="V1485" t="s">
        <v>136</v>
      </c>
      <c r="X1485">
        <v>4110</v>
      </c>
      <c r="Y1485" s="1" t="str">
        <f t="shared" si="142"/>
        <v>NORWAY</v>
      </c>
      <c r="Z1485" s="4" t="str">
        <f t="shared" si="143"/>
        <v>Norway</v>
      </c>
      <c r="AA1485" t="s">
        <v>78</v>
      </c>
      <c r="AB1485" t="s">
        <v>42</v>
      </c>
      <c r="AC1485" t="s">
        <v>137</v>
      </c>
      <c r="AD1485" t="s">
        <v>138</v>
      </c>
      <c r="AE1485" t="s">
        <v>36</v>
      </c>
    </row>
    <row r="1486" spans="1:31" x14ac:dyDescent="0.3">
      <c r="A1486">
        <v>10318</v>
      </c>
      <c r="B1486">
        <v>48</v>
      </c>
      <c r="C1486">
        <v>100</v>
      </c>
      <c r="D1486">
        <v>2</v>
      </c>
      <c r="E1486" s="4" t="str">
        <f t="shared" si="138"/>
        <v>high sales</v>
      </c>
      <c r="F1486">
        <v>6437.28</v>
      </c>
      <c r="G1486" t="s">
        <v>2158</v>
      </c>
      <c r="H1486" s="1" t="str">
        <f t="shared" si="139"/>
        <v>Shipped</v>
      </c>
      <c r="I1486" s="4" t="str">
        <f t="shared" si="140"/>
        <v>completed</v>
      </c>
      <c r="J1486" t="s">
        <v>25</v>
      </c>
      <c r="K1486">
        <v>4</v>
      </c>
      <c r="L1486">
        <v>11</v>
      </c>
      <c r="M1486">
        <v>2004</v>
      </c>
      <c r="N1486" t="s">
        <v>26</v>
      </c>
      <c r="O1486">
        <v>112</v>
      </c>
      <c r="P1486" t="s">
        <v>622</v>
      </c>
      <c r="Q1486" t="s">
        <v>139</v>
      </c>
      <c r="R1486">
        <v>2155551555</v>
      </c>
      <c r="S1486" t="s">
        <v>140</v>
      </c>
      <c r="U1486" s="1" t="str">
        <f t="shared" si="141"/>
        <v>Allentown</v>
      </c>
      <c r="V1486" t="s">
        <v>141</v>
      </c>
      <c r="W1486" t="s">
        <v>142</v>
      </c>
      <c r="X1486">
        <v>70267</v>
      </c>
      <c r="Y1486" s="1" t="str">
        <f t="shared" si="142"/>
        <v>USA</v>
      </c>
      <c r="Z1486" s="4" t="str">
        <f t="shared" si="143"/>
        <v>Usa</v>
      </c>
      <c r="AA1486" t="s">
        <v>32</v>
      </c>
      <c r="AB1486" t="s">
        <v>33</v>
      </c>
      <c r="AC1486" t="s">
        <v>34</v>
      </c>
      <c r="AD1486" t="s">
        <v>143</v>
      </c>
      <c r="AE1486" t="s">
        <v>51</v>
      </c>
    </row>
    <row r="1487" spans="1:31" x14ac:dyDescent="0.3">
      <c r="A1487">
        <v>10329</v>
      </c>
      <c r="B1487">
        <v>30</v>
      </c>
      <c r="C1487">
        <v>87.78</v>
      </c>
      <c r="D1487">
        <v>7</v>
      </c>
      <c r="E1487" s="4" t="str">
        <f t="shared" si="138"/>
        <v>low sales</v>
      </c>
      <c r="F1487">
        <v>2633.4</v>
      </c>
      <c r="G1487" t="s">
        <v>2159</v>
      </c>
      <c r="H1487" s="1" t="str">
        <f t="shared" si="139"/>
        <v>Shipped</v>
      </c>
      <c r="I1487" s="4" t="str">
        <f t="shared" si="140"/>
        <v>completed</v>
      </c>
      <c r="J1487" t="s">
        <v>25</v>
      </c>
      <c r="K1487">
        <v>4</v>
      </c>
      <c r="L1487">
        <v>11</v>
      </c>
      <c r="M1487">
        <v>2004</v>
      </c>
      <c r="N1487" t="s">
        <v>26</v>
      </c>
      <c r="O1487">
        <v>112</v>
      </c>
      <c r="P1487" t="s">
        <v>622</v>
      </c>
      <c r="Q1487" t="s">
        <v>28</v>
      </c>
      <c r="R1487">
        <v>2125557818</v>
      </c>
      <c r="S1487" t="s">
        <v>29</v>
      </c>
      <c r="U1487" s="1" t="str">
        <f t="shared" si="141"/>
        <v>Nyc</v>
      </c>
      <c r="V1487" t="s">
        <v>30</v>
      </c>
      <c r="W1487" t="s">
        <v>31</v>
      </c>
      <c r="X1487">
        <v>10022</v>
      </c>
      <c r="Y1487" s="1" t="str">
        <f t="shared" si="142"/>
        <v>USA</v>
      </c>
      <c r="Z1487" s="4" t="str">
        <f t="shared" si="143"/>
        <v>Usa</v>
      </c>
      <c r="AA1487" t="s">
        <v>32</v>
      </c>
      <c r="AB1487" t="s">
        <v>33</v>
      </c>
      <c r="AC1487" t="s">
        <v>34</v>
      </c>
      <c r="AD1487" t="s">
        <v>35</v>
      </c>
      <c r="AE1487" t="s">
        <v>36</v>
      </c>
    </row>
    <row r="1488" spans="1:31" x14ac:dyDescent="0.3">
      <c r="A1488">
        <v>10339</v>
      </c>
      <c r="B1488">
        <v>27</v>
      </c>
      <c r="C1488">
        <v>84.39</v>
      </c>
      <c r="D1488">
        <v>10</v>
      </c>
      <c r="E1488" s="4" t="str">
        <f t="shared" si="138"/>
        <v>low sales</v>
      </c>
      <c r="F1488">
        <v>2278.5300000000002</v>
      </c>
      <c r="G1488" t="s">
        <v>2160</v>
      </c>
      <c r="H1488" s="1" t="str">
        <f t="shared" si="139"/>
        <v>Shipped</v>
      </c>
      <c r="I1488" s="4" t="str">
        <f t="shared" si="140"/>
        <v>completed</v>
      </c>
      <c r="J1488" t="s">
        <v>25</v>
      </c>
      <c r="K1488">
        <v>4</v>
      </c>
      <c r="L1488">
        <v>11</v>
      </c>
      <c r="M1488">
        <v>2004</v>
      </c>
      <c r="N1488" t="s">
        <v>26</v>
      </c>
      <c r="O1488">
        <v>112</v>
      </c>
      <c r="P1488" t="s">
        <v>622</v>
      </c>
      <c r="Q1488" t="s">
        <v>246</v>
      </c>
      <c r="R1488" t="s">
        <v>247</v>
      </c>
      <c r="S1488" t="s">
        <v>248</v>
      </c>
      <c r="U1488" s="1" t="str">
        <f t="shared" si="141"/>
        <v>Minato-Ku</v>
      </c>
      <c r="V1488" t="s">
        <v>249</v>
      </c>
      <c r="W1488" t="s">
        <v>250</v>
      </c>
      <c r="X1488" t="s">
        <v>251</v>
      </c>
      <c r="Y1488" s="1" t="str">
        <f t="shared" si="142"/>
        <v>JAPAN</v>
      </c>
      <c r="Z1488" s="4" t="str">
        <f t="shared" si="143"/>
        <v>Japan</v>
      </c>
      <c r="AA1488" t="s">
        <v>200</v>
      </c>
      <c r="AB1488" t="s">
        <v>200</v>
      </c>
      <c r="AC1488" t="s">
        <v>252</v>
      </c>
      <c r="AD1488" t="s">
        <v>253</v>
      </c>
      <c r="AE1488" t="s">
        <v>36</v>
      </c>
    </row>
    <row r="1489" spans="1:31" x14ac:dyDescent="0.3">
      <c r="A1489">
        <v>10362</v>
      </c>
      <c r="B1489">
        <v>50</v>
      </c>
      <c r="C1489">
        <v>96.92</v>
      </c>
      <c r="D1489">
        <v>2</v>
      </c>
      <c r="E1489" s="4" t="str">
        <f t="shared" si="138"/>
        <v>high sales</v>
      </c>
      <c r="F1489">
        <v>4846</v>
      </c>
      <c r="G1489" t="s">
        <v>2161</v>
      </c>
      <c r="H1489" s="1" t="str">
        <f t="shared" si="139"/>
        <v>Shipped</v>
      </c>
      <c r="I1489" s="4" t="str">
        <f t="shared" si="140"/>
        <v>completed</v>
      </c>
      <c r="J1489" t="s">
        <v>25</v>
      </c>
      <c r="K1489">
        <v>1</v>
      </c>
      <c r="L1489">
        <v>1</v>
      </c>
      <c r="M1489">
        <v>2005</v>
      </c>
      <c r="N1489" t="s">
        <v>26</v>
      </c>
      <c r="O1489">
        <v>112</v>
      </c>
      <c r="P1489" t="s">
        <v>622</v>
      </c>
      <c r="Q1489" t="s">
        <v>62</v>
      </c>
      <c r="R1489">
        <v>6505556809</v>
      </c>
      <c r="S1489" t="s">
        <v>63</v>
      </c>
      <c r="U1489" s="1" t="str">
        <f t="shared" si="141"/>
        <v>Burlingame</v>
      </c>
      <c r="V1489" t="s">
        <v>64</v>
      </c>
      <c r="W1489" t="s">
        <v>55</v>
      </c>
      <c r="X1489">
        <v>94217</v>
      </c>
      <c r="Y1489" s="1" t="str">
        <f t="shared" si="142"/>
        <v>USA</v>
      </c>
      <c r="Z1489" s="4" t="str">
        <f t="shared" si="143"/>
        <v>Usa</v>
      </c>
      <c r="AA1489" t="s">
        <v>32</v>
      </c>
      <c r="AB1489" t="s">
        <v>33</v>
      </c>
      <c r="AC1489" t="s">
        <v>65</v>
      </c>
      <c r="AD1489" t="s">
        <v>66</v>
      </c>
      <c r="AE1489" t="s">
        <v>51</v>
      </c>
    </row>
    <row r="1490" spans="1:31" x14ac:dyDescent="0.3">
      <c r="A1490">
        <v>10374</v>
      </c>
      <c r="B1490">
        <v>38</v>
      </c>
      <c r="C1490">
        <v>100</v>
      </c>
      <c r="D1490">
        <v>6</v>
      </c>
      <c r="E1490" s="4" t="str">
        <f t="shared" si="138"/>
        <v>high sales</v>
      </c>
      <c r="F1490">
        <v>4197.1000000000004</v>
      </c>
      <c r="G1490" t="s">
        <v>2162</v>
      </c>
      <c r="H1490" s="1" t="str">
        <f t="shared" si="139"/>
        <v>Shipped</v>
      </c>
      <c r="I1490" s="4" t="str">
        <f t="shared" si="140"/>
        <v>completed</v>
      </c>
      <c r="J1490" t="s">
        <v>25</v>
      </c>
      <c r="K1490">
        <v>1</v>
      </c>
      <c r="L1490">
        <v>2</v>
      </c>
      <c r="M1490">
        <v>2005</v>
      </c>
      <c r="N1490" t="s">
        <v>26</v>
      </c>
      <c r="O1490">
        <v>112</v>
      </c>
      <c r="P1490" t="s">
        <v>622</v>
      </c>
      <c r="Q1490" t="s">
        <v>207</v>
      </c>
      <c r="R1490" t="s">
        <v>208</v>
      </c>
      <c r="S1490" t="s">
        <v>209</v>
      </c>
      <c r="U1490" s="1" t="str">
        <f t="shared" si="141"/>
        <v>South Brisbane</v>
      </c>
      <c r="V1490" t="s">
        <v>210</v>
      </c>
      <c r="W1490" t="s">
        <v>211</v>
      </c>
      <c r="X1490">
        <v>4101</v>
      </c>
      <c r="Y1490" s="1" t="str">
        <f t="shared" si="142"/>
        <v>AUSTRALIA</v>
      </c>
      <c r="Z1490" s="4" t="str">
        <f t="shared" si="143"/>
        <v>Australia</v>
      </c>
      <c r="AA1490" t="s">
        <v>95</v>
      </c>
      <c r="AB1490" t="s">
        <v>96</v>
      </c>
      <c r="AC1490" t="s">
        <v>212</v>
      </c>
      <c r="AD1490" t="s">
        <v>213</v>
      </c>
      <c r="AE1490" t="s">
        <v>51</v>
      </c>
    </row>
    <row r="1491" spans="1:31" x14ac:dyDescent="0.3">
      <c r="A1491">
        <v>10389</v>
      </c>
      <c r="B1491">
        <v>45</v>
      </c>
      <c r="C1491">
        <v>100</v>
      </c>
      <c r="D1491">
        <v>1</v>
      </c>
      <c r="E1491" s="4" t="str">
        <f t="shared" si="138"/>
        <v>high sales</v>
      </c>
      <c r="F1491">
        <v>4597.6499999999996</v>
      </c>
      <c r="G1491" t="s">
        <v>2163</v>
      </c>
      <c r="H1491" s="1" t="str">
        <f t="shared" si="139"/>
        <v>Shipped</v>
      </c>
      <c r="I1491" s="4" t="str">
        <f t="shared" si="140"/>
        <v>completed</v>
      </c>
      <c r="J1491" t="s">
        <v>25</v>
      </c>
      <c r="K1491">
        <v>1</v>
      </c>
      <c r="L1491">
        <v>3</v>
      </c>
      <c r="M1491">
        <v>2005</v>
      </c>
      <c r="N1491" t="s">
        <v>26</v>
      </c>
      <c r="O1491">
        <v>112</v>
      </c>
      <c r="P1491" t="s">
        <v>622</v>
      </c>
      <c r="Q1491" t="s">
        <v>261</v>
      </c>
      <c r="R1491" t="s">
        <v>262</v>
      </c>
      <c r="S1491" t="s">
        <v>263</v>
      </c>
      <c r="U1491" s="1" t="str">
        <f t="shared" si="141"/>
        <v>Boras</v>
      </c>
      <c r="V1491" t="s">
        <v>264</v>
      </c>
      <c r="X1491" t="s">
        <v>265</v>
      </c>
      <c r="Y1491" s="1" t="str">
        <f t="shared" si="142"/>
        <v>SWEDEN</v>
      </c>
      <c r="Z1491" s="4" t="str">
        <f t="shared" si="143"/>
        <v>Sweden</v>
      </c>
      <c r="AA1491" t="s">
        <v>188</v>
      </c>
      <c r="AB1491" t="s">
        <v>42</v>
      </c>
      <c r="AC1491" t="s">
        <v>266</v>
      </c>
      <c r="AD1491" t="s">
        <v>206</v>
      </c>
      <c r="AE1491" t="s">
        <v>51</v>
      </c>
    </row>
    <row r="1492" spans="1:31" x14ac:dyDescent="0.3">
      <c r="A1492">
        <v>10403</v>
      </c>
      <c r="B1492">
        <v>46</v>
      </c>
      <c r="C1492">
        <v>100</v>
      </c>
      <c r="D1492">
        <v>8</v>
      </c>
      <c r="E1492" s="4" t="str">
        <f t="shared" si="138"/>
        <v>high sales</v>
      </c>
      <c r="F1492">
        <v>5287.7</v>
      </c>
      <c r="G1492" t="s">
        <v>2164</v>
      </c>
      <c r="H1492" s="1" t="str">
        <f t="shared" si="139"/>
        <v>Shipped</v>
      </c>
      <c r="I1492" s="4" t="str">
        <f t="shared" si="140"/>
        <v>completed</v>
      </c>
      <c r="J1492" t="s">
        <v>25</v>
      </c>
      <c r="K1492">
        <v>2</v>
      </c>
      <c r="L1492">
        <v>4</v>
      </c>
      <c r="M1492">
        <v>2005</v>
      </c>
      <c r="N1492" t="s">
        <v>26</v>
      </c>
      <c r="O1492">
        <v>112</v>
      </c>
      <c r="P1492" t="s">
        <v>622</v>
      </c>
      <c r="Q1492" t="s">
        <v>165</v>
      </c>
      <c r="R1492" t="s">
        <v>166</v>
      </c>
      <c r="S1492" t="s">
        <v>167</v>
      </c>
      <c r="U1492" s="1" t="str">
        <f t="shared" si="141"/>
        <v>Liverpool</v>
      </c>
      <c r="V1492" t="s">
        <v>168</v>
      </c>
      <c r="X1492" t="s">
        <v>169</v>
      </c>
      <c r="Y1492" s="1" t="str">
        <f t="shared" si="142"/>
        <v>UK</v>
      </c>
      <c r="Z1492" s="4" t="str">
        <f t="shared" si="143"/>
        <v>Uk</v>
      </c>
      <c r="AA1492" t="s">
        <v>170</v>
      </c>
      <c r="AB1492" t="s">
        <v>42</v>
      </c>
      <c r="AC1492" t="s">
        <v>171</v>
      </c>
      <c r="AD1492" t="s">
        <v>172</v>
      </c>
      <c r="AE1492" t="s">
        <v>51</v>
      </c>
    </row>
    <row r="1493" spans="1:31" x14ac:dyDescent="0.3">
      <c r="A1493">
        <v>10417</v>
      </c>
      <c r="B1493">
        <v>35</v>
      </c>
      <c r="C1493">
        <v>100</v>
      </c>
      <c r="D1493">
        <v>3</v>
      </c>
      <c r="E1493" s="4" t="str">
        <f t="shared" si="138"/>
        <v>low sales</v>
      </c>
      <c r="F1493">
        <v>3550.05</v>
      </c>
      <c r="G1493" t="s">
        <v>2165</v>
      </c>
      <c r="H1493" s="1" t="str">
        <f t="shared" si="139"/>
        <v>Disputed</v>
      </c>
      <c r="I1493" s="4" t="str">
        <f t="shared" si="140"/>
        <v>not completed</v>
      </c>
      <c r="J1493" t="s">
        <v>173</v>
      </c>
      <c r="K1493">
        <v>2</v>
      </c>
      <c r="L1493">
        <v>5</v>
      </c>
      <c r="M1493">
        <v>2005</v>
      </c>
      <c r="N1493" t="s">
        <v>26</v>
      </c>
      <c r="O1493">
        <v>112</v>
      </c>
      <c r="P1493" t="s">
        <v>622</v>
      </c>
      <c r="Q1493" t="s">
        <v>174</v>
      </c>
      <c r="R1493" t="s">
        <v>175</v>
      </c>
      <c r="S1493" t="s">
        <v>176</v>
      </c>
      <c r="U1493" s="1" t="str">
        <f t="shared" si="141"/>
        <v>Madrid</v>
      </c>
      <c r="V1493" t="s">
        <v>177</v>
      </c>
      <c r="X1493">
        <v>28034</v>
      </c>
      <c r="Y1493" s="1" t="str">
        <f t="shared" si="142"/>
        <v>SPAIN</v>
      </c>
      <c r="Z1493" s="4" t="str">
        <f t="shared" si="143"/>
        <v>Spain</v>
      </c>
      <c r="AA1493" t="s">
        <v>178</v>
      </c>
      <c r="AB1493" t="s">
        <v>42</v>
      </c>
      <c r="AC1493" t="s">
        <v>179</v>
      </c>
      <c r="AD1493" t="s">
        <v>180</v>
      </c>
      <c r="AE1493" t="s">
        <v>51</v>
      </c>
    </row>
    <row r="1494" spans="1:31" x14ac:dyDescent="0.3">
      <c r="A1494">
        <v>10110</v>
      </c>
      <c r="B1494">
        <v>29</v>
      </c>
      <c r="C1494">
        <v>59.37</v>
      </c>
      <c r="D1494">
        <v>15</v>
      </c>
      <c r="E1494" s="4" t="str">
        <f t="shared" si="138"/>
        <v>low sales</v>
      </c>
      <c r="F1494">
        <v>1721.73</v>
      </c>
      <c r="G1494" t="s">
        <v>2166</v>
      </c>
      <c r="H1494" s="1" t="str">
        <f t="shared" si="139"/>
        <v>Shipped</v>
      </c>
      <c r="I1494" s="4" t="str">
        <f t="shared" si="140"/>
        <v>completed</v>
      </c>
      <c r="J1494" t="s">
        <v>25</v>
      </c>
      <c r="K1494">
        <v>1</v>
      </c>
      <c r="L1494">
        <v>3</v>
      </c>
      <c r="M1494">
        <v>2003</v>
      </c>
      <c r="N1494" t="s">
        <v>181</v>
      </c>
      <c r="O1494">
        <v>50</v>
      </c>
      <c r="P1494" t="s">
        <v>623</v>
      </c>
      <c r="Q1494" t="s">
        <v>492</v>
      </c>
      <c r="R1494" t="s">
        <v>493</v>
      </c>
      <c r="S1494" t="s">
        <v>494</v>
      </c>
      <c r="U1494" s="1" t="str">
        <f t="shared" si="141"/>
        <v>Manchester</v>
      </c>
      <c r="V1494" t="s">
        <v>495</v>
      </c>
      <c r="X1494" t="s">
        <v>496</v>
      </c>
      <c r="Y1494" s="1" t="str">
        <f t="shared" si="142"/>
        <v>UK</v>
      </c>
      <c r="Z1494" s="4" t="str">
        <f t="shared" si="143"/>
        <v>Uk</v>
      </c>
      <c r="AA1494" t="s">
        <v>170</v>
      </c>
      <c r="AB1494" t="s">
        <v>42</v>
      </c>
      <c r="AC1494" t="s">
        <v>497</v>
      </c>
      <c r="AD1494" t="s">
        <v>94</v>
      </c>
      <c r="AE1494" t="s">
        <v>36</v>
      </c>
    </row>
    <row r="1495" spans="1:31" x14ac:dyDescent="0.3">
      <c r="A1495">
        <v>10123</v>
      </c>
      <c r="B1495">
        <v>50</v>
      </c>
      <c r="C1495">
        <v>59.87</v>
      </c>
      <c r="D1495">
        <v>1</v>
      </c>
      <c r="E1495" s="4" t="str">
        <f t="shared" si="138"/>
        <v>low sales</v>
      </c>
      <c r="F1495">
        <v>2993.5</v>
      </c>
      <c r="G1495" t="s">
        <v>2167</v>
      </c>
      <c r="H1495" s="1" t="str">
        <f t="shared" si="139"/>
        <v>Shipped</v>
      </c>
      <c r="I1495" s="4" t="str">
        <f t="shared" si="140"/>
        <v>completed</v>
      </c>
      <c r="J1495" t="s">
        <v>25</v>
      </c>
      <c r="K1495">
        <v>2</v>
      </c>
      <c r="L1495">
        <v>5</v>
      </c>
      <c r="M1495">
        <v>2003</v>
      </c>
      <c r="N1495" t="s">
        <v>181</v>
      </c>
      <c r="O1495">
        <v>50</v>
      </c>
      <c r="P1495" t="s">
        <v>623</v>
      </c>
      <c r="Q1495" t="s">
        <v>312</v>
      </c>
      <c r="R1495" t="s">
        <v>313</v>
      </c>
      <c r="S1495" t="s">
        <v>314</v>
      </c>
      <c r="U1495" s="1" t="str">
        <f t="shared" si="141"/>
        <v>Nantes</v>
      </c>
      <c r="V1495" t="s">
        <v>117</v>
      </c>
      <c r="X1495">
        <v>44000</v>
      </c>
      <c r="Y1495" s="1" t="str">
        <f t="shared" si="142"/>
        <v>FRANCE</v>
      </c>
      <c r="Z1495" s="4" t="str">
        <f t="shared" si="143"/>
        <v>France</v>
      </c>
      <c r="AA1495" t="s">
        <v>41</v>
      </c>
      <c r="AB1495" t="s">
        <v>42</v>
      </c>
      <c r="AC1495" t="s">
        <v>315</v>
      </c>
      <c r="AD1495" t="s">
        <v>316</v>
      </c>
      <c r="AE1495" t="s">
        <v>36</v>
      </c>
    </row>
    <row r="1496" spans="1:31" x14ac:dyDescent="0.3">
      <c r="A1496">
        <v>10137</v>
      </c>
      <c r="B1496">
        <v>26</v>
      </c>
      <c r="C1496">
        <v>49.81</v>
      </c>
      <c r="D1496">
        <v>1</v>
      </c>
      <c r="E1496" s="4" t="str">
        <f t="shared" si="138"/>
        <v>low sales</v>
      </c>
      <c r="F1496">
        <v>1295.06</v>
      </c>
      <c r="G1496" t="s">
        <v>2168</v>
      </c>
      <c r="H1496" s="1" t="str">
        <f t="shared" si="139"/>
        <v>Shipped</v>
      </c>
      <c r="I1496" s="4" t="str">
        <f t="shared" si="140"/>
        <v>completed</v>
      </c>
      <c r="J1496" t="s">
        <v>25</v>
      </c>
      <c r="K1496">
        <v>3</v>
      </c>
      <c r="L1496">
        <v>7</v>
      </c>
      <c r="M1496">
        <v>2003</v>
      </c>
      <c r="N1496" t="s">
        <v>181</v>
      </c>
      <c r="O1496">
        <v>50</v>
      </c>
      <c r="P1496" t="s">
        <v>623</v>
      </c>
      <c r="Q1496" t="s">
        <v>37</v>
      </c>
      <c r="R1496" t="s">
        <v>38</v>
      </c>
      <c r="S1496" t="s">
        <v>39</v>
      </c>
      <c r="U1496" s="1" t="str">
        <f t="shared" si="141"/>
        <v>Reims</v>
      </c>
      <c r="V1496" t="s">
        <v>40</v>
      </c>
      <c r="X1496">
        <v>51100</v>
      </c>
      <c r="Y1496" s="1" t="str">
        <f t="shared" si="142"/>
        <v>FRANCE</v>
      </c>
      <c r="Z1496" s="4" t="str">
        <f t="shared" si="143"/>
        <v>France</v>
      </c>
      <c r="AA1496" t="s">
        <v>41</v>
      </c>
      <c r="AB1496" t="s">
        <v>42</v>
      </c>
      <c r="AC1496" t="s">
        <v>43</v>
      </c>
      <c r="AD1496" t="s">
        <v>44</v>
      </c>
      <c r="AE1496" t="s">
        <v>36</v>
      </c>
    </row>
    <row r="1497" spans="1:31" x14ac:dyDescent="0.3">
      <c r="A1497">
        <v>10148</v>
      </c>
      <c r="B1497">
        <v>47</v>
      </c>
      <c r="C1497">
        <v>56.85</v>
      </c>
      <c r="D1497">
        <v>8</v>
      </c>
      <c r="E1497" s="4" t="str">
        <f t="shared" si="138"/>
        <v>low sales</v>
      </c>
      <c r="F1497">
        <v>2671.95</v>
      </c>
      <c r="G1497" t="s">
        <v>2169</v>
      </c>
      <c r="H1497" s="1" t="str">
        <f t="shared" si="139"/>
        <v>Shipped</v>
      </c>
      <c r="I1497" s="4" t="str">
        <f t="shared" si="140"/>
        <v>completed</v>
      </c>
      <c r="J1497" t="s">
        <v>25</v>
      </c>
      <c r="K1497">
        <v>3</v>
      </c>
      <c r="L1497">
        <v>9</v>
      </c>
      <c r="M1497">
        <v>2003</v>
      </c>
      <c r="N1497" t="s">
        <v>181</v>
      </c>
      <c r="O1497">
        <v>50</v>
      </c>
      <c r="P1497" t="s">
        <v>623</v>
      </c>
      <c r="Q1497" t="s">
        <v>285</v>
      </c>
      <c r="R1497" t="s">
        <v>286</v>
      </c>
      <c r="S1497" t="s">
        <v>287</v>
      </c>
      <c r="T1497" t="s">
        <v>288</v>
      </c>
      <c r="U1497" s="1" t="str">
        <f t="shared" si="141"/>
        <v>North Sydney</v>
      </c>
      <c r="V1497" t="s">
        <v>289</v>
      </c>
      <c r="W1497" t="s">
        <v>157</v>
      </c>
      <c r="X1497">
        <v>2060</v>
      </c>
      <c r="Y1497" s="1" t="str">
        <f t="shared" si="142"/>
        <v>AUSTRALIA</v>
      </c>
      <c r="Z1497" s="4" t="str">
        <f t="shared" si="143"/>
        <v>Australia</v>
      </c>
      <c r="AA1497" t="s">
        <v>95</v>
      </c>
      <c r="AB1497" t="s">
        <v>96</v>
      </c>
      <c r="AC1497" t="s">
        <v>290</v>
      </c>
      <c r="AD1497" t="s">
        <v>291</v>
      </c>
      <c r="AE1497" t="s">
        <v>36</v>
      </c>
    </row>
    <row r="1498" spans="1:31" x14ac:dyDescent="0.3">
      <c r="A1498">
        <v>10161</v>
      </c>
      <c r="B1498">
        <v>23</v>
      </c>
      <c r="C1498">
        <v>53.33</v>
      </c>
      <c r="D1498">
        <v>7</v>
      </c>
      <c r="E1498" s="4" t="str">
        <f t="shared" si="138"/>
        <v>low sales</v>
      </c>
      <c r="F1498">
        <v>1226.5899999999999</v>
      </c>
      <c r="G1498" t="s">
        <v>2170</v>
      </c>
      <c r="H1498" s="1" t="str">
        <f t="shared" si="139"/>
        <v>Shipped</v>
      </c>
      <c r="I1498" s="4" t="str">
        <f t="shared" si="140"/>
        <v>completed</v>
      </c>
      <c r="J1498" t="s">
        <v>25</v>
      </c>
      <c r="K1498">
        <v>4</v>
      </c>
      <c r="L1498">
        <v>10</v>
      </c>
      <c r="M1498">
        <v>2003</v>
      </c>
      <c r="N1498" t="s">
        <v>181</v>
      </c>
      <c r="O1498">
        <v>50</v>
      </c>
      <c r="P1498" t="s">
        <v>623</v>
      </c>
      <c r="Q1498" t="s">
        <v>498</v>
      </c>
      <c r="R1498" t="s">
        <v>499</v>
      </c>
      <c r="S1498" t="s">
        <v>500</v>
      </c>
      <c r="U1498" s="1" t="str">
        <f t="shared" si="141"/>
        <v>Aaarhus</v>
      </c>
      <c r="V1498" t="s">
        <v>501</v>
      </c>
      <c r="X1498">
        <v>8200</v>
      </c>
      <c r="Y1498" s="1" t="str">
        <f t="shared" si="142"/>
        <v>DENMARK</v>
      </c>
      <c r="Z1498" s="4" t="str">
        <f t="shared" si="143"/>
        <v>Denmark</v>
      </c>
      <c r="AA1498" t="s">
        <v>326</v>
      </c>
      <c r="AB1498" t="s">
        <v>42</v>
      </c>
      <c r="AC1498" t="s">
        <v>502</v>
      </c>
      <c r="AD1498" t="s">
        <v>503</v>
      </c>
      <c r="AE1498" t="s">
        <v>36</v>
      </c>
    </row>
    <row r="1499" spans="1:31" x14ac:dyDescent="0.3">
      <c r="A1499">
        <v>10172</v>
      </c>
      <c r="B1499">
        <v>34</v>
      </c>
      <c r="C1499">
        <v>42.76</v>
      </c>
      <c r="D1499">
        <v>5</v>
      </c>
      <c r="E1499" s="4" t="str">
        <f t="shared" si="138"/>
        <v>low sales</v>
      </c>
      <c r="F1499">
        <v>1453.84</v>
      </c>
      <c r="G1499" t="s">
        <v>2171</v>
      </c>
      <c r="H1499" s="1" t="str">
        <f t="shared" si="139"/>
        <v>Shipped</v>
      </c>
      <c r="I1499" s="4" t="str">
        <f t="shared" si="140"/>
        <v>completed</v>
      </c>
      <c r="J1499" t="s">
        <v>25</v>
      </c>
      <c r="K1499">
        <v>4</v>
      </c>
      <c r="L1499">
        <v>11</v>
      </c>
      <c r="M1499">
        <v>2003</v>
      </c>
      <c r="N1499" t="s">
        <v>181</v>
      </c>
      <c r="O1499">
        <v>50</v>
      </c>
      <c r="P1499" t="s">
        <v>623</v>
      </c>
      <c r="Q1499" t="s">
        <v>109</v>
      </c>
      <c r="R1499">
        <v>2035552570</v>
      </c>
      <c r="S1499" t="s">
        <v>110</v>
      </c>
      <c r="U1499" s="1" t="str">
        <f t="shared" si="141"/>
        <v>Bridgewater</v>
      </c>
      <c r="V1499" t="s">
        <v>111</v>
      </c>
      <c r="W1499" t="s">
        <v>112</v>
      </c>
      <c r="X1499">
        <v>97562</v>
      </c>
      <c r="Y1499" s="1" t="str">
        <f t="shared" si="142"/>
        <v>USA</v>
      </c>
      <c r="Z1499" s="4" t="str">
        <f t="shared" si="143"/>
        <v>Usa</v>
      </c>
      <c r="AA1499" t="s">
        <v>32</v>
      </c>
      <c r="AB1499" t="s">
        <v>33</v>
      </c>
      <c r="AC1499" t="s">
        <v>113</v>
      </c>
      <c r="AD1499" t="s">
        <v>57</v>
      </c>
      <c r="AE1499" t="s">
        <v>36</v>
      </c>
    </row>
    <row r="1500" spans="1:31" x14ac:dyDescent="0.3">
      <c r="A1500">
        <v>10181</v>
      </c>
      <c r="B1500">
        <v>34</v>
      </c>
      <c r="C1500">
        <v>53.83</v>
      </c>
      <c r="D1500">
        <v>1</v>
      </c>
      <c r="E1500" s="4" t="str">
        <f t="shared" si="138"/>
        <v>low sales</v>
      </c>
      <c r="F1500">
        <v>1830.22</v>
      </c>
      <c r="G1500" t="s">
        <v>2172</v>
      </c>
      <c r="H1500" s="1" t="str">
        <f t="shared" si="139"/>
        <v>Shipped</v>
      </c>
      <c r="I1500" s="4" t="str">
        <f t="shared" si="140"/>
        <v>completed</v>
      </c>
      <c r="J1500" t="s">
        <v>25</v>
      </c>
      <c r="K1500">
        <v>4</v>
      </c>
      <c r="L1500">
        <v>11</v>
      </c>
      <c r="M1500">
        <v>2003</v>
      </c>
      <c r="N1500" t="s">
        <v>181</v>
      </c>
      <c r="O1500">
        <v>50</v>
      </c>
      <c r="P1500" t="s">
        <v>623</v>
      </c>
      <c r="Q1500" t="s">
        <v>73</v>
      </c>
      <c r="R1500" t="s">
        <v>74</v>
      </c>
      <c r="S1500" t="s">
        <v>75</v>
      </c>
      <c r="U1500" s="1" t="str">
        <f t="shared" si="141"/>
        <v>Bergen</v>
      </c>
      <c r="V1500" t="s">
        <v>76</v>
      </c>
      <c r="X1500" t="s">
        <v>77</v>
      </c>
      <c r="Y1500" s="1" t="str">
        <f t="shared" si="142"/>
        <v>NORWAY</v>
      </c>
      <c r="Z1500" s="4" t="str">
        <f t="shared" si="143"/>
        <v>Norway</v>
      </c>
      <c r="AA1500" t="s">
        <v>78</v>
      </c>
      <c r="AB1500" t="s">
        <v>42</v>
      </c>
      <c r="AC1500" t="s">
        <v>79</v>
      </c>
      <c r="AD1500" t="s">
        <v>80</v>
      </c>
      <c r="AE1500" t="s">
        <v>36</v>
      </c>
    </row>
    <row r="1501" spans="1:31" x14ac:dyDescent="0.3">
      <c r="A1501">
        <v>10192</v>
      </c>
      <c r="B1501">
        <v>47</v>
      </c>
      <c r="C1501">
        <v>53.83</v>
      </c>
      <c r="D1501">
        <v>6</v>
      </c>
      <c r="E1501" s="4" t="str">
        <f t="shared" si="138"/>
        <v>low sales</v>
      </c>
      <c r="F1501">
        <v>2530.0100000000002</v>
      </c>
      <c r="G1501" t="s">
        <v>2173</v>
      </c>
      <c r="H1501" s="1" t="str">
        <f t="shared" si="139"/>
        <v>Shipped</v>
      </c>
      <c r="I1501" s="4" t="str">
        <f t="shared" si="140"/>
        <v>completed</v>
      </c>
      <c r="J1501" t="s">
        <v>25</v>
      </c>
      <c r="K1501">
        <v>4</v>
      </c>
      <c r="L1501">
        <v>11</v>
      </c>
      <c r="M1501">
        <v>2003</v>
      </c>
      <c r="N1501" t="s">
        <v>181</v>
      </c>
      <c r="O1501">
        <v>50</v>
      </c>
      <c r="P1501" t="s">
        <v>623</v>
      </c>
      <c r="Q1501" t="s">
        <v>277</v>
      </c>
      <c r="R1501">
        <v>6035558647</v>
      </c>
      <c r="S1501" t="s">
        <v>278</v>
      </c>
      <c r="U1501" s="1" t="str">
        <f t="shared" si="141"/>
        <v>Nashua</v>
      </c>
      <c r="V1501" t="s">
        <v>279</v>
      </c>
      <c r="W1501" t="s">
        <v>280</v>
      </c>
      <c r="X1501">
        <v>62005</v>
      </c>
      <c r="Y1501" s="1" t="str">
        <f t="shared" si="142"/>
        <v>USA</v>
      </c>
      <c r="Z1501" s="4" t="str">
        <f t="shared" si="143"/>
        <v>Usa</v>
      </c>
      <c r="AA1501" t="s">
        <v>32</v>
      </c>
      <c r="AB1501" t="s">
        <v>33</v>
      </c>
      <c r="AC1501" t="s">
        <v>56</v>
      </c>
      <c r="AD1501" t="s">
        <v>276</v>
      </c>
      <c r="AE1501" t="s">
        <v>36</v>
      </c>
    </row>
    <row r="1502" spans="1:31" x14ac:dyDescent="0.3">
      <c r="A1502">
        <v>10204</v>
      </c>
      <c r="B1502">
        <v>45</v>
      </c>
      <c r="C1502">
        <v>49.81</v>
      </c>
      <c r="D1502">
        <v>12</v>
      </c>
      <c r="E1502" s="4" t="str">
        <f t="shared" si="138"/>
        <v>low sales</v>
      </c>
      <c r="F1502">
        <v>2241.4499999999998</v>
      </c>
      <c r="G1502" t="s">
        <v>2174</v>
      </c>
      <c r="H1502" s="1" t="str">
        <f t="shared" si="139"/>
        <v>Shipped</v>
      </c>
      <c r="I1502" s="4" t="str">
        <f t="shared" si="140"/>
        <v>completed</v>
      </c>
      <c r="J1502" t="s">
        <v>25</v>
      </c>
      <c r="K1502">
        <v>4</v>
      </c>
      <c r="L1502">
        <v>12</v>
      </c>
      <c r="M1502">
        <v>2003</v>
      </c>
      <c r="N1502" t="s">
        <v>181</v>
      </c>
      <c r="O1502">
        <v>50</v>
      </c>
      <c r="P1502" t="s">
        <v>623</v>
      </c>
      <c r="Q1502" t="s">
        <v>475</v>
      </c>
      <c r="R1502">
        <v>2125557413</v>
      </c>
      <c r="S1502" t="s">
        <v>476</v>
      </c>
      <c r="T1502" t="s">
        <v>477</v>
      </c>
      <c r="U1502" s="1" t="str">
        <f t="shared" si="141"/>
        <v>Nyc</v>
      </c>
      <c r="V1502" t="s">
        <v>30</v>
      </c>
      <c r="W1502" t="s">
        <v>31</v>
      </c>
      <c r="X1502">
        <v>10022</v>
      </c>
      <c r="Y1502" s="1" t="str">
        <f t="shared" si="142"/>
        <v>USA</v>
      </c>
      <c r="Z1502" s="4" t="str">
        <f t="shared" si="143"/>
        <v>Usa</v>
      </c>
      <c r="AA1502" t="s">
        <v>32</v>
      </c>
      <c r="AB1502" t="s">
        <v>33</v>
      </c>
      <c r="AC1502" t="s">
        <v>56</v>
      </c>
      <c r="AD1502" t="s">
        <v>478</v>
      </c>
      <c r="AE1502" t="s">
        <v>36</v>
      </c>
    </row>
    <row r="1503" spans="1:31" x14ac:dyDescent="0.3">
      <c r="A1503">
        <v>10212</v>
      </c>
      <c r="B1503">
        <v>45</v>
      </c>
      <c r="C1503">
        <v>53.33</v>
      </c>
      <c r="D1503">
        <v>5</v>
      </c>
      <c r="E1503" s="4" t="str">
        <f t="shared" si="138"/>
        <v>low sales</v>
      </c>
      <c r="F1503">
        <v>2399.85</v>
      </c>
      <c r="G1503" t="s">
        <v>2175</v>
      </c>
      <c r="H1503" s="1" t="str">
        <f t="shared" si="139"/>
        <v>Shipped</v>
      </c>
      <c r="I1503" s="4" t="str">
        <f t="shared" si="140"/>
        <v>completed</v>
      </c>
      <c r="J1503" t="s">
        <v>25</v>
      </c>
      <c r="K1503">
        <v>1</v>
      </c>
      <c r="L1503">
        <v>1</v>
      </c>
      <c r="M1503">
        <v>2004</v>
      </c>
      <c r="N1503" t="s">
        <v>181</v>
      </c>
      <c r="O1503">
        <v>50</v>
      </c>
      <c r="P1503" t="s">
        <v>623</v>
      </c>
      <c r="Q1503" t="s">
        <v>174</v>
      </c>
      <c r="R1503" t="s">
        <v>175</v>
      </c>
      <c r="S1503" t="s">
        <v>176</v>
      </c>
      <c r="U1503" s="1" t="str">
        <f t="shared" si="141"/>
        <v>Madrid</v>
      </c>
      <c r="V1503" t="s">
        <v>177</v>
      </c>
      <c r="X1503">
        <v>28034</v>
      </c>
      <c r="Y1503" s="1" t="str">
        <f t="shared" si="142"/>
        <v>SPAIN</v>
      </c>
      <c r="Z1503" s="4" t="str">
        <f t="shared" si="143"/>
        <v>Spain</v>
      </c>
      <c r="AA1503" t="s">
        <v>178</v>
      </c>
      <c r="AB1503" t="s">
        <v>42</v>
      </c>
      <c r="AC1503" t="s">
        <v>179</v>
      </c>
      <c r="AD1503" t="s">
        <v>180</v>
      </c>
      <c r="AE1503" t="s">
        <v>36</v>
      </c>
    </row>
    <row r="1504" spans="1:31" x14ac:dyDescent="0.3">
      <c r="A1504">
        <v>10226</v>
      </c>
      <c r="B1504">
        <v>36</v>
      </c>
      <c r="C1504">
        <v>43.27</v>
      </c>
      <c r="D1504">
        <v>3</v>
      </c>
      <c r="E1504" s="4" t="str">
        <f t="shared" si="138"/>
        <v>low sales</v>
      </c>
      <c r="F1504">
        <v>1557.72</v>
      </c>
      <c r="G1504" t="s">
        <v>2176</v>
      </c>
      <c r="H1504" s="1" t="str">
        <f t="shared" si="139"/>
        <v>Shipped</v>
      </c>
      <c r="I1504" s="4" t="str">
        <f t="shared" si="140"/>
        <v>completed</v>
      </c>
      <c r="J1504" t="s">
        <v>25</v>
      </c>
      <c r="K1504">
        <v>1</v>
      </c>
      <c r="L1504">
        <v>2</v>
      </c>
      <c r="M1504">
        <v>2004</v>
      </c>
      <c r="N1504" t="s">
        <v>181</v>
      </c>
      <c r="O1504">
        <v>50</v>
      </c>
      <c r="P1504" t="s">
        <v>623</v>
      </c>
      <c r="Q1504" t="s">
        <v>362</v>
      </c>
      <c r="R1504">
        <v>7605558146</v>
      </c>
      <c r="S1504" t="s">
        <v>363</v>
      </c>
      <c r="U1504" s="1" t="str">
        <f t="shared" si="141"/>
        <v>San Diego</v>
      </c>
      <c r="V1504" t="s">
        <v>364</v>
      </c>
      <c r="W1504" t="s">
        <v>55</v>
      </c>
      <c r="X1504">
        <v>91217</v>
      </c>
      <c r="Y1504" s="1" t="str">
        <f t="shared" si="142"/>
        <v>USA</v>
      </c>
      <c r="Z1504" s="4" t="str">
        <f t="shared" si="143"/>
        <v>Usa</v>
      </c>
      <c r="AA1504" t="s">
        <v>32</v>
      </c>
      <c r="AB1504" t="s">
        <v>33</v>
      </c>
      <c r="AC1504" t="s">
        <v>237</v>
      </c>
      <c r="AD1504" t="s">
        <v>276</v>
      </c>
      <c r="AE1504" t="s">
        <v>36</v>
      </c>
    </row>
    <row r="1505" spans="1:31" x14ac:dyDescent="0.3">
      <c r="A1505">
        <v>10241</v>
      </c>
      <c r="B1505">
        <v>21</v>
      </c>
      <c r="C1505">
        <v>40.25</v>
      </c>
      <c r="D1505">
        <v>10</v>
      </c>
      <c r="E1505" s="4" t="str">
        <f t="shared" si="138"/>
        <v>low sales</v>
      </c>
      <c r="F1505">
        <v>845.25</v>
      </c>
      <c r="G1505" t="s">
        <v>2177</v>
      </c>
      <c r="H1505" s="1" t="str">
        <f t="shared" si="139"/>
        <v>Shipped</v>
      </c>
      <c r="I1505" s="4" t="str">
        <f t="shared" si="140"/>
        <v>completed</v>
      </c>
      <c r="J1505" t="s">
        <v>25</v>
      </c>
      <c r="K1505">
        <v>2</v>
      </c>
      <c r="L1505">
        <v>4</v>
      </c>
      <c r="M1505">
        <v>2004</v>
      </c>
      <c r="N1505" t="s">
        <v>181</v>
      </c>
      <c r="O1505">
        <v>50</v>
      </c>
      <c r="P1505" t="s">
        <v>623</v>
      </c>
      <c r="Q1505" t="s">
        <v>531</v>
      </c>
      <c r="R1505" t="s">
        <v>532</v>
      </c>
      <c r="S1505" t="s">
        <v>533</v>
      </c>
      <c r="U1505" s="1" t="str">
        <f t="shared" si="141"/>
        <v>Strasbourg</v>
      </c>
      <c r="V1505" t="s">
        <v>534</v>
      </c>
      <c r="X1505">
        <v>67000</v>
      </c>
      <c r="Y1505" s="1" t="str">
        <f t="shared" si="142"/>
        <v>FRANCE</v>
      </c>
      <c r="Z1505" s="4" t="str">
        <f t="shared" si="143"/>
        <v>France</v>
      </c>
      <c r="AA1505" t="s">
        <v>41</v>
      </c>
      <c r="AB1505" t="s">
        <v>42</v>
      </c>
      <c r="AC1505" t="s">
        <v>535</v>
      </c>
      <c r="AD1505" t="s">
        <v>536</v>
      </c>
      <c r="AE1505" t="s">
        <v>36</v>
      </c>
    </row>
    <row r="1506" spans="1:31" x14ac:dyDescent="0.3">
      <c r="A1506">
        <v>10266</v>
      </c>
      <c r="B1506">
        <v>28</v>
      </c>
      <c r="C1506">
        <v>48.3</v>
      </c>
      <c r="D1506">
        <v>1</v>
      </c>
      <c r="E1506" s="4" t="str">
        <f t="shared" si="138"/>
        <v>low sales</v>
      </c>
      <c r="F1506">
        <v>1352.4</v>
      </c>
      <c r="G1506" t="s">
        <v>2178</v>
      </c>
      <c r="H1506" s="1" t="str">
        <f t="shared" si="139"/>
        <v>Shipped</v>
      </c>
      <c r="I1506" s="4" t="str">
        <f t="shared" si="140"/>
        <v>completed</v>
      </c>
      <c r="J1506" t="s">
        <v>25</v>
      </c>
      <c r="K1506">
        <v>3</v>
      </c>
      <c r="L1506">
        <v>7</v>
      </c>
      <c r="M1506">
        <v>2004</v>
      </c>
      <c r="N1506" t="s">
        <v>181</v>
      </c>
      <c r="O1506">
        <v>50</v>
      </c>
      <c r="P1506" t="s">
        <v>623</v>
      </c>
      <c r="Q1506" t="s">
        <v>452</v>
      </c>
      <c r="R1506" t="s">
        <v>453</v>
      </c>
      <c r="S1506" t="s">
        <v>454</v>
      </c>
      <c r="U1506" s="1" t="str">
        <f t="shared" si="141"/>
        <v>Reggio Emilia</v>
      </c>
      <c r="V1506" t="s">
        <v>455</v>
      </c>
      <c r="X1506">
        <v>42100</v>
      </c>
      <c r="Y1506" s="1" t="str">
        <f t="shared" si="142"/>
        <v>ITALY</v>
      </c>
      <c r="Z1506" s="4" t="str">
        <f t="shared" si="143"/>
        <v>Italy</v>
      </c>
      <c r="AA1506" t="s">
        <v>258</v>
      </c>
      <c r="AB1506" t="s">
        <v>42</v>
      </c>
      <c r="AC1506" t="s">
        <v>456</v>
      </c>
      <c r="AD1506" t="s">
        <v>457</v>
      </c>
      <c r="AE1506" t="s">
        <v>36</v>
      </c>
    </row>
    <row r="1507" spans="1:31" x14ac:dyDescent="0.3">
      <c r="A1507">
        <v>10278</v>
      </c>
      <c r="B1507">
        <v>35</v>
      </c>
      <c r="C1507">
        <v>45.28</v>
      </c>
      <c r="D1507">
        <v>1</v>
      </c>
      <c r="E1507" s="4" t="str">
        <f t="shared" si="138"/>
        <v>low sales</v>
      </c>
      <c r="F1507">
        <v>1584.8</v>
      </c>
      <c r="G1507" t="s">
        <v>2179</v>
      </c>
      <c r="H1507" s="1" t="str">
        <f t="shared" si="139"/>
        <v>Shipped</v>
      </c>
      <c r="I1507" s="4" t="str">
        <f t="shared" si="140"/>
        <v>completed</v>
      </c>
      <c r="J1507" t="s">
        <v>25</v>
      </c>
      <c r="K1507">
        <v>3</v>
      </c>
      <c r="L1507">
        <v>8</v>
      </c>
      <c r="M1507">
        <v>2004</v>
      </c>
      <c r="N1507" t="s">
        <v>181</v>
      </c>
      <c r="O1507">
        <v>50</v>
      </c>
      <c r="P1507" t="s">
        <v>623</v>
      </c>
      <c r="Q1507" t="s">
        <v>539</v>
      </c>
      <c r="R1507">
        <v>7025551838</v>
      </c>
      <c r="S1507" t="s">
        <v>540</v>
      </c>
      <c r="U1507" s="1" t="str">
        <f t="shared" si="141"/>
        <v>Las Vegas</v>
      </c>
      <c r="V1507" t="s">
        <v>541</v>
      </c>
      <c r="W1507" t="s">
        <v>542</v>
      </c>
      <c r="X1507">
        <v>83030</v>
      </c>
      <c r="Y1507" s="1" t="str">
        <f t="shared" si="142"/>
        <v>USA</v>
      </c>
      <c r="Z1507" s="4" t="str">
        <f t="shared" si="143"/>
        <v>Usa</v>
      </c>
      <c r="AA1507" t="s">
        <v>32</v>
      </c>
      <c r="AB1507" t="s">
        <v>33</v>
      </c>
      <c r="AC1507" t="s">
        <v>113</v>
      </c>
      <c r="AD1507" t="s">
        <v>400</v>
      </c>
      <c r="AE1507" t="s">
        <v>36</v>
      </c>
    </row>
    <row r="1508" spans="1:31" x14ac:dyDescent="0.3">
      <c r="A1508">
        <v>10288</v>
      </c>
      <c r="B1508">
        <v>50</v>
      </c>
      <c r="C1508">
        <v>52.32</v>
      </c>
      <c r="D1508">
        <v>13</v>
      </c>
      <c r="E1508" s="4" t="str">
        <f t="shared" si="138"/>
        <v>low sales</v>
      </c>
      <c r="F1508">
        <v>2616</v>
      </c>
      <c r="G1508" t="s">
        <v>2180</v>
      </c>
      <c r="H1508" s="1" t="str">
        <f t="shared" si="139"/>
        <v>Shipped</v>
      </c>
      <c r="I1508" s="4" t="str">
        <f t="shared" si="140"/>
        <v>completed</v>
      </c>
      <c r="J1508" t="s">
        <v>25</v>
      </c>
      <c r="K1508">
        <v>3</v>
      </c>
      <c r="L1508">
        <v>9</v>
      </c>
      <c r="M1508">
        <v>2004</v>
      </c>
      <c r="N1508" t="s">
        <v>181</v>
      </c>
      <c r="O1508">
        <v>50</v>
      </c>
      <c r="P1508" t="s">
        <v>623</v>
      </c>
      <c r="Q1508" t="s">
        <v>418</v>
      </c>
      <c r="R1508" t="s">
        <v>419</v>
      </c>
      <c r="S1508" t="s">
        <v>420</v>
      </c>
      <c r="T1508" t="s">
        <v>421</v>
      </c>
      <c r="U1508" s="1" t="str">
        <f t="shared" si="141"/>
        <v>Singapore</v>
      </c>
      <c r="V1508" t="s">
        <v>199</v>
      </c>
      <c r="X1508">
        <v>69045</v>
      </c>
      <c r="Y1508" s="1" t="str">
        <f t="shared" si="142"/>
        <v>SINGAPORE</v>
      </c>
      <c r="Z1508" s="4" t="str">
        <f t="shared" si="143"/>
        <v>Singapore</v>
      </c>
      <c r="AA1508" t="s">
        <v>199</v>
      </c>
      <c r="AB1508" t="s">
        <v>96</v>
      </c>
      <c r="AC1508" t="s">
        <v>422</v>
      </c>
      <c r="AD1508" t="s">
        <v>423</v>
      </c>
      <c r="AE1508" t="s">
        <v>36</v>
      </c>
    </row>
    <row r="1509" spans="1:31" x14ac:dyDescent="0.3">
      <c r="A1509">
        <v>10301</v>
      </c>
      <c r="B1509">
        <v>22</v>
      </c>
      <c r="C1509">
        <v>51.32</v>
      </c>
      <c r="D1509">
        <v>3</v>
      </c>
      <c r="E1509" s="4" t="str">
        <f t="shared" si="138"/>
        <v>low sales</v>
      </c>
      <c r="F1509">
        <v>1129.04</v>
      </c>
      <c r="G1509" t="s">
        <v>2181</v>
      </c>
      <c r="H1509" s="1" t="str">
        <f t="shared" si="139"/>
        <v>Shipped</v>
      </c>
      <c r="I1509" s="4" t="str">
        <f t="shared" si="140"/>
        <v>completed</v>
      </c>
      <c r="J1509" t="s">
        <v>25</v>
      </c>
      <c r="K1509">
        <v>4</v>
      </c>
      <c r="L1509">
        <v>10</v>
      </c>
      <c r="M1509">
        <v>2003</v>
      </c>
      <c r="N1509" t="s">
        <v>181</v>
      </c>
      <c r="O1509">
        <v>50</v>
      </c>
      <c r="P1509" t="s">
        <v>623</v>
      </c>
      <c r="Q1509" t="s">
        <v>543</v>
      </c>
      <c r="R1509" t="s">
        <v>544</v>
      </c>
      <c r="S1509" t="s">
        <v>545</v>
      </c>
      <c r="U1509" s="1" t="str">
        <f t="shared" si="141"/>
        <v>Oslo</v>
      </c>
      <c r="V1509" t="s">
        <v>546</v>
      </c>
      <c r="X1509" t="s">
        <v>547</v>
      </c>
      <c r="Y1509" s="1" t="str">
        <f t="shared" si="142"/>
        <v>NORWAY</v>
      </c>
      <c r="Z1509" s="4" t="str">
        <f t="shared" si="143"/>
        <v>Norway</v>
      </c>
      <c r="AA1509" t="s">
        <v>78</v>
      </c>
      <c r="AB1509" t="s">
        <v>42</v>
      </c>
      <c r="AC1509" t="s">
        <v>548</v>
      </c>
      <c r="AD1509" t="s">
        <v>549</v>
      </c>
      <c r="AE1509" t="s">
        <v>36</v>
      </c>
    </row>
    <row r="1510" spans="1:31" x14ac:dyDescent="0.3">
      <c r="A1510">
        <v>10311</v>
      </c>
      <c r="B1510">
        <v>45</v>
      </c>
      <c r="C1510">
        <v>49.3</v>
      </c>
      <c r="D1510">
        <v>8</v>
      </c>
      <c r="E1510" s="4" t="str">
        <f t="shared" si="138"/>
        <v>low sales</v>
      </c>
      <c r="F1510">
        <v>2218.5</v>
      </c>
      <c r="G1510" t="s">
        <v>2182</v>
      </c>
      <c r="H1510" s="1" t="str">
        <f t="shared" si="139"/>
        <v>Shipped</v>
      </c>
      <c r="I1510" s="4" t="str">
        <f t="shared" si="140"/>
        <v>completed</v>
      </c>
      <c r="J1510" t="s">
        <v>25</v>
      </c>
      <c r="K1510">
        <v>4</v>
      </c>
      <c r="L1510">
        <v>10</v>
      </c>
      <c r="M1510">
        <v>2004</v>
      </c>
      <c r="N1510" t="s">
        <v>181</v>
      </c>
      <c r="O1510">
        <v>50</v>
      </c>
      <c r="P1510" t="s">
        <v>623</v>
      </c>
      <c r="Q1510" t="s">
        <v>174</v>
      </c>
      <c r="R1510" t="s">
        <v>175</v>
      </c>
      <c r="S1510" t="s">
        <v>176</v>
      </c>
      <c r="U1510" s="1" t="str">
        <f t="shared" si="141"/>
        <v>Madrid</v>
      </c>
      <c r="V1510" t="s">
        <v>177</v>
      </c>
      <c r="X1510">
        <v>28034</v>
      </c>
      <c r="Y1510" s="1" t="str">
        <f t="shared" si="142"/>
        <v>SPAIN</v>
      </c>
      <c r="Z1510" s="4" t="str">
        <f t="shared" si="143"/>
        <v>Spain</v>
      </c>
      <c r="AA1510" t="s">
        <v>178</v>
      </c>
      <c r="AB1510" t="s">
        <v>42</v>
      </c>
      <c r="AC1510" t="s">
        <v>179</v>
      </c>
      <c r="AD1510" t="s">
        <v>180</v>
      </c>
      <c r="AE1510" t="s">
        <v>36</v>
      </c>
    </row>
    <row r="1511" spans="1:31" x14ac:dyDescent="0.3">
      <c r="A1511">
        <v>10321</v>
      </c>
      <c r="B1511">
        <v>48</v>
      </c>
      <c r="C1511">
        <v>42.26</v>
      </c>
      <c r="D1511">
        <v>5</v>
      </c>
      <c r="E1511" s="4" t="str">
        <f t="shared" si="138"/>
        <v>low sales</v>
      </c>
      <c r="F1511">
        <v>2028.48</v>
      </c>
      <c r="G1511" t="s">
        <v>2183</v>
      </c>
      <c r="H1511" s="1" t="str">
        <f t="shared" si="139"/>
        <v>Shipped</v>
      </c>
      <c r="I1511" s="4" t="str">
        <f t="shared" si="140"/>
        <v>completed</v>
      </c>
      <c r="J1511" t="s">
        <v>25</v>
      </c>
      <c r="K1511">
        <v>4</v>
      </c>
      <c r="L1511">
        <v>11</v>
      </c>
      <c r="M1511">
        <v>2004</v>
      </c>
      <c r="N1511" t="s">
        <v>181</v>
      </c>
      <c r="O1511">
        <v>50</v>
      </c>
      <c r="P1511" t="s">
        <v>623</v>
      </c>
      <c r="Q1511" t="s">
        <v>160</v>
      </c>
      <c r="R1511">
        <v>5085552555</v>
      </c>
      <c r="S1511" t="s">
        <v>161</v>
      </c>
      <c r="U1511" s="1" t="str">
        <f t="shared" si="141"/>
        <v>New Bedford</v>
      </c>
      <c r="V1511" t="s">
        <v>162</v>
      </c>
      <c r="W1511" t="s">
        <v>123</v>
      </c>
      <c r="X1511">
        <v>50553</v>
      </c>
      <c r="Y1511" s="1" t="str">
        <f t="shared" si="142"/>
        <v>USA</v>
      </c>
      <c r="Z1511" s="4" t="str">
        <f t="shared" si="143"/>
        <v>Usa</v>
      </c>
      <c r="AA1511" t="s">
        <v>32</v>
      </c>
      <c r="AB1511" t="s">
        <v>33</v>
      </c>
      <c r="AC1511" t="s">
        <v>163</v>
      </c>
      <c r="AD1511" t="s">
        <v>164</v>
      </c>
      <c r="AE1511" t="s">
        <v>36</v>
      </c>
    </row>
    <row r="1512" spans="1:31" x14ac:dyDescent="0.3">
      <c r="A1512">
        <v>10332</v>
      </c>
      <c r="B1512">
        <v>20</v>
      </c>
      <c r="C1512">
        <v>87.96</v>
      </c>
      <c r="D1512">
        <v>5</v>
      </c>
      <c r="E1512" s="4" t="str">
        <f t="shared" si="138"/>
        <v>low sales</v>
      </c>
      <c r="F1512">
        <v>1759.2</v>
      </c>
      <c r="G1512" t="s">
        <v>2184</v>
      </c>
      <c r="H1512" s="1" t="str">
        <f t="shared" si="139"/>
        <v>Shipped</v>
      </c>
      <c r="I1512" s="4" t="str">
        <f t="shared" si="140"/>
        <v>completed</v>
      </c>
      <c r="J1512" t="s">
        <v>25</v>
      </c>
      <c r="K1512">
        <v>4</v>
      </c>
      <c r="L1512">
        <v>11</v>
      </c>
      <c r="M1512">
        <v>2004</v>
      </c>
      <c r="N1512" t="s">
        <v>181</v>
      </c>
      <c r="O1512">
        <v>50</v>
      </c>
      <c r="P1512" t="s">
        <v>623</v>
      </c>
      <c r="Q1512" t="s">
        <v>492</v>
      </c>
      <c r="R1512" t="s">
        <v>493</v>
      </c>
      <c r="S1512" t="s">
        <v>494</v>
      </c>
      <c r="U1512" s="1" t="str">
        <f t="shared" si="141"/>
        <v>Manchester</v>
      </c>
      <c r="V1512" t="s">
        <v>495</v>
      </c>
      <c r="X1512" t="s">
        <v>496</v>
      </c>
      <c r="Y1512" s="1" t="str">
        <f t="shared" si="142"/>
        <v>UK</v>
      </c>
      <c r="Z1512" s="4" t="str">
        <f t="shared" si="143"/>
        <v>Uk</v>
      </c>
      <c r="AA1512" t="s">
        <v>170</v>
      </c>
      <c r="AB1512" t="s">
        <v>42</v>
      </c>
      <c r="AC1512" t="s">
        <v>497</v>
      </c>
      <c r="AD1512" t="s">
        <v>94</v>
      </c>
      <c r="AE1512" t="s">
        <v>36</v>
      </c>
    </row>
    <row r="1513" spans="1:31" x14ac:dyDescent="0.3">
      <c r="A1513">
        <v>10343</v>
      </c>
      <c r="B1513">
        <v>27</v>
      </c>
      <c r="C1513">
        <v>36.21</v>
      </c>
      <c r="D1513">
        <v>6</v>
      </c>
      <c r="E1513" s="4" t="str">
        <f t="shared" si="138"/>
        <v>low sales</v>
      </c>
      <c r="F1513">
        <v>977.67</v>
      </c>
      <c r="G1513" t="s">
        <v>2185</v>
      </c>
      <c r="H1513" s="1" t="str">
        <f t="shared" si="139"/>
        <v>Shipped</v>
      </c>
      <c r="I1513" s="4" t="str">
        <f t="shared" si="140"/>
        <v>completed</v>
      </c>
      <c r="J1513" t="s">
        <v>25</v>
      </c>
      <c r="K1513">
        <v>4</v>
      </c>
      <c r="L1513">
        <v>11</v>
      </c>
      <c r="M1513">
        <v>2004</v>
      </c>
      <c r="N1513" t="s">
        <v>181</v>
      </c>
      <c r="O1513">
        <v>50</v>
      </c>
      <c r="P1513" t="s">
        <v>623</v>
      </c>
      <c r="Q1513" t="s">
        <v>37</v>
      </c>
      <c r="R1513" t="s">
        <v>38</v>
      </c>
      <c r="S1513" t="s">
        <v>39</v>
      </c>
      <c r="U1513" s="1" t="str">
        <f t="shared" si="141"/>
        <v>Reims</v>
      </c>
      <c r="V1513" t="s">
        <v>40</v>
      </c>
      <c r="X1513">
        <v>51100</v>
      </c>
      <c r="Y1513" s="1" t="str">
        <f t="shared" si="142"/>
        <v>FRANCE</v>
      </c>
      <c r="Z1513" s="4" t="str">
        <f t="shared" si="143"/>
        <v>France</v>
      </c>
      <c r="AA1513" t="s">
        <v>41</v>
      </c>
      <c r="AB1513" t="s">
        <v>42</v>
      </c>
      <c r="AC1513" t="s">
        <v>43</v>
      </c>
      <c r="AD1513" t="s">
        <v>44</v>
      </c>
      <c r="AE1513" t="s">
        <v>36</v>
      </c>
    </row>
    <row r="1514" spans="1:31" x14ac:dyDescent="0.3">
      <c r="A1514">
        <v>10367</v>
      </c>
      <c r="B1514">
        <v>38</v>
      </c>
      <c r="C1514">
        <v>38.5</v>
      </c>
      <c r="D1514">
        <v>11</v>
      </c>
      <c r="E1514" s="4" t="str">
        <f t="shared" si="138"/>
        <v>low sales</v>
      </c>
      <c r="F1514">
        <v>1463</v>
      </c>
      <c r="G1514" t="s">
        <v>2186</v>
      </c>
      <c r="H1514" s="1" t="str">
        <f t="shared" si="139"/>
        <v>Resolved</v>
      </c>
      <c r="I1514" s="4" t="str">
        <f t="shared" si="140"/>
        <v>not completed</v>
      </c>
      <c r="J1514" t="s">
        <v>408</v>
      </c>
      <c r="K1514">
        <v>1</v>
      </c>
      <c r="L1514">
        <v>1</v>
      </c>
      <c r="M1514">
        <v>2005</v>
      </c>
      <c r="N1514" t="s">
        <v>181</v>
      </c>
      <c r="O1514">
        <v>50</v>
      </c>
      <c r="P1514" t="s">
        <v>623</v>
      </c>
      <c r="Q1514" t="s">
        <v>52</v>
      </c>
      <c r="R1514">
        <v>6265557265</v>
      </c>
      <c r="S1514" t="s">
        <v>53</v>
      </c>
      <c r="U1514" s="1" t="str">
        <f t="shared" si="141"/>
        <v>Pasadena</v>
      </c>
      <c r="V1514" t="s">
        <v>54</v>
      </c>
      <c r="W1514" t="s">
        <v>55</v>
      </c>
      <c r="X1514">
        <v>90003</v>
      </c>
      <c r="Y1514" s="1" t="str">
        <f t="shared" si="142"/>
        <v>USA</v>
      </c>
      <c r="Z1514" s="4" t="str">
        <f t="shared" si="143"/>
        <v>Usa</v>
      </c>
      <c r="AA1514" t="s">
        <v>32</v>
      </c>
      <c r="AB1514" t="s">
        <v>33</v>
      </c>
      <c r="AC1514" t="s">
        <v>56</v>
      </c>
      <c r="AD1514" t="s">
        <v>57</v>
      </c>
      <c r="AE1514" t="s">
        <v>36</v>
      </c>
    </row>
    <row r="1515" spans="1:31" x14ac:dyDescent="0.3">
      <c r="A1515">
        <v>10379</v>
      </c>
      <c r="B1515">
        <v>32</v>
      </c>
      <c r="C1515">
        <v>100</v>
      </c>
      <c r="D1515">
        <v>3</v>
      </c>
      <c r="E1515" s="4" t="str">
        <f t="shared" si="138"/>
        <v>low sales</v>
      </c>
      <c r="F1515">
        <v>3970.56</v>
      </c>
      <c r="G1515" t="s">
        <v>2187</v>
      </c>
      <c r="H1515" s="1" t="str">
        <f t="shared" si="139"/>
        <v>Shipped</v>
      </c>
      <c r="I1515" s="4" t="str">
        <f t="shared" si="140"/>
        <v>completed</v>
      </c>
      <c r="J1515" t="s">
        <v>25</v>
      </c>
      <c r="K1515">
        <v>1</v>
      </c>
      <c r="L1515">
        <v>2</v>
      </c>
      <c r="M1515">
        <v>2005</v>
      </c>
      <c r="N1515" t="s">
        <v>181</v>
      </c>
      <c r="O1515">
        <v>50</v>
      </c>
      <c r="P1515" t="s">
        <v>623</v>
      </c>
      <c r="Q1515" t="s">
        <v>174</v>
      </c>
      <c r="R1515" t="s">
        <v>175</v>
      </c>
      <c r="S1515" t="s">
        <v>176</v>
      </c>
      <c r="U1515" s="1" t="str">
        <f t="shared" si="141"/>
        <v>Madrid</v>
      </c>
      <c r="V1515" t="s">
        <v>177</v>
      </c>
      <c r="X1515">
        <v>28034</v>
      </c>
      <c r="Y1515" s="1" t="str">
        <f t="shared" si="142"/>
        <v>SPAIN</v>
      </c>
      <c r="Z1515" s="4" t="str">
        <f t="shared" si="143"/>
        <v>Spain</v>
      </c>
      <c r="AA1515" t="s">
        <v>178</v>
      </c>
      <c r="AB1515" t="s">
        <v>42</v>
      </c>
      <c r="AC1515" t="s">
        <v>179</v>
      </c>
      <c r="AD1515" t="s">
        <v>180</v>
      </c>
      <c r="AE1515" t="s">
        <v>51</v>
      </c>
    </row>
    <row r="1516" spans="1:31" x14ac:dyDescent="0.3">
      <c r="A1516">
        <v>10407</v>
      </c>
      <c r="B1516">
        <v>64</v>
      </c>
      <c r="C1516">
        <v>40.25</v>
      </c>
      <c r="D1516">
        <v>10</v>
      </c>
      <c r="E1516" s="4" t="str">
        <f t="shared" si="138"/>
        <v>low sales</v>
      </c>
      <c r="F1516">
        <v>2576</v>
      </c>
      <c r="G1516" t="s">
        <v>2188</v>
      </c>
      <c r="H1516" s="1" t="str">
        <f t="shared" si="139"/>
        <v>On Hold</v>
      </c>
      <c r="I1516" s="4" t="str">
        <f t="shared" si="140"/>
        <v>not completed</v>
      </c>
      <c r="J1516" t="s">
        <v>401</v>
      </c>
      <c r="K1516">
        <v>2</v>
      </c>
      <c r="L1516">
        <v>4</v>
      </c>
      <c r="M1516">
        <v>2005</v>
      </c>
      <c r="N1516" t="s">
        <v>181</v>
      </c>
      <c r="O1516">
        <v>50</v>
      </c>
      <c r="P1516" t="s">
        <v>623</v>
      </c>
      <c r="Q1516" t="s">
        <v>397</v>
      </c>
      <c r="R1516">
        <v>4085553659</v>
      </c>
      <c r="S1516" t="s">
        <v>398</v>
      </c>
      <c r="U1516" s="1" t="str">
        <f t="shared" si="141"/>
        <v>San Jose</v>
      </c>
      <c r="V1516" t="s">
        <v>399</v>
      </c>
      <c r="W1516" t="s">
        <v>55</v>
      </c>
      <c r="X1516">
        <v>94217</v>
      </c>
      <c r="Y1516" s="1" t="str">
        <f t="shared" si="142"/>
        <v>USA</v>
      </c>
      <c r="Z1516" s="4" t="str">
        <f t="shared" si="143"/>
        <v>Usa</v>
      </c>
      <c r="AA1516" t="s">
        <v>32</v>
      </c>
      <c r="AB1516" t="s">
        <v>33</v>
      </c>
      <c r="AC1516" t="s">
        <v>102</v>
      </c>
      <c r="AD1516" t="s">
        <v>400</v>
      </c>
      <c r="AE1516" t="s">
        <v>36</v>
      </c>
    </row>
    <row r="1517" spans="1:31" x14ac:dyDescent="0.3">
      <c r="A1517">
        <v>10420</v>
      </c>
      <c r="B1517">
        <v>37</v>
      </c>
      <c r="C1517">
        <v>60.37</v>
      </c>
      <c r="D1517">
        <v>13</v>
      </c>
      <c r="E1517" s="4" t="str">
        <f t="shared" si="138"/>
        <v>low sales</v>
      </c>
      <c r="F1517">
        <v>2233.69</v>
      </c>
      <c r="G1517" t="s">
        <v>2189</v>
      </c>
      <c r="H1517" s="1" t="str">
        <f t="shared" si="139"/>
        <v>In Process</v>
      </c>
      <c r="I1517" s="4" t="str">
        <f t="shared" si="140"/>
        <v>not completed</v>
      </c>
      <c r="J1517" t="s">
        <v>300</v>
      </c>
      <c r="K1517">
        <v>2</v>
      </c>
      <c r="L1517">
        <v>5</v>
      </c>
      <c r="M1517">
        <v>2005</v>
      </c>
      <c r="N1517" t="s">
        <v>181</v>
      </c>
      <c r="O1517">
        <v>50</v>
      </c>
      <c r="P1517" t="s">
        <v>623</v>
      </c>
      <c r="Q1517" t="s">
        <v>152</v>
      </c>
      <c r="R1517" t="s">
        <v>153</v>
      </c>
      <c r="S1517" t="s">
        <v>154</v>
      </c>
      <c r="T1517" t="s">
        <v>155</v>
      </c>
      <c r="U1517" s="1" t="str">
        <f t="shared" si="141"/>
        <v>Chatswood</v>
      </c>
      <c r="V1517" t="s">
        <v>156</v>
      </c>
      <c r="W1517" t="s">
        <v>157</v>
      </c>
      <c r="X1517">
        <v>2067</v>
      </c>
      <c r="Y1517" s="1" t="str">
        <f t="shared" si="142"/>
        <v>AUSTRALIA</v>
      </c>
      <c r="Z1517" s="4" t="str">
        <f t="shared" si="143"/>
        <v>Australia</v>
      </c>
      <c r="AA1517" t="s">
        <v>95</v>
      </c>
      <c r="AB1517" t="s">
        <v>96</v>
      </c>
      <c r="AC1517" t="s">
        <v>158</v>
      </c>
      <c r="AD1517" t="s">
        <v>159</v>
      </c>
      <c r="AE1517" t="s">
        <v>36</v>
      </c>
    </row>
    <row r="1518" spans="1:31" x14ac:dyDescent="0.3">
      <c r="A1518">
        <v>10106</v>
      </c>
      <c r="B1518">
        <v>28</v>
      </c>
      <c r="C1518">
        <v>88.63</v>
      </c>
      <c r="D1518">
        <v>4</v>
      </c>
      <c r="E1518" s="4" t="str">
        <f t="shared" si="138"/>
        <v>low sales</v>
      </c>
      <c r="F1518">
        <v>2481.64</v>
      </c>
      <c r="G1518" t="s">
        <v>2190</v>
      </c>
      <c r="H1518" s="1" t="str">
        <f t="shared" si="139"/>
        <v>Shipped</v>
      </c>
      <c r="I1518" s="4" t="str">
        <f t="shared" si="140"/>
        <v>completed</v>
      </c>
      <c r="J1518" t="s">
        <v>25</v>
      </c>
      <c r="K1518">
        <v>1</v>
      </c>
      <c r="L1518">
        <v>2</v>
      </c>
      <c r="M1518">
        <v>2003</v>
      </c>
      <c r="N1518" t="s">
        <v>566</v>
      </c>
      <c r="O1518">
        <v>109</v>
      </c>
      <c r="P1518" t="s">
        <v>624</v>
      </c>
      <c r="Q1518" t="s">
        <v>552</v>
      </c>
      <c r="R1518" t="s">
        <v>553</v>
      </c>
      <c r="S1518" t="s">
        <v>554</v>
      </c>
      <c r="U1518" s="1" t="str">
        <f t="shared" si="141"/>
        <v>Bergamo</v>
      </c>
      <c r="V1518" t="s">
        <v>555</v>
      </c>
      <c r="X1518">
        <v>24100</v>
      </c>
      <c r="Y1518" s="1" t="str">
        <f t="shared" si="142"/>
        <v>ITALY</v>
      </c>
      <c r="Z1518" s="4" t="str">
        <f t="shared" si="143"/>
        <v>Italy</v>
      </c>
      <c r="AA1518" t="s">
        <v>258</v>
      </c>
      <c r="AB1518" t="s">
        <v>42</v>
      </c>
      <c r="AC1518" t="s">
        <v>556</v>
      </c>
      <c r="AD1518" t="s">
        <v>557</v>
      </c>
      <c r="AE1518" t="s">
        <v>36</v>
      </c>
    </row>
    <row r="1519" spans="1:31" x14ac:dyDescent="0.3">
      <c r="A1519">
        <v>10120</v>
      </c>
      <c r="B1519">
        <v>39</v>
      </c>
      <c r="C1519">
        <v>100</v>
      </c>
      <c r="D1519">
        <v>10</v>
      </c>
      <c r="E1519" s="4" t="str">
        <f t="shared" si="138"/>
        <v>high sales</v>
      </c>
      <c r="F1519">
        <v>4651.53</v>
      </c>
      <c r="G1519" t="s">
        <v>2191</v>
      </c>
      <c r="H1519" s="1" t="str">
        <f t="shared" si="139"/>
        <v>Shipped</v>
      </c>
      <c r="I1519" s="4" t="str">
        <f t="shared" si="140"/>
        <v>completed</v>
      </c>
      <c r="J1519" t="s">
        <v>25</v>
      </c>
      <c r="K1519">
        <v>2</v>
      </c>
      <c r="L1519">
        <v>4</v>
      </c>
      <c r="M1519">
        <v>2003</v>
      </c>
      <c r="N1519" t="s">
        <v>566</v>
      </c>
      <c r="O1519">
        <v>109</v>
      </c>
      <c r="P1519" t="s">
        <v>624</v>
      </c>
      <c r="Q1519" t="s">
        <v>89</v>
      </c>
      <c r="R1519" t="s">
        <v>90</v>
      </c>
      <c r="S1519" t="s">
        <v>91</v>
      </c>
      <c r="T1519" t="s">
        <v>92</v>
      </c>
      <c r="U1519" s="1" t="str">
        <f t="shared" si="141"/>
        <v>Melbourne</v>
      </c>
      <c r="V1519" t="s">
        <v>93</v>
      </c>
      <c r="W1519" t="s">
        <v>94</v>
      </c>
      <c r="X1519">
        <v>3004</v>
      </c>
      <c r="Y1519" s="1" t="str">
        <f t="shared" si="142"/>
        <v>AUSTRALIA</v>
      </c>
      <c r="Z1519" s="4" t="str">
        <f t="shared" si="143"/>
        <v>Australia</v>
      </c>
      <c r="AA1519" t="s">
        <v>95</v>
      </c>
      <c r="AB1519" t="s">
        <v>96</v>
      </c>
      <c r="AC1519" t="s">
        <v>97</v>
      </c>
      <c r="AD1519" t="s">
        <v>98</v>
      </c>
      <c r="AE1519" t="s">
        <v>51</v>
      </c>
    </row>
    <row r="1520" spans="1:31" x14ac:dyDescent="0.3">
      <c r="A1520">
        <v>10133</v>
      </c>
      <c r="B1520">
        <v>41</v>
      </c>
      <c r="C1520">
        <v>94.1</v>
      </c>
      <c r="D1520">
        <v>5</v>
      </c>
      <c r="E1520" s="4" t="str">
        <f t="shared" si="138"/>
        <v>low sales</v>
      </c>
      <c r="F1520">
        <v>3858.1</v>
      </c>
      <c r="G1520" t="s">
        <v>2192</v>
      </c>
      <c r="H1520" s="1" t="str">
        <f t="shared" si="139"/>
        <v>Shipped</v>
      </c>
      <c r="I1520" s="4" t="str">
        <f t="shared" si="140"/>
        <v>completed</v>
      </c>
      <c r="J1520" t="s">
        <v>25</v>
      </c>
      <c r="K1520">
        <v>2</v>
      </c>
      <c r="L1520">
        <v>6</v>
      </c>
      <c r="M1520">
        <v>2003</v>
      </c>
      <c r="N1520" t="s">
        <v>566</v>
      </c>
      <c r="O1520">
        <v>109</v>
      </c>
      <c r="P1520" t="s">
        <v>624</v>
      </c>
      <c r="Q1520" t="s">
        <v>174</v>
      </c>
      <c r="R1520" t="s">
        <v>175</v>
      </c>
      <c r="S1520" t="s">
        <v>176</v>
      </c>
      <c r="U1520" s="1" t="str">
        <f t="shared" si="141"/>
        <v>Madrid</v>
      </c>
      <c r="V1520" t="s">
        <v>177</v>
      </c>
      <c r="X1520">
        <v>28034</v>
      </c>
      <c r="Y1520" s="1" t="str">
        <f t="shared" si="142"/>
        <v>SPAIN</v>
      </c>
      <c r="Z1520" s="4" t="str">
        <f t="shared" si="143"/>
        <v>Spain</v>
      </c>
      <c r="AA1520" t="s">
        <v>178</v>
      </c>
      <c r="AB1520" t="s">
        <v>42</v>
      </c>
      <c r="AC1520" t="s">
        <v>179</v>
      </c>
      <c r="AD1520" t="s">
        <v>180</v>
      </c>
      <c r="AE1520" t="s">
        <v>51</v>
      </c>
    </row>
    <row r="1521" spans="1:31" x14ac:dyDescent="0.3">
      <c r="A1521">
        <v>10145</v>
      </c>
      <c r="B1521">
        <v>40</v>
      </c>
      <c r="C1521">
        <v>87.54</v>
      </c>
      <c r="D1521">
        <v>16</v>
      </c>
      <c r="E1521" s="4" t="str">
        <f t="shared" si="138"/>
        <v>low sales</v>
      </c>
      <c r="F1521">
        <v>3501.6</v>
      </c>
      <c r="G1521" t="s">
        <v>2193</v>
      </c>
      <c r="H1521" s="1" t="str">
        <f t="shared" si="139"/>
        <v>Shipped</v>
      </c>
      <c r="I1521" s="4" t="str">
        <f t="shared" si="140"/>
        <v>completed</v>
      </c>
      <c r="J1521" t="s">
        <v>25</v>
      </c>
      <c r="K1521">
        <v>3</v>
      </c>
      <c r="L1521">
        <v>8</v>
      </c>
      <c r="M1521">
        <v>2003</v>
      </c>
      <c r="N1521" t="s">
        <v>566</v>
      </c>
      <c r="O1521">
        <v>109</v>
      </c>
      <c r="P1521" t="s">
        <v>624</v>
      </c>
      <c r="Q1521" t="s">
        <v>52</v>
      </c>
      <c r="R1521">
        <v>6265557265</v>
      </c>
      <c r="S1521" t="s">
        <v>53</v>
      </c>
      <c r="U1521" s="1" t="str">
        <f t="shared" si="141"/>
        <v>Pasadena</v>
      </c>
      <c r="V1521" t="s">
        <v>54</v>
      </c>
      <c r="W1521" t="s">
        <v>55</v>
      </c>
      <c r="X1521">
        <v>90003</v>
      </c>
      <c r="Y1521" s="1" t="str">
        <f t="shared" si="142"/>
        <v>USA</v>
      </c>
      <c r="Z1521" s="4" t="str">
        <f t="shared" si="143"/>
        <v>Usa</v>
      </c>
      <c r="AA1521" t="s">
        <v>32</v>
      </c>
      <c r="AB1521" t="s">
        <v>33</v>
      </c>
      <c r="AC1521" t="s">
        <v>56</v>
      </c>
      <c r="AD1521" t="s">
        <v>57</v>
      </c>
      <c r="AE1521" t="s">
        <v>51</v>
      </c>
    </row>
    <row r="1522" spans="1:31" x14ac:dyDescent="0.3">
      <c r="A1522">
        <v>10168</v>
      </c>
      <c r="B1522">
        <v>49</v>
      </c>
      <c r="C1522">
        <v>100</v>
      </c>
      <c r="D1522">
        <v>11</v>
      </c>
      <c r="E1522" s="4" t="str">
        <f t="shared" si="138"/>
        <v>high sales</v>
      </c>
      <c r="F1522">
        <v>6433.7</v>
      </c>
      <c r="G1522" t="s">
        <v>2194</v>
      </c>
      <c r="H1522" s="1" t="str">
        <f t="shared" si="139"/>
        <v>Shipped</v>
      </c>
      <c r="I1522" s="4" t="str">
        <f t="shared" si="140"/>
        <v>completed</v>
      </c>
      <c r="J1522" t="s">
        <v>25</v>
      </c>
      <c r="K1522">
        <v>4</v>
      </c>
      <c r="L1522">
        <v>10</v>
      </c>
      <c r="M1522">
        <v>2003</v>
      </c>
      <c r="N1522" t="s">
        <v>566</v>
      </c>
      <c r="O1522">
        <v>109</v>
      </c>
      <c r="P1522" t="s">
        <v>624</v>
      </c>
      <c r="Q1522" t="s">
        <v>62</v>
      </c>
      <c r="R1522">
        <v>6505556809</v>
      </c>
      <c r="S1522" t="s">
        <v>63</v>
      </c>
      <c r="U1522" s="1" t="str">
        <f t="shared" si="141"/>
        <v>Burlingame</v>
      </c>
      <c r="V1522" t="s">
        <v>64</v>
      </c>
      <c r="W1522" t="s">
        <v>55</v>
      </c>
      <c r="X1522">
        <v>94217</v>
      </c>
      <c r="Y1522" s="1" t="str">
        <f t="shared" si="142"/>
        <v>USA</v>
      </c>
      <c r="Z1522" s="4" t="str">
        <f t="shared" si="143"/>
        <v>Usa</v>
      </c>
      <c r="AA1522" t="s">
        <v>32</v>
      </c>
      <c r="AB1522" t="s">
        <v>33</v>
      </c>
      <c r="AC1522" t="s">
        <v>65</v>
      </c>
      <c r="AD1522" t="s">
        <v>66</v>
      </c>
      <c r="AE1522" t="s">
        <v>51</v>
      </c>
    </row>
    <row r="1523" spans="1:31" x14ac:dyDescent="0.3">
      <c r="A1523">
        <v>10210</v>
      </c>
      <c r="B1523">
        <v>27</v>
      </c>
      <c r="C1523">
        <v>98.48</v>
      </c>
      <c r="D1523">
        <v>9</v>
      </c>
      <c r="E1523" s="4" t="str">
        <f t="shared" si="138"/>
        <v>low sales</v>
      </c>
      <c r="F1523">
        <v>2658.96</v>
      </c>
      <c r="G1523" t="s">
        <v>2195</v>
      </c>
      <c r="H1523" s="1" t="str">
        <f t="shared" si="139"/>
        <v>Shipped</v>
      </c>
      <c r="I1523" s="4" t="str">
        <f t="shared" si="140"/>
        <v>completed</v>
      </c>
      <c r="J1523" t="s">
        <v>25</v>
      </c>
      <c r="K1523">
        <v>1</v>
      </c>
      <c r="L1523">
        <v>1</v>
      </c>
      <c r="M1523">
        <v>2004</v>
      </c>
      <c r="N1523" t="s">
        <v>566</v>
      </c>
      <c r="O1523">
        <v>109</v>
      </c>
      <c r="P1523" t="s">
        <v>624</v>
      </c>
      <c r="Q1523" t="s">
        <v>302</v>
      </c>
      <c r="R1523" t="s">
        <v>303</v>
      </c>
      <c r="S1523" t="s">
        <v>304</v>
      </c>
      <c r="U1523" s="1" t="str">
        <f t="shared" si="141"/>
        <v>Osaka</v>
      </c>
      <c r="V1523" t="s">
        <v>305</v>
      </c>
      <c r="W1523" t="s">
        <v>305</v>
      </c>
      <c r="X1523" t="s">
        <v>306</v>
      </c>
      <c r="Y1523" s="1" t="str">
        <f t="shared" si="142"/>
        <v>JAPAN</v>
      </c>
      <c r="Z1523" s="4" t="str">
        <f t="shared" si="143"/>
        <v>Japan</v>
      </c>
      <c r="AA1523" t="s">
        <v>200</v>
      </c>
      <c r="AB1523" t="s">
        <v>200</v>
      </c>
      <c r="AC1523" t="s">
        <v>307</v>
      </c>
      <c r="AD1523" t="s">
        <v>308</v>
      </c>
      <c r="AE1523" t="s">
        <v>36</v>
      </c>
    </row>
    <row r="1524" spans="1:31" x14ac:dyDescent="0.3">
      <c r="A1524">
        <v>10223</v>
      </c>
      <c r="B1524">
        <v>34</v>
      </c>
      <c r="C1524">
        <v>100</v>
      </c>
      <c r="D1524">
        <v>11</v>
      </c>
      <c r="E1524" s="4" t="str">
        <f t="shared" si="138"/>
        <v>low sales</v>
      </c>
      <c r="F1524">
        <v>3608.76</v>
      </c>
      <c r="G1524" t="s">
        <v>2196</v>
      </c>
      <c r="H1524" s="1" t="str">
        <f t="shared" si="139"/>
        <v>Shipped</v>
      </c>
      <c r="I1524" s="4" t="str">
        <f t="shared" si="140"/>
        <v>completed</v>
      </c>
      <c r="J1524" t="s">
        <v>25</v>
      </c>
      <c r="K1524">
        <v>1</v>
      </c>
      <c r="L1524">
        <v>2</v>
      </c>
      <c r="M1524">
        <v>2004</v>
      </c>
      <c r="N1524" t="s">
        <v>566</v>
      </c>
      <c r="O1524">
        <v>109</v>
      </c>
      <c r="P1524" t="s">
        <v>624</v>
      </c>
      <c r="Q1524" t="s">
        <v>89</v>
      </c>
      <c r="R1524" t="s">
        <v>90</v>
      </c>
      <c r="S1524" t="s">
        <v>91</v>
      </c>
      <c r="T1524" t="s">
        <v>92</v>
      </c>
      <c r="U1524" s="1" t="str">
        <f t="shared" si="141"/>
        <v>Melbourne</v>
      </c>
      <c r="V1524" t="s">
        <v>93</v>
      </c>
      <c r="W1524" t="s">
        <v>94</v>
      </c>
      <c r="X1524">
        <v>3004</v>
      </c>
      <c r="Y1524" s="1" t="str">
        <f t="shared" si="142"/>
        <v>AUSTRALIA</v>
      </c>
      <c r="Z1524" s="4" t="str">
        <f t="shared" si="143"/>
        <v>Australia</v>
      </c>
      <c r="AA1524" t="s">
        <v>95</v>
      </c>
      <c r="AB1524" t="s">
        <v>96</v>
      </c>
      <c r="AC1524" t="s">
        <v>97</v>
      </c>
      <c r="AD1524" t="s">
        <v>98</v>
      </c>
      <c r="AE1524" t="s">
        <v>51</v>
      </c>
    </row>
    <row r="1525" spans="1:31" x14ac:dyDescent="0.3">
      <c r="A1525">
        <v>10235</v>
      </c>
      <c r="B1525">
        <v>23</v>
      </c>
      <c r="C1525">
        <v>96.29</v>
      </c>
      <c r="D1525">
        <v>5</v>
      </c>
      <c r="E1525" s="4" t="str">
        <f t="shared" si="138"/>
        <v>low sales</v>
      </c>
      <c r="F1525">
        <v>2214.67</v>
      </c>
      <c r="G1525" t="s">
        <v>2197</v>
      </c>
      <c r="H1525" s="1" t="str">
        <f t="shared" si="139"/>
        <v>Shipped</v>
      </c>
      <c r="I1525" s="4" t="str">
        <f t="shared" si="140"/>
        <v>completed</v>
      </c>
      <c r="J1525" t="s">
        <v>25</v>
      </c>
      <c r="K1525">
        <v>2</v>
      </c>
      <c r="L1525">
        <v>4</v>
      </c>
      <c r="M1525">
        <v>2004</v>
      </c>
      <c r="N1525" t="s">
        <v>566</v>
      </c>
      <c r="O1525">
        <v>109</v>
      </c>
      <c r="P1525" t="s">
        <v>624</v>
      </c>
      <c r="Q1525" t="s">
        <v>373</v>
      </c>
      <c r="R1525" t="s">
        <v>374</v>
      </c>
      <c r="S1525" t="s">
        <v>375</v>
      </c>
      <c r="U1525" s="1" t="str">
        <f t="shared" si="141"/>
        <v>Tsawassen</v>
      </c>
      <c r="V1525" t="s">
        <v>376</v>
      </c>
      <c r="W1525" t="s">
        <v>229</v>
      </c>
      <c r="X1525" t="s">
        <v>377</v>
      </c>
      <c r="Y1525" s="1" t="str">
        <f t="shared" si="142"/>
        <v>CANADA</v>
      </c>
      <c r="Z1525" s="4" t="str">
        <f t="shared" si="143"/>
        <v>Canada</v>
      </c>
      <c r="AA1525" t="s">
        <v>231</v>
      </c>
      <c r="AB1525" t="s">
        <v>33</v>
      </c>
      <c r="AC1525" t="s">
        <v>378</v>
      </c>
      <c r="AD1525" t="s">
        <v>172</v>
      </c>
      <c r="AE1525" t="s">
        <v>36</v>
      </c>
    </row>
    <row r="1526" spans="1:31" x14ac:dyDescent="0.3">
      <c r="A1526">
        <v>10250</v>
      </c>
      <c r="B1526">
        <v>31</v>
      </c>
      <c r="C1526">
        <v>88.63</v>
      </c>
      <c r="D1526">
        <v>6</v>
      </c>
      <c r="E1526" s="4" t="str">
        <f t="shared" si="138"/>
        <v>low sales</v>
      </c>
      <c r="F1526">
        <v>2747.53</v>
      </c>
      <c r="G1526" t="s">
        <v>2198</v>
      </c>
      <c r="H1526" s="1" t="str">
        <f t="shared" si="139"/>
        <v>Shipped</v>
      </c>
      <c r="I1526" s="4" t="str">
        <f t="shared" si="140"/>
        <v>completed</v>
      </c>
      <c r="J1526" t="s">
        <v>25</v>
      </c>
      <c r="K1526">
        <v>2</v>
      </c>
      <c r="L1526">
        <v>5</v>
      </c>
      <c r="M1526">
        <v>2004</v>
      </c>
      <c r="N1526" t="s">
        <v>566</v>
      </c>
      <c r="O1526">
        <v>109</v>
      </c>
      <c r="P1526" t="s">
        <v>624</v>
      </c>
      <c r="Q1526" t="s">
        <v>397</v>
      </c>
      <c r="R1526">
        <v>4085553659</v>
      </c>
      <c r="S1526" t="s">
        <v>398</v>
      </c>
      <c r="U1526" s="1" t="str">
        <f t="shared" si="141"/>
        <v>San Jose</v>
      </c>
      <c r="V1526" t="s">
        <v>399</v>
      </c>
      <c r="W1526" t="s">
        <v>55</v>
      </c>
      <c r="X1526">
        <v>94217</v>
      </c>
      <c r="Y1526" s="1" t="str">
        <f t="shared" si="142"/>
        <v>USA</v>
      </c>
      <c r="Z1526" s="4" t="str">
        <f t="shared" si="143"/>
        <v>Usa</v>
      </c>
      <c r="AA1526" t="s">
        <v>32</v>
      </c>
      <c r="AB1526" t="s">
        <v>33</v>
      </c>
      <c r="AC1526" t="s">
        <v>102</v>
      </c>
      <c r="AD1526" t="s">
        <v>400</v>
      </c>
      <c r="AE1526" t="s">
        <v>36</v>
      </c>
    </row>
    <row r="1527" spans="1:31" x14ac:dyDescent="0.3">
      <c r="A1527">
        <v>10262</v>
      </c>
      <c r="B1527">
        <v>34</v>
      </c>
      <c r="C1527">
        <v>97.38</v>
      </c>
      <c r="D1527">
        <v>1</v>
      </c>
      <c r="E1527" s="4" t="str">
        <f t="shared" si="138"/>
        <v>low sales</v>
      </c>
      <c r="F1527">
        <v>3310.92</v>
      </c>
      <c r="G1527" t="s">
        <v>2199</v>
      </c>
      <c r="H1527" s="1" t="str">
        <f t="shared" si="139"/>
        <v>Cancelled</v>
      </c>
      <c r="I1527" s="4" t="str">
        <f t="shared" si="140"/>
        <v>not completed</v>
      </c>
      <c r="J1527" t="s">
        <v>339</v>
      </c>
      <c r="K1527">
        <v>2</v>
      </c>
      <c r="L1527">
        <v>6</v>
      </c>
      <c r="M1527">
        <v>2004</v>
      </c>
      <c r="N1527" t="s">
        <v>566</v>
      </c>
      <c r="O1527">
        <v>109</v>
      </c>
      <c r="P1527" t="s">
        <v>624</v>
      </c>
      <c r="Q1527" t="s">
        <v>174</v>
      </c>
      <c r="R1527" t="s">
        <v>175</v>
      </c>
      <c r="S1527" t="s">
        <v>176</v>
      </c>
      <c r="U1527" s="1" t="str">
        <f t="shared" si="141"/>
        <v>Madrid</v>
      </c>
      <c r="V1527" t="s">
        <v>177</v>
      </c>
      <c r="X1527">
        <v>28034</v>
      </c>
      <c r="Y1527" s="1" t="str">
        <f t="shared" si="142"/>
        <v>SPAIN</v>
      </c>
      <c r="Z1527" s="4" t="str">
        <f t="shared" si="143"/>
        <v>Spain</v>
      </c>
      <c r="AA1527" t="s">
        <v>178</v>
      </c>
      <c r="AB1527" t="s">
        <v>42</v>
      </c>
      <c r="AC1527" t="s">
        <v>179</v>
      </c>
      <c r="AD1527" t="s">
        <v>180</v>
      </c>
      <c r="AE1527" t="s">
        <v>51</v>
      </c>
    </row>
    <row r="1528" spans="1:31" x14ac:dyDescent="0.3">
      <c r="A1528">
        <v>10275</v>
      </c>
      <c r="B1528">
        <v>25</v>
      </c>
      <c r="C1528">
        <v>95.2</v>
      </c>
      <c r="D1528">
        <v>11</v>
      </c>
      <c r="E1528" s="4" t="str">
        <f t="shared" si="138"/>
        <v>low sales</v>
      </c>
      <c r="F1528">
        <v>2380</v>
      </c>
      <c r="G1528" t="s">
        <v>2200</v>
      </c>
      <c r="H1528" s="1" t="str">
        <f t="shared" si="139"/>
        <v>Shipped</v>
      </c>
      <c r="I1528" s="4" t="str">
        <f t="shared" si="140"/>
        <v>completed</v>
      </c>
      <c r="J1528" t="s">
        <v>25</v>
      </c>
      <c r="K1528">
        <v>3</v>
      </c>
      <c r="L1528">
        <v>7</v>
      </c>
      <c r="M1528">
        <v>2004</v>
      </c>
      <c r="N1528" t="s">
        <v>566</v>
      </c>
      <c r="O1528">
        <v>109</v>
      </c>
      <c r="P1528" t="s">
        <v>624</v>
      </c>
      <c r="Q1528" t="s">
        <v>114</v>
      </c>
      <c r="R1528" t="s">
        <v>115</v>
      </c>
      <c r="S1528" t="s">
        <v>116</v>
      </c>
      <c r="U1528" s="1" t="str">
        <f t="shared" si="141"/>
        <v>Nantes</v>
      </c>
      <c r="V1528" t="s">
        <v>117</v>
      </c>
      <c r="X1528">
        <v>44000</v>
      </c>
      <c r="Y1528" s="1" t="str">
        <f t="shared" si="142"/>
        <v>FRANCE</v>
      </c>
      <c r="Z1528" s="4" t="str">
        <f t="shared" si="143"/>
        <v>France</v>
      </c>
      <c r="AA1528" t="s">
        <v>41</v>
      </c>
      <c r="AB1528" t="s">
        <v>42</v>
      </c>
      <c r="AC1528" t="s">
        <v>118</v>
      </c>
      <c r="AD1528" t="s">
        <v>119</v>
      </c>
      <c r="AE1528" t="s">
        <v>36</v>
      </c>
    </row>
    <row r="1529" spans="1:31" x14ac:dyDescent="0.3">
      <c r="A1529">
        <v>10284</v>
      </c>
      <c r="B1529">
        <v>22</v>
      </c>
      <c r="C1529">
        <v>100</v>
      </c>
      <c r="D1529">
        <v>3</v>
      </c>
      <c r="E1529" s="4" t="str">
        <f t="shared" si="138"/>
        <v>low sales</v>
      </c>
      <c r="F1529">
        <v>2310.88</v>
      </c>
      <c r="G1529" t="s">
        <v>2201</v>
      </c>
      <c r="H1529" s="1" t="str">
        <f t="shared" si="139"/>
        <v>Shipped</v>
      </c>
      <c r="I1529" s="4" t="str">
        <f t="shared" si="140"/>
        <v>completed</v>
      </c>
      <c r="J1529" t="s">
        <v>25</v>
      </c>
      <c r="K1529">
        <v>3</v>
      </c>
      <c r="L1529">
        <v>8</v>
      </c>
      <c r="M1529">
        <v>2004</v>
      </c>
      <c r="N1529" t="s">
        <v>566</v>
      </c>
      <c r="O1529">
        <v>109</v>
      </c>
      <c r="P1529" t="s">
        <v>624</v>
      </c>
      <c r="Q1529" t="s">
        <v>543</v>
      </c>
      <c r="R1529" t="s">
        <v>544</v>
      </c>
      <c r="S1529" t="s">
        <v>545</v>
      </c>
      <c r="U1529" s="1" t="str">
        <f t="shared" si="141"/>
        <v>Oslo</v>
      </c>
      <c r="V1529" t="s">
        <v>546</v>
      </c>
      <c r="X1529" t="s">
        <v>547</v>
      </c>
      <c r="Y1529" s="1" t="str">
        <f t="shared" si="142"/>
        <v>NORWAY</v>
      </c>
      <c r="Z1529" s="4" t="str">
        <f t="shared" si="143"/>
        <v>Norway</v>
      </c>
      <c r="AA1529" t="s">
        <v>78</v>
      </c>
      <c r="AB1529" t="s">
        <v>42</v>
      </c>
      <c r="AC1529" t="s">
        <v>548</v>
      </c>
      <c r="AD1529" t="s">
        <v>549</v>
      </c>
      <c r="AE1529" t="s">
        <v>36</v>
      </c>
    </row>
    <row r="1530" spans="1:31" x14ac:dyDescent="0.3">
      <c r="A1530">
        <v>10297</v>
      </c>
      <c r="B1530">
        <v>32</v>
      </c>
      <c r="C1530">
        <v>100</v>
      </c>
      <c r="D1530">
        <v>6</v>
      </c>
      <c r="E1530" s="4" t="str">
        <f t="shared" si="138"/>
        <v>high sales</v>
      </c>
      <c r="F1530">
        <v>4061.76</v>
      </c>
      <c r="G1530" t="s">
        <v>2202</v>
      </c>
      <c r="H1530" s="1" t="str">
        <f t="shared" si="139"/>
        <v>Shipped</v>
      </c>
      <c r="I1530" s="4" t="str">
        <f t="shared" si="140"/>
        <v>completed</v>
      </c>
      <c r="J1530" t="s">
        <v>25</v>
      </c>
      <c r="K1530">
        <v>3</v>
      </c>
      <c r="L1530">
        <v>9</v>
      </c>
      <c r="M1530">
        <v>2004</v>
      </c>
      <c r="N1530" t="s">
        <v>566</v>
      </c>
      <c r="O1530">
        <v>109</v>
      </c>
      <c r="P1530" t="s">
        <v>624</v>
      </c>
      <c r="Q1530" t="s">
        <v>479</v>
      </c>
      <c r="R1530" t="s">
        <v>480</v>
      </c>
      <c r="S1530" t="s">
        <v>481</v>
      </c>
      <c r="T1530" t="s">
        <v>482</v>
      </c>
      <c r="U1530" s="1" t="str">
        <f t="shared" si="141"/>
        <v>Dublin</v>
      </c>
      <c r="V1530" t="s">
        <v>483</v>
      </c>
      <c r="X1530">
        <v>2</v>
      </c>
      <c r="Y1530" s="1" t="str">
        <f t="shared" si="142"/>
        <v>IRELAND</v>
      </c>
      <c r="Z1530" s="4" t="str">
        <f t="shared" si="143"/>
        <v>Ireland</v>
      </c>
      <c r="AA1530" t="s">
        <v>484</v>
      </c>
      <c r="AB1530" t="s">
        <v>42</v>
      </c>
      <c r="AC1530" t="s">
        <v>485</v>
      </c>
      <c r="AD1530" t="s">
        <v>486</v>
      </c>
      <c r="AE1530" t="s">
        <v>51</v>
      </c>
    </row>
    <row r="1531" spans="1:31" x14ac:dyDescent="0.3">
      <c r="A1531">
        <v>10308</v>
      </c>
      <c r="B1531">
        <v>31</v>
      </c>
      <c r="C1531">
        <v>100</v>
      </c>
      <c r="D1531">
        <v>9</v>
      </c>
      <c r="E1531" s="4" t="str">
        <f t="shared" si="138"/>
        <v>low sales</v>
      </c>
      <c r="F1531">
        <v>3493.7</v>
      </c>
      <c r="G1531" t="s">
        <v>2203</v>
      </c>
      <c r="H1531" s="1" t="str">
        <f t="shared" si="139"/>
        <v>Shipped</v>
      </c>
      <c r="I1531" s="4" t="str">
        <f t="shared" si="140"/>
        <v>completed</v>
      </c>
      <c r="J1531" t="s">
        <v>25</v>
      </c>
      <c r="K1531">
        <v>4</v>
      </c>
      <c r="L1531">
        <v>10</v>
      </c>
      <c r="M1531">
        <v>2004</v>
      </c>
      <c r="N1531" t="s">
        <v>566</v>
      </c>
      <c r="O1531">
        <v>109</v>
      </c>
      <c r="P1531" t="s">
        <v>624</v>
      </c>
      <c r="Q1531" t="s">
        <v>317</v>
      </c>
      <c r="R1531">
        <v>9145554562</v>
      </c>
      <c r="S1531" t="s">
        <v>318</v>
      </c>
      <c r="U1531" s="1" t="str">
        <f t="shared" si="141"/>
        <v>White Plains</v>
      </c>
      <c r="V1531" t="s">
        <v>319</v>
      </c>
      <c r="W1531" t="s">
        <v>31</v>
      </c>
      <c r="X1531">
        <v>24067</v>
      </c>
      <c r="Y1531" s="1" t="str">
        <f t="shared" si="142"/>
        <v>USA</v>
      </c>
      <c r="Z1531" s="4" t="str">
        <f t="shared" si="143"/>
        <v>Usa</v>
      </c>
      <c r="AA1531" t="s">
        <v>32</v>
      </c>
      <c r="AB1531" t="s">
        <v>33</v>
      </c>
      <c r="AC1531" t="s">
        <v>102</v>
      </c>
      <c r="AD1531" t="s">
        <v>238</v>
      </c>
      <c r="AE1531" t="s">
        <v>51</v>
      </c>
    </row>
    <row r="1532" spans="1:31" x14ac:dyDescent="0.3">
      <c r="A1532">
        <v>10316</v>
      </c>
      <c r="B1532">
        <v>25</v>
      </c>
      <c r="C1532">
        <v>100</v>
      </c>
      <c r="D1532">
        <v>1</v>
      </c>
      <c r="E1532" s="4" t="str">
        <f t="shared" si="138"/>
        <v>low sales</v>
      </c>
      <c r="F1532">
        <v>2872.25</v>
      </c>
      <c r="G1532" t="s">
        <v>2204</v>
      </c>
      <c r="H1532" s="1" t="str">
        <f t="shared" si="139"/>
        <v>Shipped</v>
      </c>
      <c r="I1532" s="4" t="str">
        <f t="shared" si="140"/>
        <v>completed</v>
      </c>
      <c r="J1532" t="s">
        <v>25</v>
      </c>
      <c r="K1532">
        <v>4</v>
      </c>
      <c r="L1532">
        <v>11</v>
      </c>
      <c r="M1532">
        <v>2004</v>
      </c>
      <c r="N1532" t="s">
        <v>566</v>
      </c>
      <c r="O1532">
        <v>109</v>
      </c>
      <c r="P1532" t="s">
        <v>624</v>
      </c>
      <c r="Q1532" t="s">
        <v>383</v>
      </c>
      <c r="R1532" t="s">
        <v>384</v>
      </c>
      <c r="S1532" t="s">
        <v>385</v>
      </c>
      <c r="U1532" s="1" t="str">
        <f t="shared" si="141"/>
        <v>Cowes</v>
      </c>
      <c r="V1532" t="s">
        <v>386</v>
      </c>
      <c r="W1532" t="s">
        <v>387</v>
      </c>
      <c r="X1532" t="s">
        <v>388</v>
      </c>
      <c r="Y1532" s="1" t="str">
        <f t="shared" si="142"/>
        <v>UK</v>
      </c>
      <c r="Z1532" s="4" t="str">
        <f t="shared" si="143"/>
        <v>Uk</v>
      </c>
      <c r="AA1532" t="s">
        <v>170</v>
      </c>
      <c r="AB1532" t="s">
        <v>42</v>
      </c>
      <c r="AC1532" t="s">
        <v>389</v>
      </c>
      <c r="AD1532" t="s">
        <v>390</v>
      </c>
      <c r="AE1532" t="s">
        <v>36</v>
      </c>
    </row>
    <row r="1533" spans="1:31" x14ac:dyDescent="0.3">
      <c r="A1533">
        <v>10328</v>
      </c>
      <c r="B1533">
        <v>47</v>
      </c>
      <c r="C1533">
        <v>87.54</v>
      </c>
      <c r="D1533">
        <v>14</v>
      </c>
      <c r="E1533" s="4" t="str">
        <f t="shared" si="138"/>
        <v>high sales</v>
      </c>
      <c r="F1533">
        <v>4114.38</v>
      </c>
      <c r="G1533" t="s">
        <v>2205</v>
      </c>
      <c r="H1533" s="1" t="str">
        <f t="shared" si="139"/>
        <v>Shipped</v>
      </c>
      <c r="I1533" s="4" t="str">
        <f t="shared" si="140"/>
        <v>completed</v>
      </c>
      <c r="J1533" t="s">
        <v>25</v>
      </c>
      <c r="K1533">
        <v>4</v>
      </c>
      <c r="L1533">
        <v>11</v>
      </c>
      <c r="M1533">
        <v>2004</v>
      </c>
      <c r="N1533" t="s">
        <v>566</v>
      </c>
      <c r="O1533">
        <v>109</v>
      </c>
      <c r="P1533" t="s">
        <v>624</v>
      </c>
      <c r="Q1533" t="s">
        <v>552</v>
      </c>
      <c r="R1533" t="s">
        <v>553</v>
      </c>
      <c r="S1533" t="s">
        <v>554</v>
      </c>
      <c r="U1533" s="1" t="str">
        <f t="shared" si="141"/>
        <v>Bergamo</v>
      </c>
      <c r="V1533" t="s">
        <v>555</v>
      </c>
      <c r="X1533">
        <v>24100</v>
      </c>
      <c r="Y1533" s="1" t="str">
        <f t="shared" si="142"/>
        <v>ITALY</v>
      </c>
      <c r="Z1533" s="4" t="str">
        <f t="shared" si="143"/>
        <v>Italy</v>
      </c>
      <c r="AA1533" t="s">
        <v>258</v>
      </c>
      <c r="AB1533" t="s">
        <v>42</v>
      </c>
      <c r="AC1533" t="s">
        <v>556</v>
      </c>
      <c r="AD1533" t="s">
        <v>557</v>
      </c>
      <c r="AE1533" t="s">
        <v>51</v>
      </c>
    </row>
    <row r="1534" spans="1:31" x14ac:dyDescent="0.3">
      <c r="A1534">
        <v>10339</v>
      </c>
      <c r="B1534">
        <v>21</v>
      </c>
      <c r="C1534">
        <v>50.65</v>
      </c>
      <c r="D1534">
        <v>7</v>
      </c>
      <c r="E1534" s="4" t="str">
        <f t="shared" si="138"/>
        <v>low sales</v>
      </c>
      <c r="F1534">
        <v>1063.6500000000001</v>
      </c>
      <c r="G1534" t="s">
        <v>2206</v>
      </c>
      <c r="H1534" s="1" t="str">
        <f t="shared" si="139"/>
        <v>Shipped</v>
      </c>
      <c r="I1534" s="4" t="str">
        <f t="shared" si="140"/>
        <v>completed</v>
      </c>
      <c r="J1534" t="s">
        <v>25</v>
      </c>
      <c r="K1534">
        <v>4</v>
      </c>
      <c r="L1534">
        <v>11</v>
      </c>
      <c r="M1534">
        <v>2004</v>
      </c>
      <c r="N1534" t="s">
        <v>566</v>
      </c>
      <c r="O1534">
        <v>109</v>
      </c>
      <c r="P1534" t="s">
        <v>624</v>
      </c>
      <c r="Q1534" t="s">
        <v>246</v>
      </c>
      <c r="R1534" t="s">
        <v>247</v>
      </c>
      <c r="S1534" t="s">
        <v>248</v>
      </c>
      <c r="U1534" s="1" t="str">
        <f t="shared" si="141"/>
        <v>Minato-Ku</v>
      </c>
      <c r="V1534" t="s">
        <v>249</v>
      </c>
      <c r="W1534" t="s">
        <v>250</v>
      </c>
      <c r="X1534" t="s">
        <v>251</v>
      </c>
      <c r="Y1534" s="1" t="str">
        <f t="shared" si="142"/>
        <v>JAPAN</v>
      </c>
      <c r="Z1534" s="4" t="str">
        <f t="shared" si="143"/>
        <v>Japan</v>
      </c>
      <c r="AA1534" t="s">
        <v>200</v>
      </c>
      <c r="AB1534" t="s">
        <v>200</v>
      </c>
      <c r="AC1534" t="s">
        <v>252</v>
      </c>
      <c r="AD1534" t="s">
        <v>253</v>
      </c>
      <c r="AE1534" t="s">
        <v>36</v>
      </c>
    </row>
    <row r="1535" spans="1:31" x14ac:dyDescent="0.3">
      <c r="A1535">
        <v>10353</v>
      </c>
      <c r="B1535">
        <v>28</v>
      </c>
      <c r="C1535">
        <v>71.73</v>
      </c>
      <c r="D1535">
        <v>2</v>
      </c>
      <c r="E1535" s="4" t="str">
        <f t="shared" si="138"/>
        <v>low sales</v>
      </c>
      <c r="F1535">
        <v>2008.44</v>
      </c>
      <c r="G1535" t="s">
        <v>2207</v>
      </c>
      <c r="H1535" s="1" t="str">
        <f t="shared" si="139"/>
        <v>Shipped</v>
      </c>
      <c r="I1535" s="4" t="str">
        <f t="shared" si="140"/>
        <v>completed</v>
      </c>
      <c r="J1535" t="s">
        <v>25</v>
      </c>
      <c r="K1535">
        <v>4</v>
      </c>
      <c r="L1535">
        <v>12</v>
      </c>
      <c r="M1535">
        <v>2004</v>
      </c>
      <c r="N1535" t="s">
        <v>566</v>
      </c>
      <c r="O1535">
        <v>109</v>
      </c>
      <c r="P1535" t="s">
        <v>624</v>
      </c>
      <c r="Q1535" t="s">
        <v>568</v>
      </c>
      <c r="R1535">
        <v>2035554407</v>
      </c>
      <c r="S1535" t="s">
        <v>569</v>
      </c>
      <c r="U1535" s="1" t="str">
        <f t="shared" si="141"/>
        <v>Glendale</v>
      </c>
      <c r="V1535" t="s">
        <v>516</v>
      </c>
      <c r="W1535" t="s">
        <v>112</v>
      </c>
      <c r="X1535">
        <v>97561</v>
      </c>
      <c r="Y1535" s="1" t="str">
        <f t="shared" si="142"/>
        <v>USA</v>
      </c>
      <c r="Z1535" s="4" t="str">
        <f t="shared" si="143"/>
        <v>Usa</v>
      </c>
      <c r="AA1535" t="s">
        <v>32</v>
      </c>
      <c r="AB1535" t="s">
        <v>33</v>
      </c>
      <c r="AC1535" t="s">
        <v>570</v>
      </c>
      <c r="AD1535" t="s">
        <v>571</v>
      </c>
      <c r="AE1535" t="s">
        <v>36</v>
      </c>
    </row>
    <row r="1536" spans="1:31" x14ac:dyDescent="0.3">
      <c r="A1536">
        <v>10374</v>
      </c>
      <c r="B1536">
        <v>46</v>
      </c>
      <c r="C1536">
        <v>94.1</v>
      </c>
      <c r="D1536">
        <v>3</v>
      </c>
      <c r="E1536" s="4" t="str">
        <f t="shared" si="138"/>
        <v>high sales</v>
      </c>
      <c r="F1536">
        <v>4328.6000000000004</v>
      </c>
      <c r="G1536" t="s">
        <v>2208</v>
      </c>
      <c r="H1536" s="1" t="str">
        <f t="shared" si="139"/>
        <v>Shipped</v>
      </c>
      <c r="I1536" s="4" t="str">
        <f t="shared" si="140"/>
        <v>completed</v>
      </c>
      <c r="J1536" t="s">
        <v>25</v>
      </c>
      <c r="K1536">
        <v>1</v>
      </c>
      <c r="L1536">
        <v>2</v>
      </c>
      <c r="M1536">
        <v>2005</v>
      </c>
      <c r="N1536" t="s">
        <v>566</v>
      </c>
      <c r="O1536">
        <v>109</v>
      </c>
      <c r="P1536" t="s">
        <v>624</v>
      </c>
      <c r="Q1536" t="s">
        <v>207</v>
      </c>
      <c r="R1536" t="s">
        <v>208</v>
      </c>
      <c r="S1536" t="s">
        <v>209</v>
      </c>
      <c r="U1536" s="1" t="str">
        <f t="shared" si="141"/>
        <v>South Brisbane</v>
      </c>
      <c r="V1536" t="s">
        <v>210</v>
      </c>
      <c r="W1536" t="s">
        <v>211</v>
      </c>
      <c r="X1536">
        <v>4101</v>
      </c>
      <c r="Y1536" s="1" t="str">
        <f t="shared" si="142"/>
        <v>AUSTRALIA</v>
      </c>
      <c r="Z1536" s="4" t="str">
        <f t="shared" si="143"/>
        <v>Australia</v>
      </c>
      <c r="AA1536" t="s">
        <v>95</v>
      </c>
      <c r="AB1536" t="s">
        <v>96</v>
      </c>
      <c r="AC1536" t="s">
        <v>212</v>
      </c>
      <c r="AD1536" t="s">
        <v>213</v>
      </c>
      <c r="AE1536" t="s">
        <v>51</v>
      </c>
    </row>
    <row r="1537" spans="1:31" x14ac:dyDescent="0.3">
      <c r="A1537">
        <v>10386</v>
      </c>
      <c r="B1537">
        <v>33</v>
      </c>
      <c r="C1537">
        <v>41.71</v>
      </c>
      <c r="D1537">
        <v>11</v>
      </c>
      <c r="E1537" s="4" t="str">
        <f t="shared" si="138"/>
        <v>low sales</v>
      </c>
      <c r="F1537">
        <v>1376.43</v>
      </c>
      <c r="G1537" t="s">
        <v>2209</v>
      </c>
      <c r="H1537" s="1" t="str">
        <f t="shared" si="139"/>
        <v>Resolved</v>
      </c>
      <c r="I1537" s="4" t="str">
        <f t="shared" si="140"/>
        <v>not completed</v>
      </c>
      <c r="J1537" t="s">
        <v>408</v>
      </c>
      <c r="K1537">
        <v>1</v>
      </c>
      <c r="L1537">
        <v>3</v>
      </c>
      <c r="M1537">
        <v>2005</v>
      </c>
      <c r="N1537" t="s">
        <v>566</v>
      </c>
      <c r="O1537">
        <v>109</v>
      </c>
      <c r="P1537" t="s">
        <v>624</v>
      </c>
      <c r="Q1537" t="s">
        <v>174</v>
      </c>
      <c r="R1537" t="s">
        <v>175</v>
      </c>
      <c r="S1537" t="s">
        <v>176</v>
      </c>
      <c r="U1537" s="1" t="str">
        <f t="shared" si="141"/>
        <v>Madrid</v>
      </c>
      <c r="V1537" t="s">
        <v>177</v>
      </c>
      <c r="X1537">
        <v>28034</v>
      </c>
      <c r="Y1537" s="1" t="str">
        <f t="shared" si="142"/>
        <v>SPAIN</v>
      </c>
      <c r="Z1537" s="4" t="str">
        <f t="shared" si="143"/>
        <v>Spain</v>
      </c>
      <c r="AA1537" t="s">
        <v>178</v>
      </c>
      <c r="AB1537" t="s">
        <v>42</v>
      </c>
      <c r="AC1537" t="s">
        <v>179</v>
      </c>
      <c r="AD1537" t="s">
        <v>180</v>
      </c>
      <c r="AE1537" t="s">
        <v>36</v>
      </c>
    </row>
    <row r="1538" spans="1:31" x14ac:dyDescent="0.3">
      <c r="A1538">
        <v>10398</v>
      </c>
      <c r="B1538">
        <v>43</v>
      </c>
      <c r="C1538">
        <v>100</v>
      </c>
      <c r="D1538">
        <v>16</v>
      </c>
      <c r="E1538" s="4" t="str">
        <f t="shared" si="138"/>
        <v>high sales</v>
      </c>
      <c r="F1538">
        <v>5552.16</v>
      </c>
      <c r="G1538" t="s">
        <v>2210</v>
      </c>
      <c r="H1538" s="1" t="str">
        <f t="shared" si="139"/>
        <v>Shipped</v>
      </c>
      <c r="I1538" s="4" t="str">
        <f t="shared" si="140"/>
        <v>completed</v>
      </c>
      <c r="J1538" t="s">
        <v>25</v>
      </c>
      <c r="K1538">
        <v>1</v>
      </c>
      <c r="L1538">
        <v>3</v>
      </c>
      <c r="M1538">
        <v>2005</v>
      </c>
      <c r="N1538" t="s">
        <v>566</v>
      </c>
      <c r="O1538">
        <v>109</v>
      </c>
      <c r="P1538" t="s">
        <v>624</v>
      </c>
      <c r="Q1538" t="s">
        <v>37</v>
      </c>
      <c r="R1538" t="s">
        <v>38</v>
      </c>
      <c r="S1538" t="s">
        <v>39</v>
      </c>
      <c r="U1538" s="1" t="str">
        <f t="shared" si="141"/>
        <v>Reims</v>
      </c>
      <c r="V1538" t="s">
        <v>40</v>
      </c>
      <c r="X1538">
        <v>51100</v>
      </c>
      <c r="Y1538" s="1" t="str">
        <f t="shared" si="142"/>
        <v>FRANCE</v>
      </c>
      <c r="Z1538" s="4" t="str">
        <f t="shared" si="143"/>
        <v>France</v>
      </c>
      <c r="AA1538" t="s">
        <v>41</v>
      </c>
      <c r="AB1538" t="s">
        <v>42</v>
      </c>
      <c r="AC1538" t="s">
        <v>43</v>
      </c>
      <c r="AD1538" t="s">
        <v>44</v>
      </c>
      <c r="AE1538" t="s">
        <v>51</v>
      </c>
    </row>
    <row r="1539" spans="1:31" x14ac:dyDescent="0.3">
      <c r="A1539">
        <v>10401</v>
      </c>
      <c r="B1539">
        <v>38</v>
      </c>
      <c r="C1539">
        <v>96.29</v>
      </c>
      <c r="D1539">
        <v>5</v>
      </c>
      <c r="E1539" s="4" t="str">
        <f t="shared" ref="E1539:E1602" si="144">IF(F1539&gt;4000,"high sales","low sales")</f>
        <v>low sales</v>
      </c>
      <c r="F1539">
        <v>3659.02</v>
      </c>
      <c r="G1539" t="s">
        <v>2211</v>
      </c>
      <c r="H1539" s="1" t="str">
        <f t="shared" ref="H1539:H1602" si="145">PROPER(TRIM(J1539))</f>
        <v>On Hold</v>
      </c>
      <c r="I1539" s="4" t="str">
        <f t="shared" ref="I1539:I1602" si="146">IF(J1539="shipped","completed","not completed")</f>
        <v>not completed</v>
      </c>
      <c r="J1539" t="s">
        <v>401</v>
      </c>
      <c r="K1539">
        <v>2</v>
      </c>
      <c r="L1539">
        <v>4</v>
      </c>
      <c r="M1539">
        <v>2005</v>
      </c>
      <c r="N1539" t="s">
        <v>566</v>
      </c>
      <c r="O1539">
        <v>109</v>
      </c>
      <c r="P1539" t="s">
        <v>624</v>
      </c>
      <c r="Q1539" t="s">
        <v>104</v>
      </c>
      <c r="R1539">
        <v>2015559350</v>
      </c>
      <c r="S1539" t="s">
        <v>105</v>
      </c>
      <c r="U1539" s="1" t="str">
        <f t="shared" ref="U1539:U1602" si="147">PROPER(TRIM(V1539))</f>
        <v>Newark</v>
      </c>
      <c r="V1539" t="s">
        <v>106</v>
      </c>
      <c r="W1539" t="s">
        <v>107</v>
      </c>
      <c r="X1539">
        <v>94019</v>
      </c>
      <c r="Y1539" s="1" t="str">
        <f t="shared" ref="Y1539:Y1602" si="148">UPPER(TRIM(AA1539))</f>
        <v>USA</v>
      </c>
      <c r="Z1539" s="4" t="str">
        <f t="shared" ref="Z1539:Z1602" si="149">PROPER(TRIM(AA1539))</f>
        <v>Usa</v>
      </c>
      <c r="AA1539" t="s">
        <v>32</v>
      </c>
      <c r="AB1539" t="s">
        <v>33</v>
      </c>
      <c r="AC1539" t="s">
        <v>61</v>
      </c>
      <c r="AD1539" t="s">
        <v>108</v>
      </c>
      <c r="AE1539" t="s">
        <v>51</v>
      </c>
    </row>
    <row r="1540" spans="1:31" x14ac:dyDescent="0.3">
      <c r="A1540">
        <v>10416</v>
      </c>
      <c r="B1540">
        <v>47</v>
      </c>
      <c r="C1540">
        <v>88.63</v>
      </c>
      <c r="D1540">
        <v>6</v>
      </c>
      <c r="E1540" s="4" t="str">
        <f t="shared" si="144"/>
        <v>high sales</v>
      </c>
      <c r="F1540">
        <v>4165.6099999999997</v>
      </c>
      <c r="G1540" t="s">
        <v>2212</v>
      </c>
      <c r="H1540" s="1" t="str">
        <f t="shared" si="145"/>
        <v>Shipped</v>
      </c>
      <c r="I1540" s="4" t="str">
        <f t="shared" si="146"/>
        <v>completed</v>
      </c>
      <c r="J1540" t="s">
        <v>25</v>
      </c>
      <c r="K1540">
        <v>2</v>
      </c>
      <c r="L1540">
        <v>5</v>
      </c>
      <c r="M1540">
        <v>2005</v>
      </c>
      <c r="N1540" t="s">
        <v>566</v>
      </c>
      <c r="O1540">
        <v>109</v>
      </c>
      <c r="P1540" t="s">
        <v>624</v>
      </c>
      <c r="Q1540" t="s">
        <v>452</v>
      </c>
      <c r="R1540" t="s">
        <v>453</v>
      </c>
      <c r="S1540" t="s">
        <v>454</v>
      </c>
      <c r="U1540" s="1" t="str">
        <f t="shared" si="147"/>
        <v>Reggio Emilia</v>
      </c>
      <c r="V1540" t="s">
        <v>455</v>
      </c>
      <c r="X1540">
        <v>42100</v>
      </c>
      <c r="Y1540" s="1" t="str">
        <f t="shared" si="148"/>
        <v>ITALY</v>
      </c>
      <c r="Z1540" s="4" t="str">
        <f t="shared" si="149"/>
        <v>Italy</v>
      </c>
      <c r="AA1540" t="s">
        <v>258</v>
      </c>
      <c r="AB1540" t="s">
        <v>42</v>
      </c>
      <c r="AC1540" t="s">
        <v>456</v>
      </c>
      <c r="AD1540" t="s">
        <v>457</v>
      </c>
      <c r="AE1540" t="s">
        <v>51</v>
      </c>
    </row>
    <row r="1541" spans="1:31" x14ac:dyDescent="0.3">
      <c r="A1541">
        <v>10101</v>
      </c>
      <c r="B1541">
        <v>45</v>
      </c>
      <c r="C1541">
        <v>31.2</v>
      </c>
      <c r="D1541">
        <v>3</v>
      </c>
      <c r="E1541" s="4" t="str">
        <f t="shared" si="144"/>
        <v>low sales</v>
      </c>
      <c r="F1541">
        <v>1404</v>
      </c>
      <c r="G1541" t="s">
        <v>2213</v>
      </c>
      <c r="H1541" s="1" t="str">
        <f t="shared" si="145"/>
        <v>Shipped</v>
      </c>
      <c r="I1541" s="4" t="str">
        <f t="shared" si="146"/>
        <v>completed</v>
      </c>
      <c r="J1541" t="s">
        <v>25</v>
      </c>
      <c r="K1541">
        <v>1</v>
      </c>
      <c r="L1541">
        <v>1</v>
      </c>
      <c r="M1541">
        <v>2003</v>
      </c>
      <c r="N1541" t="s">
        <v>550</v>
      </c>
      <c r="O1541">
        <v>33</v>
      </c>
      <c r="P1541" t="s">
        <v>625</v>
      </c>
      <c r="Q1541" t="s">
        <v>462</v>
      </c>
      <c r="R1541" t="s">
        <v>463</v>
      </c>
      <c r="S1541" t="s">
        <v>464</v>
      </c>
      <c r="U1541" s="1" t="str">
        <f t="shared" si="147"/>
        <v>Frankfurt</v>
      </c>
      <c r="V1541" t="s">
        <v>465</v>
      </c>
      <c r="X1541">
        <v>60528</v>
      </c>
      <c r="Y1541" s="1" t="str">
        <f t="shared" si="148"/>
        <v>GERMANY</v>
      </c>
      <c r="Z1541" s="4" t="str">
        <f t="shared" si="149"/>
        <v>Germany</v>
      </c>
      <c r="AA1541" t="s">
        <v>443</v>
      </c>
      <c r="AB1541" t="s">
        <v>42</v>
      </c>
      <c r="AC1541" t="s">
        <v>466</v>
      </c>
      <c r="AD1541" t="s">
        <v>414</v>
      </c>
      <c r="AE1541" t="s">
        <v>36</v>
      </c>
    </row>
    <row r="1542" spans="1:31" x14ac:dyDescent="0.3">
      <c r="A1542">
        <v>10110</v>
      </c>
      <c r="B1542">
        <v>20</v>
      </c>
      <c r="C1542">
        <v>35.51</v>
      </c>
      <c r="D1542">
        <v>3</v>
      </c>
      <c r="E1542" s="4" t="str">
        <f t="shared" si="144"/>
        <v>low sales</v>
      </c>
      <c r="F1542">
        <v>710.2</v>
      </c>
      <c r="G1542" t="s">
        <v>2214</v>
      </c>
      <c r="H1542" s="1" t="str">
        <f t="shared" si="145"/>
        <v>Shipped</v>
      </c>
      <c r="I1542" s="4" t="str">
        <f t="shared" si="146"/>
        <v>completed</v>
      </c>
      <c r="J1542" t="s">
        <v>25</v>
      </c>
      <c r="K1542">
        <v>1</v>
      </c>
      <c r="L1542">
        <v>3</v>
      </c>
      <c r="M1542">
        <v>2003</v>
      </c>
      <c r="N1542" t="s">
        <v>550</v>
      </c>
      <c r="O1542">
        <v>33</v>
      </c>
      <c r="P1542" t="s">
        <v>625</v>
      </c>
      <c r="Q1542" t="s">
        <v>492</v>
      </c>
      <c r="R1542" t="s">
        <v>493</v>
      </c>
      <c r="S1542" t="s">
        <v>494</v>
      </c>
      <c r="U1542" s="1" t="str">
        <f t="shared" si="147"/>
        <v>Manchester</v>
      </c>
      <c r="V1542" t="s">
        <v>495</v>
      </c>
      <c r="X1542" t="s">
        <v>496</v>
      </c>
      <c r="Y1542" s="1" t="str">
        <f t="shared" si="148"/>
        <v>UK</v>
      </c>
      <c r="Z1542" s="4" t="str">
        <f t="shared" si="149"/>
        <v>Uk</v>
      </c>
      <c r="AA1542" t="s">
        <v>170</v>
      </c>
      <c r="AB1542" t="s">
        <v>42</v>
      </c>
      <c r="AC1542" t="s">
        <v>497</v>
      </c>
      <c r="AD1542" t="s">
        <v>94</v>
      </c>
      <c r="AE1542" t="s">
        <v>36</v>
      </c>
    </row>
    <row r="1543" spans="1:31" x14ac:dyDescent="0.3">
      <c r="A1543">
        <v>10124</v>
      </c>
      <c r="B1543">
        <v>45</v>
      </c>
      <c r="C1543">
        <v>37.840000000000003</v>
      </c>
      <c r="D1543">
        <v>2</v>
      </c>
      <c r="E1543" s="4" t="str">
        <f t="shared" si="144"/>
        <v>low sales</v>
      </c>
      <c r="F1543">
        <v>1702.8</v>
      </c>
      <c r="G1543" t="s">
        <v>2215</v>
      </c>
      <c r="H1543" s="1" t="str">
        <f t="shared" si="145"/>
        <v>Shipped</v>
      </c>
      <c r="I1543" s="4" t="str">
        <f t="shared" si="146"/>
        <v>completed</v>
      </c>
      <c r="J1543" t="s">
        <v>25</v>
      </c>
      <c r="K1543">
        <v>2</v>
      </c>
      <c r="L1543">
        <v>5</v>
      </c>
      <c r="M1543">
        <v>2003</v>
      </c>
      <c r="N1543" t="s">
        <v>550</v>
      </c>
      <c r="O1543">
        <v>33</v>
      </c>
      <c r="P1543" t="s">
        <v>625</v>
      </c>
      <c r="Q1543" t="s">
        <v>539</v>
      </c>
      <c r="R1543">
        <v>7025551838</v>
      </c>
      <c r="S1543" t="s">
        <v>540</v>
      </c>
      <c r="U1543" s="1" t="str">
        <f t="shared" si="147"/>
        <v>Las Vegas</v>
      </c>
      <c r="V1543" t="s">
        <v>541</v>
      </c>
      <c r="W1543" t="s">
        <v>542</v>
      </c>
      <c r="X1543">
        <v>83030</v>
      </c>
      <c r="Y1543" s="1" t="str">
        <f t="shared" si="148"/>
        <v>USA</v>
      </c>
      <c r="Z1543" s="4" t="str">
        <f t="shared" si="149"/>
        <v>Usa</v>
      </c>
      <c r="AA1543" t="s">
        <v>32</v>
      </c>
      <c r="AB1543" t="s">
        <v>33</v>
      </c>
      <c r="AC1543" t="s">
        <v>113</v>
      </c>
      <c r="AD1543" t="s">
        <v>400</v>
      </c>
      <c r="AE1543" t="s">
        <v>36</v>
      </c>
    </row>
    <row r="1544" spans="1:31" x14ac:dyDescent="0.3">
      <c r="A1544">
        <v>10149</v>
      </c>
      <c r="B1544">
        <v>36</v>
      </c>
      <c r="C1544">
        <v>33.19</v>
      </c>
      <c r="D1544">
        <v>7</v>
      </c>
      <c r="E1544" s="4" t="str">
        <f t="shared" si="144"/>
        <v>low sales</v>
      </c>
      <c r="F1544">
        <v>1194.8399999999999</v>
      </c>
      <c r="G1544" t="s">
        <v>2216</v>
      </c>
      <c r="H1544" s="1" t="str">
        <f t="shared" si="145"/>
        <v>Shipped</v>
      </c>
      <c r="I1544" s="4" t="str">
        <f t="shared" si="146"/>
        <v>completed</v>
      </c>
      <c r="J1544" t="s">
        <v>25</v>
      </c>
      <c r="K1544">
        <v>3</v>
      </c>
      <c r="L1544">
        <v>9</v>
      </c>
      <c r="M1544">
        <v>2003</v>
      </c>
      <c r="N1544" t="s">
        <v>550</v>
      </c>
      <c r="O1544">
        <v>33</v>
      </c>
      <c r="P1544" t="s">
        <v>625</v>
      </c>
      <c r="Q1544" t="s">
        <v>526</v>
      </c>
      <c r="R1544">
        <v>4155554312</v>
      </c>
      <c r="S1544" t="s">
        <v>527</v>
      </c>
      <c r="U1544" s="1" t="str">
        <f t="shared" si="147"/>
        <v>Brisbane</v>
      </c>
      <c r="V1544" t="s">
        <v>528</v>
      </c>
      <c r="W1544" t="s">
        <v>55</v>
      </c>
      <c r="X1544">
        <v>94217</v>
      </c>
      <c r="Y1544" s="1" t="str">
        <f t="shared" si="148"/>
        <v>USA</v>
      </c>
      <c r="Z1544" s="4" t="str">
        <f t="shared" si="149"/>
        <v>Usa</v>
      </c>
      <c r="AA1544" t="s">
        <v>32</v>
      </c>
      <c r="AB1544" t="s">
        <v>33</v>
      </c>
      <c r="AC1544" t="s">
        <v>529</v>
      </c>
      <c r="AD1544" t="s">
        <v>400</v>
      </c>
      <c r="AE1544" t="s">
        <v>36</v>
      </c>
    </row>
    <row r="1545" spans="1:31" x14ac:dyDescent="0.3">
      <c r="A1545">
        <v>10162</v>
      </c>
      <c r="B1545">
        <v>37</v>
      </c>
      <c r="C1545">
        <v>27.22</v>
      </c>
      <c r="D1545">
        <v>5</v>
      </c>
      <c r="E1545" s="4" t="str">
        <f t="shared" si="144"/>
        <v>low sales</v>
      </c>
      <c r="F1545">
        <v>1007.14</v>
      </c>
      <c r="G1545" t="s">
        <v>2217</v>
      </c>
      <c r="H1545" s="1" t="str">
        <f t="shared" si="145"/>
        <v>Shipped</v>
      </c>
      <c r="I1545" s="4" t="str">
        <f t="shared" si="146"/>
        <v>completed</v>
      </c>
      <c r="J1545" t="s">
        <v>25</v>
      </c>
      <c r="K1545">
        <v>4</v>
      </c>
      <c r="L1545">
        <v>10</v>
      </c>
      <c r="M1545">
        <v>2003</v>
      </c>
      <c r="N1545" t="s">
        <v>550</v>
      </c>
      <c r="O1545">
        <v>33</v>
      </c>
      <c r="P1545" t="s">
        <v>625</v>
      </c>
      <c r="Q1545" t="s">
        <v>58</v>
      </c>
      <c r="R1545">
        <v>6505551386</v>
      </c>
      <c r="S1545" t="s">
        <v>59</v>
      </c>
      <c r="U1545" s="1" t="str">
        <f t="shared" si="147"/>
        <v>San Francisco</v>
      </c>
      <c r="V1545" t="s">
        <v>60</v>
      </c>
      <c r="W1545" t="s">
        <v>55</v>
      </c>
      <c r="Y1545" s="1" t="str">
        <f t="shared" si="148"/>
        <v>USA</v>
      </c>
      <c r="Z1545" s="4" t="str">
        <f t="shared" si="149"/>
        <v>Usa</v>
      </c>
      <c r="AA1545" t="s">
        <v>32</v>
      </c>
      <c r="AB1545" t="s">
        <v>33</v>
      </c>
      <c r="AC1545" t="s">
        <v>61</v>
      </c>
      <c r="AD1545" t="s">
        <v>57</v>
      </c>
      <c r="AE1545" t="s">
        <v>36</v>
      </c>
    </row>
    <row r="1546" spans="1:31" x14ac:dyDescent="0.3">
      <c r="A1546">
        <v>10173</v>
      </c>
      <c r="B1546">
        <v>31</v>
      </c>
      <c r="C1546">
        <v>31.53</v>
      </c>
      <c r="D1546">
        <v>9</v>
      </c>
      <c r="E1546" s="4" t="str">
        <f t="shared" si="144"/>
        <v>low sales</v>
      </c>
      <c r="F1546">
        <v>977.43</v>
      </c>
      <c r="G1546" t="s">
        <v>2218</v>
      </c>
      <c r="H1546" s="1" t="str">
        <f t="shared" si="145"/>
        <v>Shipped</v>
      </c>
      <c r="I1546" s="4" t="str">
        <f t="shared" si="146"/>
        <v>completed</v>
      </c>
      <c r="J1546" t="s">
        <v>25</v>
      </c>
      <c r="K1546">
        <v>4</v>
      </c>
      <c r="L1546">
        <v>11</v>
      </c>
      <c r="M1546">
        <v>2003</v>
      </c>
      <c r="N1546" t="s">
        <v>550</v>
      </c>
      <c r="O1546">
        <v>33</v>
      </c>
      <c r="P1546" t="s">
        <v>625</v>
      </c>
      <c r="Q1546" t="s">
        <v>552</v>
      </c>
      <c r="R1546" t="s">
        <v>553</v>
      </c>
      <c r="S1546" t="s">
        <v>554</v>
      </c>
      <c r="U1546" s="1" t="str">
        <f t="shared" si="147"/>
        <v>Bergamo</v>
      </c>
      <c r="V1546" t="s">
        <v>555</v>
      </c>
      <c r="X1546">
        <v>24100</v>
      </c>
      <c r="Y1546" s="1" t="str">
        <f t="shared" si="148"/>
        <v>ITALY</v>
      </c>
      <c r="Z1546" s="4" t="str">
        <f t="shared" si="149"/>
        <v>Italy</v>
      </c>
      <c r="AA1546" t="s">
        <v>258</v>
      </c>
      <c r="AB1546" t="s">
        <v>42</v>
      </c>
      <c r="AC1546" t="s">
        <v>556</v>
      </c>
      <c r="AD1546" t="s">
        <v>557</v>
      </c>
      <c r="AE1546" t="s">
        <v>36</v>
      </c>
    </row>
    <row r="1547" spans="1:31" x14ac:dyDescent="0.3">
      <c r="A1547">
        <v>10182</v>
      </c>
      <c r="B1547">
        <v>39</v>
      </c>
      <c r="C1547">
        <v>36.840000000000003</v>
      </c>
      <c r="D1547">
        <v>6</v>
      </c>
      <c r="E1547" s="4" t="str">
        <f t="shared" si="144"/>
        <v>low sales</v>
      </c>
      <c r="F1547">
        <v>1436.76</v>
      </c>
      <c r="G1547" t="s">
        <v>2219</v>
      </c>
      <c r="H1547" s="1" t="str">
        <f t="shared" si="145"/>
        <v>Shipped</v>
      </c>
      <c r="I1547" s="4" t="str">
        <f t="shared" si="146"/>
        <v>completed</v>
      </c>
      <c r="J1547" t="s">
        <v>25</v>
      </c>
      <c r="K1547">
        <v>4</v>
      </c>
      <c r="L1547">
        <v>11</v>
      </c>
      <c r="M1547">
        <v>2003</v>
      </c>
      <c r="N1547" t="s">
        <v>550</v>
      </c>
      <c r="O1547">
        <v>33</v>
      </c>
      <c r="P1547" t="s">
        <v>625</v>
      </c>
      <c r="Q1547" t="s">
        <v>272</v>
      </c>
      <c r="R1547">
        <v>4155551450</v>
      </c>
      <c r="S1547" t="s">
        <v>273</v>
      </c>
      <c r="U1547" s="1" t="str">
        <f t="shared" si="147"/>
        <v>San Rafael</v>
      </c>
      <c r="V1547" t="s">
        <v>274</v>
      </c>
      <c r="W1547" t="s">
        <v>55</v>
      </c>
      <c r="X1547">
        <v>97562</v>
      </c>
      <c r="Y1547" s="1" t="str">
        <f t="shared" si="148"/>
        <v>USA</v>
      </c>
      <c r="Z1547" s="4" t="str">
        <f t="shared" si="149"/>
        <v>Usa</v>
      </c>
      <c r="AA1547" t="s">
        <v>32</v>
      </c>
      <c r="AB1547" t="s">
        <v>33</v>
      </c>
      <c r="AC1547" t="s">
        <v>275</v>
      </c>
      <c r="AD1547" t="s">
        <v>276</v>
      </c>
      <c r="AE1547" t="s">
        <v>36</v>
      </c>
    </row>
    <row r="1548" spans="1:31" x14ac:dyDescent="0.3">
      <c r="A1548">
        <v>10193</v>
      </c>
      <c r="B1548">
        <v>26</v>
      </c>
      <c r="C1548">
        <v>29.21</v>
      </c>
      <c r="D1548">
        <v>10</v>
      </c>
      <c r="E1548" s="4" t="str">
        <f t="shared" si="144"/>
        <v>low sales</v>
      </c>
      <c r="F1548">
        <v>759.46</v>
      </c>
      <c r="G1548" t="s">
        <v>2220</v>
      </c>
      <c r="H1548" s="1" t="str">
        <f t="shared" si="145"/>
        <v>Shipped</v>
      </c>
      <c r="I1548" s="4" t="str">
        <f t="shared" si="146"/>
        <v>completed</v>
      </c>
      <c r="J1548" t="s">
        <v>25</v>
      </c>
      <c r="K1548">
        <v>4</v>
      </c>
      <c r="L1548">
        <v>11</v>
      </c>
      <c r="M1548">
        <v>2003</v>
      </c>
      <c r="N1548" t="s">
        <v>550</v>
      </c>
      <c r="O1548">
        <v>33</v>
      </c>
      <c r="P1548" t="s">
        <v>625</v>
      </c>
      <c r="Q1548" t="s">
        <v>558</v>
      </c>
      <c r="R1548" t="s">
        <v>559</v>
      </c>
      <c r="S1548" t="s">
        <v>560</v>
      </c>
      <c r="U1548" s="1" t="str">
        <f t="shared" si="147"/>
        <v>Glen Waverly</v>
      </c>
      <c r="V1548" t="s">
        <v>561</v>
      </c>
      <c r="W1548" t="s">
        <v>94</v>
      </c>
      <c r="X1548">
        <v>3150</v>
      </c>
      <c r="Y1548" s="1" t="str">
        <f t="shared" si="148"/>
        <v>AUSTRALIA</v>
      </c>
      <c r="Z1548" s="4" t="str">
        <f t="shared" si="149"/>
        <v>Australia</v>
      </c>
      <c r="AA1548" t="s">
        <v>95</v>
      </c>
      <c r="AB1548" t="s">
        <v>96</v>
      </c>
      <c r="AC1548" t="s">
        <v>562</v>
      </c>
      <c r="AD1548" t="s">
        <v>563</v>
      </c>
      <c r="AE1548" t="s">
        <v>36</v>
      </c>
    </row>
    <row r="1549" spans="1:31" x14ac:dyDescent="0.3">
      <c r="A1549">
        <v>10205</v>
      </c>
      <c r="B1549">
        <v>32</v>
      </c>
      <c r="C1549">
        <v>37.17</v>
      </c>
      <c r="D1549">
        <v>5</v>
      </c>
      <c r="E1549" s="4" t="str">
        <f t="shared" si="144"/>
        <v>low sales</v>
      </c>
      <c r="F1549">
        <v>1189.44</v>
      </c>
      <c r="G1549" t="s">
        <v>2221</v>
      </c>
      <c r="H1549" s="1" t="str">
        <f t="shared" si="145"/>
        <v>Shipped</v>
      </c>
      <c r="I1549" s="4" t="str">
        <f t="shared" si="146"/>
        <v>completed</v>
      </c>
      <c r="J1549" t="s">
        <v>25</v>
      </c>
      <c r="K1549">
        <v>4</v>
      </c>
      <c r="L1549">
        <v>12</v>
      </c>
      <c r="M1549">
        <v>2003</v>
      </c>
      <c r="N1549" t="s">
        <v>550</v>
      </c>
      <c r="O1549">
        <v>33</v>
      </c>
      <c r="P1549" t="s">
        <v>625</v>
      </c>
      <c r="Q1549" t="s">
        <v>174</v>
      </c>
      <c r="R1549" t="s">
        <v>175</v>
      </c>
      <c r="S1549" t="s">
        <v>176</v>
      </c>
      <c r="U1549" s="1" t="str">
        <f t="shared" si="147"/>
        <v>Madrid</v>
      </c>
      <c r="V1549" t="s">
        <v>177</v>
      </c>
      <c r="X1549">
        <v>28034</v>
      </c>
      <c r="Y1549" s="1" t="str">
        <f t="shared" si="148"/>
        <v>SPAIN</v>
      </c>
      <c r="Z1549" s="4" t="str">
        <f t="shared" si="149"/>
        <v>Spain</v>
      </c>
      <c r="AA1549" t="s">
        <v>178</v>
      </c>
      <c r="AB1549" t="s">
        <v>42</v>
      </c>
      <c r="AC1549" t="s">
        <v>179</v>
      </c>
      <c r="AD1549" t="s">
        <v>180</v>
      </c>
      <c r="AE1549" t="s">
        <v>36</v>
      </c>
    </row>
    <row r="1550" spans="1:31" x14ac:dyDescent="0.3">
      <c r="A1550">
        <v>10214</v>
      </c>
      <c r="B1550">
        <v>20</v>
      </c>
      <c r="C1550">
        <v>34.19</v>
      </c>
      <c r="D1550">
        <v>3</v>
      </c>
      <c r="E1550" s="4" t="str">
        <f t="shared" si="144"/>
        <v>low sales</v>
      </c>
      <c r="F1550">
        <v>683.8</v>
      </c>
      <c r="G1550" t="s">
        <v>2222</v>
      </c>
      <c r="H1550" s="1" t="str">
        <f t="shared" si="145"/>
        <v>Shipped</v>
      </c>
      <c r="I1550" s="4" t="str">
        <f t="shared" si="146"/>
        <v>completed</v>
      </c>
      <c r="J1550" t="s">
        <v>25</v>
      </c>
      <c r="K1550">
        <v>1</v>
      </c>
      <c r="L1550">
        <v>1</v>
      </c>
      <c r="M1550">
        <v>2004</v>
      </c>
      <c r="N1550" t="s">
        <v>550</v>
      </c>
      <c r="O1550">
        <v>33</v>
      </c>
      <c r="P1550" t="s">
        <v>625</v>
      </c>
      <c r="Q1550" t="s">
        <v>191</v>
      </c>
      <c r="R1550" t="s">
        <v>192</v>
      </c>
      <c r="S1550" t="s">
        <v>193</v>
      </c>
      <c r="U1550" s="1" t="str">
        <f t="shared" si="147"/>
        <v>Madrid</v>
      </c>
      <c r="V1550" t="s">
        <v>177</v>
      </c>
      <c r="X1550">
        <v>28023</v>
      </c>
      <c r="Y1550" s="1" t="str">
        <f t="shared" si="148"/>
        <v>SPAIN</v>
      </c>
      <c r="Z1550" s="4" t="str">
        <f t="shared" si="149"/>
        <v>Spain</v>
      </c>
      <c r="AA1550" t="s">
        <v>178</v>
      </c>
      <c r="AB1550" t="s">
        <v>42</v>
      </c>
      <c r="AC1550" t="s">
        <v>194</v>
      </c>
      <c r="AD1550" t="s">
        <v>195</v>
      </c>
      <c r="AE1550" t="s">
        <v>36</v>
      </c>
    </row>
    <row r="1551" spans="1:31" x14ac:dyDescent="0.3">
      <c r="A1551">
        <v>10227</v>
      </c>
      <c r="B1551">
        <v>42</v>
      </c>
      <c r="C1551">
        <v>29.21</v>
      </c>
      <c r="D1551">
        <v>6</v>
      </c>
      <c r="E1551" s="4" t="str">
        <f t="shared" si="144"/>
        <v>low sales</v>
      </c>
      <c r="F1551">
        <v>1226.82</v>
      </c>
      <c r="G1551" t="s">
        <v>2223</v>
      </c>
      <c r="H1551" s="1" t="str">
        <f t="shared" si="145"/>
        <v>Shipped</v>
      </c>
      <c r="I1551" s="4" t="str">
        <f t="shared" si="146"/>
        <v>completed</v>
      </c>
      <c r="J1551" t="s">
        <v>25</v>
      </c>
      <c r="K1551">
        <v>1</v>
      </c>
      <c r="L1551">
        <v>3</v>
      </c>
      <c r="M1551">
        <v>2004</v>
      </c>
      <c r="N1551" t="s">
        <v>550</v>
      </c>
      <c r="O1551">
        <v>33</v>
      </c>
      <c r="P1551" t="s">
        <v>625</v>
      </c>
      <c r="Q1551" t="s">
        <v>219</v>
      </c>
      <c r="R1551" t="s">
        <v>220</v>
      </c>
      <c r="S1551" t="s">
        <v>221</v>
      </c>
      <c r="U1551" s="1" t="str">
        <f t="shared" si="147"/>
        <v>Lyon</v>
      </c>
      <c r="V1551" t="s">
        <v>222</v>
      </c>
      <c r="X1551">
        <v>69004</v>
      </c>
      <c r="Y1551" s="1" t="str">
        <f t="shared" si="148"/>
        <v>FRANCE</v>
      </c>
      <c r="Z1551" s="4" t="str">
        <f t="shared" si="149"/>
        <v>France</v>
      </c>
      <c r="AA1551" t="s">
        <v>41</v>
      </c>
      <c r="AB1551" t="s">
        <v>42</v>
      </c>
      <c r="AC1551" t="s">
        <v>223</v>
      </c>
      <c r="AD1551" t="s">
        <v>224</v>
      </c>
      <c r="AE1551" t="s">
        <v>36</v>
      </c>
    </row>
    <row r="1552" spans="1:31" x14ac:dyDescent="0.3">
      <c r="A1552">
        <v>10243</v>
      </c>
      <c r="B1552">
        <v>33</v>
      </c>
      <c r="C1552">
        <v>29.54</v>
      </c>
      <c r="D1552">
        <v>1</v>
      </c>
      <c r="E1552" s="4" t="str">
        <f t="shared" si="144"/>
        <v>low sales</v>
      </c>
      <c r="F1552">
        <v>974.82</v>
      </c>
      <c r="G1552" t="s">
        <v>2224</v>
      </c>
      <c r="H1552" s="1" t="str">
        <f t="shared" si="145"/>
        <v>Shipped</v>
      </c>
      <c r="I1552" s="4" t="str">
        <f t="shared" si="146"/>
        <v>completed</v>
      </c>
      <c r="J1552" t="s">
        <v>25</v>
      </c>
      <c r="K1552">
        <v>2</v>
      </c>
      <c r="L1552">
        <v>4</v>
      </c>
      <c r="M1552">
        <v>2004</v>
      </c>
      <c r="N1552" t="s">
        <v>550</v>
      </c>
      <c r="O1552">
        <v>33</v>
      </c>
      <c r="P1552" t="s">
        <v>625</v>
      </c>
      <c r="Q1552" t="s">
        <v>415</v>
      </c>
      <c r="R1552">
        <v>6175552555</v>
      </c>
      <c r="S1552" t="s">
        <v>416</v>
      </c>
      <c r="U1552" s="1" t="str">
        <f t="shared" si="147"/>
        <v>Boston</v>
      </c>
      <c r="V1552" t="s">
        <v>381</v>
      </c>
      <c r="W1552" t="s">
        <v>123</v>
      </c>
      <c r="X1552">
        <v>51003</v>
      </c>
      <c r="Y1552" s="1" t="str">
        <f t="shared" si="148"/>
        <v>USA</v>
      </c>
      <c r="Z1552" s="4" t="str">
        <f t="shared" si="149"/>
        <v>Usa</v>
      </c>
      <c r="AA1552" t="s">
        <v>32</v>
      </c>
      <c r="AB1552" t="s">
        <v>33</v>
      </c>
      <c r="AC1552" t="s">
        <v>417</v>
      </c>
      <c r="AD1552" t="s">
        <v>276</v>
      </c>
      <c r="AE1552" t="s">
        <v>36</v>
      </c>
    </row>
    <row r="1553" spans="1:31" x14ac:dyDescent="0.3">
      <c r="A1553">
        <v>10280</v>
      </c>
      <c r="B1553">
        <v>20</v>
      </c>
      <c r="C1553">
        <v>28.88</v>
      </c>
      <c r="D1553">
        <v>12</v>
      </c>
      <c r="E1553" s="4" t="str">
        <f t="shared" si="144"/>
        <v>low sales</v>
      </c>
      <c r="F1553">
        <v>577.6</v>
      </c>
      <c r="G1553" t="s">
        <v>2225</v>
      </c>
      <c r="H1553" s="1" t="str">
        <f t="shared" si="145"/>
        <v>Shipped</v>
      </c>
      <c r="I1553" s="4" t="str">
        <f t="shared" si="146"/>
        <v>completed</v>
      </c>
      <c r="J1553" t="s">
        <v>25</v>
      </c>
      <c r="K1553">
        <v>3</v>
      </c>
      <c r="L1553">
        <v>8</v>
      </c>
      <c r="M1553">
        <v>2004</v>
      </c>
      <c r="N1553" t="s">
        <v>550</v>
      </c>
      <c r="O1553">
        <v>33</v>
      </c>
      <c r="P1553" t="s">
        <v>625</v>
      </c>
      <c r="Q1553" t="s">
        <v>254</v>
      </c>
      <c r="R1553" t="s">
        <v>255</v>
      </c>
      <c r="S1553" t="s">
        <v>256</v>
      </c>
      <c r="U1553" s="1" t="str">
        <f t="shared" si="147"/>
        <v>Torino</v>
      </c>
      <c r="V1553" t="s">
        <v>257</v>
      </c>
      <c r="X1553">
        <v>10100</v>
      </c>
      <c r="Y1553" s="1" t="str">
        <f t="shared" si="148"/>
        <v>ITALY</v>
      </c>
      <c r="Z1553" s="4" t="str">
        <f t="shared" si="149"/>
        <v>Italy</v>
      </c>
      <c r="AA1553" t="s">
        <v>258</v>
      </c>
      <c r="AB1553" t="s">
        <v>42</v>
      </c>
      <c r="AC1553" t="s">
        <v>259</v>
      </c>
      <c r="AD1553" t="s">
        <v>260</v>
      </c>
      <c r="AE1553" t="s">
        <v>36</v>
      </c>
    </row>
    <row r="1554" spans="1:31" x14ac:dyDescent="0.3">
      <c r="A1554">
        <v>10288</v>
      </c>
      <c r="B1554">
        <v>29</v>
      </c>
      <c r="C1554">
        <v>38.17</v>
      </c>
      <c r="D1554">
        <v>1</v>
      </c>
      <c r="E1554" s="4" t="str">
        <f t="shared" si="144"/>
        <v>low sales</v>
      </c>
      <c r="F1554">
        <v>1106.93</v>
      </c>
      <c r="G1554" t="s">
        <v>2226</v>
      </c>
      <c r="H1554" s="1" t="str">
        <f t="shared" si="145"/>
        <v>Shipped</v>
      </c>
      <c r="I1554" s="4" t="str">
        <f t="shared" si="146"/>
        <v>completed</v>
      </c>
      <c r="J1554" t="s">
        <v>25</v>
      </c>
      <c r="K1554">
        <v>3</v>
      </c>
      <c r="L1554">
        <v>9</v>
      </c>
      <c r="M1554">
        <v>2004</v>
      </c>
      <c r="N1554" t="s">
        <v>550</v>
      </c>
      <c r="O1554">
        <v>33</v>
      </c>
      <c r="P1554" t="s">
        <v>625</v>
      </c>
      <c r="Q1554" t="s">
        <v>418</v>
      </c>
      <c r="R1554" t="s">
        <v>419</v>
      </c>
      <c r="S1554" t="s">
        <v>420</v>
      </c>
      <c r="T1554" t="s">
        <v>421</v>
      </c>
      <c r="U1554" s="1" t="str">
        <f t="shared" si="147"/>
        <v>Singapore</v>
      </c>
      <c r="V1554" t="s">
        <v>199</v>
      </c>
      <c r="X1554">
        <v>69045</v>
      </c>
      <c r="Y1554" s="1" t="str">
        <f t="shared" si="148"/>
        <v>SINGAPORE</v>
      </c>
      <c r="Z1554" s="4" t="str">
        <f t="shared" si="149"/>
        <v>Singapore</v>
      </c>
      <c r="AA1554" t="s">
        <v>199</v>
      </c>
      <c r="AB1554" t="s">
        <v>96</v>
      </c>
      <c r="AC1554" t="s">
        <v>422</v>
      </c>
      <c r="AD1554" t="s">
        <v>423</v>
      </c>
      <c r="AE1554" t="s">
        <v>36</v>
      </c>
    </row>
    <row r="1555" spans="1:31" x14ac:dyDescent="0.3">
      <c r="A1555">
        <v>10304</v>
      </c>
      <c r="B1555">
        <v>23</v>
      </c>
      <c r="C1555">
        <v>30.2</v>
      </c>
      <c r="D1555">
        <v>16</v>
      </c>
      <c r="E1555" s="4" t="str">
        <f t="shared" si="144"/>
        <v>low sales</v>
      </c>
      <c r="F1555">
        <v>694.6</v>
      </c>
      <c r="G1555" t="s">
        <v>2227</v>
      </c>
      <c r="H1555" s="1" t="str">
        <f t="shared" si="145"/>
        <v>Shipped</v>
      </c>
      <c r="I1555" s="4" t="str">
        <f t="shared" si="146"/>
        <v>completed</v>
      </c>
      <c r="J1555" t="s">
        <v>25</v>
      </c>
      <c r="K1555">
        <v>4</v>
      </c>
      <c r="L1555">
        <v>10</v>
      </c>
      <c r="M1555">
        <v>2004</v>
      </c>
      <c r="N1555" t="s">
        <v>550</v>
      </c>
      <c r="O1555">
        <v>33</v>
      </c>
      <c r="P1555" t="s">
        <v>625</v>
      </c>
      <c r="Q1555" t="s">
        <v>267</v>
      </c>
      <c r="R1555" t="s">
        <v>268</v>
      </c>
      <c r="S1555" t="s">
        <v>269</v>
      </c>
      <c r="U1555" s="1" t="str">
        <f t="shared" si="147"/>
        <v>Versailles</v>
      </c>
      <c r="V1555" t="s">
        <v>270</v>
      </c>
      <c r="X1555">
        <v>78000</v>
      </c>
      <c r="Y1555" s="1" t="str">
        <f t="shared" si="148"/>
        <v>FRANCE</v>
      </c>
      <c r="Z1555" s="4" t="str">
        <f t="shared" si="149"/>
        <v>France</v>
      </c>
      <c r="AA1555" t="s">
        <v>41</v>
      </c>
      <c r="AB1555" t="s">
        <v>42</v>
      </c>
      <c r="AC1555" t="s">
        <v>271</v>
      </c>
      <c r="AD1555" t="s">
        <v>50</v>
      </c>
      <c r="AE1555" t="s">
        <v>36</v>
      </c>
    </row>
    <row r="1556" spans="1:31" x14ac:dyDescent="0.3">
      <c r="A1556">
        <v>10312</v>
      </c>
      <c r="B1556">
        <v>39</v>
      </c>
      <c r="C1556">
        <v>29.54</v>
      </c>
      <c r="D1556">
        <v>13</v>
      </c>
      <c r="E1556" s="4" t="str">
        <f t="shared" si="144"/>
        <v>low sales</v>
      </c>
      <c r="F1556">
        <v>1152.06</v>
      </c>
      <c r="G1556" t="s">
        <v>2228</v>
      </c>
      <c r="H1556" s="1" t="str">
        <f t="shared" si="145"/>
        <v>Shipped</v>
      </c>
      <c r="I1556" s="4" t="str">
        <f t="shared" si="146"/>
        <v>completed</v>
      </c>
      <c r="J1556" t="s">
        <v>25</v>
      </c>
      <c r="K1556">
        <v>4</v>
      </c>
      <c r="L1556">
        <v>10</v>
      </c>
      <c r="M1556">
        <v>2004</v>
      </c>
      <c r="N1556" t="s">
        <v>550</v>
      </c>
      <c r="O1556">
        <v>33</v>
      </c>
      <c r="P1556" t="s">
        <v>625</v>
      </c>
      <c r="Q1556" t="s">
        <v>272</v>
      </c>
      <c r="R1556">
        <v>4155551450</v>
      </c>
      <c r="S1556" t="s">
        <v>273</v>
      </c>
      <c r="U1556" s="1" t="str">
        <f t="shared" si="147"/>
        <v>San Rafael</v>
      </c>
      <c r="V1556" t="s">
        <v>274</v>
      </c>
      <c r="W1556" t="s">
        <v>55</v>
      </c>
      <c r="X1556">
        <v>97562</v>
      </c>
      <c r="Y1556" s="1" t="str">
        <f t="shared" si="148"/>
        <v>USA</v>
      </c>
      <c r="Z1556" s="4" t="str">
        <f t="shared" si="149"/>
        <v>Usa</v>
      </c>
      <c r="AA1556" t="s">
        <v>32</v>
      </c>
      <c r="AB1556" t="s">
        <v>33</v>
      </c>
      <c r="AC1556" t="s">
        <v>275</v>
      </c>
      <c r="AD1556" t="s">
        <v>276</v>
      </c>
      <c r="AE1556" t="s">
        <v>36</v>
      </c>
    </row>
    <row r="1557" spans="1:31" x14ac:dyDescent="0.3">
      <c r="A1557">
        <v>10322</v>
      </c>
      <c r="B1557">
        <v>20</v>
      </c>
      <c r="C1557">
        <v>100</v>
      </c>
      <c r="D1557">
        <v>3</v>
      </c>
      <c r="E1557" s="4" t="str">
        <f t="shared" si="144"/>
        <v>low sales</v>
      </c>
      <c r="F1557">
        <v>2624</v>
      </c>
      <c r="G1557" t="s">
        <v>2229</v>
      </c>
      <c r="H1557" s="1" t="str">
        <f t="shared" si="145"/>
        <v>Shipped</v>
      </c>
      <c r="I1557" s="4" t="str">
        <f t="shared" si="146"/>
        <v>completed</v>
      </c>
      <c r="J1557" t="s">
        <v>25</v>
      </c>
      <c r="K1557">
        <v>4</v>
      </c>
      <c r="L1557">
        <v>11</v>
      </c>
      <c r="M1557">
        <v>2004</v>
      </c>
      <c r="N1557" t="s">
        <v>550</v>
      </c>
      <c r="O1557">
        <v>33</v>
      </c>
      <c r="P1557" t="s">
        <v>625</v>
      </c>
      <c r="Q1557" t="s">
        <v>277</v>
      </c>
      <c r="R1557">
        <v>6035558647</v>
      </c>
      <c r="S1557" t="s">
        <v>278</v>
      </c>
      <c r="U1557" s="1" t="str">
        <f t="shared" si="147"/>
        <v>Nashua</v>
      </c>
      <c r="V1557" t="s">
        <v>279</v>
      </c>
      <c r="W1557" t="s">
        <v>280</v>
      </c>
      <c r="X1557">
        <v>62005</v>
      </c>
      <c r="Y1557" s="1" t="str">
        <f t="shared" si="148"/>
        <v>USA</v>
      </c>
      <c r="Z1557" s="4" t="str">
        <f t="shared" si="149"/>
        <v>Usa</v>
      </c>
      <c r="AA1557" t="s">
        <v>32</v>
      </c>
      <c r="AB1557" t="s">
        <v>33</v>
      </c>
      <c r="AC1557" t="s">
        <v>56</v>
      </c>
      <c r="AD1557" t="s">
        <v>276</v>
      </c>
      <c r="AE1557" t="s">
        <v>36</v>
      </c>
    </row>
    <row r="1558" spans="1:31" x14ac:dyDescent="0.3">
      <c r="A1558">
        <v>10332</v>
      </c>
      <c r="B1558">
        <v>45</v>
      </c>
      <c r="C1558">
        <v>81.91</v>
      </c>
      <c r="D1558">
        <v>6</v>
      </c>
      <c r="E1558" s="4" t="str">
        <f t="shared" si="144"/>
        <v>low sales</v>
      </c>
      <c r="F1558">
        <v>3685.95</v>
      </c>
      <c r="G1558" t="s">
        <v>2230</v>
      </c>
      <c r="H1558" s="1" t="str">
        <f t="shared" si="145"/>
        <v>Shipped</v>
      </c>
      <c r="I1558" s="4" t="str">
        <f t="shared" si="146"/>
        <v>completed</v>
      </c>
      <c r="J1558" t="s">
        <v>25</v>
      </c>
      <c r="K1558">
        <v>4</v>
      </c>
      <c r="L1558">
        <v>11</v>
      </c>
      <c r="M1558">
        <v>2004</v>
      </c>
      <c r="N1558" t="s">
        <v>550</v>
      </c>
      <c r="O1558">
        <v>33</v>
      </c>
      <c r="P1558" t="s">
        <v>625</v>
      </c>
      <c r="Q1558" t="s">
        <v>492</v>
      </c>
      <c r="R1558" t="s">
        <v>493</v>
      </c>
      <c r="S1558" t="s">
        <v>494</v>
      </c>
      <c r="U1558" s="1" t="str">
        <f t="shared" si="147"/>
        <v>Manchester</v>
      </c>
      <c r="V1558" t="s">
        <v>495</v>
      </c>
      <c r="X1558" t="s">
        <v>496</v>
      </c>
      <c r="Y1558" s="1" t="str">
        <f t="shared" si="148"/>
        <v>UK</v>
      </c>
      <c r="Z1558" s="4" t="str">
        <f t="shared" si="149"/>
        <v>Uk</v>
      </c>
      <c r="AA1558" t="s">
        <v>170</v>
      </c>
      <c r="AB1558" t="s">
        <v>42</v>
      </c>
      <c r="AC1558" t="s">
        <v>497</v>
      </c>
      <c r="AD1558" t="s">
        <v>94</v>
      </c>
      <c r="AE1558" t="s">
        <v>51</v>
      </c>
    </row>
    <row r="1559" spans="1:31" x14ac:dyDescent="0.3">
      <c r="A1559">
        <v>10344</v>
      </c>
      <c r="B1559">
        <v>20</v>
      </c>
      <c r="C1559">
        <v>35.18</v>
      </c>
      <c r="D1559">
        <v>6</v>
      </c>
      <c r="E1559" s="4" t="str">
        <f t="shared" si="144"/>
        <v>low sales</v>
      </c>
      <c r="F1559">
        <v>703.6</v>
      </c>
      <c r="G1559" t="s">
        <v>2231</v>
      </c>
      <c r="H1559" s="1" t="str">
        <f t="shared" si="145"/>
        <v>Shipped</v>
      </c>
      <c r="I1559" s="4" t="str">
        <f t="shared" si="146"/>
        <v>completed</v>
      </c>
      <c r="J1559" t="s">
        <v>25</v>
      </c>
      <c r="K1559">
        <v>4</v>
      </c>
      <c r="L1559">
        <v>11</v>
      </c>
      <c r="M1559">
        <v>2004</v>
      </c>
      <c r="N1559" t="s">
        <v>550</v>
      </c>
      <c r="O1559">
        <v>33</v>
      </c>
      <c r="P1559" t="s">
        <v>625</v>
      </c>
      <c r="Q1559" t="s">
        <v>433</v>
      </c>
      <c r="R1559" t="s">
        <v>434</v>
      </c>
      <c r="S1559" t="s">
        <v>435</v>
      </c>
      <c r="U1559" s="1" t="str">
        <f t="shared" si="147"/>
        <v>Marseille</v>
      </c>
      <c r="V1559" t="s">
        <v>436</v>
      </c>
      <c r="X1559">
        <v>13008</v>
      </c>
      <c r="Y1559" s="1" t="str">
        <f t="shared" si="148"/>
        <v>FRANCE</v>
      </c>
      <c r="Z1559" s="4" t="str">
        <f t="shared" si="149"/>
        <v>France</v>
      </c>
      <c r="AA1559" t="s">
        <v>41</v>
      </c>
      <c r="AB1559" t="s">
        <v>42</v>
      </c>
      <c r="AC1559" t="s">
        <v>437</v>
      </c>
      <c r="AD1559" t="s">
        <v>438</v>
      </c>
      <c r="AE1559" t="s">
        <v>36</v>
      </c>
    </row>
    <row r="1560" spans="1:31" x14ac:dyDescent="0.3">
      <c r="A1560">
        <v>10356</v>
      </c>
      <c r="B1560">
        <v>48</v>
      </c>
      <c r="C1560">
        <v>100</v>
      </c>
      <c r="D1560">
        <v>5</v>
      </c>
      <c r="E1560" s="4" t="str">
        <f t="shared" si="144"/>
        <v>high sales</v>
      </c>
      <c r="F1560">
        <v>9720</v>
      </c>
      <c r="G1560" t="s">
        <v>2232</v>
      </c>
      <c r="H1560" s="1" t="str">
        <f t="shared" si="145"/>
        <v>Shipped</v>
      </c>
      <c r="I1560" s="4" t="str">
        <f t="shared" si="146"/>
        <v>completed</v>
      </c>
      <c r="J1560" t="s">
        <v>25</v>
      </c>
      <c r="K1560">
        <v>4</v>
      </c>
      <c r="L1560">
        <v>12</v>
      </c>
      <c r="M1560">
        <v>2004</v>
      </c>
      <c r="N1560" t="s">
        <v>550</v>
      </c>
      <c r="O1560">
        <v>33</v>
      </c>
      <c r="P1560" t="s">
        <v>625</v>
      </c>
      <c r="Q1560" t="s">
        <v>45</v>
      </c>
      <c r="R1560" t="s">
        <v>46</v>
      </c>
      <c r="S1560" t="s">
        <v>47</v>
      </c>
      <c r="U1560" s="1" t="str">
        <f t="shared" si="147"/>
        <v>Paris</v>
      </c>
      <c r="V1560" t="s">
        <v>48</v>
      </c>
      <c r="X1560">
        <v>75508</v>
      </c>
      <c r="Y1560" s="1" t="str">
        <f t="shared" si="148"/>
        <v>FRANCE</v>
      </c>
      <c r="Z1560" s="4" t="str">
        <f t="shared" si="149"/>
        <v>France</v>
      </c>
      <c r="AA1560" t="s">
        <v>41</v>
      </c>
      <c r="AB1560" t="s">
        <v>42</v>
      </c>
      <c r="AC1560" t="s">
        <v>49</v>
      </c>
      <c r="AD1560" t="s">
        <v>50</v>
      </c>
      <c r="AE1560" t="s">
        <v>151</v>
      </c>
    </row>
    <row r="1561" spans="1:31" x14ac:dyDescent="0.3">
      <c r="A1561">
        <v>10367</v>
      </c>
      <c r="B1561">
        <v>23</v>
      </c>
      <c r="C1561">
        <v>36.29</v>
      </c>
      <c r="D1561">
        <v>13</v>
      </c>
      <c r="E1561" s="4" t="str">
        <f t="shared" si="144"/>
        <v>low sales</v>
      </c>
      <c r="F1561">
        <v>834.67</v>
      </c>
      <c r="G1561" t="s">
        <v>2233</v>
      </c>
      <c r="H1561" s="1" t="str">
        <f t="shared" si="145"/>
        <v>Resolved</v>
      </c>
      <c r="I1561" s="4" t="str">
        <f t="shared" si="146"/>
        <v>not completed</v>
      </c>
      <c r="J1561" t="s">
        <v>408</v>
      </c>
      <c r="K1561">
        <v>1</v>
      </c>
      <c r="L1561">
        <v>1</v>
      </c>
      <c r="M1561">
        <v>2005</v>
      </c>
      <c r="N1561" t="s">
        <v>550</v>
      </c>
      <c r="O1561">
        <v>33</v>
      </c>
      <c r="P1561" t="s">
        <v>625</v>
      </c>
      <c r="Q1561" t="s">
        <v>52</v>
      </c>
      <c r="R1561">
        <v>6265557265</v>
      </c>
      <c r="S1561" t="s">
        <v>53</v>
      </c>
      <c r="U1561" s="1" t="str">
        <f t="shared" si="147"/>
        <v>Pasadena</v>
      </c>
      <c r="V1561" t="s">
        <v>54</v>
      </c>
      <c r="W1561" t="s">
        <v>55</v>
      </c>
      <c r="X1561">
        <v>90003</v>
      </c>
      <c r="Y1561" s="1" t="str">
        <f t="shared" si="148"/>
        <v>USA</v>
      </c>
      <c r="Z1561" s="4" t="str">
        <f t="shared" si="149"/>
        <v>Usa</v>
      </c>
      <c r="AA1561" t="s">
        <v>32</v>
      </c>
      <c r="AB1561" t="s">
        <v>33</v>
      </c>
      <c r="AC1561" t="s">
        <v>56</v>
      </c>
      <c r="AD1561" t="s">
        <v>57</v>
      </c>
      <c r="AE1561" t="s">
        <v>36</v>
      </c>
    </row>
    <row r="1562" spans="1:31" x14ac:dyDescent="0.3">
      <c r="A1562">
        <v>10380</v>
      </c>
      <c r="B1562">
        <v>32</v>
      </c>
      <c r="C1562">
        <v>70.56</v>
      </c>
      <c r="D1562">
        <v>4</v>
      </c>
      <c r="E1562" s="4" t="str">
        <f t="shared" si="144"/>
        <v>low sales</v>
      </c>
      <c r="F1562">
        <v>2257.92</v>
      </c>
      <c r="G1562" t="s">
        <v>2234</v>
      </c>
      <c r="H1562" s="1" t="str">
        <f t="shared" si="145"/>
        <v>Shipped</v>
      </c>
      <c r="I1562" s="4" t="str">
        <f t="shared" si="146"/>
        <v>completed</v>
      </c>
      <c r="J1562" t="s">
        <v>25</v>
      </c>
      <c r="K1562">
        <v>1</v>
      </c>
      <c r="L1562">
        <v>2</v>
      </c>
      <c r="M1562">
        <v>2005</v>
      </c>
      <c r="N1562" t="s">
        <v>550</v>
      </c>
      <c r="O1562">
        <v>33</v>
      </c>
      <c r="P1562" t="s">
        <v>625</v>
      </c>
      <c r="Q1562" t="s">
        <v>174</v>
      </c>
      <c r="R1562" t="s">
        <v>175</v>
      </c>
      <c r="S1562" t="s">
        <v>176</v>
      </c>
      <c r="U1562" s="1" t="str">
        <f t="shared" si="147"/>
        <v>Madrid</v>
      </c>
      <c r="V1562" t="s">
        <v>177</v>
      </c>
      <c r="X1562">
        <v>28034</v>
      </c>
      <c r="Y1562" s="1" t="str">
        <f t="shared" si="148"/>
        <v>SPAIN</v>
      </c>
      <c r="Z1562" s="4" t="str">
        <f t="shared" si="149"/>
        <v>Spain</v>
      </c>
      <c r="AA1562" t="s">
        <v>178</v>
      </c>
      <c r="AB1562" t="s">
        <v>42</v>
      </c>
      <c r="AC1562" t="s">
        <v>179</v>
      </c>
      <c r="AD1562" t="s">
        <v>180</v>
      </c>
      <c r="AE1562" t="s">
        <v>36</v>
      </c>
    </row>
    <row r="1563" spans="1:31" x14ac:dyDescent="0.3">
      <c r="A1563">
        <v>10391</v>
      </c>
      <c r="B1563">
        <v>33</v>
      </c>
      <c r="C1563">
        <v>100</v>
      </c>
      <c r="D1563">
        <v>8</v>
      </c>
      <c r="E1563" s="4" t="str">
        <f t="shared" si="144"/>
        <v>high sales</v>
      </c>
      <c r="F1563">
        <v>8344.7099999999991</v>
      </c>
      <c r="G1563" t="s">
        <v>2235</v>
      </c>
      <c r="H1563" s="1" t="str">
        <f t="shared" si="145"/>
        <v>Shipped</v>
      </c>
      <c r="I1563" s="4" t="str">
        <f t="shared" si="146"/>
        <v>completed</v>
      </c>
      <c r="J1563" t="s">
        <v>25</v>
      </c>
      <c r="K1563">
        <v>1</v>
      </c>
      <c r="L1563">
        <v>3</v>
      </c>
      <c r="M1563">
        <v>2005</v>
      </c>
      <c r="N1563" t="s">
        <v>550</v>
      </c>
      <c r="O1563">
        <v>33</v>
      </c>
      <c r="P1563" t="s">
        <v>625</v>
      </c>
      <c r="Q1563" t="s">
        <v>285</v>
      </c>
      <c r="R1563" t="s">
        <v>286</v>
      </c>
      <c r="S1563" t="s">
        <v>287</v>
      </c>
      <c r="T1563" t="s">
        <v>288</v>
      </c>
      <c r="U1563" s="1" t="str">
        <f t="shared" si="147"/>
        <v>North Sydney</v>
      </c>
      <c r="V1563" t="s">
        <v>289</v>
      </c>
      <c r="W1563" t="s">
        <v>157</v>
      </c>
      <c r="X1563">
        <v>2060</v>
      </c>
      <c r="Y1563" s="1" t="str">
        <f t="shared" si="148"/>
        <v>AUSTRALIA</v>
      </c>
      <c r="Z1563" s="4" t="str">
        <f t="shared" si="149"/>
        <v>Australia</v>
      </c>
      <c r="AA1563" t="s">
        <v>95</v>
      </c>
      <c r="AB1563" t="s">
        <v>96</v>
      </c>
      <c r="AC1563" t="s">
        <v>290</v>
      </c>
      <c r="AD1563" t="s">
        <v>291</v>
      </c>
      <c r="AE1563" t="s">
        <v>151</v>
      </c>
    </row>
    <row r="1564" spans="1:31" x14ac:dyDescent="0.3">
      <c r="A1564">
        <v>10409</v>
      </c>
      <c r="B1564">
        <v>61</v>
      </c>
      <c r="C1564">
        <v>29.54</v>
      </c>
      <c r="D1564">
        <v>1</v>
      </c>
      <c r="E1564" s="4" t="str">
        <f t="shared" si="144"/>
        <v>low sales</v>
      </c>
      <c r="F1564">
        <v>1801.94</v>
      </c>
      <c r="G1564" t="s">
        <v>2236</v>
      </c>
      <c r="H1564" s="1" t="str">
        <f t="shared" si="145"/>
        <v>Shipped</v>
      </c>
      <c r="I1564" s="4" t="str">
        <f t="shared" si="146"/>
        <v>completed</v>
      </c>
      <c r="J1564" t="s">
        <v>25</v>
      </c>
      <c r="K1564">
        <v>2</v>
      </c>
      <c r="L1564">
        <v>4</v>
      </c>
      <c r="M1564">
        <v>2005</v>
      </c>
      <c r="N1564" t="s">
        <v>550</v>
      </c>
      <c r="O1564">
        <v>33</v>
      </c>
      <c r="P1564" t="s">
        <v>625</v>
      </c>
      <c r="Q1564" t="s">
        <v>418</v>
      </c>
      <c r="R1564" t="s">
        <v>419</v>
      </c>
      <c r="S1564" t="s">
        <v>420</v>
      </c>
      <c r="T1564" t="s">
        <v>421</v>
      </c>
      <c r="U1564" s="1" t="str">
        <f t="shared" si="147"/>
        <v>Singapore</v>
      </c>
      <c r="V1564" t="s">
        <v>199</v>
      </c>
      <c r="X1564">
        <v>69045</v>
      </c>
      <c r="Y1564" s="1" t="str">
        <f t="shared" si="148"/>
        <v>SINGAPORE</v>
      </c>
      <c r="Z1564" s="4" t="str">
        <f t="shared" si="149"/>
        <v>Singapore</v>
      </c>
      <c r="AA1564" t="s">
        <v>199</v>
      </c>
      <c r="AB1564" t="s">
        <v>96</v>
      </c>
      <c r="AC1564" t="s">
        <v>422</v>
      </c>
      <c r="AD1564" t="s">
        <v>423</v>
      </c>
      <c r="AE1564" t="s">
        <v>36</v>
      </c>
    </row>
    <row r="1565" spans="1:31" x14ac:dyDescent="0.3">
      <c r="A1565">
        <v>10420</v>
      </c>
      <c r="B1565">
        <v>45</v>
      </c>
      <c r="C1565">
        <v>26.88</v>
      </c>
      <c r="D1565">
        <v>1</v>
      </c>
      <c r="E1565" s="4" t="str">
        <f t="shared" si="144"/>
        <v>low sales</v>
      </c>
      <c r="F1565">
        <v>1209.5999999999999</v>
      </c>
      <c r="G1565" t="s">
        <v>2237</v>
      </c>
      <c r="H1565" s="1" t="str">
        <f t="shared" si="145"/>
        <v>In Process</v>
      </c>
      <c r="I1565" s="4" t="str">
        <f t="shared" si="146"/>
        <v>not completed</v>
      </c>
      <c r="J1565" t="s">
        <v>300</v>
      </c>
      <c r="K1565">
        <v>2</v>
      </c>
      <c r="L1565">
        <v>5</v>
      </c>
      <c r="M1565">
        <v>2005</v>
      </c>
      <c r="N1565" t="s">
        <v>550</v>
      </c>
      <c r="O1565">
        <v>33</v>
      </c>
      <c r="P1565" t="s">
        <v>625</v>
      </c>
      <c r="Q1565" t="s">
        <v>152</v>
      </c>
      <c r="R1565" t="s">
        <v>153</v>
      </c>
      <c r="S1565" t="s">
        <v>154</v>
      </c>
      <c r="T1565" t="s">
        <v>155</v>
      </c>
      <c r="U1565" s="1" t="str">
        <f t="shared" si="147"/>
        <v>Chatswood</v>
      </c>
      <c r="V1565" t="s">
        <v>156</v>
      </c>
      <c r="W1565" t="s">
        <v>157</v>
      </c>
      <c r="X1565">
        <v>2067</v>
      </c>
      <c r="Y1565" s="1" t="str">
        <f t="shared" si="148"/>
        <v>AUSTRALIA</v>
      </c>
      <c r="Z1565" s="4" t="str">
        <f t="shared" si="149"/>
        <v>Australia</v>
      </c>
      <c r="AA1565" t="s">
        <v>95</v>
      </c>
      <c r="AB1565" t="s">
        <v>96</v>
      </c>
      <c r="AC1565" t="s">
        <v>158</v>
      </c>
      <c r="AD1565" t="s">
        <v>159</v>
      </c>
      <c r="AE1565" t="s">
        <v>36</v>
      </c>
    </row>
    <row r="1566" spans="1:31" x14ac:dyDescent="0.3">
      <c r="A1566">
        <v>10107</v>
      </c>
      <c r="B1566">
        <v>38</v>
      </c>
      <c r="C1566">
        <v>83.03</v>
      </c>
      <c r="D1566">
        <v>7</v>
      </c>
      <c r="E1566" s="4" t="str">
        <f t="shared" si="144"/>
        <v>low sales</v>
      </c>
      <c r="F1566">
        <v>3155.14</v>
      </c>
      <c r="G1566" t="s">
        <v>2238</v>
      </c>
      <c r="H1566" s="1" t="str">
        <f t="shared" si="145"/>
        <v>Shipped</v>
      </c>
      <c r="I1566" s="4" t="str">
        <f t="shared" si="146"/>
        <v>completed</v>
      </c>
      <c r="J1566" t="s">
        <v>25</v>
      </c>
      <c r="K1566">
        <v>1</v>
      </c>
      <c r="L1566">
        <v>2</v>
      </c>
      <c r="M1566">
        <v>2003</v>
      </c>
      <c r="N1566" t="s">
        <v>26</v>
      </c>
      <c r="O1566">
        <v>76</v>
      </c>
      <c r="P1566" t="s">
        <v>626</v>
      </c>
      <c r="Q1566" t="s">
        <v>28</v>
      </c>
      <c r="R1566">
        <v>2125557818</v>
      </c>
      <c r="S1566" t="s">
        <v>29</v>
      </c>
      <c r="U1566" s="1" t="str">
        <f t="shared" si="147"/>
        <v>Nyc</v>
      </c>
      <c r="V1566" t="s">
        <v>30</v>
      </c>
      <c r="W1566" t="s">
        <v>31</v>
      </c>
      <c r="X1566">
        <v>10022</v>
      </c>
      <c r="Y1566" s="1" t="str">
        <f t="shared" si="148"/>
        <v>USA</v>
      </c>
      <c r="Z1566" s="4" t="str">
        <f t="shared" si="149"/>
        <v>Usa</v>
      </c>
      <c r="AA1566" t="s">
        <v>32</v>
      </c>
      <c r="AB1566" t="s">
        <v>33</v>
      </c>
      <c r="AC1566" t="s">
        <v>34</v>
      </c>
      <c r="AD1566" t="s">
        <v>35</v>
      </c>
      <c r="AE1566" t="s">
        <v>51</v>
      </c>
    </row>
    <row r="1567" spans="1:31" x14ac:dyDescent="0.3">
      <c r="A1567">
        <v>10120</v>
      </c>
      <c r="B1567">
        <v>34</v>
      </c>
      <c r="C1567">
        <v>83.79</v>
      </c>
      <c r="D1567">
        <v>5</v>
      </c>
      <c r="E1567" s="4" t="str">
        <f t="shared" si="144"/>
        <v>low sales</v>
      </c>
      <c r="F1567">
        <v>2848.86</v>
      </c>
      <c r="G1567" t="s">
        <v>2239</v>
      </c>
      <c r="H1567" s="1" t="str">
        <f t="shared" si="145"/>
        <v>Shipped</v>
      </c>
      <c r="I1567" s="4" t="str">
        <f t="shared" si="146"/>
        <v>completed</v>
      </c>
      <c r="J1567" t="s">
        <v>25</v>
      </c>
      <c r="K1567">
        <v>2</v>
      </c>
      <c r="L1567">
        <v>4</v>
      </c>
      <c r="M1567">
        <v>2003</v>
      </c>
      <c r="N1567" t="s">
        <v>26</v>
      </c>
      <c r="O1567">
        <v>76</v>
      </c>
      <c r="P1567" t="s">
        <v>626</v>
      </c>
      <c r="Q1567" t="s">
        <v>89</v>
      </c>
      <c r="R1567" t="s">
        <v>90</v>
      </c>
      <c r="S1567" t="s">
        <v>91</v>
      </c>
      <c r="T1567" t="s">
        <v>92</v>
      </c>
      <c r="U1567" s="1" t="str">
        <f t="shared" si="147"/>
        <v>Melbourne</v>
      </c>
      <c r="V1567" t="s">
        <v>93</v>
      </c>
      <c r="W1567" t="s">
        <v>94</v>
      </c>
      <c r="X1567">
        <v>3004</v>
      </c>
      <c r="Y1567" s="1" t="str">
        <f t="shared" si="148"/>
        <v>AUSTRALIA</v>
      </c>
      <c r="Z1567" s="4" t="str">
        <f t="shared" si="149"/>
        <v>Australia</v>
      </c>
      <c r="AA1567" t="s">
        <v>95</v>
      </c>
      <c r="AB1567" t="s">
        <v>96</v>
      </c>
      <c r="AC1567" t="s">
        <v>97</v>
      </c>
      <c r="AD1567" t="s">
        <v>98</v>
      </c>
      <c r="AE1567" t="s">
        <v>36</v>
      </c>
    </row>
    <row r="1568" spans="1:31" x14ac:dyDescent="0.3">
      <c r="A1568">
        <v>10134</v>
      </c>
      <c r="B1568">
        <v>43</v>
      </c>
      <c r="C1568">
        <v>83.03</v>
      </c>
      <c r="D1568">
        <v>7</v>
      </c>
      <c r="E1568" s="4" t="str">
        <f t="shared" si="144"/>
        <v>low sales</v>
      </c>
      <c r="F1568">
        <v>3570.29</v>
      </c>
      <c r="G1568" t="s">
        <v>2240</v>
      </c>
      <c r="H1568" s="1" t="str">
        <f t="shared" si="145"/>
        <v>Shipped</v>
      </c>
      <c r="I1568" s="4" t="str">
        <f t="shared" si="146"/>
        <v>completed</v>
      </c>
      <c r="J1568" t="s">
        <v>25</v>
      </c>
      <c r="K1568">
        <v>3</v>
      </c>
      <c r="L1568">
        <v>7</v>
      </c>
      <c r="M1568">
        <v>2003</v>
      </c>
      <c r="N1568" t="s">
        <v>26</v>
      </c>
      <c r="O1568">
        <v>76</v>
      </c>
      <c r="P1568" t="s">
        <v>626</v>
      </c>
      <c r="Q1568" t="s">
        <v>45</v>
      </c>
      <c r="R1568" t="s">
        <v>46</v>
      </c>
      <c r="S1568" t="s">
        <v>47</v>
      </c>
      <c r="U1568" s="1" t="str">
        <f t="shared" si="147"/>
        <v>Paris</v>
      </c>
      <c r="V1568" t="s">
        <v>48</v>
      </c>
      <c r="X1568">
        <v>75508</v>
      </c>
      <c r="Y1568" s="1" t="str">
        <f t="shared" si="148"/>
        <v>FRANCE</v>
      </c>
      <c r="Z1568" s="4" t="str">
        <f t="shared" si="149"/>
        <v>France</v>
      </c>
      <c r="AA1568" t="s">
        <v>41</v>
      </c>
      <c r="AB1568" t="s">
        <v>42</v>
      </c>
      <c r="AC1568" t="s">
        <v>49</v>
      </c>
      <c r="AD1568" t="s">
        <v>50</v>
      </c>
      <c r="AE1568" t="s">
        <v>51</v>
      </c>
    </row>
    <row r="1569" spans="1:31" x14ac:dyDescent="0.3">
      <c r="A1569">
        <v>10145</v>
      </c>
      <c r="B1569">
        <v>47</v>
      </c>
      <c r="C1569">
        <v>83.03</v>
      </c>
      <c r="D1569">
        <v>11</v>
      </c>
      <c r="E1569" s="4" t="str">
        <f t="shared" si="144"/>
        <v>low sales</v>
      </c>
      <c r="F1569">
        <v>3902.41</v>
      </c>
      <c r="G1569" t="s">
        <v>2241</v>
      </c>
      <c r="H1569" s="1" t="str">
        <f t="shared" si="145"/>
        <v>Shipped</v>
      </c>
      <c r="I1569" s="4" t="str">
        <f t="shared" si="146"/>
        <v>completed</v>
      </c>
      <c r="J1569" t="s">
        <v>25</v>
      </c>
      <c r="K1569">
        <v>3</v>
      </c>
      <c r="L1569">
        <v>8</v>
      </c>
      <c r="M1569">
        <v>2003</v>
      </c>
      <c r="N1569" t="s">
        <v>26</v>
      </c>
      <c r="O1569">
        <v>76</v>
      </c>
      <c r="P1569" t="s">
        <v>626</v>
      </c>
      <c r="Q1569" t="s">
        <v>52</v>
      </c>
      <c r="R1569">
        <v>6265557265</v>
      </c>
      <c r="S1569" t="s">
        <v>53</v>
      </c>
      <c r="U1569" s="1" t="str">
        <f t="shared" si="147"/>
        <v>Pasadena</v>
      </c>
      <c r="V1569" t="s">
        <v>54</v>
      </c>
      <c r="W1569" t="s">
        <v>55</v>
      </c>
      <c r="X1569">
        <v>90003</v>
      </c>
      <c r="Y1569" s="1" t="str">
        <f t="shared" si="148"/>
        <v>USA</v>
      </c>
      <c r="Z1569" s="4" t="str">
        <f t="shared" si="149"/>
        <v>Usa</v>
      </c>
      <c r="AA1569" t="s">
        <v>32</v>
      </c>
      <c r="AB1569" t="s">
        <v>33</v>
      </c>
      <c r="AC1569" t="s">
        <v>56</v>
      </c>
      <c r="AD1569" t="s">
        <v>57</v>
      </c>
      <c r="AE1569" t="s">
        <v>51</v>
      </c>
    </row>
    <row r="1570" spans="1:31" x14ac:dyDescent="0.3">
      <c r="A1570">
        <v>10158</v>
      </c>
      <c r="B1570">
        <v>22</v>
      </c>
      <c r="C1570">
        <v>67.03</v>
      </c>
      <c r="D1570">
        <v>1</v>
      </c>
      <c r="E1570" s="4" t="str">
        <f t="shared" si="144"/>
        <v>low sales</v>
      </c>
      <c r="F1570">
        <v>1474.66</v>
      </c>
      <c r="G1570" t="s">
        <v>2242</v>
      </c>
      <c r="H1570" s="1" t="str">
        <f t="shared" si="145"/>
        <v>Shipped</v>
      </c>
      <c r="I1570" s="4" t="str">
        <f t="shared" si="146"/>
        <v>completed</v>
      </c>
      <c r="J1570" t="s">
        <v>25</v>
      </c>
      <c r="K1570">
        <v>4</v>
      </c>
      <c r="L1570">
        <v>10</v>
      </c>
      <c r="M1570">
        <v>2003</v>
      </c>
      <c r="N1570" t="s">
        <v>26</v>
      </c>
      <c r="O1570">
        <v>76</v>
      </c>
      <c r="P1570" t="s">
        <v>626</v>
      </c>
      <c r="Q1570" t="s">
        <v>133</v>
      </c>
      <c r="R1570" t="s">
        <v>134</v>
      </c>
      <c r="S1570" t="s">
        <v>135</v>
      </c>
      <c r="U1570" s="1" t="str">
        <f t="shared" si="147"/>
        <v>Stavern</v>
      </c>
      <c r="V1570" t="s">
        <v>136</v>
      </c>
      <c r="X1570">
        <v>4110</v>
      </c>
      <c r="Y1570" s="1" t="str">
        <f t="shared" si="148"/>
        <v>NORWAY</v>
      </c>
      <c r="Z1570" s="4" t="str">
        <f t="shared" si="149"/>
        <v>Norway</v>
      </c>
      <c r="AA1570" t="s">
        <v>78</v>
      </c>
      <c r="AB1570" t="s">
        <v>42</v>
      </c>
      <c r="AC1570" t="s">
        <v>137</v>
      </c>
      <c r="AD1570" t="s">
        <v>138</v>
      </c>
      <c r="AE1570" t="s">
        <v>36</v>
      </c>
    </row>
    <row r="1571" spans="1:31" x14ac:dyDescent="0.3">
      <c r="A1571">
        <v>10168</v>
      </c>
      <c r="B1571">
        <v>29</v>
      </c>
      <c r="C1571">
        <v>75.41</v>
      </c>
      <c r="D1571">
        <v>6</v>
      </c>
      <c r="E1571" s="4" t="str">
        <f t="shared" si="144"/>
        <v>low sales</v>
      </c>
      <c r="F1571">
        <v>2186.89</v>
      </c>
      <c r="G1571" t="s">
        <v>2243</v>
      </c>
      <c r="H1571" s="1" t="str">
        <f t="shared" si="145"/>
        <v>Shipped</v>
      </c>
      <c r="I1571" s="4" t="str">
        <f t="shared" si="146"/>
        <v>completed</v>
      </c>
      <c r="J1571" t="s">
        <v>25</v>
      </c>
      <c r="K1571">
        <v>4</v>
      </c>
      <c r="L1571">
        <v>10</v>
      </c>
      <c r="M1571">
        <v>2003</v>
      </c>
      <c r="N1571" t="s">
        <v>26</v>
      </c>
      <c r="O1571">
        <v>76</v>
      </c>
      <c r="P1571" t="s">
        <v>626</v>
      </c>
      <c r="Q1571" t="s">
        <v>62</v>
      </c>
      <c r="R1571">
        <v>6505556809</v>
      </c>
      <c r="S1571" t="s">
        <v>63</v>
      </c>
      <c r="U1571" s="1" t="str">
        <f t="shared" si="147"/>
        <v>Burlingame</v>
      </c>
      <c r="V1571" t="s">
        <v>64</v>
      </c>
      <c r="W1571" t="s">
        <v>55</v>
      </c>
      <c r="X1571">
        <v>94217</v>
      </c>
      <c r="Y1571" s="1" t="str">
        <f t="shared" si="148"/>
        <v>USA</v>
      </c>
      <c r="Z1571" s="4" t="str">
        <f t="shared" si="149"/>
        <v>Usa</v>
      </c>
      <c r="AA1571" t="s">
        <v>32</v>
      </c>
      <c r="AB1571" t="s">
        <v>33</v>
      </c>
      <c r="AC1571" t="s">
        <v>65</v>
      </c>
      <c r="AD1571" t="s">
        <v>66</v>
      </c>
      <c r="AE1571" t="s">
        <v>36</v>
      </c>
    </row>
    <row r="1572" spans="1:31" x14ac:dyDescent="0.3">
      <c r="A1572">
        <v>10180</v>
      </c>
      <c r="B1572">
        <v>28</v>
      </c>
      <c r="C1572">
        <v>68.55</v>
      </c>
      <c r="D1572">
        <v>14</v>
      </c>
      <c r="E1572" s="4" t="str">
        <f t="shared" si="144"/>
        <v>low sales</v>
      </c>
      <c r="F1572">
        <v>1919.4</v>
      </c>
      <c r="G1572" t="s">
        <v>2244</v>
      </c>
      <c r="H1572" s="1" t="str">
        <f t="shared" si="145"/>
        <v>Shipped</v>
      </c>
      <c r="I1572" s="4" t="str">
        <f t="shared" si="146"/>
        <v>completed</v>
      </c>
      <c r="J1572" t="s">
        <v>25</v>
      </c>
      <c r="K1572">
        <v>4</v>
      </c>
      <c r="L1572">
        <v>11</v>
      </c>
      <c r="M1572">
        <v>2003</v>
      </c>
      <c r="N1572" t="s">
        <v>26</v>
      </c>
      <c r="O1572">
        <v>76</v>
      </c>
      <c r="P1572" t="s">
        <v>626</v>
      </c>
      <c r="Q1572" t="s">
        <v>67</v>
      </c>
      <c r="R1572" t="s">
        <v>68</v>
      </c>
      <c r="S1572" t="s">
        <v>69</v>
      </c>
      <c r="U1572" s="1" t="str">
        <f t="shared" si="147"/>
        <v>Lille</v>
      </c>
      <c r="V1572" t="s">
        <v>70</v>
      </c>
      <c r="X1572">
        <v>59000</v>
      </c>
      <c r="Y1572" s="1" t="str">
        <f t="shared" si="148"/>
        <v>FRANCE</v>
      </c>
      <c r="Z1572" s="4" t="str">
        <f t="shared" si="149"/>
        <v>France</v>
      </c>
      <c r="AA1572" t="s">
        <v>41</v>
      </c>
      <c r="AB1572" t="s">
        <v>42</v>
      </c>
      <c r="AC1572" t="s">
        <v>71</v>
      </c>
      <c r="AD1572" t="s">
        <v>72</v>
      </c>
      <c r="AE1572" t="s">
        <v>36</v>
      </c>
    </row>
    <row r="1573" spans="1:31" x14ac:dyDescent="0.3">
      <c r="A1573">
        <v>10188</v>
      </c>
      <c r="B1573">
        <v>40</v>
      </c>
      <c r="C1573">
        <v>91.4</v>
      </c>
      <c r="D1573">
        <v>6</v>
      </c>
      <c r="E1573" s="4" t="str">
        <f t="shared" si="144"/>
        <v>low sales</v>
      </c>
      <c r="F1573">
        <v>3656</v>
      </c>
      <c r="G1573" t="s">
        <v>2245</v>
      </c>
      <c r="H1573" s="1" t="str">
        <f t="shared" si="145"/>
        <v>Shipped</v>
      </c>
      <c r="I1573" s="4" t="str">
        <f t="shared" si="146"/>
        <v>completed</v>
      </c>
      <c r="J1573" t="s">
        <v>25</v>
      </c>
      <c r="K1573">
        <v>4</v>
      </c>
      <c r="L1573">
        <v>11</v>
      </c>
      <c r="M1573">
        <v>2003</v>
      </c>
      <c r="N1573" t="s">
        <v>26</v>
      </c>
      <c r="O1573">
        <v>76</v>
      </c>
      <c r="P1573" t="s">
        <v>626</v>
      </c>
      <c r="Q1573" t="s">
        <v>73</v>
      </c>
      <c r="R1573" t="s">
        <v>74</v>
      </c>
      <c r="S1573" t="s">
        <v>75</v>
      </c>
      <c r="U1573" s="1" t="str">
        <f t="shared" si="147"/>
        <v>Bergen</v>
      </c>
      <c r="V1573" t="s">
        <v>76</v>
      </c>
      <c r="X1573" t="s">
        <v>77</v>
      </c>
      <c r="Y1573" s="1" t="str">
        <f t="shared" si="148"/>
        <v>NORWAY</v>
      </c>
      <c r="Z1573" s="4" t="str">
        <f t="shared" si="149"/>
        <v>Norway</v>
      </c>
      <c r="AA1573" t="s">
        <v>78</v>
      </c>
      <c r="AB1573" t="s">
        <v>42</v>
      </c>
      <c r="AC1573" t="s">
        <v>79</v>
      </c>
      <c r="AD1573" t="s">
        <v>80</v>
      </c>
      <c r="AE1573" t="s">
        <v>51</v>
      </c>
    </row>
    <row r="1574" spans="1:31" x14ac:dyDescent="0.3">
      <c r="A1574">
        <v>10201</v>
      </c>
      <c r="B1574">
        <v>25</v>
      </c>
      <c r="C1574">
        <v>73.88</v>
      </c>
      <c r="D1574">
        <v>7</v>
      </c>
      <c r="E1574" s="4" t="str">
        <f t="shared" si="144"/>
        <v>low sales</v>
      </c>
      <c r="F1574">
        <v>1847</v>
      </c>
      <c r="G1574" t="s">
        <v>2246</v>
      </c>
      <c r="H1574" s="1" t="str">
        <f t="shared" si="145"/>
        <v>Shipped</v>
      </c>
      <c r="I1574" s="4" t="str">
        <f t="shared" si="146"/>
        <v>completed</v>
      </c>
      <c r="J1574" t="s">
        <v>25</v>
      </c>
      <c r="K1574">
        <v>4</v>
      </c>
      <c r="L1574">
        <v>12</v>
      </c>
      <c r="M1574">
        <v>2003</v>
      </c>
      <c r="N1574" t="s">
        <v>26</v>
      </c>
      <c r="O1574">
        <v>76</v>
      </c>
      <c r="P1574" t="s">
        <v>626</v>
      </c>
      <c r="Q1574" t="s">
        <v>81</v>
      </c>
      <c r="R1574">
        <v>6505555787</v>
      </c>
      <c r="S1574" t="s">
        <v>82</v>
      </c>
      <c r="U1574" s="1" t="str">
        <f t="shared" si="147"/>
        <v>San Francisco</v>
      </c>
      <c r="V1574" t="s">
        <v>60</v>
      </c>
      <c r="W1574" t="s">
        <v>55</v>
      </c>
      <c r="Y1574" s="1" t="str">
        <f t="shared" si="148"/>
        <v>USA</v>
      </c>
      <c r="Z1574" s="4" t="str">
        <f t="shared" si="149"/>
        <v>Usa</v>
      </c>
      <c r="AA1574" t="s">
        <v>32</v>
      </c>
      <c r="AB1574" t="s">
        <v>33</v>
      </c>
      <c r="AC1574" t="s">
        <v>83</v>
      </c>
      <c r="AD1574" t="s">
        <v>57</v>
      </c>
      <c r="AE1574" t="s">
        <v>36</v>
      </c>
    </row>
    <row r="1575" spans="1:31" x14ac:dyDescent="0.3">
      <c r="A1575">
        <v>10210</v>
      </c>
      <c r="B1575">
        <v>30</v>
      </c>
      <c r="C1575">
        <v>61.7</v>
      </c>
      <c r="D1575">
        <v>4</v>
      </c>
      <c r="E1575" s="4" t="str">
        <f t="shared" si="144"/>
        <v>low sales</v>
      </c>
      <c r="F1575">
        <v>1851</v>
      </c>
      <c r="G1575" t="s">
        <v>2247</v>
      </c>
      <c r="H1575" s="1" t="str">
        <f t="shared" si="145"/>
        <v>Shipped</v>
      </c>
      <c r="I1575" s="4" t="str">
        <f t="shared" si="146"/>
        <v>completed</v>
      </c>
      <c r="J1575" t="s">
        <v>25</v>
      </c>
      <c r="K1575">
        <v>1</v>
      </c>
      <c r="L1575">
        <v>1</v>
      </c>
      <c r="M1575">
        <v>2004</v>
      </c>
      <c r="N1575" t="s">
        <v>26</v>
      </c>
      <c r="O1575">
        <v>76</v>
      </c>
      <c r="P1575" t="s">
        <v>626</v>
      </c>
      <c r="Q1575" t="s">
        <v>302</v>
      </c>
      <c r="R1575" t="s">
        <v>303</v>
      </c>
      <c r="S1575" t="s">
        <v>304</v>
      </c>
      <c r="U1575" s="1" t="str">
        <f t="shared" si="147"/>
        <v>Osaka</v>
      </c>
      <c r="V1575" t="s">
        <v>305</v>
      </c>
      <c r="W1575" t="s">
        <v>305</v>
      </c>
      <c r="X1575" t="s">
        <v>306</v>
      </c>
      <c r="Y1575" s="1" t="str">
        <f t="shared" si="148"/>
        <v>JAPAN</v>
      </c>
      <c r="Z1575" s="4" t="str">
        <f t="shared" si="149"/>
        <v>Japan</v>
      </c>
      <c r="AA1575" t="s">
        <v>200</v>
      </c>
      <c r="AB1575" t="s">
        <v>200</v>
      </c>
      <c r="AC1575" t="s">
        <v>307</v>
      </c>
      <c r="AD1575" t="s">
        <v>308</v>
      </c>
      <c r="AE1575" t="s">
        <v>36</v>
      </c>
    </row>
    <row r="1576" spans="1:31" x14ac:dyDescent="0.3">
      <c r="A1576">
        <v>10223</v>
      </c>
      <c r="B1576">
        <v>38</v>
      </c>
      <c r="C1576">
        <v>69.31</v>
      </c>
      <c r="D1576">
        <v>6</v>
      </c>
      <c r="E1576" s="4" t="str">
        <f t="shared" si="144"/>
        <v>low sales</v>
      </c>
      <c r="F1576">
        <v>2633.78</v>
      </c>
      <c r="G1576" t="s">
        <v>2248</v>
      </c>
      <c r="H1576" s="1" t="str">
        <f t="shared" si="145"/>
        <v>Shipped</v>
      </c>
      <c r="I1576" s="4" t="str">
        <f t="shared" si="146"/>
        <v>completed</v>
      </c>
      <c r="J1576" t="s">
        <v>25</v>
      </c>
      <c r="K1576">
        <v>1</v>
      </c>
      <c r="L1576">
        <v>2</v>
      </c>
      <c r="M1576">
        <v>2004</v>
      </c>
      <c r="N1576" t="s">
        <v>26</v>
      </c>
      <c r="O1576">
        <v>76</v>
      </c>
      <c r="P1576" t="s">
        <v>626</v>
      </c>
      <c r="Q1576" t="s">
        <v>89</v>
      </c>
      <c r="R1576" t="s">
        <v>90</v>
      </c>
      <c r="S1576" t="s">
        <v>91</v>
      </c>
      <c r="T1576" t="s">
        <v>92</v>
      </c>
      <c r="U1576" s="1" t="str">
        <f t="shared" si="147"/>
        <v>Melbourne</v>
      </c>
      <c r="V1576" t="s">
        <v>93</v>
      </c>
      <c r="W1576" t="s">
        <v>94</v>
      </c>
      <c r="X1576">
        <v>3004</v>
      </c>
      <c r="Y1576" s="1" t="str">
        <f t="shared" si="148"/>
        <v>AUSTRALIA</v>
      </c>
      <c r="Z1576" s="4" t="str">
        <f t="shared" si="149"/>
        <v>Australia</v>
      </c>
      <c r="AA1576" t="s">
        <v>95</v>
      </c>
      <c r="AB1576" t="s">
        <v>96</v>
      </c>
      <c r="AC1576" t="s">
        <v>97</v>
      </c>
      <c r="AD1576" t="s">
        <v>98</v>
      </c>
      <c r="AE1576" t="s">
        <v>36</v>
      </c>
    </row>
    <row r="1577" spans="1:31" x14ac:dyDescent="0.3">
      <c r="A1577">
        <v>10236</v>
      </c>
      <c r="B1577">
        <v>36</v>
      </c>
      <c r="C1577">
        <v>87.6</v>
      </c>
      <c r="D1577">
        <v>3</v>
      </c>
      <c r="E1577" s="4" t="str">
        <f t="shared" si="144"/>
        <v>low sales</v>
      </c>
      <c r="F1577">
        <v>3153.6</v>
      </c>
      <c r="G1577" t="s">
        <v>2249</v>
      </c>
      <c r="H1577" s="1" t="str">
        <f t="shared" si="145"/>
        <v>Shipped</v>
      </c>
      <c r="I1577" s="4" t="str">
        <f t="shared" si="146"/>
        <v>completed</v>
      </c>
      <c r="J1577" t="s">
        <v>25</v>
      </c>
      <c r="K1577">
        <v>2</v>
      </c>
      <c r="L1577">
        <v>4</v>
      </c>
      <c r="M1577">
        <v>2004</v>
      </c>
      <c r="N1577" t="s">
        <v>26</v>
      </c>
      <c r="O1577">
        <v>76</v>
      </c>
      <c r="P1577" t="s">
        <v>626</v>
      </c>
      <c r="Q1577" t="s">
        <v>309</v>
      </c>
      <c r="R1577">
        <v>2155559857</v>
      </c>
      <c r="S1577" t="s">
        <v>310</v>
      </c>
      <c r="U1577" s="1" t="str">
        <f t="shared" si="147"/>
        <v>Philadelphia</v>
      </c>
      <c r="V1577" t="s">
        <v>216</v>
      </c>
      <c r="W1577" t="s">
        <v>142</v>
      </c>
      <c r="X1577">
        <v>71270</v>
      </c>
      <c r="Y1577" s="1" t="str">
        <f t="shared" si="148"/>
        <v>USA</v>
      </c>
      <c r="Z1577" s="4" t="str">
        <f t="shared" si="149"/>
        <v>Usa</v>
      </c>
      <c r="AA1577" t="s">
        <v>32</v>
      </c>
      <c r="AB1577" t="s">
        <v>33</v>
      </c>
      <c r="AC1577" t="s">
        <v>124</v>
      </c>
      <c r="AD1577" t="s">
        <v>311</v>
      </c>
      <c r="AE1577" t="s">
        <v>51</v>
      </c>
    </row>
    <row r="1578" spans="1:31" x14ac:dyDescent="0.3">
      <c r="A1578">
        <v>10250</v>
      </c>
      <c r="B1578">
        <v>32</v>
      </c>
      <c r="C1578">
        <v>87.6</v>
      </c>
      <c r="D1578">
        <v>1</v>
      </c>
      <c r="E1578" s="4" t="str">
        <f t="shared" si="144"/>
        <v>low sales</v>
      </c>
      <c r="F1578">
        <v>2803.2</v>
      </c>
      <c r="G1578" t="s">
        <v>2250</v>
      </c>
      <c r="H1578" s="1" t="str">
        <f t="shared" si="145"/>
        <v>Shipped</v>
      </c>
      <c r="I1578" s="4" t="str">
        <f t="shared" si="146"/>
        <v>completed</v>
      </c>
      <c r="J1578" t="s">
        <v>25</v>
      </c>
      <c r="K1578">
        <v>2</v>
      </c>
      <c r="L1578">
        <v>5</v>
      </c>
      <c r="M1578">
        <v>2004</v>
      </c>
      <c r="N1578" t="s">
        <v>26</v>
      </c>
      <c r="O1578">
        <v>76</v>
      </c>
      <c r="P1578" t="s">
        <v>626</v>
      </c>
      <c r="Q1578" t="s">
        <v>397</v>
      </c>
      <c r="R1578">
        <v>4085553659</v>
      </c>
      <c r="S1578" t="s">
        <v>398</v>
      </c>
      <c r="U1578" s="1" t="str">
        <f t="shared" si="147"/>
        <v>San Jose</v>
      </c>
      <c r="V1578" t="s">
        <v>399</v>
      </c>
      <c r="W1578" t="s">
        <v>55</v>
      </c>
      <c r="X1578">
        <v>94217</v>
      </c>
      <c r="Y1578" s="1" t="str">
        <f t="shared" si="148"/>
        <v>USA</v>
      </c>
      <c r="Z1578" s="4" t="str">
        <f t="shared" si="149"/>
        <v>Usa</v>
      </c>
      <c r="AA1578" t="s">
        <v>32</v>
      </c>
      <c r="AB1578" t="s">
        <v>33</v>
      </c>
      <c r="AC1578" t="s">
        <v>102</v>
      </c>
      <c r="AD1578" t="s">
        <v>400</v>
      </c>
      <c r="AE1578" t="s">
        <v>36</v>
      </c>
    </row>
    <row r="1579" spans="1:31" x14ac:dyDescent="0.3">
      <c r="A1579">
        <v>10263</v>
      </c>
      <c r="B1579">
        <v>37</v>
      </c>
      <c r="C1579">
        <v>62.46</v>
      </c>
      <c r="D1579">
        <v>7</v>
      </c>
      <c r="E1579" s="4" t="str">
        <f t="shared" si="144"/>
        <v>low sales</v>
      </c>
      <c r="F1579">
        <v>2311.02</v>
      </c>
      <c r="G1579" t="s">
        <v>2251</v>
      </c>
      <c r="H1579" s="1" t="str">
        <f t="shared" si="145"/>
        <v>Shipped</v>
      </c>
      <c r="I1579" s="4" t="str">
        <f t="shared" si="146"/>
        <v>completed</v>
      </c>
      <c r="J1579" t="s">
        <v>25</v>
      </c>
      <c r="K1579">
        <v>2</v>
      </c>
      <c r="L1579">
        <v>6</v>
      </c>
      <c r="M1579">
        <v>2004</v>
      </c>
      <c r="N1579" t="s">
        <v>26</v>
      </c>
      <c r="O1579">
        <v>76</v>
      </c>
      <c r="P1579" t="s">
        <v>626</v>
      </c>
      <c r="Q1579" t="s">
        <v>109</v>
      </c>
      <c r="R1579">
        <v>2035552570</v>
      </c>
      <c r="S1579" t="s">
        <v>110</v>
      </c>
      <c r="U1579" s="1" t="str">
        <f t="shared" si="147"/>
        <v>Bridgewater</v>
      </c>
      <c r="V1579" t="s">
        <v>111</v>
      </c>
      <c r="W1579" t="s">
        <v>112</v>
      </c>
      <c r="X1579">
        <v>97562</v>
      </c>
      <c r="Y1579" s="1" t="str">
        <f t="shared" si="148"/>
        <v>USA</v>
      </c>
      <c r="Z1579" s="4" t="str">
        <f t="shared" si="149"/>
        <v>Usa</v>
      </c>
      <c r="AA1579" t="s">
        <v>32</v>
      </c>
      <c r="AB1579" t="s">
        <v>33</v>
      </c>
      <c r="AC1579" t="s">
        <v>113</v>
      </c>
      <c r="AD1579" t="s">
        <v>57</v>
      </c>
      <c r="AE1579" t="s">
        <v>36</v>
      </c>
    </row>
    <row r="1580" spans="1:31" x14ac:dyDescent="0.3">
      <c r="A1580">
        <v>10275</v>
      </c>
      <c r="B1580">
        <v>30</v>
      </c>
      <c r="C1580">
        <v>79.98</v>
      </c>
      <c r="D1580">
        <v>6</v>
      </c>
      <c r="E1580" s="4" t="str">
        <f t="shared" si="144"/>
        <v>low sales</v>
      </c>
      <c r="F1580">
        <v>2399.4</v>
      </c>
      <c r="G1580" t="s">
        <v>2252</v>
      </c>
      <c r="H1580" s="1" t="str">
        <f t="shared" si="145"/>
        <v>Shipped</v>
      </c>
      <c r="I1580" s="4" t="str">
        <f t="shared" si="146"/>
        <v>completed</v>
      </c>
      <c r="J1580" t="s">
        <v>25</v>
      </c>
      <c r="K1580">
        <v>3</v>
      </c>
      <c r="L1580">
        <v>7</v>
      </c>
      <c r="M1580">
        <v>2004</v>
      </c>
      <c r="N1580" t="s">
        <v>26</v>
      </c>
      <c r="O1580">
        <v>76</v>
      </c>
      <c r="P1580" t="s">
        <v>626</v>
      </c>
      <c r="Q1580" t="s">
        <v>114</v>
      </c>
      <c r="R1580" t="s">
        <v>115</v>
      </c>
      <c r="S1580" t="s">
        <v>116</v>
      </c>
      <c r="U1580" s="1" t="str">
        <f t="shared" si="147"/>
        <v>Nantes</v>
      </c>
      <c r="V1580" t="s">
        <v>117</v>
      </c>
      <c r="X1580">
        <v>44000</v>
      </c>
      <c r="Y1580" s="1" t="str">
        <f t="shared" si="148"/>
        <v>FRANCE</v>
      </c>
      <c r="Z1580" s="4" t="str">
        <f t="shared" si="149"/>
        <v>France</v>
      </c>
      <c r="AA1580" t="s">
        <v>41</v>
      </c>
      <c r="AB1580" t="s">
        <v>42</v>
      </c>
      <c r="AC1580" t="s">
        <v>118</v>
      </c>
      <c r="AD1580" t="s">
        <v>119</v>
      </c>
      <c r="AE1580" t="s">
        <v>36</v>
      </c>
    </row>
    <row r="1581" spans="1:31" x14ac:dyDescent="0.3">
      <c r="A1581">
        <v>10285</v>
      </c>
      <c r="B1581">
        <v>39</v>
      </c>
      <c r="C1581">
        <v>70.08</v>
      </c>
      <c r="D1581">
        <v>11</v>
      </c>
      <c r="E1581" s="4" t="str">
        <f t="shared" si="144"/>
        <v>low sales</v>
      </c>
      <c r="F1581">
        <v>2733.12</v>
      </c>
      <c r="G1581" t="s">
        <v>2253</v>
      </c>
      <c r="H1581" s="1" t="str">
        <f t="shared" si="145"/>
        <v>Shipped</v>
      </c>
      <c r="I1581" s="4" t="str">
        <f t="shared" si="146"/>
        <v>completed</v>
      </c>
      <c r="J1581" t="s">
        <v>25</v>
      </c>
      <c r="K1581">
        <v>3</v>
      </c>
      <c r="L1581">
        <v>8</v>
      </c>
      <c r="M1581">
        <v>2004</v>
      </c>
      <c r="N1581" t="s">
        <v>26</v>
      </c>
      <c r="O1581">
        <v>76</v>
      </c>
      <c r="P1581" t="s">
        <v>626</v>
      </c>
      <c r="Q1581" t="s">
        <v>120</v>
      </c>
      <c r="R1581">
        <v>6175558555</v>
      </c>
      <c r="S1581" t="s">
        <v>121</v>
      </c>
      <c r="U1581" s="1" t="str">
        <f t="shared" si="147"/>
        <v>Cambridge</v>
      </c>
      <c r="V1581" t="s">
        <v>122</v>
      </c>
      <c r="W1581" t="s">
        <v>123</v>
      </c>
      <c r="X1581">
        <v>51247</v>
      </c>
      <c r="Y1581" s="1" t="str">
        <f t="shared" si="148"/>
        <v>USA</v>
      </c>
      <c r="Z1581" s="4" t="str">
        <f t="shared" si="149"/>
        <v>Usa</v>
      </c>
      <c r="AA1581" t="s">
        <v>32</v>
      </c>
      <c r="AB1581" t="s">
        <v>33</v>
      </c>
      <c r="AC1581" t="s">
        <v>124</v>
      </c>
      <c r="AD1581" t="s">
        <v>125</v>
      </c>
      <c r="AE1581" t="s">
        <v>36</v>
      </c>
    </row>
    <row r="1582" spans="1:31" x14ac:dyDescent="0.3">
      <c r="A1582">
        <v>10297</v>
      </c>
      <c r="B1582">
        <v>32</v>
      </c>
      <c r="C1582">
        <v>65.510000000000005</v>
      </c>
      <c r="D1582">
        <v>1</v>
      </c>
      <c r="E1582" s="4" t="str">
        <f t="shared" si="144"/>
        <v>low sales</v>
      </c>
      <c r="F1582">
        <v>2096.3200000000002</v>
      </c>
      <c r="G1582" t="s">
        <v>2254</v>
      </c>
      <c r="H1582" s="1" t="str">
        <f t="shared" si="145"/>
        <v>Shipped</v>
      </c>
      <c r="I1582" s="4" t="str">
        <f t="shared" si="146"/>
        <v>completed</v>
      </c>
      <c r="J1582" t="s">
        <v>25</v>
      </c>
      <c r="K1582">
        <v>3</v>
      </c>
      <c r="L1582">
        <v>9</v>
      </c>
      <c r="M1582">
        <v>2004</v>
      </c>
      <c r="N1582" t="s">
        <v>26</v>
      </c>
      <c r="O1582">
        <v>76</v>
      </c>
      <c r="P1582" t="s">
        <v>626</v>
      </c>
      <c r="Q1582" t="s">
        <v>479</v>
      </c>
      <c r="R1582" t="s">
        <v>480</v>
      </c>
      <c r="S1582" t="s">
        <v>481</v>
      </c>
      <c r="T1582" t="s">
        <v>482</v>
      </c>
      <c r="U1582" s="1" t="str">
        <f t="shared" si="147"/>
        <v>Dublin</v>
      </c>
      <c r="V1582" t="s">
        <v>483</v>
      </c>
      <c r="X1582">
        <v>2</v>
      </c>
      <c r="Y1582" s="1" t="str">
        <f t="shared" si="148"/>
        <v>IRELAND</v>
      </c>
      <c r="Z1582" s="4" t="str">
        <f t="shared" si="149"/>
        <v>Ireland</v>
      </c>
      <c r="AA1582" t="s">
        <v>484</v>
      </c>
      <c r="AB1582" t="s">
        <v>42</v>
      </c>
      <c r="AC1582" t="s">
        <v>485</v>
      </c>
      <c r="AD1582" t="s">
        <v>486</v>
      </c>
      <c r="AE1582" t="s">
        <v>36</v>
      </c>
    </row>
    <row r="1583" spans="1:31" x14ac:dyDescent="0.3">
      <c r="A1583">
        <v>10308</v>
      </c>
      <c r="B1583">
        <v>47</v>
      </c>
      <c r="C1583">
        <v>63.22</v>
      </c>
      <c r="D1583">
        <v>4</v>
      </c>
      <c r="E1583" s="4" t="str">
        <f t="shared" si="144"/>
        <v>low sales</v>
      </c>
      <c r="F1583">
        <v>2971.34</v>
      </c>
      <c r="G1583" t="s">
        <v>2255</v>
      </c>
      <c r="H1583" s="1" t="str">
        <f t="shared" si="145"/>
        <v>Shipped</v>
      </c>
      <c r="I1583" s="4" t="str">
        <f t="shared" si="146"/>
        <v>completed</v>
      </c>
      <c r="J1583" t="s">
        <v>25</v>
      </c>
      <c r="K1583">
        <v>4</v>
      </c>
      <c r="L1583">
        <v>10</v>
      </c>
      <c r="M1583">
        <v>2004</v>
      </c>
      <c r="N1583" t="s">
        <v>26</v>
      </c>
      <c r="O1583">
        <v>76</v>
      </c>
      <c r="P1583" t="s">
        <v>626</v>
      </c>
      <c r="Q1583" t="s">
        <v>317</v>
      </c>
      <c r="R1583">
        <v>9145554562</v>
      </c>
      <c r="S1583" t="s">
        <v>318</v>
      </c>
      <c r="U1583" s="1" t="str">
        <f t="shared" si="147"/>
        <v>White Plains</v>
      </c>
      <c r="V1583" t="s">
        <v>319</v>
      </c>
      <c r="W1583" t="s">
        <v>31</v>
      </c>
      <c r="X1583">
        <v>24067</v>
      </c>
      <c r="Y1583" s="1" t="str">
        <f t="shared" si="148"/>
        <v>USA</v>
      </c>
      <c r="Z1583" s="4" t="str">
        <f t="shared" si="149"/>
        <v>Usa</v>
      </c>
      <c r="AA1583" t="s">
        <v>32</v>
      </c>
      <c r="AB1583" t="s">
        <v>33</v>
      </c>
      <c r="AC1583" t="s">
        <v>102</v>
      </c>
      <c r="AD1583" t="s">
        <v>238</v>
      </c>
      <c r="AE1583" t="s">
        <v>36</v>
      </c>
    </row>
    <row r="1584" spans="1:31" x14ac:dyDescent="0.3">
      <c r="A1584">
        <v>10318</v>
      </c>
      <c r="B1584">
        <v>26</v>
      </c>
      <c r="C1584">
        <v>86.83</v>
      </c>
      <c r="D1584">
        <v>6</v>
      </c>
      <c r="E1584" s="4" t="str">
        <f t="shared" si="144"/>
        <v>low sales</v>
      </c>
      <c r="F1584">
        <v>2257.58</v>
      </c>
      <c r="G1584" t="s">
        <v>2256</v>
      </c>
      <c r="H1584" s="1" t="str">
        <f t="shared" si="145"/>
        <v>Shipped</v>
      </c>
      <c r="I1584" s="4" t="str">
        <f t="shared" si="146"/>
        <v>completed</v>
      </c>
      <c r="J1584" t="s">
        <v>25</v>
      </c>
      <c r="K1584">
        <v>4</v>
      </c>
      <c r="L1584">
        <v>11</v>
      </c>
      <c r="M1584">
        <v>2004</v>
      </c>
      <c r="N1584" t="s">
        <v>26</v>
      </c>
      <c r="O1584">
        <v>76</v>
      </c>
      <c r="P1584" t="s">
        <v>626</v>
      </c>
      <c r="Q1584" t="s">
        <v>139</v>
      </c>
      <c r="R1584">
        <v>2155551555</v>
      </c>
      <c r="S1584" t="s">
        <v>140</v>
      </c>
      <c r="U1584" s="1" t="str">
        <f t="shared" si="147"/>
        <v>Allentown</v>
      </c>
      <c r="V1584" t="s">
        <v>141</v>
      </c>
      <c r="W1584" t="s">
        <v>142</v>
      </c>
      <c r="X1584">
        <v>70267</v>
      </c>
      <c r="Y1584" s="1" t="str">
        <f t="shared" si="148"/>
        <v>USA</v>
      </c>
      <c r="Z1584" s="4" t="str">
        <f t="shared" si="149"/>
        <v>Usa</v>
      </c>
      <c r="AA1584" t="s">
        <v>32</v>
      </c>
      <c r="AB1584" t="s">
        <v>33</v>
      </c>
      <c r="AC1584" t="s">
        <v>34</v>
      </c>
      <c r="AD1584" t="s">
        <v>143</v>
      </c>
      <c r="AE1584" t="s">
        <v>36</v>
      </c>
    </row>
    <row r="1585" spans="1:31" x14ac:dyDescent="0.3">
      <c r="A1585">
        <v>10329</v>
      </c>
      <c r="B1585">
        <v>37</v>
      </c>
      <c r="C1585">
        <v>94.43</v>
      </c>
      <c r="D1585">
        <v>4</v>
      </c>
      <c r="E1585" s="4" t="str">
        <f t="shared" si="144"/>
        <v>low sales</v>
      </c>
      <c r="F1585">
        <v>3493.91</v>
      </c>
      <c r="G1585" t="s">
        <v>2257</v>
      </c>
      <c r="H1585" s="1" t="str">
        <f t="shared" si="145"/>
        <v>Shipped</v>
      </c>
      <c r="I1585" s="4" t="str">
        <f t="shared" si="146"/>
        <v>completed</v>
      </c>
      <c r="J1585" t="s">
        <v>25</v>
      </c>
      <c r="K1585">
        <v>4</v>
      </c>
      <c r="L1585">
        <v>11</v>
      </c>
      <c r="M1585">
        <v>2004</v>
      </c>
      <c r="N1585" t="s">
        <v>26</v>
      </c>
      <c r="O1585">
        <v>76</v>
      </c>
      <c r="P1585" t="s">
        <v>626</v>
      </c>
      <c r="Q1585" t="s">
        <v>28</v>
      </c>
      <c r="R1585">
        <v>2125557818</v>
      </c>
      <c r="S1585" t="s">
        <v>29</v>
      </c>
      <c r="U1585" s="1" t="str">
        <f t="shared" si="147"/>
        <v>Nyc</v>
      </c>
      <c r="V1585" t="s">
        <v>30</v>
      </c>
      <c r="W1585" t="s">
        <v>31</v>
      </c>
      <c r="X1585">
        <v>10022</v>
      </c>
      <c r="Y1585" s="1" t="str">
        <f t="shared" si="148"/>
        <v>USA</v>
      </c>
      <c r="Z1585" s="4" t="str">
        <f t="shared" si="149"/>
        <v>Usa</v>
      </c>
      <c r="AA1585" t="s">
        <v>32</v>
      </c>
      <c r="AB1585" t="s">
        <v>33</v>
      </c>
      <c r="AC1585" t="s">
        <v>34</v>
      </c>
      <c r="AD1585" t="s">
        <v>35</v>
      </c>
      <c r="AE1585" t="s">
        <v>51</v>
      </c>
    </row>
    <row r="1586" spans="1:31" x14ac:dyDescent="0.3">
      <c r="A1586">
        <v>10340</v>
      </c>
      <c r="B1586">
        <v>55</v>
      </c>
      <c r="C1586">
        <v>79.98</v>
      </c>
      <c r="D1586">
        <v>8</v>
      </c>
      <c r="E1586" s="4" t="str">
        <f t="shared" si="144"/>
        <v>high sales</v>
      </c>
      <c r="F1586">
        <v>4398.8999999999996</v>
      </c>
      <c r="G1586" t="s">
        <v>2258</v>
      </c>
      <c r="H1586" s="1" t="str">
        <f t="shared" si="145"/>
        <v>Shipped</v>
      </c>
      <c r="I1586" s="4" t="str">
        <f t="shared" si="146"/>
        <v>completed</v>
      </c>
      <c r="J1586" t="s">
        <v>25</v>
      </c>
      <c r="K1586">
        <v>4</v>
      </c>
      <c r="L1586">
        <v>11</v>
      </c>
      <c r="M1586">
        <v>2004</v>
      </c>
      <c r="N1586" t="s">
        <v>26</v>
      </c>
      <c r="O1586">
        <v>76</v>
      </c>
      <c r="P1586" t="s">
        <v>626</v>
      </c>
      <c r="Q1586" t="s">
        <v>352</v>
      </c>
      <c r="R1586" t="s">
        <v>353</v>
      </c>
      <c r="S1586" t="s">
        <v>354</v>
      </c>
      <c r="U1586" s="1" t="str">
        <f t="shared" si="147"/>
        <v>Barcelona</v>
      </c>
      <c r="V1586" t="s">
        <v>355</v>
      </c>
      <c r="X1586">
        <v>8022</v>
      </c>
      <c r="Y1586" s="1" t="str">
        <f t="shared" si="148"/>
        <v>SPAIN</v>
      </c>
      <c r="Z1586" s="4" t="str">
        <f t="shared" si="149"/>
        <v>Spain</v>
      </c>
      <c r="AA1586" t="s">
        <v>178</v>
      </c>
      <c r="AB1586" t="s">
        <v>42</v>
      </c>
      <c r="AC1586" t="s">
        <v>356</v>
      </c>
      <c r="AD1586" t="s">
        <v>357</v>
      </c>
      <c r="AE1586" t="s">
        <v>51</v>
      </c>
    </row>
    <row r="1587" spans="1:31" x14ac:dyDescent="0.3">
      <c r="A1587">
        <v>10363</v>
      </c>
      <c r="B1587">
        <v>21</v>
      </c>
      <c r="C1587">
        <v>100</v>
      </c>
      <c r="D1587">
        <v>8</v>
      </c>
      <c r="E1587" s="4" t="str">
        <f t="shared" si="144"/>
        <v>low sales</v>
      </c>
      <c r="F1587">
        <v>3595.62</v>
      </c>
      <c r="G1587" t="s">
        <v>2259</v>
      </c>
      <c r="H1587" s="1" t="str">
        <f t="shared" si="145"/>
        <v>Shipped</v>
      </c>
      <c r="I1587" s="4" t="str">
        <f t="shared" si="146"/>
        <v>completed</v>
      </c>
      <c r="J1587" t="s">
        <v>25</v>
      </c>
      <c r="K1587">
        <v>1</v>
      </c>
      <c r="L1587">
        <v>1</v>
      </c>
      <c r="M1587">
        <v>2005</v>
      </c>
      <c r="N1587" t="s">
        <v>26</v>
      </c>
      <c r="O1587">
        <v>76</v>
      </c>
      <c r="P1587" t="s">
        <v>626</v>
      </c>
      <c r="Q1587" t="s">
        <v>467</v>
      </c>
      <c r="R1587" t="s">
        <v>468</v>
      </c>
      <c r="S1587" t="s">
        <v>469</v>
      </c>
      <c r="U1587" s="1" t="str">
        <f t="shared" si="147"/>
        <v>Espoo</v>
      </c>
      <c r="V1587" t="s">
        <v>470</v>
      </c>
      <c r="X1587" t="s">
        <v>471</v>
      </c>
      <c r="Y1587" s="1" t="str">
        <f t="shared" si="148"/>
        <v>FINLAND</v>
      </c>
      <c r="Z1587" s="4" t="str">
        <f t="shared" si="149"/>
        <v>Finland</v>
      </c>
      <c r="AA1587" t="s">
        <v>130</v>
      </c>
      <c r="AB1587" t="s">
        <v>42</v>
      </c>
      <c r="AC1587" t="s">
        <v>472</v>
      </c>
      <c r="AD1587" t="s">
        <v>473</v>
      </c>
      <c r="AE1587" t="s">
        <v>51</v>
      </c>
    </row>
    <row r="1588" spans="1:31" x14ac:dyDescent="0.3">
      <c r="A1588">
        <v>10375</v>
      </c>
      <c r="B1588">
        <v>23</v>
      </c>
      <c r="C1588">
        <v>100</v>
      </c>
      <c r="D1588">
        <v>9</v>
      </c>
      <c r="E1588" s="4" t="str">
        <f t="shared" si="144"/>
        <v>low sales</v>
      </c>
      <c r="F1588">
        <v>2443.29</v>
      </c>
      <c r="G1588" t="s">
        <v>2260</v>
      </c>
      <c r="H1588" s="1" t="str">
        <f t="shared" si="145"/>
        <v>Shipped</v>
      </c>
      <c r="I1588" s="4" t="str">
        <f t="shared" si="146"/>
        <v>completed</v>
      </c>
      <c r="J1588" t="s">
        <v>25</v>
      </c>
      <c r="K1588">
        <v>1</v>
      </c>
      <c r="L1588">
        <v>2</v>
      </c>
      <c r="M1588">
        <v>2005</v>
      </c>
      <c r="N1588" t="s">
        <v>26</v>
      </c>
      <c r="O1588">
        <v>76</v>
      </c>
      <c r="P1588" t="s">
        <v>626</v>
      </c>
      <c r="Q1588" t="s">
        <v>114</v>
      </c>
      <c r="R1588" t="s">
        <v>115</v>
      </c>
      <c r="S1588" t="s">
        <v>116</v>
      </c>
      <c r="U1588" s="1" t="str">
        <f t="shared" si="147"/>
        <v>Nantes</v>
      </c>
      <c r="V1588" t="s">
        <v>117</v>
      </c>
      <c r="X1588">
        <v>44000</v>
      </c>
      <c r="Y1588" s="1" t="str">
        <f t="shared" si="148"/>
        <v>FRANCE</v>
      </c>
      <c r="Z1588" s="4" t="str">
        <f t="shared" si="149"/>
        <v>France</v>
      </c>
      <c r="AA1588" t="s">
        <v>41</v>
      </c>
      <c r="AB1588" t="s">
        <v>42</v>
      </c>
      <c r="AC1588" t="s">
        <v>118</v>
      </c>
      <c r="AD1588" t="s">
        <v>119</v>
      </c>
      <c r="AE1588" t="s">
        <v>36</v>
      </c>
    </row>
    <row r="1589" spans="1:31" x14ac:dyDescent="0.3">
      <c r="A1589">
        <v>10389</v>
      </c>
      <c r="B1589">
        <v>49</v>
      </c>
      <c r="C1589">
        <v>81.400000000000006</v>
      </c>
      <c r="D1589">
        <v>2</v>
      </c>
      <c r="E1589" s="4" t="str">
        <f t="shared" si="144"/>
        <v>low sales</v>
      </c>
      <c r="F1589">
        <v>3988.6</v>
      </c>
      <c r="G1589" t="s">
        <v>2261</v>
      </c>
      <c r="H1589" s="1" t="str">
        <f t="shared" si="145"/>
        <v>Shipped</v>
      </c>
      <c r="I1589" s="4" t="str">
        <f t="shared" si="146"/>
        <v>completed</v>
      </c>
      <c r="J1589" t="s">
        <v>25</v>
      </c>
      <c r="K1589">
        <v>1</v>
      </c>
      <c r="L1589">
        <v>3</v>
      </c>
      <c r="M1589">
        <v>2005</v>
      </c>
      <c r="N1589" t="s">
        <v>26</v>
      </c>
      <c r="O1589">
        <v>76</v>
      </c>
      <c r="P1589" t="s">
        <v>626</v>
      </c>
      <c r="Q1589" t="s">
        <v>261</v>
      </c>
      <c r="R1589" t="s">
        <v>262</v>
      </c>
      <c r="S1589" t="s">
        <v>263</v>
      </c>
      <c r="U1589" s="1" t="str">
        <f t="shared" si="147"/>
        <v>Boras</v>
      </c>
      <c r="V1589" t="s">
        <v>264</v>
      </c>
      <c r="X1589" t="s">
        <v>265</v>
      </c>
      <c r="Y1589" s="1" t="str">
        <f t="shared" si="148"/>
        <v>SWEDEN</v>
      </c>
      <c r="Z1589" s="4" t="str">
        <f t="shared" si="149"/>
        <v>Sweden</v>
      </c>
      <c r="AA1589" t="s">
        <v>188</v>
      </c>
      <c r="AB1589" t="s">
        <v>42</v>
      </c>
      <c r="AC1589" t="s">
        <v>266</v>
      </c>
      <c r="AD1589" t="s">
        <v>206</v>
      </c>
      <c r="AE1589" t="s">
        <v>51</v>
      </c>
    </row>
    <row r="1590" spans="1:31" x14ac:dyDescent="0.3">
      <c r="A1590">
        <v>10402</v>
      </c>
      <c r="B1590">
        <v>59</v>
      </c>
      <c r="C1590">
        <v>87.6</v>
      </c>
      <c r="D1590">
        <v>3</v>
      </c>
      <c r="E1590" s="4" t="str">
        <f t="shared" si="144"/>
        <v>high sales</v>
      </c>
      <c r="F1590">
        <v>5168.3999999999996</v>
      </c>
      <c r="G1590" t="s">
        <v>2262</v>
      </c>
      <c r="H1590" s="1" t="str">
        <f t="shared" si="145"/>
        <v>Shipped</v>
      </c>
      <c r="I1590" s="4" t="str">
        <f t="shared" si="146"/>
        <v>completed</v>
      </c>
      <c r="J1590" t="s">
        <v>25</v>
      </c>
      <c r="K1590">
        <v>2</v>
      </c>
      <c r="L1590">
        <v>4</v>
      </c>
      <c r="M1590">
        <v>2005</v>
      </c>
      <c r="N1590" t="s">
        <v>26</v>
      </c>
      <c r="O1590">
        <v>76</v>
      </c>
      <c r="P1590" t="s">
        <v>626</v>
      </c>
      <c r="Q1590" t="s">
        <v>84</v>
      </c>
      <c r="R1590" t="s">
        <v>85</v>
      </c>
      <c r="S1590" t="s">
        <v>86</v>
      </c>
      <c r="U1590" s="1" t="str">
        <f t="shared" si="147"/>
        <v>Paris</v>
      </c>
      <c r="V1590" t="s">
        <v>48</v>
      </c>
      <c r="X1590">
        <v>75016</v>
      </c>
      <c r="Y1590" s="1" t="str">
        <f t="shared" si="148"/>
        <v>FRANCE</v>
      </c>
      <c r="Z1590" s="4" t="str">
        <f t="shared" si="149"/>
        <v>France</v>
      </c>
      <c r="AA1590" t="s">
        <v>41</v>
      </c>
      <c r="AB1590" t="s">
        <v>42</v>
      </c>
      <c r="AC1590" t="s">
        <v>87</v>
      </c>
      <c r="AD1590" t="s">
        <v>88</v>
      </c>
      <c r="AE1590" t="s">
        <v>51</v>
      </c>
    </row>
    <row r="1591" spans="1:31" x14ac:dyDescent="0.3">
      <c r="A1591">
        <v>10416</v>
      </c>
      <c r="B1591">
        <v>32</v>
      </c>
      <c r="C1591">
        <v>87.6</v>
      </c>
      <c r="D1591">
        <v>1</v>
      </c>
      <c r="E1591" s="4" t="str">
        <f t="shared" si="144"/>
        <v>low sales</v>
      </c>
      <c r="F1591">
        <v>2803.2</v>
      </c>
      <c r="G1591" t="s">
        <v>2263</v>
      </c>
      <c r="H1591" s="1" t="str">
        <f t="shared" si="145"/>
        <v>Shipped</v>
      </c>
      <c r="I1591" s="4" t="str">
        <f t="shared" si="146"/>
        <v>completed</v>
      </c>
      <c r="J1591" t="s">
        <v>25</v>
      </c>
      <c r="K1591">
        <v>2</v>
      </c>
      <c r="L1591">
        <v>5</v>
      </c>
      <c r="M1591">
        <v>2005</v>
      </c>
      <c r="N1591" t="s">
        <v>26</v>
      </c>
      <c r="O1591">
        <v>76</v>
      </c>
      <c r="P1591" t="s">
        <v>626</v>
      </c>
      <c r="Q1591" t="s">
        <v>452</v>
      </c>
      <c r="R1591" t="s">
        <v>453</v>
      </c>
      <c r="S1591" t="s">
        <v>454</v>
      </c>
      <c r="U1591" s="1" t="str">
        <f t="shared" si="147"/>
        <v>Reggio Emilia</v>
      </c>
      <c r="V1591" t="s">
        <v>455</v>
      </c>
      <c r="X1591">
        <v>42100</v>
      </c>
      <c r="Y1591" s="1" t="str">
        <f t="shared" si="148"/>
        <v>ITALY</v>
      </c>
      <c r="Z1591" s="4" t="str">
        <f t="shared" si="149"/>
        <v>Italy</v>
      </c>
      <c r="AA1591" t="s">
        <v>258</v>
      </c>
      <c r="AB1591" t="s">
        <v>42</v>
      </c>
      <c r="AC1591" t="s">
        <v>456</v>
      </c>
      <c r="AD1591" t="s">
        <v>457</v>
      </c>
      <c r="AE1591" t="s">
        <v>36</v>
      </c>
    </row>
    <row r="1592" spans="1:31" x14ac:dyDescent="0.3">
      <c r="A1592">
        <v>10105</v>
      </c>
      <c r="B1592">
        <v>43</v>
      </c>
      <c r="C1592">
        <v>100</v>
      </c>
      <c r="D1592">
        <v>9</v>
      </c>
      <c r="E1592" s="4" t="str">
        <f t="shared" si="144"/>
        <v>high sales</v>
      </c>
      <c r="F1592">
        <v>6341.21</v>
      </c>
      <c r="G1592" t="s">
        <v>2264</v>
      </c>
      <c r="H1592" s="1" t="str">
        <f t="shared" si="145"/>
        <v>Shipped</v>
      </c>
      <c r="I1592" s="4" t="str">
        <f t="shared" si="146"/>
        <v>completed</v>
      </c>
      <c r="J1592" t="s">
        <v>25</v>
      </c>
      <c r="K1592">
        <v>1</v>
      </c>
      <c r="L1592">
        <v>2</v>
      </c>
      <c r="M1592">
        <v>2003</v>
      </c>
      <c r="N1592" t="s">
        <v>598</v>
      </c>
      <c r="O1592">
        <v>122</v>
      </c>
      <c r="P1592" t="s">
        <v>627</v>
      </c>
      <c r="Q1592" t="s">
        <v>322</v>
      </c>
      <c r="R1592" t="s">
        <v>323</v>
      </c>
      <c r="S1592" t="s">
        <v>324</v>
      </c>
      <c r="U1592" s="1" t="str">
        <f t="shared" si="147"/>
        <v>Kobenhavn</v>
      </c>
      <c r="V1592" t="s">
        <v>325</v>
      </c>
      <c r="X1592">
        <v>1734</v>
      </c>
      <c r="Y1592" s="1" t="str">
        <f t="shared" si="148"/>
        <v>DENMARK</v>
      </c>
      <c r="Z1592" s="4" t="str">
        <f t="shared" si="149"/>
        <v>Denmark</v>
      </c>
      <c r="AA1592" t="s">
        <v>326</v>
      </c>
      <c r="AB1592" t="s">
        <v>42</v>
      </c>
      <c r="AC1592" t="s">
        <v>327</v>
      </c>
      <c r="AD1592" t="s">
        <v>328</v>
      </c>
      <c r="AE1592" t="s">
        <v>51</v>
      </c>
    </row>
    <row r="1593" spans="1:31" x14ac:dyDescent="0.3">
      <c r="A1593">
        <v>10117</v>
      </c>
      <c r="B1593">
        <v>41</v>
      </c>
      <c r="C1593">
        <v>100</v>
      </c>
      <c r="D1593">
        <v>3</v>
      </c>
      <c r="E1593" s="4" t="str">
        <f t="shared" si="144"/>
        <v>high sales</v>
      </c>
      <c r="F1593">
        <v>5189.78</v>
      </c>
      <c r="G1593" t="s">
        <v>2265</v>
      </c>
      <c r="H1593" s="1" t="str">
        <f t="shared" si="145"/>
        <v>Shipped</v>
      </c>
      <c r="I1593" s="4" t="str">
        <f t="shared" si="146"/>
        <v>completed</v>
      </c>
      <c r="J1593" t="s">
        <v>25</v>
      </c>
      <c r="K1593">
        <v>2</v>
      </c>
      <c r="L1593">
        <v>4</v>
      </c>
      <c r="M1593">
        <v>2003</v>
      </c>
      <c r="N1593" t="s">
        <v>598</v>
      </c>
      <c r="O1593">
        <v>122</v>
      </c>
      <c r="P1593" t="s">
        <v>627</v>
      </c>
      <c r="Q1593" t="s">
        <v>196</v>
      </c>
      <c r="R1593" t="s">
        <v>197</v>
      </c>
      <c r="S1593" t="s">
        <v>198</v>
      </c>
      <c r="U1593" s="1" t="str">
        <f t="shared" si="147"/>
        <v>Singapore</v>
      </c>
      <c r="V1593" t="s">
        <v>199</v>
      </c>
      <c r="X1593">
        <v>79903</v>
      </c>
      <c r="Y1593" s="1" t="str">
        <f t="shared" si="148"/>
        <v>SINGAPORE</v>
      </c>
      <c r="Z1593" s="4" t="str">
        <f t="shared" si="149"/>
        <v>Singapore</v>
      </c>
      <c r="AA1593" t="s">
        <v>199</v>
      </c>
      <c r="AB1593" t="s">
        <v>200</v>
      </c>
      <c r="AC1593" t="s">
        <v>201</v>
      </c>
      <c r="AD1593" t="s">
        <v>202</v>
      </c>
      <c r="AE1593" t="s">
        <v>51</v>
      </c>
    </row>
    <row r="1594" spans="1:31" x14ac:dyDescent="0.3">
      <c r="A1594">
        <v>10129</v>
      </c>
      <c r="B1594">
        <v>45</v>
      </c>
      <c r="C1594">
        <v>100</v>
      </c>
      <c r="D1594">
        <v>9</v>
      </c>
      <c r="E1594" s="4" t="str">
        <f t="shared" si="144"/>
        <v>high sales</v>
      </c>
      <c r="F1594">
        <v>6027.75</v>
      </c>
      <c r="G1594" t="s">
        <v>2266</v>
      </c>
      <c r="H1594" s="1" t="str">
        <f t="shared" si="145"/>
        <v>Shipped</v>
      </c>
      <c r="I1594" s="4" t="str">
        <f t="shared" si="146"/>
        <v>completed</v>
      </c>
      <c r="J1594" t="s">
        <v>25</v>
      </c>
      <c r="K1594">
        <v>2</v>
      </c>
      <c r="L1594">
        <v>6</v>
      </c>
      <c r="M1594">
        <v>2003</v>
      </c>
      <c r="N1594" t="s">
        <v>598</v>
      </c>
      <c r="O1594">
        <v>122</v>
      </c>
      <c r="P1594" t="s">
        <v>627</v>
      </c>
      <c r="Q1594" t="s">
        <v>329</v>
      </c>
      <c r="R1594" t="s">
        <v>330</v>
      </c>
      <c r="S1594" t="s">
        <v>331</v>
      </c>
      <c r="U1594" s="1" t="str">
        <f t="shared" si="147"/>
        <v>London</v>
      </c>
      <c r="V1594" t="s">
        <v>332</v>
      </c>
      <c r="X1594" t="s">
        <v>333</v>
      </c>
      <c r="Y1594" s="1" t="str">
        <f t="shared" si="148"/>
        <v>UK</v>
      </c>
      <c r="Z1594" s="4" t="str">
        <f t="shared" si="149"/>
        <v>Uk</v>
      </c>
      <c r="AA1594" t="s">
        <v>170</v>
      </c>
      <c r="AB1594" t="s">
        <v>42</v>
      </c>
      <c r="AC1594" t="s">
        <v>61</v>
      </c>
      <c r="AD1594" t="s">
        <v>334</v>
      </c>
      <c r="AE1594" t="s">
        <v>51</v>
      </c>
    </row>
    <row r="1595" spans="1:31" x14ac:dyDescent="0.3">
      <c r="A1595">
        <v>10142</v>
      </c>
      <c r="B1595">
        <v>33</v>
      </c>
      <c r="C1595">
        <v>100</v>
      </c>
      <c r="D1595">
        <v>6</v>
      </c>
      <c r="E1595" s="4" t="str">
        <f t="shared" si="144"/>
        <v>low sales</v>
      </c>
      <c r="F1595">
        <v>3366</v>
      </c>
      <c r="G1595" t="s">
        <v>2267</v>
      </c>
      <c r="H1595" s="1" t="str">
        <f t="shared" si="145"/>
        <v>Shipped</v>
      </c>
      <c r="I1595" s="4" t="str">
        <f t="shared" si="146"/>
        <v>completed</v>
      </c>
      <c r="J1595" t="s">
        <v>25</v>
      </c>
      <c r="K1595">
        <v>3</v>
      </c>
      <c r="L1595">
        <v>8</v>
      </c>
      <c r="M1595">
        <v>2003</v>
      </c>
      <c r="N1595" t="s">
        <v>598</v>
      </c>
      <c r="O1595">
        <v>122</v>
      </c>
      <c r="P1595" t="s">
        <v>627</v>
      </c>
      <c r="Q1595" t="s">
        <v>272</v>
      </c>
      <c r="R1595">
        <v>4155551450</v>
      </c>
      <c r="S1595" t="s">
        <v>273</v>
      </c>
      <c r="U1595" s="1" t="str">
        <f t="shared" si="147"/>
        <v>San Rafael</v>
      </c>
      <c r="V1595" t="s">
        <v>274</v>
      </c>
      <c r="W1595" t="s">
        <v>55</v>
      </c>
      <c r="X1595">
        <v>97562</v>
      </c>
      <c r="Y1595" s="1" t="str">
        <f t="shared" si="148"/>
        <v>USA</v>
      </c>
      <c r="Z1595" s="4" t="str">
        <f t="shared" si="149"/>
        <v>Usa</v>
      </c>
      <c r="AA1595" t="s">
        <v>32</v>
      </c>
      <c r="AB1595" t="s">
        <v>33</v>
      </c>
      <c r="AC1595" t="s">
        <v>275</v>
      </c>
      <c r="AD1595" t="s">
        <v>276</v>
      </c>
      <c r="AE1595" t="s">
        <v>51</v>
      </c>
    </row>
    <row r="1596" spans="1:31" x14ac:dyDescent="0.3">
      <c r="A1596">
        <v>10153</v>
      </c>
      <c r="B1596">
        <v>40</v>
      </c>
      <c r="C1596">
        <v>100</v>
      </c>
      <c r="D1596">
        <v>5</v>
      </c>
      <c r="E1596" s="4" t="str">
        <f t="shared" si="144"/>
        <v>high sales</v>
      </c>
      <c r="F1596">
        <v>5456.4</v>
      </c>
      <c r="G1596" t="s">
        <v>2268</v>
      </c>
      <c r="H1596" s="1" t="str">
        <f t="shared" si="145"/>
        <v>Shipped</v>
      </c>
      <c r="I1596" s="4" t="str">
        <f t="shared" si="146"/>
        <v>completed</v>
      </c>
      <c r="J1596" t="s">
        <v>25</v>
      </c>
      <c r="K1596">
        <v>3</v>
      </c>
      <c r="L1596">
        <v>9</v>
      </c>
      <c r="M1596">
        <v>2003</v>
      </c>
      <c r="N1596" t="s">
        <v>598</v>
      </c>
      <c r="O1596">
        <v>122</v>
      </c>
      <c r="P1596" t="s">
        <v>627</v>
      </c>
      <c r="Q1596" t="s">
        <v>174</v>
      </c>
      <c r="R1596" t="s">
        <v>175</v>
      </c>
      <c r="S1596" t="s">
        <v>176</v>
      </c>
      <c r="U1596" s="1" t="str">
        <f t="shared" si="147"/>
        <v>Madrid</v>
      </c>
      <c r="V1596" t="s">
        <v>177</v>
      </c>
      <c r="X1596">
        <v>28034</v>
      </c>
      <c r="Y1596" s="1" t="str">
        <f t="shared" si="148"/>
        <v>SPAIN</v>
      </c>
      <c r="Z1596" s="4" t="str">
        <f t="shared" si="149"/>
        <v>Spain</v>
      </c>
      <c r="AA1596" t="s">
        <v>178</v>
      </c>
      <c r="AB1596" t="s">
        <v>42</v>
      </c>
      <c r="AC1596" t="s">
        <v>179</v>
      </c>
      <c r="AD1596" t="s">
        <v>180</v>
      </c>
      <c r="AE1596" t="s">
        <v>51</v>
      </c>
    </row>
    <row r="1597" spans="1:31" x14ac:dyDescent="0.3">
      <c r="A1597">
        <v>10167</v>
      </c>
      <c r="B1597">
        <v>33</v>
      </c>
      <c r="C1597">
        <v>100</v>
      </c>
      <c r="D1597">
        <v>16</v>
      </c>
      <c r="E1597" s="4" t="str">
        <f t="shared" si="144"/>
        <v>low sales</v>
      </c>
      <c r="F1597">
        <v>3812.16</v>
      </c>
      <c r="G1597" t="s">
        <v>2269</v>
      </c>
      <c r="H1597" s="1" t="str">
        <f t="shared" si="145"/>
        <v>Cancelled</v>
      </c>
      <c r="I1597" s="4" t="str">
        <f t="shared" si="146"/>
        <v>not completed</v>
      </c>
      <c r="J1597" t="s">
        <v>339</v>
      </c>
      <c r="K1597">
        <v>4</v>
      </c>
      <c r="L1597">
        <v>10</v>
      </c>
      <c r="M1597">
        <v>2003</v>
      </c>
      <c r="N1597" t="s">
        <v>598</v>
      </c>
      <c r="O1597">
        <v>122</v>
      </c>
      <c r="P1597" t="s">
        <v>627</v>
      </c>
      <c r="Q1597" t="s">
        <v>261</v>
      </c>
      <c r="R1597" t="s">
        <v>262</v>
      </c>
      <c r="S1597" t="s">
        <v>263</v>
      </c>
      <c r="U1597" s="1" t="str">
        <f t="shared" si="147"/>
        <v>Boras</v>
      </c>
      <c r="V1597" t="s">
        <v>264</v>
      </c>
      <c r="X1597" t="s">
        <v>265</v>
      </c>
      <c r="Y1597" s="1" t="str">
        <f t="shared" si="148"/>
        <v>SWEDEN</v>
      </c>
      <c r="Z1597" s="4" t="str">
        <f t="shared" si="149"/>
        <v>Sweden</v>
      </c>
      <c r="AA1597" t="s">
        <v>188</v>
      </c>
      <c r="AB1597" t="s">
        <v>42</v>
      </c>
      <c r="AC1597" t="s">
        <v>266</v>
      </c>
      <c r="AD1597" t="s">
        <v>206</v>
      </c>
      <c r="AE1597" t="s">
        <v>51</v>
      </c>
    </row>
    <row r="1598" spans="1:31" x14ac:dyDescent="0.3">
      <c r="A1598">
        <v>10177</v>
      </c>
      <c r="B1598">
        <v>50</v>
      </c>
      <c r="C1598">
        <v>100</v>
      </c>
      <c r="D1598">
        <v>7</v>
      </c>
      <c r="E1598" s="4" t="str">
        <f t="shared" si="144"/>
        <v>high sales</v>
      </c>
      <c r="F1598">
        <v>6083</v>
      </c>
      <c r="G1598" t="s">
        <v>2270</v>
      </c>
      <c r="H1598" s="1" t="str">
        <f t="shared" si="145"/>
        <v>Shipped</v>
      </c>
      <c r="I1598" s="4" t="str">
        <f t="shared" si="146"/>
        <v>completed</v>
      </c>
      <c r="J1598" t="s">
        <v>25</v>
      </c>
      <c r="K1598">
        <v>4</v>
      </c>
      <c r="L1598">
        <v>11</v>
      </c>
      <c r="M1598">
        <v>2003</v>
      </c>
      <c r="N1598" t="s">
        <v>598</v>
      </c>
      <c r="O1598">
        <v>122</v>
      </c>
      <c r="P1598" t="s">
        <v>627</v>
      </c>
      <c r="Q1598" t="s">
        <v>487</v>
      </c>
      <c r="R1598" t="s">
        <v>488</v>
      </c>
      <c r="S1598" t="s">
        <v>489</v>
      </c>
      <c r="U1598" s="1" t="str">
        <f t="shared" si="147"/>
        <v>Madrid</v>
      </c>
      <c r="V1598" t="s">
        <v>177</v>
      </c>
      <c r="X1598">
        <v>28023</v>
      </c>
      <c r="Y1598" s="1" t="str">
        <f t="shared" si="148"/>
        <v>SPAIN</v>
      </c>
      <c r="Z1598" s="4" t="str">
        <f t="shared" si="149"/>
        <v>Spain</v>
      </c>
      <c r="AA1598" t="s">
        <v>178</v>
      </c>
      <c r="AB1598" t="s">
        <v>42</v>
      </c>
      <c r="AC1598" t="s">
        <v>490</v>
      </c>
      <c r="AD1598" t="s">
        <v>491</v>
      </c>
      <c r="AE1598" t="s">
        <v>51</v>
      </c>
    </row>
    <row r="1599" spans="1:31" x14ac:dyDescent="0.3">
      <c r="A1599">
        <v>10185</v>
      </c>
      <c r="B1599">
        <v>30</v>
      </c>
      <c r="C1599">
        <v>100</v>
      </c>
      <c r="D1599">
        <v>7</v>
      </c>
      <c r="E1599" s="4" t="str">
        <f t="shared" si="144"/>
        <v>low sales</v>
      </c>
      <c r="F1599">
        <v>3170.7</v>
      </c>
      <c r="G1599" t="s">
        <v>2271</v>
      </c>
      <c r="H1599" s="1" t="str">
        <f t="shared" si="145"/>
        <v>Shipped</v>
      </c>
      <c r="I1599" s="4" t="str">
        <f t="shared" si="146"/>
        <v>completed</v>
      </c>
      <c r="J1599" t="s">
        <v>25</v>
      </c>
      <c r="K1599">
        <v>4</v>
      </c>
      <c r="L1599">
        <v>11</v>
      </c>
      <c r="M1599">
        <v>2003</v>
      </c>
      <c r="N1599" t="s">
        <v>598</v>
      </c>
      <c r="O1599">
        <v>122</v>
      </c>
      <c r="P1599" t="s">
        <v>627</v>
      </c>
      <c r="Q1599" t="s">
        <v>335</v>
      </c>
      <c r="R1599">
        <v>5085559555</v>
      </c>
      <c r="S1599" t="s">
        <v>336</v>
      </c>
      <c r="U1599" s="1" t="str">
        <f t="shared" si="147"/>
        <v>New Bedford</v>
      </c>
      <c r="V1599" t="s">
        <v>162</v>
      </c>
      <c r="W1599" t="s">
        <v>123</v>
      </c>
      <c r="X1599">
        <v>50553</v>
      </c>
      <c r="Y1599" s="1" t="str">
        <f t="shared" si="148"/>
        <v>USA</v>
      </c>
      <c r="Z1599" s="4" t="str">
        <f t="shared" si="149"/>
        <v>Usa</v>
      </c>
      <c r="AA1599" t="s">
        <v>32</v>
      </c>
      <c r="AB1599" t="s">
        <v>33</v>
      </c>
      <c r="AC1599" t="s">
        <v>337</v>
      </c>
      <c r="AD1599" t="s">
        <v>338</v>
      </c>
      <c r="AE1599" t="s">
        <v>51</v>
      </c>
    </row>
    <row r="1600" spans="1:31" x14ac:dyDescent="0.3">
      <c r="A1600">
        <v>10197</v>
      </c>
      <c r="B1600">
        <v>41</v>
      </c>
      <c r="C1600">
        <v>100</v>
      </c>
      <c r="D1600">
        <v>13</v>
      </c>
      <c r="E1600" s="4" t="str">
        <f t="shared" si="144"/>
        <v>high sales</v>
      </c>
      <c r="F1600">
        <v>4534.6000000000004</v>
      </c>
      <c r="G1600" t="s">
        <v>2272</v>
      </c>
      <c r="H1600" s="1" t="str">
        <f t="shared" si="145"/>
        <v>Shipped</v>
      </c>
      <c r="I1600" s="4" t="str">
        <f t="shared" si="146"/>
        <v>completed</v>
      </c>
      <c r="J1600" t="s">
        <v>25</v>
      </c>
      <c r="K1600">
        <v>4</v>
      </c>
      <c r="L1600">
        <v>11</v>
      </c>
      <c r="M1600">
        <v>2003</v>
      </c>
      <c r="N1600" t="s">
        <v>598</v>
      </c>
      <c r="O1600">
        <v>122</v>
      </c>
      <c r="P1600" t="s">
        <v>627</v>
      </c>
      <c r="Q1600" t="s">
        <v>352</v>
      </c>
      <c r="R1600" t="s">
        <v>353</v>
      </c>
      <c r="S1600" t="s">
        <v>354</v>
      </c>
      <c r="U1600" s="1" t="str">
        <f t="shared" si="147"/>
        <v>Barcelona</v>
      </c>
      <c r="V1600" t="s">
        <v>355</v>
      </c>
      <c r="X1600">
        <v>8022</v>
      </c>
      <c r="Y1600" s="1" t="str">
        <f t="shared" si="148"/>
        <v>SPAIN</v>
      </c>
      <c r="Z1600" s="4" t="str">
        <f t="shared" si="149"/>
        <v>Spain</v>
      </c>
      <c r="AA1600" t="s">
        <v>178</v>
      </c>
      <c r="AB1600" t="s">
        <v>42</v>
      </c>
      <c r="AC1600" t="s">
        <v>356</v>
      </c>
      <c r="AD1600" t="s">
        <v>357</v>
      </c>
      <c r="AE1600" t="s">
        <v>51</v>
      </c>
    </row>
    <row r="1601" spans="1:31" x14ac:dyDescent="0.3">
      <c r="A1601">
        <v>10208</v>
      </c>
      <c r="B1601">
        <v>35</v>
      </c>
      <c r="C1601">
        <v>100</v>
      </c>
      <c r="D1601">
        <v>7</v>
      </c>
      <c r="E1601" s="4" t="str">
        <f t="shared" si="144"/>
        <v>high sales</v>
      </c>
      <c r="F1601">
        <v>4301.1499999999996</v>
      </c>
      <c r="G1601" t="s">
        <v>2273</v>
      </c>
      <c r="H1601" s="1" t="str">
        <f t="shared" si="145"/>
        <v>Shipped</v>
      </c>
      <c r="I1601" s="4" t="str">
        <f t="shared" si="146"/>
        <v>completed</v>
      </c>
      <c r="J1601" t="s">
        <v>25</v>
      </c>
      <c r="K1601">
        <v>1</v>
      </c>
      <c r="L1601">
        <v>1</v>
      </c>
      <c r="M1601">
        <v>2004</v>
      </c>
      <c r="N1601" t="s">
        <v>598</v>
      </c>
      <c r="O1601">
        <v>122</v>
      </c>
      <c r="P1601" t="s">
        <v>627</v>
      </c>
      <c r="Q1601" t="s">
        <v>219</v>
      </c>
      <c r="R1601" t="s">
        <v>220</v>
      </c>
      <c r="S1601" t="s">
        <v>221</v>
      </c>
      <c r="U1601" s="1" t="str">
        <f t="shared" si="147"/>
        <v>Lyon</v>
      </c>
      <c r="V1601" t="s">
        <v>222</v>
      </c>
      <c r="X1601">
        <v>69004</v>
      </c>
      <c r="Y1601" s="1" t="str">
        <f t="shared" si="148"/>
        <v>FRANCE</v>
      </c>
      <c r="Z1601" s="4" t="str">
        <f t="shared" si="149"/>
        <v>France</v>
      </c>
      <c r="AA1601" t="s">
        <v>41</v>
      </c>
      <c r="AB1601" t="s">
        <v>42</v>
      </c>
      <c r="AC1601" t="s">
        <v>223</v>
      </c>
      <c r="AD1601" t="s">
        <v>224</v>
      </c>
      <c r="AE1601" t="s">
        <v>51</v>
      </c>
    </row>
    <row r="1602" spans="1:31" x14ac:dyDescent="0.3">
      <c r="A1602">
        <v>10221</v>
      </c>
      <c r="B1602">
        <v>49</v>
      </c>
      <c r="C1602">
        <v>100</v>
      </c>
      <c r="D1602">
        <v>1</v>
      </c>
      <c r="E1602" s="4" t="str">
        <f t="shared" si="144"/>
        <v>high sales</v>
      </c>
      <c r="F1602">
        <v>6804.63</v>
      </c>
      <c r="G1602" t="s">
        <v>2274</v>
      </c>
      <c r="H1602" s="1" t="str">
        <f t="shared" si="145"/>
        <v>Shipped</v>
      </c>
      <c r="I1602" s="4" t="str">
        <f t="shared" si="146"/>
        <v>completed</v>
      </c>
      <c r="J1602" t="s">
        <v>25</v>
      </c>
      <c r="K1602">
        <v>1</v>
      </c>
      <c r="L1602">
        <v>2</v>
      </c>
      <c r="M1602">
        <v>2004</v>
      </c>
      <c r="N1602" t="s">
        <v>598</v>
      </c>
      <c r="O1602">
        <v>122</v>
      </c>
      <c r="P1602" t="s">
        <v>627</v>
      </c>
      <c r="Q1602" t="s">
        <v>365</v>
      </c>
      <c r="R1602" t="s">
        <v>366</v>
      </c>
      <c r="S1602" t="s">
        <v>367</v>
      </c>
      <c r="U1602" s="1" t="str">
        <f t="shared" si="147"/>
        <v>Bruxelles</v>
      </c>
      <c r="V1602" t="s">
        <v>368</v>
      </c>
      <c r="X1602" t="s">
        <v>369</v>
      </c>
      <c r="Y1602" s="1" t="str">
        <f t="shared" si="148"/>
        <v>BELGIUM</v>
      </c>
      <c r="Z1602" s="4" t="str">
        <f t="shared" si="149"/>
        <v>Belgium</v>
      </c>
      <c r="AA1602" t="s">
        <v>370</v>
      </c>
      <c r="AB1602" t="s">
        <v>42</v>
      </c>
      <c r="AC1602" t="s">
        <v>371</v>
      </c>
      <c r="AD1602" t="s">
        <v>372</v>
      </c>
      <c r="AE1602" t="s">
        <v>51</v>
      </c>
    </row>
    <row r="1603" spans="1:31" x14ac:dyDescent="0.3">
      <c r="A1603">
        <v>10232</v>
      </c>
      <c r="B1603">
        <v>46</v>
      </c>
      <c r="C1603">
        <v>100</v>
      </c>
      <c r="D1603">
        <v>4</v>
      </c>
      <c r="E1603" s="4" t="str">
        <f t="shared" ref="E1603:E1666" si="150">IF(F1603&gt;4000,"high sales","low sales")</f>
        <v>high sales</v>
      </c>
      <c r="F1603">
        <v>5652.94</v>
      </c>
      <c r="G1603" t="s">
        <v>2275</v>
      </c>
      <c r="H1603" s="1" t="str">
        <f t="shared" ref="H1603:H1666" si="151">PROPER(TRIM(J1603))</f>
        <v>Shipped</v>
      </c>
      <c r="I1603" s="4" t="str">
        <f t="shared" ref="I1603:I1666" si="152">IF(J1603="shipped","completed","not completed")</f>
        <v>completed</v>
      </c>
      <c r="J1603" t="s">
        <v>25</v>
      </c>
      <c r="K1603">
        <v>1</v>
      </c>
      <c r="L1603">
        <v>3</v>
      </c>
      <c r="M1603">
        <v>2004</v>
      </c>
      <c r="N1603" t="s">
        <v>598</v>
      </c>
      <c r="O1603">
        <v>122</v>
      </c>
      <c r="P1603" t="s">
        <v>627</v>
      </c>
      <c r="Q1603" t="s">
        <v>383</v>
      </c>
      <c r="R1603" t="s">
        <v>384</v>
      </c>
      <c r="S1603" t="s">
        <v>385</v>
      </c>
      <c r="U1603" s="1" t="str">
        <f t="shared" ref="U1603:U1666" si="153">PROPER(TRIM(V1603))</f>
        <v>Cowes</v>
      </c>
      <c r="V1603" t="s">
        <v>386</v>
      </c>
      <c r="W1603" t="s">
        <v>387</v>
      </c>
      <c r="X1603" t="s">
        <v>388</v>
      </c>
      <c r="Y1603" s="1" t="str">
        <f t="shared" ref="Y1603:Y1666" si="154">UPPER(TRIM(AA1603))</f>
        <v>UK</v>
      </c>
      <c r="Z1603" s="4" t="str">
        <f t="shared" ref="Z1603:Z1666" si="155">PROPER(TRIM(AA1603))</f>
        <v>Uk</v>
      </c>
      <c r="AA1603" t="s">
        <v>170</v>
      </c>
      <c r="AB1603" t="s">
        <v>42</v>
      </c>
      <c r="AC1603" t="s">
        <v>389</v>
      </c>
      <c r="AD1603" t="s">
        <v>390</v>
      </c>
      <c r="AE1603" t="s">
        <v>51</v>
      </c>
    </row>
    <row r="1604" spans="1:31" x14ac:dyDescent="0.3">
      <c r="A1604">
        <v>10248</v>
      </c>
      <c r="B1604">
        <v>48</v>
      </c>
      <c r="C1604">
        <v>100</v>
      </c>
      <c r="D1604">
        <v>10</v>
      </c>
      <c r="E1604" s="4" t="str">
        <f t="shared" si="150"/>
        <v>high sales</v>
      </c>
      <c r="F1604">
        <v>6960.48</v>
      </c>
      <c r="G1604" t="s">
        <v>2276</v>
      </c>
      <c r="H1604" s="1" t="str">
        <f t="shared" si="151"/>
        <v>Cancelled</v>
      </c>
      <c r="I1604" s="4" t="str">
        <f t="shared" si="152"/>
        <v>not completed</v>
      </c>
      <c r="J1604" t="s">
        <v>339</v>
      </c>
      <c r="K1604">
        <v>2</v>
      </c>
      <c r="L1604">
        <v>5</v>
      </c>
      <c r="M1604">
        <v>2004</v>
      </c>
      <c r="N1604" t="s">
        <v>598</v>
      </c>
      <c r="O1604">
        <v>122</v>
      </c>
      <c r="P1604" t="s">
        <v>627</v>
      </c>
      <c r="Q1604" t="s">
        <v>28</v>
      </c>
      <c r="R1604">
        <v>2125557818</v>
      </c>
      <c r="S1604" t="s">
        <v>29</v>
      </c>
      <c r="U1604" s="1" t="str">
        <f t="shared" si="153"/>
        <v>Nyc</v>
      </c>
      <c r="V1604" t="s">
        <v>30</v>
      </c>
      <c r="W1604" t="s">
        <v>31</v>
      </c>
      <c r="X1604">
        <v>10022</v>
      </c>
      <c r="Y1604" s="1" t="str">
        <f t="shared" si="154"/>
        <v>USA</v>
      </c>
      <c r="Z1604" s="4" t="str">
        <f t="shared" si="155"/>
        <v>Usa</v>
      </c>
      <c r="AA1604" t="s">
        <v>32</v>
      </c>
      <c r="AB1604" t="s">
        <v>33</v>
      </c>
      <c r="AC1604" t="s">
        <v>34</v>
      </c>
      <c r="AD1604" t="s">
        <v>35</v>
      </c>
      <c r="AE1604" t="s">
        <v>51</v>
      </c>
    </row>
    <row r="1605" spans="1:31" x14ac:dyDescent="0.3">
      <c r="A1605">
        <v>10261</v>
      </c>
      <c r="B1605">
        <v>36</v>
      </c>
      <c r="C1605">
        <v>100</v>
      </c>
      <c r="D1605">
        <v>8</v>
      </c>
      <c r="E1605" s="4" t="str">
        <f t="shared" si="150"/>
        <v>high sales</v>
      </c>
      <c r="F1605">
        <v>4512.6000000000004</v>
      </c>
      <c r="G1605" t="s">
        <v>2277</v>
      </c>
      <c r="H1605" s="1" t="str">
        <f t="shared" si="151"/>
        <v>Shipped</v>
      </c>
      <c r="I1605" s="4" t="str">
        <f t="shared" si="152"/>
        <v>completed</v>
      </c>
      <c r="J1605" t="s">
        <v>25</v>
      </c>
      <c r="K1605">
        <v>2</v>
      </c>
      <c r="L1605">
        <v>6</v>
      </c>
      <c r="M1605">
        <v>2004</v>
      </c>
      <c r="N1605" t="s">
        <v>598</v>
      </c>
      <c r="O1605">
        <v>122</v>
      </c>
      <c r="P1605" t="s">
        <v>627</v>
      </c>
      <c r="Q1605" t="s">
        <v>292</v>
      </c>
      <c r="R1605" t="s">
        <v>293</v>
      </c>
      <c r="S1605" t="s">
        <v>294</v>
      </c>
      <c r="U1605" s="1" t="str">
        <f t="shared" si="153"/>
        <v>Montreal</v>
      </c>
      <c r="V1605" t="s">
        <v>295</v>
      </c>
      <c r="W1605" t="s">
        <v>296</v>
      </c>
      <c r="X1605" t="s">
        <v>297</v>
      </c>
      <c r="Y1605" s="1" t="str">
        <f t="shared" si="154"/>
        <v>CANADA</v>
      </c>
      <c r="Z1605" s="4" t="str">
        <f t="shared" si="155"/>
        <v>Canada</v>
      </c>
      <c r="AA1605" t="s">
        <v>231</v>
      </c>
      <c r="AB1605" t="s">
        <v>33</v>
      </c>
      <c r="AC1605" t="s">
        <v>298</v>
      </c>
      <c r="AD1605" t="s">
        <v>299</v>
      </c>
      <c r="AE1605" t="s">
        <v>51</v>
      </c>
    </row>
    <row r="1606" spans="1:31" x14ac:dyDescent="0.3">
      <c r="A1606">
        <v>10273</v>
      </c>
      <c r="B1606">
        <v>22</v>
      </c>
      <c r="C1606">
        <v>100</v>
      </c>
      <c r="D1606">
        <v>11</v>
      </c>
      <c r="E1606" s="4" t="str">
        <f t="shared" si="150"/>
        <v>low sales</v>
      </c>
      <c r="F1606">
        <v>2784.76</v>
      </c>
      <c r="G1606" t="s">
        <v>2278</v>
      </c>
      <c r="H1606" s="1" t="str">
        <f t="shared" si="151"/>
        <v>Shipped</v>
      </c>
      <c r="I1606" s="4" t="str">
        <f t="shared" si="152"/>
        <v>completed</v>
      </c>
      <c r="J1606" t="s">
        <v>25</v>
      </c>
      <c r="K1606">
        <v>3</v>
      </c>
      <c r="L1606">
        <v>7</v>
      </c>
      <c r="M1606">
        <v>2004</v>
      </c>
      <c r="N1606" t="s">
        <v>598</v>
      </c>
      <c r="O1606">
        <v>122</v>
      </c>
      <c r="P1606" t="s">
        <v>627</v>
      </c>
      <c r="Q1606" t="s">
        <v>365</v>
      </c>
      <c r="R1606" t="s">
        <v>366</v>
      </c>
      <c r="S1606" t="s">
        <v>367</v>
      </c>
      <c r="U1606" s="1" t="str">
        <f t="shared" si="153"/>
        <v>Bruxelles</v>
      </c>
      <c r="V1606" t="s">
        <v>368</v>
      </c>
      <c r="X1606" t="s">
        <v>369</v>
      </c>
      <c r="Y1606" s="1" t="str">
        <f t="shared" si="154"/>
        <v>BELGIUM</v>
      </c>
      <c r="Z1606" s="4" t="str">
        <f t="shared" si="155"/>
        <v>Belgium</v>
      </c>
      <c r="AA1606" t="s">
        <v>370</v>
      </c>
      <c r="AB1606" t="s">
        <v>42</v>
      </c>
      <c r="AC1606" t="s">
        <v>371</v>
      </c>
      <c r="AD1606" t="s">
        <v>372</v>
      </c>
      <c r="AE1606" t="s">
        <v>36</v>
      </c>
    </row>
    <row r="1607" spans="1:31" x14ac:dyDescent="0.3">
      <c r="A1607">
        <v>10283</v>
      </c>
      <c r="B1607">
        <v>42</v>
      </c>
      <c r="C1607">
        <v>100</v>
      </c>
      <c r="D1607">
        <v>13</v>
      </c>
      <c r="E1607" s="4" t="str">
        <f t="shared" si="150"/>
        <v>high sales</v>
      </c>
      <c r="F1607">
        <v>5316.36</v>
      </c>
      <c r="G1607" t="s">
        <v>2279</v>
      </c>
      <c r="H1607" s="1" t="str">
        <f t="shared" si="151"/>
        <v>Shipped</v>
      </c>
      <c r="I1607" s="4" t="str">
        <f t="shared" si="152"/>
        <v>completed</v>
      </c>
      <c r="J1607" t="s">
        <v>25</v>
      </c>
      <c r="K1607">
        <v>3</v>
      </c>
      <c r="L1607">
        <v>8</v>
      </c>
      <c r="M1607">
        <v>2004</v>
      </c>
      <c r="N1607" t="s">
        <v>598</v>
      </c>
      <c r="O1607">
        <v>122</v>
      </c>
      <c r="P1607" t="s">
        <v>627</v>
      </c>
      <c r="Q1607" t="s">
        <v>373</v>
      </c>
      <c r="R1607" t="s">
        <v>374</v>
      </c>
      <c r="S1607" t="s">
        <v>375</v>
      </c>
      <c r="U1607" s="1" t="str">
        <f t="shared" si="153"/>
        <v>Tsawassen</v>
      </c>
      <c r="V1607" t="s">
        <v>376</v>
      </c>
      <c r="W1607" t="s">
        <v>229</v>
      </c>
      <c r="X1607" t="s">
        <v>377</v>
      </c>
      <c r="Y1607" s="1" t="str">
        <f t="shared" si="154"/>
        <v>CANADA</v>
      </c>
      <c r="Z1607" s="4" t="str">
        <f t="shared" si="155"/>
        <v>Canada</v>
      </c>
      <c r="AA1607" t="s">
        <v>231</v>
      </c>
      <c r="AB1607" t="s">
        <v>33</v>
      </c>
      <c r="AC1607" t="s">
        <v>378</v>
      </c>
      <c r="AD1607" t="s">
        <v>172</v>
      </c>
      <c r="AE1607" t="s">
        <v>51</v>
      </c>
    </row>
    <row r="1608" spans="1:31" x14ac:dyDescent="0.3">
      <c r="A1608">
        <v>10293</v>
      </c>
      <c r="B1608">
        <v>21</v>
      </c>
      <c r="C1608">
        <v>100</v>
      </c>
      <c r="D1608">
        <v>2</v>
      </c>
      <c r="E1608" s="4" t="str">
        <f t="shared" si="150"/>
        <v>low sales</v>
      </c>
      <c r="F1608">
        <v>2941.89</v>
      </c>
      <c r="G1608" t="s">
        <v>2280</v>
      </c>
      <c r="H1608" s="1" t="str">
        <f t="shared" si="151"/>
        <v>Shipped</v>
      </c>
      <c r="I1608" s="4" t="str">
        <f t="shared" si="152"/>
        <v>completed</v>
      </c>
      <c r="J1608" t="s">
        <v>25</v>
      </c>
      <c r="K1608">
        <v>3</v>
      </c>
      <c r="L1608">
        <v>9</v>
      </c>
      <c r="M1608">
        <v>2004</v>
      </c>
      <c r="N1608" t="s">
        <v>598</v>
      </c>
      <c r="O1608">
        <v>122</v>
      </c>
      <c r="P1608" t="s">
        <v>627</v>
      </c>
      <c r="Q1608" t="s">
        <v>254</v>
      </c>
      <c r="R1608" t="s">
        <v>255</v>
      </c>
      <c r="S1608" t="s">
        <v>256</v>
      </c>
      <c r="U1608" s="1" t="str">
        <f t="shared" si="153"/>
        <v>Torino</v>
      </c>
      <c r="V1608" t="s">
        <v>257</v>
      </c>
      <c r="X1608">
        <v>10100</v>
      </c>
      <c r="Y1608" s="1" t="str">
        <f t="shared" si="154"/>
        <v>ITALY</v>
      </c>
      <c r="Z1608" s="4" t="str">
        <f t="shared" si="155"/>
        <v>Italy</v>
      </c>
      <c r="AA1608" t="s">
        <v>258</v>
      </c>
      <c r="AB1608" t="s">
        <v>42</v>
      </c>
      <c r="AC1608" t="s">
        <v>259</v>
      </c>
      <c r="AD1608" t="s">
        <v>260</v>
      </c>
      <c r="AE1608" t="s">
        <v>36</v>
      </c>
    </row>
    <row r="1609" spans="1:31" x14ac:dyDescent="0.3">
      <c r="A1609">
        <v>10306</v>
      </c>
      <c r="B1609">
        <v>29</v>
      </c>
      <c r="C1609">
        <v>100</v>
      </c>
      <c r="D1609">
        <v>7</v>
      </c>
      <c r="E1609" s="4" t="str">
        <f t="shared" si="150"/>
        <v>low sales</v>
      </c>
      <c r="F1609">
        <v>3207.4</v>
      </c>
      <c r="G1609" t="s">
        <v>2281</v>
      </c>
      <c r="H1609" s="1" t="str">
        <f t="shared" si="151"/>
        <v>Shipped</v>
      </c>
      <c r="I1609" s="4" t="str">
        <f t="shared" si="152"/>
        <v>completed</v>
      </c>
      <c r="J1609" t="s">
        <v>25</v>
      </c>
      <c r="K1609">
        <v>4</v>
      </c>
      <c r="L1609">
        <v>10</v>
      </c>
      <c r="M1609">
        <v>2004</v>
      </c>
      <c r="N1609" t="s">
        <v>598</v>
      </c>
      <c r="O1609">
        <v>122</v>
      </c>
      <c r="P1609" t="s">
        <v>627</v>
      </c>
      <c r="Q1609" t="s">
        <v>492</v>
      </c>
      <c r="R1609" t="s">
        <v>493</v>
      </c>
      <c r="S1609" t="s">
        <v>494</v>
      </c>
      <c r="U1609" s="1" t="str">
        <f t="shared" si="153"/>
        <v>Manchester</v>
      </c>
      <c r="V1609" t="s">
        <v>495</v>
      </c>
      <c r="X1609" t="s">
        <v>496</v>
      </c>
      <c r="Y1609" s="1" t="str">
        <f t="shared" si="154"/>
        <v>UK</v>
      </c>
      <c r="Z1609" s="4" t="str">
        <f t="shared" si="155"/>
        <v>Uk</v>
      </c>
      <c r="AA1609" t="s">
        <v>170</v>
      </c>
      <c r="AB1609" t="s">
        <v>42</v>
      </c>
      <c r="AC1609" t="s">
        <v>497</v>
      </c>
      <c r="AD1609" t="s">
        <v>94</v>
      </c>
      <c r="AE1609" t="s">
        <v>51</v>
      </c>
    </row>
    <row r="1610" spans="1:31" x14ac:dyDescent="0.3">
      <c r="A1610">
        <v>10315</v>
      </c>
      <c r="B1610">
        <v>35</v>
      </c>
      <c r="C1610">
        <v>100</v>
      </c>
      <c r="D1610">
        <v>6</v>
      </c>
      <c r="E1610" s="4" t="str">
        <f t="shared" si="150"/>
        <v>high sales</v>
      </c>
      <c r="F1610">
        <v>4215.05</v>
      </c>
      <c r="G1610" t="s">
        <v>2282</v>
      </c>
      <c r="H1610" s="1" t="str">
        <f t="shared" si="151"/>
        <v>Shipped</v>
      </c>
      <c r="I1610" s="4" t="str">
        <f t="shared" si="152"/>
        <v>completed</v>
      </c>
      <c r="J1610" t="s">
        <v>25</v>
      </c>
      <c r="K1610">
        <v>4</v>
      </c>
      <c r="L1610">
        <v>10</v>
      </c>
      <c r="M1610">
        <v>2004</v>
      </c>
      <c r="N1610" t="s">
        <v>598</v>
      </c>
      <c r="O1610">
        <v>122</v>
      </c>
      <c r="P1610" t="s">
        <v>627</v>
      </c>
      <c r="Q1610" t="s">
        <v>114</v>
      </c>
      <c r="R1610" t="s">
        <v>115</v>
      </c>
      <c r="S1610" t="s">
        <v>116</v>
      </c>
      <c r="U1610" s="1" t="str">
        <f t="shared" si="153"/>
        <v>Nantes</v>
      </c>
      <c r="V1610" t="s">
        <v>117</v>
      </c>
      <c r="X1610">
        <v>44000</v>
      </c>
      <c r="Y1610" s="1" t="str">
        <f t="shared" si="154"/>
        <v>FRANCE</v>
      </c>
      <c r="Z1610" s="4" t="str">
        <f t="shared" si="155"/>
        <v>France</v>
      </c>
      <c r="AA1610" t="s">
        <v>41</v>
      </c>
      <c r="AB1610" t="s">
        <v>42</v>
      </c>
      <c r="AC1610" t="s">
        <v>118</v>
      </c>
      <c r="AD1610" t="s">
        <v>119</v>
      </c>
      <c r="AE1610" t="s">
        <v>51</v>
      </c>
    </row>
    <row r="1611" spans="1:31" x14ac:dyDescent="0.3">
      <c r="A1611">
        <v>10326</v>
      </c>
      <c r="B1611">
        <v>41</v>
      </c>
      <c r="C1611">
        <v>100</v>
      </c>
      <c r="D1611">
        <v>4</v>
      </c>
      <c r="E1611" s="4" t="str">
        <f t="shared" si="150"/>
        <v>high sales</v>
      </c>
      <c r="F1611">
        <v>4333.29</v>
      </c>
      <c r="G1611" t="s">
        <v>2283</v>
      </c>
      <c r="H1611" s="1" t="str">
        <f t="shared" si="151"/>
        <v>Shipped</v>
      </c>
      <c r="I1611" s="4" t="str">
        <f t="shared" si="152"/>
        <v>completed</v>
      </c>
      <c r="J1611" t="s">
        <v>25</v>
      </c>
      <c r="K1611">
        <v>4</v>
      </c>
      <c r="L1611">
        <v>11</v>
      </c>
      <c r="M1611">
        <v>2004</v>
      </c>
      <c r="N1611" t="s">
        <v>598</v>
      </c>
      <c r="O1611">
        <v>122</v>
      </c>
      <c r="P1611" t="s">
        <v>627</v>
      </c>
      <c r="Q1611" t="s">
        <v>183</v>
      </c>
      <c r="R1611" t="s">
        <v>184</v>
      </c>
      <c r="S1611" t="s">
        <v>185</v>
      </c>
      <c r="U1611" s="1" t="str">
        <f t="shared" si="153"/>
        <v>Lule</v>
      </c>
      <c r="V1611" t="s">
        <v>186</v>
      </c>
      <c r="X1611" t="s">
        <v>187</v>
      </c>
      <c r="Y1611" s="1" t="str">
        <f t="shared" si="154"/>
        <v>SWEDEN</v>
      </c>
      <c r="Z1611" s="4" t="str">
        <f t="shared" si="155"/>
        <v>Sweden</v>
      </c>
      <c r="AA1611" t="s">
        <v>188</v>
      </c>
      <c r="AB1611" t="s">
        <v>42</v>
      </c>
      <c r="AC1611" t="s">
        <v>189</v>
      </c>
      <c r="AD1611" t="s">
        <v>190</v>
      </c>
      <c r="AE1611" t="s">
        <v>51</v>
      </c>
    </row>
    <row r="1612" spans="1:31" x14ac:dyDescent="0.3">
      <c r="A1612">
        <v>10337</v>
      </c>
      <c r="B1612">
        <v>29</v>
      </c>
      <c r="C1612">
        <v>71.97</v>
      </c>
      <c r="D1612">
        <v>4</v>
      </c>
      <c r="E1612" s="4" t="str">
        <f t="shared" si="150"/>
        <v>low sales</v>
      </c>
      <c r="F1612">
        <v>2087.13</v>
      </c>
      <c r="G1612" t="s">
        <v>2284</v>
      </c>
      <c r="H1612" s="1" t="str">
        <f t="shared" si="151"/>
        <v>Shipped</v>
      </c>
      <c r="I1612" s="4" t="str">
        <f t="shared" si="152"/>
        <v>completed</v>
      </c>
      <c r="J1612" t="s">
        <v>25</v>
      </c>
      <c r="K1612">
        <v>4</v>
      </c>
      <c r="L1612">
        <v>11</v>
      </c>
      <c r="M1612">
        <v>2004</v>
      </c>
      <c r="N1612" t="s">
        <v>598</v>
      </c>
      <c r="O1612">
        <v>122</v>
      </c>
      <c r="P1612" t="s">
        <v>627</v>
      </c>
      <c r="Q1612" t="s">
        <v>203</v>
      </c>
      <c r="R1612">
        <v>2125558493</v>
      </c>
      <c r="S1612" t="s">
        <v>204</v>
      </c>
      <c r="T1612" t="s">
        <v>205</v>
      </c>
      <c r="U1612" s="1" t="str">
        <f t="shared" si="153"/>
        <v>Nyc</v>
      </c>
      <c r="V1612" t="s">
        <v>30</v>
      </c>
      <c r="W1612" t="s">
        <v>31</v>
      </c>
      <c r="X1612">
        <v>10022</v>
      </c>
      <c r="Y1612" s="1" t="str">
        <f t="shared" si="154"/>
        <v>USA</v>
      </c>
      <c r="Z1612" s="4" t="str">
        <f t="shared" si="155"/>
        <v>Usa</v>
      </c>
      <c r="AA1612" t="s">
        <v>32</v>
      </c>
      <c r="AB1612" t="s">
        <v>33</v>
      </c>
      <c r="AC1612" t="s">
        <v>124</v>
      </c>
      <c r="AD1612" t="s">
        <v>206</v>
      </c>
      <c r="AE1612" t="s">
        <v>36</v>
      </c>
    </row>
    <row r="1613" spans="1:31" x14ac:dyDescent="0.3">
      <c r="A1613">
        <v>10350</v>
      </c>
      <c r="B1613">
        <v>34</v>
      </c>
      <c r="C1613">
        <v>50.33</v>
      </c>
      <c r="D1613">
        <v>7</v>
      </c>
      <c r="E1613" s="4" t="str">
        <f t="shared" si="150"/>
        <v>low sales</v>
      </c>
      <c r="F1613">
        <v>1711.22</v>
      </c>
      <c r="G1613" t="s">
        <v>2285</v>
      </c>
      <c r="H1613" s="1" t="str">
        <f t="shared" si="151"/>
        <v>Shipped</v>
      </c>
      <c r="I1613" s="4" t="str">
        <f t="shared" si="152"/>
        <v>completed</v>
      </c>
      <c r="J1613" t="s">
        <v>25</v>
      </c>
      <c r="K1613">
        <v>4</v>
      </c>
      <c r="L1613">
        <v>12</v>
      </c>
      <c r="M1613">
        <v>2004</v>
      </c>
      <c r="N1613" t="s">
        <v>598</v>
      </c>
      <c r="O1613">
        <v>122</v>
      </c>
      <c r="P1613" t="s">
        <v>627</v>
      </c>
      <c r="Q1613" t="s">
        <v>174</v>
      </c>
      <c r="R1613" t="s">
        <v>175</v>
      </c>
      <c r="S1613" t="s">
        <v>176</v>
      </c>
      <c r="U1613" s="1" t="str">
        <f t="shared" si="153"/>
        <v>Madrid</v>
      </c>
      <c r="V1613" t="s">
        <v>177</v>
      </c>
      <c r="X1613">
        <v>28034</v>
      </c>
      <c r="Y1613" s="1" t="str">
        <f t="shared" si="154"/>
        <v>SPAIN</v>
      </c>
      <c r="Z1613" s="4" t="str">
        <f t="shared" si="155"/>
        <v>Spain</v>
      </c>
      <c r="AA1613" t="s">
        <v>178</v>
      </c>
      <c r="AB1613" t="s">
        <v>42</v>
      </c>
      <c r="AC1613" t="s">
        <v>179</v>
      </c>
      <c r="AD1613" t="s">
        <v>180</v>
      </c>
      <c r="AE1613" t="s">
        <v>36</v>
      </c>
    </row>
    <row r="1614" spans="1:31" x14ac:dyDescent="0.3">
      <c r="A1614">
        <v>10372</v>
      </c>
      <c r="B1614">
        <v>37</v>
      </c>
      <c r="C1614">
        <v>100</v>
      </c>
      <c r="D1614">
        <v>8</v>
      </c>
      <c r="E1614" s="4" t="str">
        <f t="shared" si="150"/>
        <v>low sales</v>
      </c>
      <c r="F1614">
        <v>3910.53</v>
      </c>
      <c r="G1614" t="s">
        <v>2286</v>
      </c>
      <c r="H1614" s="1" t="str">
        <f t="shared" si="151"/>
        <v>Shipped</v>
      </c>
      <c r="I1614" s="4" t="str">
        <f t="shared" si="152"/>
        <v>completed</v>
      </c>
      <c r="J1614" t="s">
        <v>25</v>
      </c>
      <c r="K1614">
        <v>1</v>
      </c>
      <c r="L1614">
        <v>1</v>
      </c>
      <c r="M1614">
        <v>2005</v>
      </c>
      <c r="N1614" t="s">
        <v>598</v>
      </c>
      <c r="O1614">
        <v>122</v>
      </c>
      <c r="P1614" t="s">
        <v>627</v>
      </c>
      <c r="Q1614" t="s">
        <v>246</v>
      </c>
      <c r="R1614" t="s">
        <v>247</v>
      </c>
      <c r="S1614" t="s">
        <v>248</v>
      </c>
      <c r="U1614" s="1" t="str">
        <f t="shared" si="153"/>
        <v>Minato-Ku</v>
      </c>
      <c r="V1614" t="s">
        <v>249</v>
      </c>
      <c r="W1614" t="s">
        <v>250</v>
      </c>
      <c r="X1614" t="s">
        <v>251</v>
      </c>
      <c r="Y1614" s="1" t="str">
        <f t="shared" si="154"/>
        <v>JAPAN</v>
      </c>
      <c r="Z1614" s="4" t="str">
        <f t="shared" si="155"/>
        <v>Japan</v>
      </c>
      <c r="AA1614" t="s">
        <v>200</v>
      </c>
      <c r="AB1614" t="s">
        <v>200</v>
      </c>
      <c r="AC1614" t="s">
        <v>252</v>
      </c>
      <c r="AD1614" t="s">
        <v>253</v>
      </c>
      <c r="AE1614" t="s">
        <v>51</v>
      </c>
    </row>
    <row r="1615" spans="1:31" x14ac:dyDescent="0.3">
      <c r="A1615">
        <v>10384</v>
      </c>
      <c r="B1615">
        <v>28</v>
      </c>
      <c r="C1615">
        <v>80.540000000000006</v>
      </c>
      <c r="D1615">
        <v>3</v>
      </c>
      <c r="E1615" s="4" t="str">
        <f t="shared" si="150"/>
        <v>low sales</v>
      </c>
      <c r="F1615">
        <v>2255.12</v>
      </c>
      <c r="G1615" t="s">
        <v>2287</v>
      </c>
      <c r="H1615" s="1" t="str">
        <f t="shared" si="151"/>
        <v>Shipped</v>
      </c>
      <c r="I1615" s="4" t="str">
        <f t="shared" si="152"/>
        <v>completed</v>
      </c>
      <c r="J1615" t="s">
        <v>25</v>
      </c>
      <c r="K1615">
        <v>1</v>
      </c>
      <c r="L1615">
        <v>2</v>
      </c>
      <c r="M1615">
        <v>2005</v>
      </c>
      <c r="N1615" t="s">
        <v>598</v>
      </c>
      <c r="O1615">
        <v>122</v>
      </c>
      <c r="P1615" t="s">
        <v>627</v>
      </c>
      <c r="Q1615" t="s">
        <v>58</v>
      </c>
      <c r="R1615">
        <v>6505551386</v>
      </c>
      <c r="S1615" t="s">
        <v>59</v>
      </c>
      <c r="U1615" s="1" t="str">
        <f t="shared" si="153"/>
        <v>San Francisco</v>
      </c>
      <c r="V1615" t="s">
        <v>60</v>
      </c>
      <c r="W1615" t="s">
        <v>55</v>
      </c>
      <c r="Y1615" s="1" t="str">
        <f t="shared" si="154"/>
        <v>USA</v>
      </c>
      <c r="Z1615" s="4" t="str">
        <f t="shared" si="155"/>
        <v>Usa</v>
      </c>
      <c r="AA1615" t="s">
        <v>32</v>
      </c>
      <c r="AB1615" t="s">
        <v>33</v>
      </c>
      <c r="AC1615" t="s">
        <v>61</v>
      </c>
      <c r="AD1615" t="s">
        <v>57</v>
      </c>
      <c r="AE1615" t="s">
        <v>36</v>
      </c>
    </row>
    <row r="1616" spans="1:31" x14ac:dyDescent="0.3">
      <c r="A1616">
        <v>10396</v>
      </c>
      <c r="B1616">
        <v>49</v>
      </c>
      <c r="C1616">
        <v>100</v>
      </c>
      <c r="D1616">
        <v>6</v>
      </c>
      <c r="E1616" s="4" t="str">
        <f t="shared" si="150"/>
        <v>high sales</v>
      </c>
      <c r="F1616">
        <v>5720.75</v>
      </c>
      <c r="G1616" t="s">
        <v>2288</v>
      </c>
      <c r="H1616" s="1" t="str">
        <f t="shared" si="151"/>
        <v>Shipped</v>
      </c>
      <c r="I1616" s="4" t="str">
        <f t="shared" si="152"/>
        <v>completed</v>
      </c>
      <c r="J1616" t="s">
        <v>25</v>
      </c>
      <c r="K1616">
        <v>1</v>
      </c>
      <c r="L1616">
        <v>3</v>
      </c>
      <c r="M1616">
        <v>2005</v>
      </c>
      <c r="N1616" t="s">
        <v>598</v>
      </c>
      <c r="O1616">
        <v>122</v>
      </c>
      <c r="P1616" t="s">
        <v>627</v>
      </c>
      <c r="Q1616" t="s">
        <v>272</v>
      </c>
      <c r="R1616">
        <v>4155551450</v>
      </c>
      <c r="S1616" t="s">
        <v>273</v>
      </c>
      <c r="U1616" s="1" t="str">
        <f t="shared" si="153"/>
        <v>San Rafael</v>
      </c>
      <c r="V1616" t="s">
        <v>274</v>
      </c>
      <c r="W1616" t="s">
        <v>55</v>
      </c>
      <c r="X1616">
        <v>97562</v>
      </c>
      <c r="Y1616" s="1" t="str">
        <f t="shared" si="154"/>
        <v>USA</v>
      </c>
      <c r="Z1616" s="4" t="str">
        <f t="shared" si="155"/>
        <v>Usa</v>
      </c>
      <c r="AA1616" t="s">
        <v>32</v>
      </c>
      <c r="AB1616" t="s">
        <v>33</v>
      </c>
      <c r="AC1616" t="s">
        <v>275</v>
      </c>
      <c r="AD1616" t="s">
        <v>276</v>
      </c>
      <c r="AE1616" t="s">
        <v>51</v>
      </c>
    </row>
    <row r="1617" spans="1:31" x14ac:dyDescent="0.3">
      <c r="A1617">
        <v>10414</v>
      </c>
      <c r="B1617">
        <v>23</v>
      </c>
      <c r="C1617">
        <v>100</v>
      </c>
      <c r="D1617">
        <v>10</v>
      </c>
      <c r="E1617" s="4" t="str">
        <f t="shared" si="150"/>
        <v>low sales</v>
      </c>
      <c r="F1617">
        <v>3335.23</v>
      </c>
      <c r="G1617" t="s">
        <v>2289</v>
      </c>
      <c r="H1617" s="1" t="str">
        <f t="shared" si="151"/>
        <v>On Hold</v>
      </c>
      <c r="I1617" s="4" t="str">
        <f t="shared" si="152"/>
        <v>not completed</v>
      </c>
      <c r="J1617" t="s">
        <v>401</v>
      </c>
      <c r="K1617">
        <v>2</v>
      </c>
      <c r="L1617">
        <v>5</v>
      </c>
      <c r="M1617">
        <v>2005</v>
      </c>
      <c r="N1617" t="s">
        <v>598</v>
      </c>
      <c r="O1617">
        <v>122</v>
      </c>
      <c r="P1617" t="s">
        <v>627</v>
      </c>
      <c r="Q1617" t="s">
        <v>379</v>
      </c>
      <c r="R1617">
        <v>6175559555</v>
      </c>
      <c r="S1617" t="s">
        <v>380</v>
      </c>
      <c r="U1617" s="1" t="str">
        <f t="shared" si="153"/>
        <v>Boston</v>
      </c>
      <c r="V1617" t="s">
        <v>381</v>
      </c>
      <c r="W1617" t="s">
        <v>123</v>
      </c>
      <c r="X1617">
        <v>51003</v>
      </c>
      <c r="Y1617" s="1" t="str">
        <f t="shared" si="154"/>
        <v>USA</v>
      </c>
      <c r="Z1617" s="4" t="str">
        <f t="shared" si="155"/>
        <v>Usa</v>
      </c>
      <c r="AA1617" t="s">
        <v>32</v>
      </c>
      <c r="AB1617" t="s">
        <v>33</v>
      </c>
      <c r="AC1617" t="s">
        <v>382</v>
      </c>
      <c r="AD1617" t="s">
        <v>66</v>
      </c>
      <c r="AE1617" t="s">
        <v>51</v>
      </c>
    </row>
    <row r="1618" spans="1:31" x14ac:dyDescent="0.3">
      <c r="A1618">
        <v>10101</v>
      </c>
      <c r="B1618">
        <v>46</v>
      </c>
      <c r="C1618">
        <v>53.76</v>
      </c>
      <c r="D1618">
        <v>2</v>
      </c>
      <c r="E1618" s="4" t="str">
        <f t="shared" si="150"/>
        <v>low sales</v>
      </c>
      <c r="F1618">
        <v>2472.96</v>
      </c>
      <c r="G1618" t="s">
        <v>2290</v>
      </c>
      <c r="H1618" s="1" t="str">
        <f t="shared" si="151"/>
        <v>Shipped</v>
      </c>
      <c r="I1618" s="4" t="str">
        <f t="shared" si="152"/>
        <v>completed</v>
      </c>
      <c r="J1618" t="s">
        <v>25</v>
      </c>
      <c r="K1618">
        <v>1</v>
      </c>
      <c r="L1618">
        <v>1</v>
      </c>
      <c r="M1618">
        <v>2003</v>
      </c>
      <c r="N1618" t="s">
        <v>550</v>
      </c>
      <c r="O1618">
        <v>44</v>
      </c>
      <c r="P1618" t="s">
        <v>628</v>
      </c>
      <c r="Q1618" t="s">
        <v>462</v>
      </c>
      <c r="R1618" t="s">
        <v>463</v>
      </c>
      <c r="S1618" t="s">
        <v>464</v>
      </c>
      <c r="U1618" s="1" t="str">
        <f t="shared" si="153"/>
        <v>Frankfurt</v>
      </c>
      <c r="V1618" t="s">
        <v>465</v>
      </c>
      <c r="X1618">
        <v>60528</v>
      </c>
      <c r="Y1618" s="1" t="str">
        <f t="shared" si="154"/>
        <v>GERMANY</v>
      </c>
      <c r="Z1618" s="4" t="str">
        <f t="shared" si="155"/>
        <v>Germany</v>
      </c>
      <c r="AA1618" t="s">
        <v>443</v>
      </c>
      <c r="AB1618" t="s">
        <v>42</v>
      </c>
      <c r="AC1618" t="s">
        <v>466</v>
      </c>
      <c r="AD1618" t="s">
        <v>414</v>
      </c>
      <c r="AE1618" t="s">
        <v>36</v>
      </c>
    </row>
    <row r="1619" spans="1:31" x14ac:dyDescent="0.3">
      <c r="A1619">
        <v>10110</v>
      </c>
      <c r="B1619">
        <v>39</v>
      </c>
      <c r="C1619">
        <v>44.35</v>
      </c>
      <c r="D1619">
        <v>2</v>
      </c>
      <c r="E1619" s="4" t="str">
        <f t="shared" si="150"/>
        <v>low sales</v>
      </c>
      <c r="F1619">
        <v>1729.65</v>
      </c>
      <c r="G1619" t="s">
        <v>2291</v>
      </c>
      <c r="H1619" s="1" t="str">
        <f t="shared" si="151"/>
        <v>Shipped</v>
      </c>
      <c r="I1619" s="4" t="str">
        <f t="shared" si="152"/>
        <v>completed</v>
      </c>
      <c r="J1619" t="s">
        <v>25</v>
      </c>
      <c r="K1619">
        <v>1</v>
      </c>
      <c r="L1619">
        <v>3</v>
      </c>
      <c r="M1619">
        <v>2003</v>
      </c>
      <c r="N1619" t="s">
        <v>550</v>
      </c>
      <c r="O1619">
        <v>44</v>
      </c>
      <c r="P1619" t="s">
        <v>628</v>
      </c>
      <c r="Q1619" t="s">
        <v>492</v>
      </c>
      <c r="R1619" t="s">
        <v>493</v>
      </c>
      <c r="S1619" t="s">
        <v>494</v>
      </c>
      <c r="U1619" s="1" t="str">
        <f t="shared" si="153"/>
        <v>Manchester</v>
      </c>
      <c r="V1619" t="s">
        <v>495</v>
      </c>
      <c r="X1619" t="s">
        <v>496</v>
      </c>
      <c r="Y1619" s="1" t="str">
        <f t="shared" si="154"/>
        <v>UK</v>
      </c>
      <c r="Z1619" s="4" t="str">
        <f t="shared" si="155"/>
        <v>Uk</v>
      </c>
      <c r="AA1619" t="s">
        <v>170</v>
      </c>
      <c r="AB1619" t="s">
        <v>42</v>
      </c>
      <c r="AC1619" t="s">
        <v>497</v>
      </c>
      <c r="AD1619" t="s">
        <v>94</v>
      </c>
      <c r="AE1619" t="s">
        <v>36</v>
      </c>
    </row>
    <row r="1620" spans="1:31" x14ac:dyDescent="0.3">
      <c r="A1620">
        <v>10124</v>
      </c>
      <c r="B1620">
        <v>22</v>
      </c>
      <c r="C1620">
        <v>45.25</v>
      </c>
      <c r="D1620">
        <v>1</v>
      </c>
      <c r="E1620" s="4" t="str">
        <f t="shared" si="150"/>
        <v>low sales</v>
      </c>
      <c r="F1620">
        <v>995.5</v>
      </c>
      <c r="G1620" t="s">
        <v>2292</v>
      </c>
      <c r="H1620" s="1" t="str">
        <f t="shared" si="151"/>
        <v>Shipped</v>
      </c>
      <c r="I1620" s="4" t="str">
        <f t="shared" si="152"/>
        <v>completed</v>
      </c>
      <c r="J1620" t="s">
        <v>25</v>
      </c>
      <c r="K1620">
        <v>2</v>
      </c>
      <c r="L1620">
        <v>5</v>
      </c>
      <c r="M1620">
        <v>2003</v>
      </c>
      <c r="N1620" t="s">
        <v>550</v>
      </c>
      <c r="O1620">
        <v>44</v>
      </c>
      <c r="P1620" t="s">
        <v>628</v>
      </c>
      <c r="Q1620" t="s">
        <v>539</v>
      </c>
      <c r="R1620">
        <v>7025551838</v>
      </c>
      <c r="S1620" t="s">
        <v>540</v>
      </c>
      <c r="U1620" s="1" t="str">
        <f t="shared" si="153"/>
        <v>Las Vegas</v>
      </c>
      <c r="V1620" t="s">
        <v>541</v>
      </c>
      <c r="W1620" t="s">
        <v>542</v>
      </c>
      <c r="X1620">
        <v>83030</v>
      </c>
      <c r="Y1620" s="1" t="str">
        <f t="shared" si="154"/>
        <v>USA</v>
      </c>
      <c r="Z1620" s="4" t="str">
        <f t="shared" si="155"/>
        <v>Usa</v>
      </c>
      <c r="AA1620" t="s">
        <v>32</v>
      </c>
      <c r="AB1620" t="s">
        <v>33</v>
      </c>
      <c r="AC1620" t="s">
        <v>113</v>
      </c>
      <c r="AD1620" t="s">
        <v>400</v>
      </c>
      <c r="AE1620" t="s">
        <v>36</v>
      </c>
    </row>
    <row r="1621" spans="1:31" x14ac:dyDescent="0.3">
      <c r="A1621">
        <v>10149</v>
      </c>
      <c r="B1621">
        <v>49</v>
      </c>
      <c r="C1621">
        <v>49.28</v>
      </c>
      <c r="D1621">
        <v>6</v>
      </c>
      <c r="E1621" s="4" t="str">
        <f t="shared" si="150"/>
        <v>low sales</v>
      </c>
      <c r="F1621">
        <v>2414.7199999999998</v>
      </c>
      <c r="G1621" t="s">
        <v>2293</v>
      </c>
      <c r="H1621" s="1" t="str">
        <f t="shared" si="151"/>
        <v>Shipped</v>
      </c>
      <c r="I1621" s="4" t="str">
        <f t="shared" si="152"/>
        <v>completed</v>
      </c>
      <c r="J1621" t="s">
        <v>25</v>
      </c>
      <c r="K1621">
        <v>3</v>
      </c>
      <c r="L1621">
        <v>9</v>
      </c>
      <c r="M1621">
        <v>2003</v>
      </c>
      <c r="N1621" t="s">
        <v>550</v>
      </c>
      <c r="O1621">
        <v>44</v>
      </c>
      <c r="P1621" t="s">
        <v>628</v>
      </c>
      <c r="Q1621" t="s">
        <v>526</v>
      </c>
      <c r="R1621">
        <v>4155554312</v>
      </c>
      <c r="S1621" t="s">
        <v>527</v>
      </c>
      <c r="U1621" s="1" t="str">
        <f t="shared" si="153"/>
        <v>Brisbane</v>
      </c>
      <c r="V1621" t="s">
        <v>528</v>
      </c>
      <c r="W1621" t="s">
        <v>55</v>
      </c>
      <c r="X1621">
        <v>94217</v>
      </c>
      <c r="Y1621" s="1" t="str">
        <f t="shared" si="154"/>
        <v>USA</v>
      </c>
      <c r="Z1621" s="4" t="str">
        <f t="shared" si="155"/>
        <v>Usa</v>
      </c>
      <c r="AA1621" t="s">
        <v>32</v>
      </c>
      <c r="AB1621" t="s">
        <v>33</v>
      </c>
      <c r="AC1621" t="s">
        <v>529</v>
      </c>
      <c r="AD1621" t="s">
        <v>400</v>
      </c>
      <c r="AE1621" t="s">
        <v>36</v>
      </c>
    </row>
    <row r="1622" spans="1:31" x14ac:dyDescent="0.3">
      <c r="A1622">
        <v>10162</v>
      </c>
      <c r="B1622">
        <v>43</v>
      </c>
      <c r="C1622">
        <v>36.29</v>
      </c>
      <c r="D1622">
        <v>4</v>
      </c>
      <c r="E1622" s="4" t="str">
        <f t="shared" si="150"/>
        <v>low sales</v>
      </c>
      <c r="F1622">
        <v>1560.47</v>
      </c>
      <c r="G1622" t="s">
        <v>2294</v>
      </c>
      <c r="H1622" s="1" t="str">
        <f t="shared" si="151"/>
        <v>Shipped</v>
      </c>
      <c r="I1622" s="4" t="str">
        <f t="shared" si="152"/>
        <v>completed</v>
      </c>
      <c r="J1622" t="s">
        <v>25</v>
      </c>
      <c r="K1622">
        <v>4</v>
      </c>
      <c r="L1622">
        <v>10</v>
      </c>
      <c r="M1622">
        <v>2003</v>
      </c>
      <c r="N1622" t="s">
        <v>550</v>
      </c>
      <c r="O1622">
        <v>44</v>
      </c>
      <c r="P1622" t="s">
        <v>628</v>
      </c>
      <c r="Q1622" t="s">
        <v>58</v>
      </c>
      <c r="R1622">
        <v>6505551386</v>
      </c>
      <c r="S1622" t="s">
        <v>59</v>
      </c>
      <c r="U1622" s="1" t="str">
        <f t="shared" si="153"/>
        <v>San Francisco</v>
      </c>
      <c r="V1622" t="s">
        <v>60</v>
      </c>
      <c r="W1622" t="s">
        <v>55</v>
      </c>
      <c r="Y1622" s="1" t="str">
        <f t="shared" si="154"/>
        <v>USA</v>
      </c>
      <c r="Z1622" s="4" t="str">
        <f t="shared" si="155"/>
        <v>Usa</v>
      </c>
      <c r="AA1622" t="s">
        <v>32</v>
      </c>
      <c r="AB1622" t="s">
        <v>33</v>
      </c>
      <c r="AC1622" t="s">
        <v>61</v>
      </c>
      <c r="AD1622" t="s">
        <v>57</v>
      </c>
      <c r="AE1622" t="s">
        <v>36</v>
      </c>
    </row>
    <row r="1623" spans="1:31" x14ac:dyDescent="0.3">
      <c r="A1623">
        <v>10173</v>
      </c>
      <c r="B1623">
        <v>27</v>
      </c>
      <c r="C1623">
        <v>41.22</v>
      </c>
      <c r="D1623">
        <v>8</v>
      </c>
      <c r="E1623" s="4" t="str">
        <f t="shared" si="150"/>
        <v>low sales</v>
      </c>
      <c r="F1623">
        <v>1112.94</v>
      </c>
      <c r="G1623" t="s">
        <v>2295</v>
      </c>
      <c r="H1623" s="1" t="str">
        <f t="shared" si="151"/>
        <v>Shipped</v>
      </c>
      <c r="I1623" s="4" t="str">
        <f t="shared" si="152"/>
        <v>completed</v>
      </c>
      <c r="J1623" t="s">
        <v>25</v>
      </c>
      <c r="K1623">
        <v>4</v>
      </c>
      <c r="L1623">
        <v>11</v>
      </c>
      <c r="M1623">
        <v>2003</v>
      </c>
      <c r="N1623" t="s">
        <v>550</v>
      </c>
      <c r="O1623">
        <v>44</v>
      </c>
      <c r="P1623" t="s">
        <v>628</v>
      </c>
      <c r="Q1623" t="s">
        <v>552</v>
      </c>
      <c r="R1623" t="s">
        <v>553</v>
      </c>
      <c r="S1623" t="s">
        <v>554</v>
      </c>
      <c r="U1623" s="1" t="str">
        <f t="shared" si="153"/>
        <v>Bergamo</v>
      </c>
      <c r="V1623" t="s">
        <v>555</v>
      </c>
      <c r="X1623">
        <v>24100</v>
      </c>
      <c r="Y1623" s="1" t="str">
        <f t="shared" si="154"/>
        <v>ITALY</v>
      </c>
      <c r="Z1623" s="4" t="str">
        <f t="shared" si="155"/>
        <v>Italy</v>
      </c>
      <c r="AA1623" t="s">
        <v>258</v>
      </c>
      <c r="AB1623" t="s">
        <v>42</v>
      </c>
      <c r="AC1623" t="s">
        <v>556</v>
      </c>
      <c r="AD1623" t="s">
        <v>557</v>
      </c>
      <c r="AE1623" t="s">
        <v>36</v>
      </c>
    </row>
    <row r="1624" spans="1:31" x14ac:dyDescent="0.3">
      <c r="A1624">
        <v>10182</v>
      </c>
      <c r="B1624">
        <v>31</v>
      </c>
      <c r="C1624">
        <v>36.74</v>
      </c>
      <c r="D1624">
        <v>5</v>
      </c>
      <c r="E1624" s="4" t="str">
        <f t="shared" si="150"/>
        <v>low sales</v>
      </c>
      <c r="F1624">
        <v>1138.94</v>
      </c>
      <c r="G1624" t="s">
        <v>2296</v>
      </c>
      <c r="H1624" s="1" t="str">
        <f t="shared" si="151"/>
        <v>Shipped</v>
      </c>
      <c r="I1624" s="4" t="str">
        <f t="shared" si="152"/>
        <v>completed</v>
      </c>
      <c r="J1624" t="s">
        <v>25</v>
      </c>
      <c r="K1624">
        <v>4</v>
      </c>
      <c r="L1624">
        <v>11</v>
      </c>
      <c r="M1624">
        <v>2003</v>
      </c>
      <c r="N1624" t="s">
        <v>550</v>
      </c>
      <c r="O1624">
        <v>44</v>
      </c>
      <c r="P1624" t="s">
        <v>628</v>
      </c>
      <c r="Q1624" t="s">
        <v>272</v>
      </c>
      <c r="R1624">
        <v>4155551450</v>
      </c>
      <c r="S1624" t="s">
        <v>273</v>
      </c>
      <c r="U1624" s="1" t="str">
        <f t="shared" si="153"/>
        <v>San Rafael</v>
      </c>
      <c r="V1624" t="s">
        <v>274</v>
      </c>
      <c r="W1624" t="s">
        <v>55</v>
      </c>
      <c r="X1624">
        <v>97562</v>
      </c>
      <c r="Y1624" s="1" t="str">
        <f t="shared" si="154"/>
        <v>USA</v>
      </c>
      <c r="Z1624" s="4" t="str">
        <f t="shared" si="155"/>
        <v>Usa</v>
      </c>
      <c r="AA1624" t="s">
        <v>32</v>
      </c>
      <c r="AB1624" t="s">
        <v>33</v>
      </c>
      <c r="AC1624" t="s">
        <v>275</v>
      </c>
      <c r="AD1624" t="s">
        <v>276</v>
      </c>
      <c r="AE1624" t="s">
        <v>36</v>
      </c>
    </row>
    <row r="1625" spans="1:31" x14ac:dyDescent="0.3">
      <c r="A1625">
        <v>10193</v>
      </c>
      <c r="B1625">
        <v>20</v>
      </c>
      <c r="C1625">
        <v>50.62</v>
      </c>
      <c r="D1625">
        <v>9</v>
      </c>
      <c r="E1625" s="4" t="str">
        <f t="shared" si="150"/>
        <v>low sales</v>
      </c>
      <c r="F1625">
        <v>1012.4</v>
      </c>
      <c r="G1625" t="s">
        <v>2297</v>
      </c>
      <c r="H1625" s="1" t="str">
        <f t="shared" si="151"/>
        <v>Shipped</v>
      </c>
      <c r="I1625" s="4" t="str">
        <f t="shared" si="152"/>
        <v>completed</v>
      </c>
      <c r="J1625" t="s">
        <v>25</v>
      </c>
      <c r="K1625">
        <v>4</v>
      </c>
      <c r="L1625">
        <v>11</v>
      </c>
      <c r="M1625">
        <v>2003</v>
      </c>
      <c r="N1625" t="s">
        <v>550</v>
      </c>
      <c r="O1625">
        <v>44</v>
      </c>
      <c r="P1625" t="s">
        <v>628</v>
      </c>
      <c r="Q1625" t="s">
        <v>558</v>
      </c>
      <c r="R1625" t="s">
        <v>559</v>
      </c>
      <c r="S1625" t="s">
        <v>560</v>
      </c>
      <c r="U1625" s="1" t="str">
        <f t="shared" si="153"/>
        <v>Glen Waverly</v>
      </c>
      <c r="V1625" t="s">
        <v>561</v>
      </c>
      <c r="W1625" t="s">
        <v>94</v>
      </c>
      <c r="X1625">
        <v>3150</v>
      </c>
      <c r="Y1625" s="1" t="str">
        <f t="shared" si="154"/>
        <v>AUSTRALIA</v>
      </c>
      <c r="Z1625" s="4" t="str">
        <f t="shared" si="155"/>
        <v>Australia</v>
      </c>
      <c r="AA1625" t="s">
        <v>95</v>
      </c>
      <c r="AB1625" t="s">
        <v>96</v>
      </c>
      <c r="AC1625" t="s">
        <v>562</v>
      </c>
      <c r="AD1625" t="s">
        <v>563</v>
      </c>
      <c r="AE1625" t="s">
        <v>36</v>
      </c>
    </row>
    <row r="1626" spans="1:31" x14ac:dyDescent="0.3">
      <c r="A1626">
        <v>10205</v>
      </c>
      <c r="B1626">
        <v>24</v>
      </c>
      <c r="C1626">
        <v>38.08</v>
      </c>
      <c r="D1626">
        <v>4</v>
      </c>
      <c r="E1626" s="4" t="str">
        <f t="shared" si="150"/>
        <v>low sales</v>
      </c>
      <c r="F1626">
        <v>913.92</v>
      </c>
      <c r="G1626" t="s">
        <v>2298</v>
      </c>
      <c r="H1626" s="1" t="str">
        <f t="shared" si="151"/>
        <v>Shipped</v>
      </c>
      <c r="I1626" s="4" t="str">
        <f t="shared" si="152"/>
        <v>completed</v>
      </c>
      <c r="J1626" t="s">
        <v>25</v>
      </c>
      <c r="K1626">
        <v>4</v>
      </c>
      <c r="L1626">
        <v>12</v>
      </c>
      <c r="M1626">
        <v>2003</v>
      </c>
      <c r="N1626" t="s">
        <v>550</v>
      </c>
      <c r="O1626">
        <v>44</v>
      </c>
      <c r="P1626" t="s">
        <v>628</v>
      </c>
      <c r="Q1626" t="s">
        <v>174</v>
      </c>
      <c r="R1626" t="s">
        <v>175</v>
      </c>
      <c r="S1626" t="s">
        <v>176</v>
      </c>
      <c r="U1626" s="1" t="str">
        <f t="shared" si="153"/>
        <v>Madrid</v>
      </c>
      <c r="V1626" t="s">
        <v>177</v>
      </c>
      <c r="X1626">
        <v>28034</v>
      </c>
      <c r="Y1626" s="1" t="str">
        <f t="shared" si="154"/>
        <v>SPAIN</v>
      </c>
      <c r="Z1626" s="4" t="str">
        <f t="shared" si="155"/>
        <v>Spain</v>
      </c>
      <c r="AA1626" t="s">
        <v>178</v>
      </c>
      <c r="AB1626" t="s">
        <v>42</v>
      </c>
      <c r="AC1626" t="s">
        <v>179</v>
      </c>
      <c r="AD1626" t="s">
        <v>180</v>
      </c>
      <c r="AE1626" t="s">
        <v>36</v>
      </c>
    </row>
    <row r="1627" spans="1:31" x14ac:dyDescent="0.3">
      <c r="A1627">
        <v>10214</v>
      </c>
      <c r="B1627">
        <v>49</v>
      </c>
      <c r="C1627">
        <v>47.94</v>
      </c>
      <c r="D1627">
        <v>2</v>
      </c>
      <c r="E1627" s="4" t="str">
        <f t="shared" si="150"/>
        <v>low sales</v>
      </c>
      <c r="F1627">
        <v>2349.06</v>
      </c>
      <c r="G1627" t="s">
        <v>2299</v>
      </c>
      <c r="H1627" s="1" t="str">
        <f t="shared" si="151"/>
        <v>Shipped</v>
      </c>
      <c r="I1627" s="4" t="str">
        <f t="shared" si="152"/>
        <v>completed</v>
      </c>
      <c r="J1627" t="s">
        <v>25</v>
      </c>
      <c r="K1627">
        <v>1</v>
      </c>
      <c r="L1627">
        <v>1</v>
      </c>
      <c r="M1627">
        <v>2004</v>
      </c>
      <c r="N1627" t="s">
        <v>550</v>
      </c>
      <c r="O1627">
        <v>44</v>
      </c>
      <c r="P1627" t="s">
        <v>628</v>
      </c>
      <c r="Q1627" t="s">
        <v>191</v>
      </c>
      <c r="R1627" t="s">
        <v>192</v>
      </c>
      <c r="S1627" t="s">
        <v>193</v>
      </c>
      <c r="U1627" s="1" t="str">
        <f t="shared" si="153"/>
        <v>Madrid</v>
      </c>
      <c r="V1627" t="s">
        <v>177</v>
      </c>
      <c r="X1627">
        <v>28023</v>
      </c>
      <c r="Y1627" s="1" t="str">
        <f t="shared" si="154"/>
        <v>SPAIN</v>
      </c>
      <c r="Z1627" s="4" t="str">
        <f t="shared" si="155"/>
        <v>Spain</v>
      </c>
      <c r="AA1627" t="s">
        <v>178</v>
      </c>
      <c r="AB1627" t="s">
        <v>42</v>
      </c>
      <c r="AC1627" t="s">
        <v>194</v>
      </c>
      <c r="AD1627" t="s">
        <v>195</v>
      </c>
      <c r="AE1627" t="s">
        <v>36</v>
      </c>
    </row>
    <row r="1628" spans="1:31" x14ac:dyDescent="0.3">
      <c r="A1628">
        <v>10227</v>
      </c>
      <c r="B1628">
        <v>24</v>
      </c>
      <c r="C1628">
        <v>48.38</v>
      </c>
      <c r="D1628">
        <v>5</v>
      </c>
      <c r="E1628" s="4" t="str">
        <f t="shared" si="150"/>
        <v>low sales</v>
      </c>
      <c r="F1628">
        <v>1161.1199999999999</v>
      </c>
      <c r="G1628" t="s">
        <v>2300</v>
      </c>
      <c r="H1628" s="1" t="str">
        <f t="shared" si="151"/>
        <v>Shipped</v>
      </c>
      <c r="I1628" s="4" t="str">
        <f t="shared" si="152"/>
        <v>completed</v>
      </c>
      <c r="J1628" t="s">
        <v>25</v>
      </c>
      <c r="K1628">
        <v>1</v>
      </c>
      <c r="L1628">
        <v>3</v>
      </c>
      <c r="M1628">
        <v>2004</v>
      </c>
      <c r="N1628" t="s">
        <v>550</v>
      </c>
      <c r="O1628">
        <v>44</v>
      </c>
      <c r="P1628" t="s">
        <v>628</v>
      </c>
      <c r="Q1628" t="s">
        <v>219</v>
      </c>
      <c r="R1628" t="s">
        <v>220</v>
      </c>
      <c r="S1628" t="s">
        <v>221</v>
      </c>
      <c r="U1628" s="1" t="str">
        <f t="shared" si="153"/>
        <v>Lyon</v>
      </c>
      <c r="V1628" t="s">
        <v>222</v>
      </c>
      <c r="X1628">
        <v>69004</v>
      </c>
      <c r="Y1628" s="1" t="str">
        <f t="shared" si="154"/>
        <v>FRANCE</v>
      </c>
      <c r="Z1628" s="4" t="str">
        <f t="shared" si="155"/>
        <v>France</v>
      </c>
      <c r="AA1628" t="s">
        <v>41</v>
      </c>
      <c r="AB1628" t="s">
        <v>42</v>
      </c>
      <c r="AC1628" t="s">
        <v>223</v>
      </c>
      <c r="AD1628" t="s">
        <v>224</v>
      </c>
      <c r="AE1628" t="s">
        <v>36</v>
      </c>
    </row>
    <row r="1629" spans="1:31" x14ac:dyDescent="0.3">
      <c r="A1629">
        <v>10244</v>
      </c>
      <c r="B1629">
        <v>39</v>
      </c>
      <c r="C1629">
        <v>45.25</v>
      </c>
      <c r="D1629">
        <v>9</v>
      </c>
      <c r="E1629" s="4" t="str">
        <f t="shared" si="150"/>
        <v>low sales</v>
      </c>
      <c r="F1629">
        <v>1764.75</v>
      </c>
      <c r="G1629" t="s">
        <v>2301</v>
      </c>
      <c r="H1629" s="1" t="str">
        <f t="shared" si="151"/>
        <v>Shipped</v>
      </c>
      <c r="I1629" s="4" t="str">
        <f t="shared" si="152"/>
        <v>completed</v>
      </c>
      <c r="J1629" t="s">
        <v>25</v>
      </c>
      <c r="K1629">
        <v>2</v>
      </c>
      <c r="L1629">
        <v>4</v>
      </c>
      <c r="M1629">
        <v>2004</v>
      </c>
      <c r="N1629" t="s">
        <v>550</v>
      </c>
      <c r="O1629">
        <v>44</v>
      </c>
      <c r="P1629" t="s">
        <v>628</v>
      </c>
      <c r="Q1629" t="s">
        <v>174</v>
      </c>
      <c r="R1629" t="s">
        <v>175</v>
      </c>
      <c r="S1629" t="s">
        <v>176</v>
      </c>
      <c r="U1629" s="1" t="str">
        <f t="shared" si="153"/>
        <v>Madrid</v>
      </c>
      <c r="V1629" t="s">
        <v>177</v>
      </c>
      <c r="X1629">
        <v>28034</v>
      </c>
      <c r="Y1629" s="1" t="str">
        <f t="shared" si="154"/>
        <v>SPAIN</v>
      </c>
      <c r="Z1629" s="4" t="str">
        <f t="shared" si="155"/>
        <v>Spain</v>
      </c>
      <c r="AA1629" t="s">
        <v>178</v>
      </c>
      <c r="AB1629" t="s">
        <v>42</v>
      </c>
      <c r="AC1629" t="s">
        <v>179</v>
      </c>
      <c r="AD1629" t="s">
        <v>180</v>
      </c>
      <c r="AE1629" t="s">
        <v>36</v>
      </c>
    </row>
    <row r="1630" spans="1:31" x14ac:dyDescent="0.3">
      <c r="A1630">
        <v>10255</v>
      </c>
      <c r="B1630">
        <v>37</v>
      </c>
      <c r="C1630">
        <v>45.7</v>
      </c>
      <c r="D1630">
        <v>2</v>
      </c>
      <c r="E1630" s="4" t="str">
        <f t="shared" si="150"/>
        <v>low sales</v>
      </c>
      <c r="F1630">
        <v>1690.9</v>
      </c>
      <c r="G1630" t="s">
        <v>2302</v>
      </c>
      <c r="H1630" s="1" t="str">
        <f t="shared" si="151"/>
        <v>Shipped</v>
      </c>
      <c r="I1630" s="4" t="str">
        <f t="shared" si="152"/>
        <v>completed</v>
      </c>
      <c r="J1630" t="s">
        <v>25</v>
      </c>
      <c r="K1630">
        <v>2</v>
      </c>
      <c r="L1630">
        <v>6</v>
      </c>
      <c r="M1630">
        <v>2004</v>
      </c>
      <c r="N1630" t="s">
        <v>550</v>
      </c>
      <c r="O1630">
        <v>44</v>
      </c>
      <c r="P1630" t="s">
        <v>628</v>
      </c>
      <c r="Q1630" t="s">
        <v>531</v>
      </c>
      <c r="R1630" t="s">
        <v>532</v>
      </c>
      <c r="S1630" t="s">
        <v>533</v>
      </c>
      <c r="U1630" s="1" t="str">
        <f t="shared" si="153"/>
        <v>Strasbourg</v>
      </c>
      <c r="V1630" t="s">
        <v>534</v>
      </c>
      <c r="X1630">
        <v>67000</v>
      </c>
      <c r="Y1630" s="1" t="str">
        <f t="shared" si="154"/>
        <v>FRANCE</v>
      </c>
      <c r="Z1630" s="4" t="str">
        <f t="shared" si="155"/>
        <v>France</v>
      </c>
      <c r="AA1630" t="s">
        <v>41</v>
      </c>
      <c r="AB1630" t="s">
        <v>42</v>
      </c>
      <c r="AC1630" t="s">
        <v>535</v>
      </c>
      <c r="AD1630" t="s">
        <v>536</v>
      </c>
      <c r="AE1630" t="s">
        <v>36</v>
      </c>
    </row>
    <row r="1631" spans="1:31" x14ac:dyDescent="0.3">
      <c r="A1631">
        <v>10280</v>
      </c>
      <c r="B1631">
        <v>45</v>
      </c>
      <c r="C1631">
        <v>47.49</v>
      </c>
      <c r="D1631">
        <v>11</v>
      </c>
      <c r="E1631" s="4" t="str">
        <f t="shared" si="150"/>
        <v>low sales</v>
      </c>
      <c r="F1631">
        <v>2137.0500000000002</v>
      </c>
      <c r="G1631" t="s">
        <v>2303</v>
      </c>
      <c r="H1631" s="1" t="str">
        <f t="shared" si="151"/>
        <v>Shipped</v>
      </c>
      <c r="I1631" s="4" t="str">
        <f t="shared" si="152"/>
        <v>completed</v>
      </c>
      <c r="J1631" t="s">
        <v>25</v>
      </c>
      <c r="K1631">
        <v>3</v>
      </c>
      <c r="L1631">
        <v>8</v>
      </c>
      <c r="M1631">
        <v>2004</v>
      </c>
      <c r="N1631" t="s">
        <v>550</v>
      </c>
      <c r="O1631">
        <v>44</v>
      </c>
      <c r="P1631" t="s">
        <v>628</v>
      </c>
      <c r="Q1631" t="s">
        <v>254</v>
      </c>
      <c r="R1631" t="s">
        <v>255</v>
      </c>
      <c r="S1631" t="s">
        <v>256</v>
      </c>
      <c r="U1631" s="1" t="str">
        <f t="shared" si="153"/>
        <v>Torino</v>
      </c>
      <c r="V1631" t="s">
        <v>257</v>
      </c>
      <c r="X1631">
        <v>10100</v>
      </c>
      <c r="Y1631" s="1" t="str">
        <f t="shared" si="154"/>
        <v>ITALY</v>
      </c>
      <c r="Z1631" s="4" t="str">
        <f t="shared" si="155"/>
        <v>Italy</v>
      </c>
      <c r="AA1631" t="s">
        <v>258</v>
      </c>
      <c r="AB1631" t="s">
        <v>42</v>
      </c>
      <c r="AC1631" t="s">
        <v>259</v>
      </c>
      <c r="AD1631" t="s">
        <v>260</v>
      </c>
      <c r="AE1631" t="s">
        <v>36</v>
      </c>
    </row>
    <row r="1632" spans="1:31" x14ac:dyDescent="0.3">
      <c r="A1632">
        <v>10289</v>
      </c>
      <c r="B1632">
        <v>45</v>
      </c>
      <c r="C1632">
        <v>48.38</v>
      </c>
      <c r="D1632">
        <v>4</v>
      </c>
      <c r="E1632" s="4" t="str">
        <f t="shared" si="150"/>
        <v>low sales</v>
      </c>
      <c r="F1632">
        <v>2177.1</v>
      </c>
      <c r="G1632" t="s">
        <v>2304</v>
      </c>
      <c r="H1632" s="1" t="str">
        <f t="shared" si="151"/>
        <v>Shipped</v>
      </c>
      <c r="I1632" s="4" t="str">
        <f t="shared" si="152"/>
        <v>completed</v>
      </c>
      <c r="J1632" t="s">
        <v>25</v>
      </c>
      <c r="K1632">
        <v>3</v>
      </c>
      <c r="L1632">
        <v>9</v>
      </c>
      <c r="M1632">
        <v>2004</v>
      </c>
      <c r="N1632" t="s">
        <v>550</v>
      </c>
      <c r="O1632">
        <v>44</v>
      </c>
      <c r="P1632" t="s">
        <v>628</v>
      </c>
      <c r="Q1632" t="s">
        <v>73</v>
      </c>
      <c r="R1632" t="s">
        <v>74</v>
      </c>
      <c r="S1632" t="s">
        <v>75</v>
      </c>
      <c r="U1632" s="1" t="str">
        <f t="shared" si="153"/>
        <v>Bergen</v>
      </c>
      <c r="V1632" t="s">
        <v>76</v>
      </c>
      <c r="X1632" t="s">
        <v>77</v>
      </c>
      <c r="Y1632" s="1" t="str">
        <f t="shared" si="154"/>
        <v>NORWAY</v>
      </c>
      <c r="Z1632" s="4" t="str">
        <f t="shared" si="155"/>
        <v>Norway</v>
      </c>
      <c r="AA1632" t="s">
        <v>78</v>
      </c>
      <c r="AB1632" t="s">
        <v>42</v>
      </c>
      <c r="AC1632" t="s">
        <v>79</v>
      </c>
      <c r="AD1632" t="s">
        <v>80</v>
      </c>
      <c r="AE1632" t="s">
        <v>36</v>
      </c>
    </row>
    <row r="1633" spans="1:31" x14ac:dyDescent="0.3">
      <c r="A1633">
        <v>10304</v>
      </c>
      <c r="B1633">
        <v>44</v>
      </c>
      <c r="C1633">
        <v>39.42</v>
      </c>
      <c r="D1633">
        <v>15</v>
      </c>
      <c r="E1633" s="4" t="str">
        <f t="shared" si="150"/>
        <v>low sales</v>
      </c>
      <c r="F1633">
        <v>1734.48</v>
      </c>
      <c r="G1633" t="s">
        <v>2305</v>
      </c>
      <c r="H1633" s="1" t="str">
        <f t="shared" si="151"/>
        <v>Shipped</v>
      </c>
      <c r="I1633" s="4" t="str">
        <f t="shared" si="152"/>
        <v>completed</v>
      </c>
      <c r="J1633" t="s">
        <v>25</v>
      </c>
      <c r="K1633">
        <v>4</v>
      </c>
      <c r="L1633">
        <v>10</v>
      </c>
      <c r="M1633">
        <v>2004</v>
      </c>
      <c r="N1633" t="s">
        <v>550</v>
      </c>
      <c r="O1633">
        <v>44</v>
      </c>
      <c r="P1633" t="s">
        <v>628</v>
      </c>
      <c r="Q1633" t="s">
        <v>267</v>
      </c>
      <c r="R1633" t="s">
        <v>268</v>
      </c>
      <c r="S1633" t="s">
        <v>269</v>
      </c>
      <c r="U1633" s="1" t="str">
        <f t="shared" si="153"/>
        <v>Versailles</v>
      </c>
      <c r="V1633" t="s">
        <v>270</v>
      </c>
      <c r="X1633">
        <v>78000</v>
      </c>
      <c r="Y1633" s="1" t="str">
        <f t="shared" si="154"/>
        <v>FRANCE</v>
      </c>
      <c r="Z1633" s="4" t="str">
        <f t="shared" si="155"/>
        <v>France</v>
      </c>
      <c r="AA1633" t="s">
        <v>41</v>
      </c>
      <c r="AB1633" t="s">
        <v>42</v>
      </c>
      <c r="AC1633" t="s">
        <v>271</v>
      </c>
      <c r="AD1633" t="s">
        <v>50</v>
      </c>
      <c r="AE1633" t="s">
        <v>36</v>
      </c>
    </row>
    <row r="1634" spans="1:31" x14ac:dyDescent="0.3">
      <c r="A1634">
        <v>10312</v>
      </c>
      <c r="B1634">
        <v>23</v>
      </c>
      <c r="C1634">
        <v>37.630000000000003</v>
      </c>
      <c r="D1634">
        <v>12</v>
      </c>
      <c r="E1634" s="4" t="str">
        <f t="shared" si="150"/>
        <v>low sales</v>
      </c>
      <c r="F1634">
        <v>865.49</v>
      </c>
      <c r="G1634" t="s">
        <v>2306</v>
      </c>
      <c r="H1634" s="1" t="str">
        <f t="shared" si="151"/>
        <v>Shipped</v>
      </c>
      <c r="I1634" s="4" t="str">
        <f t="shared" si="152"/>
        <v>completed</v>
      </c>
      <c r="J1634" t="s">
        <v>25</v>
      </c>
      <c r="K1634">
        <v>4</v>
      </c>
      <c r="L1634">
        <v>10</v>
      </c>
      <c r="M1634">
        <v>2004</v>
      </c>
      <c r="N1634" t="s">
        <v>550</v>
      </c>
      <c r="O1634">
        <v>44</v>
      </c>
      <c r="P1634" t="s">
        <v>628</v>
      </c>
      <c r="Q1634" t="s">
        <v>272</v>
      </c>
      <c r="R1634">
        <v>4155551450</v>
      </c>
      <c r="S1634" t="s">
        <v>273</v>
      </c>
      <c r="U1634" s="1" t="str">
        <f t="shared" si="153"/>
        <v>San Rafael</v>
      </c>
      <c r="V1634" t="s">
        <v>274</v>
      </c>
      <c r="W1634" t="s">
        <v>55</v>
      </c>
      <c r="X1634">
        <v>97562</v>
      </c>
      <c r="Y1634" s="1" t="str">
        <f t="shared" si="154"/>
        <v>USA</v>
      </c>
      <c r="Z1634" s="4" t="str">
        <f t="shared" si="155"/>
        <v>Usa</v>
      </c>
      <c r="AA1634" t="s">
        <v>32</v>
      </c>
      <c r="AB1634" t="s">
        <v>33</v>
      </c>
      <c r="AC1634" t="s">
        <v>275</v>
      </c>
      <c r="AD1634" t="s">
        <v>276</v>
      </c>
      <c r="AE1634" t="s">
        <v>36</v>
      </c>
    </row>
    <row r="1635" spans="1:31" x14ac:dyDescent="0.3">
      <c r="A1635">
        <v>10322</v>
      </c>
      <c r="B1635">
        <v>30</v>
      </c>
      <c r="C1635">
        <v>100</v>
      </c>
      <c r="D1635">
        <v>4</v>
      </c>
      <c r="E1635" s="4" t="str">
        <f t="shared" si="150"/>
        <v>low sales</v>
      </c>
      <c r="F1635">
        <v>3500.1</v>
      </c>
      <c r="G1635" t="s">
        <v>2307</v>
      </c>
      <c r="H1635" s="1" t="str">
        <f t="shared" si="151"/>
        <v>Shipped</v>
      </c>
      <c r="I1635" s="4" t="str">
        <f t="shared" si="152"/>
        <v>completed</v>
      </c>
      <c r="J1635" t="s">
        <v>25</v>
      </c>
      <c r="K1635">
        <v>4</v>
      </c>
      <c r="L1635">
        <v>11</v>
      </c>
      <c r="M1635">
        <v>2004</v>
      </c>
      <c r="N1635" t="s">
        <v>550</v>
      </c>
      <c r="O1635">
        <v>44</v>
      </c>
      <c r="P1635" t="s">
        <v>628</v>
      </c>
      <c r="Q1635" t="s">
        <v>277</v>
      </c>
      <c r="R1635">
        <v>6035558647</v>
      </c>
      <c r="S1635" t="s">
        <v>278</v>
      </c>
      <c r="U1635" s="1" t="str">
        <f t="shared" si="153"/>
        <v>Nashua</v>
      </c>
      <c r="V1635" t="s">
        <v>279</v>
      </c>
      <c r="W1635" t="s">
        <v>280</v>
      </c>
      <c r="X1635">
        <v>62005</v>
      </c>
      <c r="Y1635" s="1" t="str">
        <f t="shared" si="154"/>
        <v>USA</v>
      </c>
      <c r="Z1635" s="4" t="str">
        <f t="shared" si="155"/>
        <v>Usa</v>
      </c>
      <c r="AA1635" t="s">
        <v>32</v>
      </c>
      <c r="AB1635" t="s">
        <v>33</v>
      </c>
      <c r="AC1635" t="s">
        <v>56</v>
      </c>
      <c r="AD1635" t="s">
        <v>276</v>
      </c>
      <c r="AE1635" t="s">
        <v>51</v>
      </c>
    </row>
    <row r="1636" spans="1:31" x14ac:dyDescent="0.3">
      <c r="A1636">
        <v>10332</v>
      </c>
      <c r="B1636">
        <v>26</v>
      </c>
      <c r="C1636">
        <v>85.52</v>
      </c>
      <c r="D1636">
        <v>10</v>
      </c>
      <c r="E1636" s="4" t="str">
        <f t="shared" si="150"/>
        <v>low sales</v>
      </c>
      <c r="F1636">
        <v>2223.52</v>
      </c>
      <c r="G1636" t="s">
        <v>2308</v>
      </c>
      <c r="H1636" s="1" t="str">
        <f t="shared" si="151"/>
        <v>Shipped</v>
      </c>
      <c r="I1636" s="4" t="str">
        <f t="shared" si="152"/>
        <v>completed</v>
      </c>
      <c r="J1636" t="s">
        <v>25</v>
      </c>
      <c r="K1636">
        <v>4</v>
      </c>
      <c r="L1636">
        <v>11</v>
      </c>
      <c r="M1636">
        <v>2004</v>
      </c>
      <c r="N1636" t="s">
        <v>550</v>
      </c>
      <c r="O1636">
        <v>44</v>
      </c>
      <c r="P1636" t="s">
        <v>628</v>
      </c>
      <c r="Q1636" t="s">
        <v>492</v>
      </c>
      <c r="R1636" t="s">
        <v>493</v>
      </c>
      <c r="S1636" t="s">
        <v>494</v>
      </c>
      <c r="U1636" s="1" t="str">
        <f t="shared" si="153"/>
        <v>Manchester</v>
      </c>
      <c r="V1636" t="s">
        <v>495</v>
      </c>
      <c r="X1636" t="s">
        <v>496</v>
      </c>
      <c r="Y1636" s="1" t="str">
        <f t="shared" si="154"/>
        <v>UK</v>
      </c>
      <c r="Z1636" s="4" t="str">
        <f t="shared" si="155"/>
        <v>Uk</v>
      </c>
      <c r="AA1636" t="s">
        <v>170</v>
      </c>
      <c r="AB1636" t="s">
        <v>42</v>
      </c>
      <c r="AC1636" t="s">
        <v>497</v>
      </c>
      <c r="AD1636" t="s">
        <v>94</v>
      </c>
      <c r="AE1636" t="s">
        <v>36</v>
      </c>
    </row>
    <row r="1637" spans="1:31" x14ac:dyDescent="0.3">
      <c r="A1637">
        <v>10345</v>
      </c>
      <c r="B1637">
        <v>43</v>
      </c>
      <c r="C1637">
        <v>53.76</v>
      </c>
      <c r="D1637">
        <v>1</v>
      </c>
      <c r="E1637" s="4" t="str">
        <f t="shared" si="150"/>
        <v>low sales</v>
      </c>
      <c r="F1637">
        <v>2311.6799999999998</v>
      </c>
      <c r="G1637" t="s">
        <v>2309</v>
      </c>
      <c r="H1637" s="1" t="str">
        <f t="shared" si="151"/>
        <v>Shipped</v>
      </c>
      <c r="I1637" s="4" t="str">
        <f t="shared" si="152"/>
        <v>completed</v>
      </c>
      <c r="J1637" t="s">
        <v>25</v>
      </c>
      <c r="K1637">
        <v>4</v>
      </c>
      <c r="L1637">
        <v>11</v>
      </c>
      <c r="M1637">
        <v>2004</v>
      </c>
      <c r="N1637" t="s">
        <v>550</v>
      </c>
      <c r="O1637">
        <v>44</v>
      </c>
      <c r="P1637" t="s">
        <v>628</v>
      </c>
      <c r="Q1637" t="s">
        <v>312</v>
      </c>
      <c r="R1637" t="s">
        <v>313</v>
      </c>
      <c r="S1637" t="s">
        <v>314</v>
      </c>
      <c r="U1637" s="1" t="str">
        <f t="shared" si="153"/>
        <v>Nantes</v>
      </c>
      <c r="V1637" t="s">
        <v>117</v>
      </c>
      <c r="X1637">
        <v>44000</v>
      </c>
      <c r="Y1637" s="1" t="str">
        <f t="shared" si="154"/>
        <v>FRANCE</v>
      </c>
      <c r="Z1637" s="4" t="str">
        <f t="shared" si="155"/>
        <v>France</v>
      </c>
      <c r="AA1637" t="s">
        <v>41</v>
      </c>
      <c r="AB1637" t="s">
        <v>42</v>
      </c>
      <c r="AC1637" t="s">
        <v>315</v>
      </c>
      <c r="AD1637" t="s">
        <v>316</v>
      </c>
      <c r="AE1637" t="s">
        <v>36</v>
      </c>
    </row>
    <row r="1638" spans="1:31" x14ac:dyDescent="0.3">
      <c r="A1638">
        <v>10356</v>
      </c>
      <c r="B1638">
        <v>26</v>
      </c>
      <c r="C1638">
        <v>31.86</v>
      </c>
      <c r="D1638">
        <v>7</v>
      </c>
      <c r="E1638" s="4" t="str">
        <f t="shared" si="150"/>
        <v>low sales</v>
      </c>
      <c r="F1638">
        <v>828.36</v>
      </c>
      <c r="G1638" t="s">
        <v>2310</v>
      </c>
      <c r="H1638" s="1" t="str">
        <f t="shared" si="151"/>
        <v>Shipped</v>
      </c>
      <c r="I1638" s="4" t="str">
        <f t="shared" si="152"/>
        <v>completed</v>
      </c>
      <c r="J1638" t="s">
        <v>25</v>
      </c>
      <c r="K1638">
        <v>4</v>
      </c>
      <c r="L1638">
        <v>12</v>
      </c>
      <c r="M1638">
        <v>2004</v>
      </c>
      <c r="N1638" t="s">
        <v>550</v>
      </c>
      <c r="O1638">
        <v>44</v>
      </c>
      <c r="P1638" t="s">
        <v>628</v>
      </c>
      <c r="Q1638" t="s">
        <v>45</v>
      </c>
      <c r="R1638" t="s">
        <v>46</v>
      </c>
      <c r="S1638" t="s">
        <v>47</v>
      </c>
      <c r="U1638" s="1" t="str">
        <f t="shared" si="153"/>
        <v>Paris</v>
      </c>
      <c r="V1638" t="s">
        <v>48</v>
      </c>
      <c r="X1638">
        <v>75508</v>
      </c>
      <c r="Y1638" s="1" t="str">
        <f t="shared" si="154"/>
        <v>FRANCE</v>
      </c>
      <c r="Z1638" s="4" t="str">
        <f t="shared" si="155"/>
        <v>France</v>
      </c>
      <c r="AA1638" t="s">
        <v>41</v>
      </c>
      <c r="AB1638" t="s">
        <v>42</v>
      </c>
      <c r="AC1638" t="s">
        <v>49</v>
      </c>
      <c r="AD1638" t="s">
        <v>50</v>
      </c>
      <c r="AE1638" t="s">
        <v>36</v>
      </c>
    </row>
    <row r="1639" spans="1:31" x14ac:dyDescent="0.3">
      <c r="A1639">
        <v>10367</v>
      </c>
      <c r="B1639">
        <v>28</v>
      </c>
      <c r="C1639">
        <v>30.59</v>
      </c>
      <c r="D1639">
        <v>12</v>
      </c>
      <c r="E1639" s="4" t="str">
        <f t="shared" si="150"/>
        <v>low sales</v>
      </c>
      <c r="F1639">
        <v>856.52</v>
      </c>
      <c r="G1639" t="s">
        <v>2311</v>
      </c>
      <c r="H1639" s="1" t="str">
        <f t="shared" si="151"/>
        <v>Resolved</v>
      </c>
      <c r="I1639" s="4" t="str">
        <f t="shared" si="152"/>
        <v>not completed</v>
      </c>
      <c r="J1639" t="s">
        <v>408</v>
      </c>
      <c r="K1639">
        <v>1</v>
      </c>
      <c r="L1639">
        <v>1</v>
      </c>
      <c r="M1639">
        <v>2005</v>
      </c>
      <c r="N1639" t="s">
        <v>550</v>
      </c>
      <c r="O1639">
        <v>44</v>
      </c>
      <c r="P1639" t="s">
        <v>628</v>
      </c>
      <c r="Q1639" t="s">
        <v>52</v>
      </c>
      <c r="R1639">
        <v>6265557265</v>
      </c>
      <c r="S1639" t="s">
        <v>53</v>
      </c>
      <c r="U1639" s="1" t="str">
        <f t="shared" si="153"/>
        <v>Pasadena</v>
      </c>
      <c r="V1639" t="s">
        <v>54</v>
      </c>
      <c r="W1639" t="s">
        <v>55</v>
      </c>
      <c r="X1639">
        <v>90003</v>
      </c>
      <c r="Y1639" s="1" t="str">
        <f t="shared" si="154"/>
        <v>USA</v>
      </c>
      <c r="Z1639" s="4" t="str">
        <f t="shared" si="155"/>
        <v>Usa</v>
      </c>
      <c r="AA1639" t="s">
        <v>32</v>
      </c>
      <c r="AB1639" t="s">
        <v>33</v>
      </c>
      <c r="AC1639" t="s">
        <v>56</v>
      </c>
      <c r="AD1639" t="s">
        <v>57</v>
      </c>
      <c r="AE1639" t="s">
        <v>36</v>
      </c>
    </row>
    <row r="1640" spans="1:31" x14ac:dyDescent="0.3">
      <c r="A1640">
        <v>10380</v>
      </c>
      <c r="B1640">
        <v>27</v>
      </c>
      <c r="C1640">
        <v>68.349999999999994</v>
      </c>
      <c r="D1640">
        <v>5</v>
      </c>
      <c r="E1640" s="4" t="str">
        <f t="shared" si="150"/>
        <v>low sales</v>
      </c>
      <c r="F1640">
        <v>1845.45</v>
      </c>
      <c r="G1640" t="s">
        <v>2312</v>
      </c>
      <c r="H1640" s="1" t="str">
        <f t="shared" si="151"/>
        <v>Shipped</v>
      </c>
      <c r="I1640" s="4" t="str">
        <f t="shared" si="152"/>
        <v>completed</v>
      </c>
      <c r="J1640" t="s">
        <v>25</v>
      </c>
      <c r="K1640">
        <v>1</v>
      </c>
      <c r="L1640">
        <v>2</v>
      </c>
      <c r="M1640">
        <v>2005</v>
      </c>
      <c r="N1640" t="s">
        <v>550</v>
      </c>
      <c r="O1640">
        <v>44</v>
      </c>
      <c r="P1640" t="s">
        <v>628</v>
      </c>
      <c r="Q1640" t="s">
        <v>174</v>
      </c>
      <c r="R1640" t="s">
        <v>175</v>
      </c>
      <c r="S1640" t="s">
        <v>176</v>
      </c>
      <c r="U1640" s="1" t="str">
        <f t="shared" si="153"/>
        <v>Madrid</v>
      </c>
      <c r="V1640" t="s">
        <v>177</v>
      </c>
      <c r="X1640">
        <v>28034</v>
      </c>
      <c r="Y1640" s="1" t="str">
        <f t="shared" si="154"/>
        <v>SPAIN</v>
      </c>
      <c r="Z1640" s="4" t="str">
        <f t="shared" si="155"/>
        <v>Spain</v>
      </c>
      <c r="AA1640" t="s">
        <v>178</v>
      </c>
      <c r="AB1640" t="s">
        <v>42</v>
      </c>
      <c r="AC1640" t="s">
        <v>179</v>
      </c>
      <c r="AD1640" t="s">
        <v>180</v>
      </c>
      <c r="AE1640" t="s">
        <v>36</v>
      </c>
    </row>
    <row r="1641" spans="1:31" x14ac:dyDescent="0.3">
      <c r="A1641">
        <v>10391</v>
      </c>
      <c r="B1641">
        <v>24</v>
      </c>
      <c r="C1641">
        <v>100</v>
      </c>
      <c r="D1641">
        <v>1</v>
      </c>
      <c r="E1641" s="4" t="str">
        <f t="shared" si="150"/>
        <v>high sales</v>
      </c>
      <c r="F1641">
        <v>4042.08</v>
      </c>
      <c r="G1641" t="s">
        <v>2313</v>
      </c>
      <c r="H1641" s="1" t="str">
        <f t="shared" si="151"/>
        <v>Shipped</v>
      </c>
      <c r="I1641" s="4" t="str">
        <f t="shared" si="152"/>
        <v>completed</v>
      </c>
      <c r="J1641" t="s">
        <v>25</v>
      </c>
      <c r="K1641">
        <v>1</v>
      </c>
      <c r="L1641">
        <v>3</v>
      </c>
      <c r="M1641">
        <v>2005</v>
      </c>
      <c r="N1641" t="s">
        <v>550</v>
      </c>
      <c r="O1641">
        <v>44</v>
      </c>
      <c r="P1641" t="s">
        <v>628</v>
      </c>
      <c r="Q1641" t="s">
        <v>285</v>
      </c>
      <c r="R1641" t="s">
        <v>286</v>
      </c>
      <c r="S1641" t="s">
        <v>287</v>
      </c>
      <c r="T1641" t="s">
        <v>288</v>
      </c>
      <c r="U1641" s="1" t="str">
        <f t="shared" si="153"/>
        <v>North Sydney</v>
      </c>
      <c r="V1641" t="s">
        <v>289</v>
      </c>
      <c r="W1641" t="s">
        <v>157</v>
      </c>
      <c r="X1641">
        <v>2060</v>
      </c>
      <c r="Y1641" s="1" t="str">
        <f t="shared" si="154"/>
        <v>AUSTRALIA</v>
      </c>
      <c r="Z1641" s="4" t="str">
        <f t="shared" si="155"/>
        <v>Australia</v>
      </c>
      <c r="AA1641" t="s">
        <v>95</v>
      </c>
      <c r="AB1641" t="s">
        <v>96</v>
      </c>
      <c r="AC1641" t="s">
        <v>290</v>
      </c>
      <c r="AD1641" t="s">
        <v>291</v>
      </c>
      <c r="AE1641" t="s">
        <v>51</v>
      </c>
    </row>
    <row r="1642" spans="1:31" x14ac:dyDescent="0.3">
      <c r="A1642">
        <v>10421</v>
      </c>
      <c r="B1642">
        <v>40</v>
      </c>
      <c r="C1642">
        <v>45.7</v>
      </c>
      <c r="D1642">
        <v>2</v>
      </c>
      <c r="E1642" s="4" t="str">
        <f t="shared" si="150"/>
        <v>low sales</v>
      </c>
      <c r="F1642">
        <v>1828</v>
      </c>
      <c r="G1642" t="s">
        <v>2314</v>
      </c>
      <c r="H1642" s="1" t="str">
        <f t="shared" si="151"/>
        <v>In Process</v>
      </c>
      <c r="I1642" s="4" t="str">
        <f t="shared" si="152"/>
        <v>not completed</v>
      </c>
      <c r="J1642" t="s">
        <v>300</v>
      </c>
      <c r="K1642">
        <v>2</v>
      </c>
      <c r="L1642">
        <v>5</v>
      </c>
      <c r="M1642">
        <v>2005</v>
      </c>
      <c r="N1642" t="s">
        <v>550</v>
      </c>
      <c r="O1642">
        <v>44</v>
      </c>
      <c r="P1642" t="s">
        <v>628</v>
      </c>
      <c r="Q1642" t="s">
        <v>272</v>
      </c>
      <c r="R1642">
        <v>4155551450</v>
      </c>
      <c r="S1642" t="s">
        <v>273</v>
      </c>
      <c r="U1642" s="1" t="str">
        <f t="shared" si="153"/>
        <v>San Rafael</v>
      </c>
      <c r="V1642" t="s">
        <v>274</v>
      </c>
      <c r="W1642" t="s">
        <v>55</v>
      </c>
      <c r="X1642">
        <v>97562</v>
      </c>
      <c r="Y1642" s="1" t="str">
        <f t="shared" si="154"/>
        <v>USA</v>
      </c>
      <c r="Z1642" s="4" t="str">
        <f t="shared" si="155"/>
        <v>Usa</v>
      </c>
      <c r="AA1642" t="s">
        <v>32</v>
      </c>
      <c r="AB1642" t="s">
        <v>33</v>
      </c>
      <c r="AC1642" t="s">
        <v>275</v>
      </c>
      <c r="AD1642" t="s">
        <v>276</v>
      </c>
      <c r="AE1642" t="s">
        <v>36</v>
      </c>
    </row>
    <row r="1643" spans="1:31" x14ac:dyDescent="0.3">
      <c r="A1643">
        <v>10103</v>
      </c>
      <c r="B1643">
        <v>36</v>
      </c>
      <c r="C1643">
        <v>100</v>
      </c>
      <c r="D1643">
        <v>1</v>
      </c>
      <c r="E1643" s="4" t="str">
        <f t="shared" si="150"/>
        <v>low sales</v>
      </c>
      <c r="F1643">
        <v>3680.28</v>
      </c>
      <c r="G1643" t="s">
        <v>2315</v>
      </c>
      <c r="H1643" s="1" t="str">
        <f t="shared" si="151"/>
        <v>Shipped</v>
      </c>
      <c r="I1643" s="4" t="str">
        <f t="shared" si="152"/>
        <v>completed</v>
      </c>
      <c r="J1643" t="s">
        <v>25</v>
      </c>
      <c r="K1643">
        <v>1</v>
      </c>
      <c r="L1643">
        <v>1</v>
      </c>
      <c r="M1643">
        <v>2003</v>
      </c>
      <c r="N1643" t="s">
        <v>504</v>
      </c>
      <c r="O1643">
        <v>127</v>
      </c>
      <c r="P1643" t="s">
        <v>629</v>
      </c>
      <c r="Q1643" t="s">
        <v>133</v>
      </c>
      <c r="R1643" t="s">
        <v>134</v>
      </c>
      <c r="S1643" t="s">
        <v>135</v>
      </c>
      <c r="U1643" s="1" t="str">
        <f t="shared" si="153"/>
        <v>Stavern</v>
      </c>
      <c r="V1643" t="s">
        <v>136</v>
      </c>
      <c r="X1643">
        <v>4110</v>
      </c>
      <c r="Y1643" s="1" t="str">
        <f t="shared" si="154"/>
        <v>NORWAY</v>
      </c>
      <c r="Z1643" s="4" t="str">
        <f t="shared" si="155"/>
        <v>Norway</v>
      </c>
      <c r="AA1643" t="s">
        <v>78</v>
      </c>
      <c r="AB1643" t="s">
        <v>42</v>
      </c>
      <c r="AC1643" t="s">
        <v>137</v>
      </c>
      <c r="AD1643" t="s">
        <v>138</v>
      </c>
      <c r="AE1643" t="s">
        <v>51</v>
      </c>
    </row>
    <row r="1644" spans="1:31" x14ac:dyDescent="0.3">
      <c r="A1644">
        <v>10114</v>
      </c>
      <c r="B1644">
        <v>21</v>
      </c>
      <c r="C1644">
        <v>100</v>
      </c>
      <c r="D1644">
        <v>5</v>
      </c>
      <c r="E1644" s="4" t="str">
        <f t="shared" si="150"/>
        <v>low sales</v>
      </c>
      <c r="F1644">
        <v>2925.09</v>
      </c>
      <c r="G1644" t="s">
        <v>2316</v>
      </c>
      <c r="H1644" s="1" t="str">
        <f t="shared" si="151"/>
        <v>Shipped</v>
      </c>
      <c r="I1644" s="4" t="str">
        <f t="shared" si="152"/>
        <v>completed</v>
      </c>
      <c r="J1644" t="s">
        <v>25</v>
      </c>
      <c r="K1644">
        <v>2</v>
      </c>
      <c r="L1644">
        <v>4</v>
      </c>
      <c r="M1644">
        <v>2003</v>
      </c>
      <c r="N1644" t="s">
        <v>504</v>
      </c>
      <c r="O1644">
        <v>127</v>
      </c>
      <c r="P1644" t="s">
        <v>629</v>
      </c>
      <c r="Q1644" t="s">
        <v>403</v>
      </c>
      <c r="R1644" t="s">
        <v>404</v>
      </c>
      <c r="S1644" t="s">
        <v>405</v>
      </c>
      <c r="U1644" s="1" t="str">
        <f t="shared" si="153"/>
        <v>Paris</v>
      </c>
      <c r="V1644" t="s">
        <v>48</v>
      </c>
      <c r="X1644">
        <v>75012</v>
      </c>
      <c r="Y1644" s="1" t="str">
        <f t="shared" si="154"/>
        <v>FRANCE</v>
      </c>
      <c r="Z1644" s="4" t="str">
        <f t="shared" si="155"/>
        <v>France</v>
      </c>
      <c r="AA1644" t="s">
        <v>41</v>
      </c>
      <c r="AB1644" t="s">
        <v>42</v>
      </c>
      <c r="AC1644" t="s">
        <v>406</v>
      </c>
      <c r="AD1644" t="s">
        <v>407</v>
      </c>
      <c r="AE1644" t="s">
        <v>36</v>
      </c>
    </row>
    <row r="1645" spans="1:31" x14ac:dyDescent="0.3">
      <c r="A1645">
        <v>10126</v>
      </c>
      <c r="B1645">
        <v>27</v>
      </c>
      <c r="C1645">
        <v>100</v>
      </c>
      <c r="D1645">
        <v>1</v>
      </c>
      <c r="E1645" s="4" t="str">
        <f t="shared" si="150"/>
        <v>low sales</v>
      </c>
      <c r="F1645">
        <v>3415.77</v>
      </c>
      <c r="G1645" t="s">
        <v>2317</v>
      </c>
      <c r="H1645" s="1" t="str">
        <f t="shared" si="151"/>
        <v>Shipped</v>
      </c>
      <c r="I1645" s="4" t="str">
        <f t="shared" si="152"/>
        <v>completed</v>
      </c>
      <c r="J1645" t="s">
        <v>25</v>
      </c>
      <c r="K1645">
        <v>2</v>
      </c>
      <c r="L1645">
        <v>5</v>
      </c>
      <c r="M1645">
        <v>2003</v>
      </c>
      <c r="N1645" t="s">
        <v>504</v>
      </c>
      <c r="O1645">
        <v>127</v>
      </c>
      <c r="P1645" t="s">
        <v>629</v>
      </c>
      <c r="Q1645" t="s">
        <v>191</v>
      </c>
      <c r="R1645" t="s">
        <v>192</v>
      </c>
      <c r="S1645" t="s">
        <v>193</v>
      </c>
      <c r="U1645" s="1" t="str">
        <f t="shared" si="153"/>
        <v>Madrid</v>
      </c>
      <c r="V1645" t="s">
        <v>177</v>
      </c>
      <c r="X1645">
        <v>28023</v>
      </c>
      <c r="Y1645" s="1" t="str">
        <f t="shared" si="154"/>
        <v>SPAIN</v>
      </c>
      <c r="Z1645" s="4" t="str">
        <f t="shared" si="155"/>
        <v>Spain</v>
      </c>
      <c r="AA1645" t="s">
        <v>178</v>
      </c>
      <c r="AB1645" t="s">
        <v>42</v>
      </c>
      <c r="AC1645" t="s">
        <v>194</v>
      </c>
      <c r="AD1645" t="s">
        <v>195</v>
      </c>
      <c r="AE1645" t="s">
        <v>51</v>
      </c>
    </row>
    <row r="1646" spans="1:31" x14ac:dyDescent="0.3">
      <c r="A1646">
        <v>10140</v>
      </c>
      <c r="B1646">
        <v>47</v>
      </c>
      <c r="C1646">
        <v>100</v>
      </c>
      <c r="D1646">
        <v>1</v>
      </c>
      <c r="E1646" s="4" t="str">
        <f t="shared" si="150"/>
        <v>high sales</v>
      </c>
      <c r="F1646">
        <v>5105.1400000000003</v>
      </c>
      <c r="G1646" t="s">
        <v>2318</v>
      </c>
      <c r="H1646" s="1" t="str">
        <f t="shared" si="151"/>
        <v>Shipped</v>
      </c>
      <c r="I1646" s="4" t="str">
        <f t="shared" si="152"/>
        <v>completed</v>
      </c>
      <c r="J1646" t="s">
        <v>25</v>
      </c>
      <c r="K1646">
        <v>3</v>
      </c>
      <c r="L1646">
        <v>7</v>
      </c>
      <c r="M1646">
        <v>2003</v>
      </c>
      <c r="N1646" t="s">
        <v>504</v>
      </c>
      <c r="O1646">
        <v>127</v>
      </c>
      <c r="P1646" t="s">
        <v>629</v>
      </c>
      <c r="Q1646" t="s">
        <v>62</v>
      </c>
      <c r="R1646">
        <v>6505556809</v>
      </c>
      <c r="S1646" t="s">
        <v>63</v>
      </c>
      <c r="U1646" s="1" t="str">
        <f t="shared" si="153"/>
        <v>Burlingame</v>
      </c>
      <c r="V1646" t="s">
        <v>64</v>
      </c>
      <c r="W1646" t="s">
        <v>55</v>
      </c>
      <c r="X1646">
        <v>94217</v>
      </c>
      <c r="Y1646" s="1" t="str">
        <f t="shared" si="154"/>
        <v>USA</v>
      </c>
      <c r="Z1646" s="4" t="str">
        <f t="shared" si="155"/>
        <v>Usa</v>
      </c>
      <c r="AA1646" t="s">
        <v>32</v>
      </c>
      <c r="AB1646" t="s">
        <v>33</v>
      </c>
      <c r="AC1646" t="s">
        <v>65</v>
      </c>
      <c r="AD1646" t="s">
        <v>66</v>
      </c>
      <c r="AE1646" t="s">
        <v>51</v>
      </c>
    </row>
    <row r="1647" spans="1:31" x14ac:dyDescent="0.3">
      <c r="A1647">
        <v>10151</v>
      </c>
      <c r="B1647">
        <v>42</v>
      </c>
      <c r="C1647">
        <v>100</v>
      </c>
      <c r="D1647">
        <v>8</v>
      </c>
      <c r="E1647" s="4" t="str">
        <f t="shared" si="150"/>
        <v>high sales</v>
      </c>
      <c r="F1647">
        <v>5098.8</v>
      </c>
      <c r="G1647" t="s">
        <v>2319</v>
      </c>
      <c r="H1647" s="1" t="str">
        <f t="shared" si="151"/>
        <v>Shipped</v>
      </c>
      <c r="I1647" s="4" t="str">
        <f t="shared" si="152"/>
        <v>completed</v>
      </c>
      <c r="J1647" t="s">
        <v>25</v>
      </c>
      <c r="K1647">
        <v>3</v>
      </c>
      <c r="L1647">
        <v>9</v>
      </c>
      <c r="M1647">
        <v>2003</v>
      </c>
      <c r="N1647" t="s">
        <v>504</v>
      </c>
      <c r="O1647">
        <v>127</v>
      </c>
      <c r="P1647" t="s">
        <v>629</v>
      </c>
      <c r="Q1647" t="s">
        <v>391</v>
      </c>
      <c r="R1647" t="s">
        <v>392</v>
      </c>
      <c r="S1647" t="s">
        <v>393</v>
      </c>
      <c r="U1647" s="1" t="str">
        <f t="shared" si="153"/>
        <v>Oulu</v>
      </c>
      <c r="V1647" t="s">
        <v>394</v>
      </c>
      <c r="X1647">
        <v>90110</v>
      </c>
      <c r="Y1647" s="1" t="str">
        <f t="shared" si="154"/>
        <v>FINLAND</v>
      </c>
      <c r="Z1647" s="4" t="str">
        <f t="shared" si="155"/>
        <v>Finland</v>
      </c>
      <c r="AA1647" t="s">
        <v>130</v>
      </c>
      <c r="AB1647" t="s">
        <v>42</v>
      </c>
      <c r="AC1647" t="s">
        <v>395</v>
      </c>
      <c r="AD1647" t="s">
        <v>396</v>
      </c>
      <c r="AE1647" t="s">
        <v>51</v>
      </c>
    </row>
    <row r="1648" spans="1:31" x14ac:dyDescent="0.3">
      <c r="A1648">
        <v>10165</v>
      </c>
      <c r="B1648">
        <v>32</v>
      </c>
      <c r="C1648">
        <v>100</v>
      </c>
      <c r="D1648">
        <v>17</v>
      </c>
      <c r="E1648" s="4" t="str">
        <f t="shared" si="150"/>
        <v>high sales</v>
      </c>
      <c r="F1648">
        <v>4661.76</v>
      </c>
      <c r="G1648" t="s">
        <v>2320</v>
      </c>
      <c r="H1648" s="1" t="str">
        <f t="shared" si="151"/>
        <v>Shipped</v>
      </c>
      <c r="I1648" s="4" t="str">
        <f t="shared" si="152"/>
        <v>completed</v>
      </c>
      <c r="J1648" t="s">
        <v>25</v>
      </c>
      <c r="K1648">
        <v>4</v>
      </c>
      <c r="L1648">
        <v>10</v>
      </c>
      <c r="M1648">
        <v>2003</v>
      </c>
      <c r="N1648" t="s">
        <v>504</v>
      </c>
      <c r="O1648">
        <v>127</v>
      </c>
      <c r="P1648" t="s">
        <v>629</v>
      </c>
      <c r="Q1648" t="s">
        <v>196</v>
      </c>
      <c r="R1648" t="s">
        <v>197</v>
      </c>
      <c r="S1648" t="s">
        <v>198</v>
      </c>
      <c r="U1648" s="1" t="str">
        <f t="shared" si="153"/>
        <v>Singapore</v>
      </c>
      <c r="V1648" t="s">
        <v>199</v>
      </c>
      <c r="X1648">
        <v>79903</v>
      </c>
      <c r="Y1648" s="1" t="str">
        <f t="shared" si="154"/>
        <v>SINGAPORE</v>
      </c>
      <c r="Z1648" s="4" t="str">
        <f t="shared" si="155"/>
        <v>Singapore</v>
      </c>
      <c r="AA1648" t="s">
        <v>199</v>
      </c>
      <c r="AB1648" t="s">
        <v>200</v>
      </c>
      <c r="AC1648" t="s">
        <v>201</v>
      </c>
      <c r="AD1648" t="s">
        <v>202</v>
      </c>
      <c r="AE1648" t="s">
        <v>51</v>
      </c>
    </row>
    <row r="1649" spans="1:31" x14ac:dyDescent="0.3">
      <c r="A1649">
        <v>10175</v>
      </c>
      <c r="B1649">
        <v>28</v>
      </c>
      <c r="C1649">
        <v>100</v>
      </c>
      <c r="D1649">
        <v>6</v>
      </c>
      <c r="E1649" s="4" t="str">
        <f t="shared" si="150"/>
        <v>low sales</v>
      </c>
      <c r="F1649">
        <v>2969.96</v>
      </c>
      <c r="G1649" t="s">
        <v>2321</v>
      </c>
      <c r="H1649" s="1" t="str">
        <f t="shared" si="151"/>
        <v>Shipped</v>
      </c>
      <c r="I1649" s="4" t="str">
        <f t="shared" si="152"/>
        <v>completed</v>
      </c>
      <c r="J1649" t="s">
        <v>25</v>
      </c>
      <c r="K1649">
        <v>4</v>
      </c>
      <c r="L1649">
        <v>11</v>
      </c>
      <c r="M1649">
        <v>2003</v>
      </c>
      <c r="N1649" t="s">
        <v>504</v>
      </c>
      <c r="O1649">
        <v>127</v>
      </c>
      <c r="P1649" t="s">
        <v>629</v>
      </c>
      <c r="Q1649" t="s">
        <v>329</v>
      </c>
      <c r="R1649" t="s">
        <v>330</v>
      </c>
      <c r="S1649" t="s">
        <v>331</v>
      </c>
      <c r="U1649" s="1" t="str">
        <f t="shared" si="153"/>
        <v>London</v>
      </c>
      <c r="V1649" t="s">
        <v>332</v>
      </c>
      <c r="X1649" t="s">
        <v>333</v>
      </c>
      <c r="Y1649" s="1" t="str">
        <f t="shared" si="154"/>
        <v>UK</v>
      </c>
      <c r="Z1649" s="4" t="str">
        <f t="shared" si="155"/>
        <v>Uk</v>
      </c>
      <c r="AA1649" t="s">
        <v>170</v>
      </c>
      <c r="AB1649" t="s">
        <v>42</v>
      </c>
      <c r="AC1649" t="s">
        <v>61</v>
      </c>
      <c r="AD1649" t="s">
        <v>334</v>
      </c>
      <c r="AE1649" t="s">
        <v>36</v>
      </c>
    </row>
    <row r="1650" spans="1:31" x14ac:dyDescent="0.3">
      <c r="A1650">
        <v>10184</v>
      </c>
      <c r="B1650">
        <v>24</v>
      </c>
      <c r="C1650">
        <v>100</v>
      </c>
      <c r="D1650">
        <v>11</v>
      </c>
      <c r="E1650" s="4" t="str">
        <f t="shared" si="150"/>
        <v>low sales</v>
      </c>
      <c r="F1650">
        <v>3496.32</v>
      </c>
      <c r="G1650" t="s">
        <v>2322</v>
      </c>
      <c r="H1650" s="1" t="str">
        <f t="shared" si="151"/>
        <v>Shipped</v>
      </c>
      <c r="I1650" s="4" t="str">
        <f t="shared" si="152"/>
        <v>completed</v>
      </c>
      <c r="J1650" t="s">
        <v>25</v>
      </c>
      <c r="K1650">
        <v>4</v>
      </c>
      <c r="L1650">
        <v>11</v>
      </c>
      <c r="M1650">
        <v>2003</v>
      </c>
      <c r="N1650" t="s">
        <v>504</v>
      </c>
      <c r="O1650">
        <v>127</v>
      </c>
      <c r="P1650" t="s">
        <v>629</v>
      </c>
      <c r="Q1650" t="s">
        <v>520</v>
      </c>
      <c r="R1650" t="s">
        <v>521</v>
      </c>
      <c r="S1650" t="s">
        <v>522</v>
      </c>
      <c r="U1650" s="1" t="str">
        <f t="shared" si="153"/>
        <v>Sevilla</v>
      </c>
      <c r="V1650" t="s">
        <v>523</v>
      </c>
      <c r="X1650">
        <v>41101</v>
      </c>
      <c r="Y1650" s="1" t="str">
        <f t="shared" si="154"/>
        <v>SPAIN</v>
      </c>
      <c r="Z1650" s="4" t="str">
        <f t="shared" si="155"/>
        <v>Spain</v>
      </c>
      <c r="AA1650" t="s">
        <v>178</v>
      </c>
      <c r="AB1650" t="s">
        <v>42</v>
      </c>
      <c r="AC1650" t="s">
        <v>524</v>
      </c>
      <c r="AD1650" t="s">
        <v>525</v>
      </c>
      <c r="AE1650" t="s">
        <v>51</v>
      </c>
    </row>
    <row r="1651" spans="1:31" x14ac:dyDescent="0.3">
      <c r="A1651">
        <v>10194</v>
      </c>
      <c r="B1651">
        <v>49</v>
      </c>
      <c r="C1651">
        <v>100</v>
      </c>
      <c r="D1651">
        <v>1</v>
      </c>
      <c r="E1651" s="4" t="str">
        <f t="shared" si="150"/>
        <v>high sales</v>
      </c>
      <c r="F1651">
        <v>5760.93</v>
      </c>
      <c r="G1651" t="s">
        <v>2323</v>
      </c>
      <c r="H1651" s="1" t="str">
        <f t="shared" si="151"/>
        <v>Shipped</v>
      </c>
      <c r="I1651" s="4" t="str">
        <f t="shared" si="152"/>
        <v>completed</v>
      </c>
      <c r="J1651" t="s">
        <v>25</v>
      </c>
      <c r="K1651">
        <v>4</v>
      </c>
      <c r="L1651">
        <v>11</v>
      </c>
      <c r="M1651">
        <v>2003</v>
      </c>
      <c r="N1651" t="s">
        <v>504</v>
      </c>
      <c r="O1651">
        <v>127</v>
      </c>
      <c r="P1651" t="s">
        <v>629</v>
      </c>
      <c r="Q1651" t="s">
        <v>219</v>
      </c>
      <c r="R1651" t="s">
        <v>220</v>
      </c>
      <c r="S1651" t="s">
        <v>221</v>
      </c>
      <c r="U1651" s="1" t="str">
        <f t="shared" si="153"/>
        <v>Lyon</v>
      </c>
      <c r="V1651" t="s">
        <v>222</v>
      </c>
      <c r="X1651">
        <v>69004</v>
      </c>
      <c r="Y1651" s="1" t="str">
        <f t="shared" si="154"/>
        <v>FRANCE</v>
      </c>
      <c r="Z1651" s="4" t="str">
        <f t="shared" si="155"/>
        <v>France</v>
      </c>
      <c r="AA1651" t="s">
        <v>41</v>
      </c>
      <c r="AB1651" t="s">
        <v>42</v>
      </c>
      <c r="AC1651" t="s">
        <v>223</v>
      </c>
      <c r="AD1651" t="s">
        <v>224</v>
      </c>
      <c r="AE1651" t="s">
        <v>51</v>
      </c>
    </row>
    <row r="1652" spans="1:31" x14ac:dyDescent="0.3">
      <c r="A1652">
        <v>10207</v>
      </c>
      <c r="B1652">
        <v>46</v>
      </c>
      <c r="C1652">
        <v>100</v>
      </c>
      <c r="D1652">
        <v>12</v>
      </c>
      <c r="E1652" s="4" t="str">
        <f t="shared" si="150"/>
        <v>high sales</v>
      </c>
      <c r="F1652">
        <v>6819.04</v>
      </c>
      <c r="G1652" t="s">
        <v>2324</v>
      </c>
      <c r="H1652" s="1" t="str">
        <f t="shared" si="151"/>
        <v>Shipped</v>
      </c>
      <c r="I1652" s="4" t="str">
        <f t="shared" si="152"/>
        <v>completed</v>
      </c>
      <c r="J1652" t="s">
        <v>25</v>
      </c>
      <c r="K1652">
        <v>4</v>
      </c>
      <c r="L1652">
        <v>12</v>
      </c>
      <c r="M1652">
        <v>2003</v>
      </c>
      <c r="N1652" t="s">
        <v>504</v>
      </c>
      <c r="O1652">
        <v>127</v>
      </c>
      <c r="P1652" t="s">
        <v>629</v>
      </c>
      <c r="Q1652" t="s">
        <v>415</v>
      </c>
      <c r="R1652">
        <v>6175552555</v>
      </c>
      <c r="S1652" t="s">
        <v>416</v>
      </c>
      <c r="U1652" s="1" t="str">
        <f t="shared" si="153"/>
        <v>Boston</v>
      </c>
      <c r="V1652" t="s">
        <v>381</v>
      </c>
      <c r="W1652" t="s">
        <v>123</v>
      </c>
      <c r="X1652">
        <v>51003</v>
      </c>
      <c r="Y1652" s="1" t="str">
        <f t="shared" si="154"/>
        <v>USA</v>
      </c>
      <c r="Z1652" s="4" t="str">
        <f t="shared" si="155"/>
        <v>Usa</v>
      </c>
      <c r="AA1652" t="s">
        <v>32</v>
      </c>
      <c r="AB1652" t="s">
        <v>33</v>
      </c>
      <c r="AC1652" t="s">
        <v>417</v>
      </c>
      <c r="AD1652" t="s">
        <v>276</v>
      </c>
      <c r="AE1652" t="s">
        <v>51</v>
      </c>
    </row>
    <row r="1653" spans="1:31" x14ac:dyDescent="0.3">
      <c r="A1653">
        <v>10217</v>
      </c>
      <c r="B1653">
        <v>28</v>
      </c>
      <c r="C1653">
        <v>100</v>
      </c>
      <c r="D1653">
        <v>1</v>
      </c>
      <c r="E1653" s="4" t="str">
        <f t="shared" si="150"/>
        <v>low sales</v>
      </c>
      <c r="F1653">
        <v>3148.88</v>
      </c>
      <c r="G1653" t="s">
        <v>2325</v>
      </c>
      <c r="H1653" s="1" t="str">
        <f t="shared" si="151"/>
        <v>Shipped</v>
      </c>
      <c r="I1653" s="4" t="str">
        <f t="shared" si="152"/>
        <v>completed</v>
      </c>
      <c r="J1653" t="s">
        <v>25</v>
      </c>
      <c r="K1653">
        <v>1</v>
      </c>
      <c r="L1653">
        <v>2</v>
      </c>
      <c r="M1653">
        <v>2004</v>
      </c>
      <c r="N1653" t="s">
        <v>504</v>
      </c>
      <c r="O1653">
        <v>127</v>
      </c>
      <c r="P1653" t="s">
        <v>629</v>
      </c>
      <c r="Q1653" t="s">
        <v>418</v>
      </c>
      <c r="R1653" t="s">
        <v>419</v>
      </c>
      <c r="S1653" t="s">
        <v>420</v>
      </c>
      <c r="T1653" t="s">
        <v>421</v>
      </c>
      <c r="U1653" s="1" t="str">
        <f t="shared" si="153"/>
        <v>Singapore</v>
      </c>
      <c r="V1653" t="s">
        <v>199</v>
      </c>
      <c r="X1653">
        <v>69045</v>
      </c>
      <c r="Y1653" s="1" t="str">
        <f t="shared" si="154"/>
        <v>SINGAPORE</v>
      </c>
      <c r="Z1653" s="4" t="str">
        <f t="shared" si="155"/>
        <v>Singapore</v>
      </c>
      <c r="AA1653" t="s">
        <v>199</v>
      </c>
      <c r="AB1653" t="s">
        <v>96</v>
      </c>
      <c r="AC1653" t="s">
        <v>422</v>
      </c>
      <c r="AD1653" t="s">
        <v>423</v>
      </c>
      <c r="AE1653" t="s">
        <v>51</v>
      </c>
    </row>
    <row r="1654" spans="1:31" x14ac:dyDescent="0.3">
      <c r="A1654">
        <v>10229</v>
      </c>
      <c r="B1654">
        <v>48</v>
      </c>
      <c r="C1654">
        <v>100</v>
      </c>
      <c r="D1654">
        <v>6</v>
      </c>
      <c r="E1654" s="4" t="str">
        <f t="shared" si="150"/>
        <v>high sales</v>
      </c>
      <c r="F1654">
        <v>5704.32</v>
      </c>
      <c r="G1654" t="s">
        <v>2326</v>
      </c>
      <c r="H1654" s="1" t="str">
        <f t="shared" si="151"/>
        <v>Shipped</v>
      </c>
      <c r="I1654" s="4" t="str">
        <f t="shared" si="152"/>
        <v>completed</v>
      </c>
      <c r="J1654" t="s">
        <v>25</v>
      </c>
      <c r="K1654">
        <v>1</v>
      </c>
      <c r="L1654">
        <v>3</v>
      </c>
      <c r="M1654">
        <v>2004</v>
      </c>
      <c r="N1654" t="s">
        <v>504</v>
      </c>
      <c r="O1654">
        <v>127</v>
      </c>
      <c r="P1654" t="s">
        <v>629</v>
      </c>
      <c r="Q1654" t="s">
        <v>272</v>
      </c>
      <c r="R1654">
        <v>4155551450</v>
      </c>
      <c r="S1654" t="s">
        <v>273</v>
      </c>
      <c r="U1654" s="1" t="str">
        <f t="shared" si="153"/>
        <v>San Rafael</v>
      </c>
      <c r="V1654" t="s">
        <v>274</v>
      </c>
      <c r="W1654" t="s">
        <v>55</v>
      </c>
      <c r="X1654">
        <v>97562</v>
      </c>
      <c r="Y1654" s="1" t="str">
        <f t="shared" si="154"/>
        <v>USA</v>
      </c>
      <c r="Z1654" s="4" t="str">
        <f t="shared" si="155"/>
        <v>Usa</v>
      </c>
      <c r="AA1654" t="s">
        <v>32</v>
      </c>
      <c r="AB1654" t="s">
        <v>33</v>
      </c>
      <c r="AC1654" t="s">
        <v>275</v>
      </c>
      <c r="AD1654" t="s">
        <v>276</v>
      </c>
      <c r="AE1654" t="s">
        <v>51</v>
      </c>
    </row>
    <row r="1655" spans="1:31" x14ac:dyDescent="0.3">
      <c r="A1655">
        <v>10246</v>
      </c>
      <c r="B1655">
        <v>29</v>
      </c>
      <c r="C1655">
        <v>100</v>
      </c>
      <c r="D1655">
        <v>10</v>
      </c>
      <c r="E1655" s="4" t="str">
        <f t="shared" si="150"/>
        <v>low sales</v>
      </c>
      <c r="F1655">
        <v>3520.6</v>
      </c>
      <c r="G1655" t="s">
        <v>2327</v>
      </c>
      <c r="H1655" s="1" t="str">
        <f t="shared" si="151"/>
        <v>Shipped</v>
      </c>
      <c r="I1655" s="4" t="str">
        <f t="shared" si="152"/>
        <v>completed</v>
      </c>
      <c r="J1655" t="s">
        <v>25</v>
      </c>
      <c r="K1655">
        <v>2</v>
      </c>
      <c r="L1655">
        <v>5</v>
      </c>
      <c r="M1655">
        <v>2004</v>
      </c>
      <c r="N1655" t="s">
        <v>504</v>
      </c>
      <c r="O1655">
        <v>127</v>
      </c>
      <c r="P1655" t="s">
        <v>629</v>
      </c>
      <c r="Q1655" t="s">
        <v>174</v>
      </c>
      <c r="R1655" t="s">
        <v>175</v>
      </c>
      <c r="S1655" t="s">
        <v>176</v>
      </c>
      <c r="U1655" s="1" t="str">
        <f t="shared" si="153"/>
        <v>Madrid</v>
      </c>
      <c r="V1655" t="s">
        <v>177</v>
      </c>
      <c r="X1655">
        <v>28034</v>
      </c>
      <c r="Y1655" s="1" t="str">
        <f t="shared" si="154"/>
        <v>SPAIN</v>
      </c>
      <c r="Z1655" s="4" t="str">
        <f t="shared" si="155"/>
        <v>Spain</v>
      </c>
      <c r="AA1655" t="s">
        <v>178</v>
      </c>
      <c r="AB1655" t="s">
        <v>42</v>
      </c>
      <c r="AC1655" t="s">
        <v>179</v>
      </c>
      <c r="AD1655" t="s">
        <v>180</v>
      </c>
      <c r="AE1655" t="s">
        <v>51</v>
      </c>
    </row>
    <row r="1656" spans="1:31" x14ac:dyDescent="0.3">
      <c r="A1656">
        <v>10259</v>
      </c>
      <c r="B1656">
        <v>47</v>
      </c>
      <c r="C1656">
        <v>100</v>
      </c>
      <c r="D1656">
        <v>9</v>
      </c>
      <c r="E1656" s="4" t="str">
        <f t="shared" si="150"/>
        <v>high sales</v>
      </c>
      <c r="F1656">
        <v>5285.62</v>
      </c>
      <c r="G1656" t="s">
        <v>2328</v>
      </c>
      <c r="H1656" s="1" t="str">
        <f t="shared" si="151"/>
        <v>Shipped</v>
      </c>
      <c r="I1656" s="4" t="str">
        <f t="shared" si="152"/>
        <v>completed</v>
      </c>
      <c r="J1656" t="s">
        <v>25</v>
      </c>
      <c r="K1656">
        <v>2</v>
      </c>
      <c r="L1656">
        <v>6</v>
      </c>
      <c r="M1656">
        <v>2004</v>
      </c>
      <c r="N1656" t="s">
        <v>504</v>
      </c>
      <c r="O1656">
        <v>127</v>
      </c>
      <c r="P1656" t="s">
        <v>629</v>
      </c>
      <c r="Q1656" t="s">
        <v>418</v>
      </c>
      <c r="R1656" t="s">
        <v>419</v>
      </c>
      <c r="S1656" t="s">
        <v>420</v>
      </c>
      <c r="T1656" t="s">
        <v>421</v>
      </c>
      <c r="U1656" s="1" t="str">
        <f t="shared" si="153"/>
        <v>Singapore</v>
      </c>
      <c r="V1656" t="s">
        <v>199</v>
      </c>
      <c r="X1656">
        <v>69045</v>
      </c>
      <c r="Y1656" s="1" t="str">
        <f t="shared" si="154"/>
        <v>SINGAPORE</v>
      </c>
      <c r="Z1656" s="4" t="str">
        <f t="shared" si="155"/>
        <v>Singapore</v>
      </c>
      <c r="AA1656" t="s">
        <v>199</v>
      </c>
      <c r="AB1656" t="s">
        <v>96</v>
      </c>
      <c r="AC1656" t="s">
        <v>422</v>
      </c>
      <c r="AD1656" t="s">
        <v>423</v>
      </c>
      <c r="AE1656" t="s">
        <v>51</v>
      </c>
    </row>
    <row r="1657" spans="1:31" x14ac:dyDescent="0.3">
      <c r="A1657">
        <v>10271</v>
      </c>
      <c r="B1657">
        <v>43</v>
      </c>
      <c r="C1657">
        <v>100</v>
      </c>
      <c r="D1657">
        <v>10</v>
      </c>
      <c r="E1657" s="4" t="str">
        <f t="shared" si="150"/>
        <v>high sales</v>
      </c>
      <c r="F1657">
        <v>5605.05</v>
      </c>
      <c r="G1657" t="s">
        <v>2329</v>
      </c>
      <c r="H1657" s="1" t="str">
        <f t="shared" si="151"/>
        <v>Shipped</v>
      </c>
      <c r="I1657" s="4" t="str">
        <f t="shared" si="152"/>
        <v>completed</v>
      </c>
      <c r="J1657" t="s">
        <v>25</v>
      </c>
      <c r="K1657">
        <v>3</v>
      </c>
      <c r="L1657">
        <v>7</v>
      </c>
      <c r="M1657">
        <v>2004</v>
      </c>
      <c r="N1657" t="s">
        <v>504</v>
      </c>
      <c r="O1657">
        <v>127</v>
      </c>
      <c r="P1657" t="s">
        <v>629</v>
      </c>
      <c r="Q1657" t="s">
        <v>272</v>
      </c>
      <c r="R1657">
        <v>4155551450</v>
      </c>
      <c r="S1657" t="s">
        <v>273</v>
      </c>
      <c r="U1657" s="1" t="str">
        <f t="shared" si="153"/>
        <v>San Rafael</v>
      </c>
      <c r="V1657" t="s">
        <v>274</v>
      </c>
      <c r="W1657" t="s">
        <v>55</v>
      </c>
      <c r="X1657">
        <v>97562</v>
      </c>
      <c r="Y1657" s="1" t="str">
        <f t="shared" si="154"/>
        <v>USA</v>
      </c>
      <c r="Z1657" s="4" t="str">
        <f t="shared" si="155"/>
        <v>Usa</v>
      </c>
      <c r="AA1657" t="s">
        <v>32</v>
      </c>
      <c r="AB1657" t="s">
        <v>33</v>
      </c>
      <c r="AC1657" t="s">
        <v>275</v>
      </c>
      <c r="AD1657" t="s">
        <v>276</v>
      </c>
      <c r="AE1657" t="s">
        <v>51</v>
      </c>
    </row>
    <row r="1658" spans="1:31" x14ac:dyDescent="0.3">
      <c r="A1658">
        <v>10281</v>
      </c>
      <c r="B1658">
        <v>25</v>
      </c>
      <c r="C1658">
        <v>100</v>
      </c>
      <c r="D1658">
        <v>6</v>
      </c>
      <c r="E1658" s="4" t="str">
        <f t="shared" si="150"/>
        <v>low sales</v>
      </c>
      <c r="F1658">
        <v>2779.5</v>
      </c>
      <c r="G1658" t="s">
        <v>2330</v>
      </c>
      <c r="H1658" s="1" t="str">
        <f t="shared" si="151"/>
        <v>Shipped</v>
      </c>
      <c r="I1658" s="4" t="str">
        <f t="shared" si="152"/>
        <v>completed</v>
      </c>
      <c r="J1658" t="s">
        <v>25</v>
      </c>
      <c r="K1658">
        <v>3</v>
      </c>
      <c r="L1658">
        <v>8</v>
      </c>
      <c r="M1658">
        <v>2004</v>
      </c>
      <c r="N1658" t="s">
        <v>504</v>
      </c>
      <c r="O1658">
        <v>127</v>
      </c>
      <c r="P1658" t="s">
        <v>629</v>
      </c>
      <c r="Q1658" t="s">
        <v>139</v>
      </c>
      <c r="R1658">
        <v>2155551555</v>
      </c>
      <c r="S1658" t="s">
        <v>140</v>
      </c>
      <c r="U1658" s="1" t="str">
        <f t="shared" si="153"/>
        <v>Allentown</v>
      </c>
      <c r="V1658" t="s">
        <v>141</v>
      </c>
      <c r="W1658" t="s">
        <v>142</v>
      </c>
      <c r="X1658">
        <v>70267</v>
      </c>
      <c r="Y1658" s="1" t="str">
        <f t="shared" si="154"/>
        <v>USA</v>
      </c>
      <c r="Z1658" s="4" t="str">
        <f t="shared" si="155"/>
        <v>Usa</v>
      </c>
      <c r="AA1658" t="s">
        <v>32</v>
      </c>
      <c r="AB1658" t="s">
        <v>33</v>
      </c>
      <c r="AC1658" t="s">
        <v>34</v>
      </c>
      <c r="AD1658" t="s">
        <v>143</v>
      </c>
      <c r="AE1658" t="s">
        <v>36</v>
      </c>
    </row>
    <row r="1659" spans="1:31" x14ac:dyDescent="0.3">
      <c r="A1659">
        <v>10291</v>
      </c>
      <c r="B1659">
        <v>48</v>
      </c>
      <c r="C1659">
        <v>100</v>
      </c>
      <c r="D1659">
        <v>1</v>
      </c>
      <c r="E1659" s="4" t="str">
        <f t="shared" si="150"/>
        <v>high sales</v>
      </c>
      <c r="F1659">
        <v>5398.08</v>
      </c>
      <c r="G1659" t="s">
        <v>2331</v>
      </c>
      <c r="H1659" s="1" t="str">
        <f t="shared" si="151"/>
        <v>Shipped</v>
      </c>
      <c r="I1659" s="4" t="str">
        <f t="shared" si="152"/>
        <v>completed</v>
      </c>
      <c r="J1659" t="s">
        <v>25</v>
      </c>
      <c r="K1659">
        <v>3</v>
      </c>
      <c r="L1659">
        <v>9</v>
      </c>
      <c r="M1659">
        <v>2004</v>
      </c>
      <c r="N1659" t="s">
        <v>504</v>
      </c>
      <c r="O1659">
        <v>127</v>
      </c>
      <c r="P1659" t="s">
        <v>629</v>
      </c>
      <c r="Q1659" t="s">
        <v>261</v>
      </c>
      <c r="R1659" t="s">
        <v>262</v>
      </c>
      <c r="S1659" t="s">
        <v>263</v>
      </c>
      <c r="U1659" s="1" t="str">
        <f t="shared" si="153"/>
        <v>Boras</v>
      </c>
      <c r="V1659" t="s">
        <v>264</v>
      </c>
      <c r="X1659" t="s">
        <v>265</v>
      </c>
      <c r="Y1659" s="1" t="str">
        <f t="shared" si="154"/>
        <v>SWEDEN</v>
      </c>
      <c r="Z1659" s="4" t="str">
        <f t="shared" si="155"/>
        <v>Sweden</v>
      </c>
      <c r="AA1659" t="s">
        <v>188</v>
      </c>
      <c r="AB1659" t="s">
        <v>42</v>
      </c>
      <c r="AC1659" t="s">
        <v>266</v>
      </c>
      <c r="AD1659" t="s">
        <v>206</v>
      </c>
      <c r="AE1659" t="s">
        <v>51</v>
      </c>
    </row>
    <row r="1660" spans="1:31" x14ac:dyDescent="0.3">
      <c r="A1660">
        <v>10305</v>
      </c>
      <c r="B1660">
        <v>24</v>
      </c>
      <c r="C1660">
        <v>100</v>
      </c>
      <c r="D1660">
        <v>10</v>
      </c>
      <c r="E1660" s="4" t="str">
        <f t="shared" si="150"/>
        <v>low sales</v>
      </c>
      <c r="F1660">
        <v>3189.6</v>
      </c>
      <c r="G1660" t="s">
        <v>2332</v>
      </c>
      <c r="H1660" s="1" t="str">
        <f t="shared" si="151"/>
        <v>Shipped</v>
      </c>
      <c r="I1660" s="4" t="str">
        <f t="shared" si="152"/>
        <v>completed</v>
      </c>
      <c r="J1660" t="s">
        <v>25</v>
      </c>
      <c r="K1660">
        <v>4</v>
      </c>
      <c r="L1660">
        <v>10</v>
      </c>
      <c r="M1660">
        <v>2004</v>
      </c>
      <c r="N1660" t="s">
        <v>504</v>
      </c>
      <c r="O1660">
        <v>127</v>
      </c>
      <c r="P1660" t="s">
        <v>629</v>
      </c>
      <c r="Q1660" t="s">
        <v>120</v>
      </c>
      <c r="R1660">
        <v>6175558555</v>
      </c>
      <c r="S1660" t="s">
        <v>121</v>
      </c>
      <c r="U1660" s="1" t="str">
        <f t="shared" si="153"/>
        <v>Cambridge</v>
      </c>
      <c r="V1660" t="s">
        <v>122</v>
      </c>
      <c r="W1660" t="s">
        <v>123</v>
      </c>
      <c r="X1660">
        <v>51247</v>
      </c>
      <c r="Y1660" s="1" t="str">
        <f t="shared" si="154"/>
        <v>USA</v>
      </c>
      <c r="Z1660" s="4" t="str">
        <f t="shared" si="155"/>
        <v>Usa</v>
      </c>
      <c r="AA1660" t="s">
        <v>32</v>
      </c>
      <c r="AB1660" t="s">
        <v>33</v>
      </c>
      <c r="AC1660" t="s">
        <v>124</v>
      </c>
      <c r="AD1660" t="s">
        <v>125</v>
      </c>
      <c r="AE1660" t="s">
        <v>51</v>
      </c>
    </row>
    <row r="1661" spans="1:31" x14ac:dyDescent="0.3">
      <c r="A1661">
        <v>10313</v>
      </c>
      <c r="B1661">
        <v>42</v>
      </c>
      <c r="C1661">
        <v>100</v>
      </c>
      <c r="D1661">
        <v>4</v>
      </c>
      <c r="E1661" s="4" t="str">
        <f t="shared" si="150"/>
        <v>high sales</v>
      </c>
      <c r="F1661">
        <v>5581.8</v>
      </c>
      <c r="G1661" t="s">
        <v>2333</v>
      </c>
      <c r="H1661" s="1" t="str">
        <f t="shared" si="151"/>
        <v>Shipped</v>
      </c>
      <c r="I1661" s="4" t="str">
        <f t="shared" si="152"/>
        <v>completed</v>
      </c>
      <c r="J1661" t="s">
        <v>25</v>
      </c>
      <c r="K1661">
        <v>4</v>
      </c>
      <c r="L1661">
        <v>10</v>
      </c>
      <c r="M1661">
        <v>2004</v>
      </c>
      <c r="N1661" t="s">
        <v>504</v>
      </c>
      <c r="O1661">
        <v>127</v>
      </c>
      <c r="P1661" t="s">
        <v>629</v>
      </c>
      <c r="Q1661" t="s">
        <v>225</v>
      </c>
      <c r="R1661" t="s">
        <v>226</v>
      </c>
      <c r="S1661" t="s">
        <v>227</v>
      </c>
      <c r="U1661" s="1" t="str">
        <f t="shared" si="153"/>
        <v>Vancouver</v>
      </c>
      <c r="V1661" t="s">
        <v>228</v>
      </c>
      <c r="W1661" t="s">
        <v>229</v>
      </c>
      <c r="X1661" t="s">
        <v>230</v>
      </c>
      <c r="Y1661" s="1" t="str">
        <f t="shared" si="154"/>
        <v>CANADA</v>
      </c>
      <c r="Z1661" s="4" t="str">
        <f t="shared" si="155"/>
        <v>Canada</v>
      </c>
      <c r="AA1661" t="s">
        <v>231</v>
      </c>
      <c r="AB1661" t="s">
        <v>33</v>
      </c>
      <c r="AC1661" t="s">
        <v>232</v>
      </c>
      <c r="AD1661" t="s">
        <v>233</v>
      </c>
      <c r="AE1661" t="s">
        <v>51</v>
      </c>
    </row>
    <row r="1662" spans="1:31" x14ac:dyDescent="0.3">
      <c r="A1662">
        <v>10324</v>
      </c>
      <c r="B1662">
        <v>31</v>
      </c>
      <c r="C1662">
        <v>100</v>
      </c>
      <c r="D1662">
        <v>2</v>
      </c>
      <c r="E1662" s="4" t="str">
        <f t="shared" si="150"/>
        <v>low sales</v>
      </c>
      <c r="F1662">
        <v>3820.44</v>
      </c>
      <c r="G1662" t="s">
        <v>2334</v>
      </c>
      <c r="H1662" s="1" t="str">
        <f t="shared" si="151"/>
        <v>Shipped</v>
      </c>
      <c r="I1662" s="4" t="str">
        <f t="shared" si="152"/>
        <v>completed</v>
      </c>
      <c r="J1662" t="s">
        <v>25</v>
      </c>
      <c r="K1662">
        <v>4</v>
      </c>
      <c r="L1662">
        <v>11</v>
      </c>
      <c r="M1662">
        <v>2004</v>
      </c>
      <c r="N1662" t="s">
        <v>504</v>
      </c>
      <c r="O1662">
        <v>127</v>
      </c>
      <c r="P1662" t="s">
        <v>629</v>
      </c>
      <c r="Q1662" t="s">
        <v>99</v>
      </c>
      <c r="R1662">
        <v>2125551500</v>
      </c>
      <c r="S1662" t="s">
        <v>100</v>
      </c>
      <c r="T1662" t="s">
        <v>101</v>
      </c>
      <c r="U1662" s="1" t="str">
        <f t="shared" si="153"/>
        <v>Nyc</v>
      </c>
      <c r="V1662" t="s">
        <v>30</v>
      </c>
      <c r="W1662" t="s">
        <v>31</v>
      </c>
      <c r="X1662">
        <v>10022</v>
      </c>
      <c r="Y1662" s="1" t="str">
        <f t="shared" si="154"/>
        <v>USA</v>
      </c>
      <c r="Z1662" s="4" t="str">
        <f t="shared" si="155"/>
        <v>Usa</v>
      </c>
      <c r="AA1662" t="s">
        <v>32</v>
      </c>
      <c r="AB1662" t="s">
        <v>33</v>
      </c>
      <c r="AC1662" t="s">
        <v>102</v>
      </c>
      <c r="AD1662" t="s">
        <v>103</v>
      </c>
      <c r="AE1662" t="s">
        <v>51</v>
      </c>
    </row>
    <row r="1663" spans="1:31" x14ac:dyDescent="0.3">
      <c r="A1663">
        <v>10334</v>
      </c>
      <c r="B1663">
        <v>42</v>
      </c>
      <c r="C1663">
        <v>100</v>
      </c>
      <c r="D1663">
        <v>5</v>
      </c>
      <c r="E1663" s="4" t="str">
        <f t="shared" si="150"/>
        <v>high sales</v>
      </c>
      <c r="F1663">
        <v>5528.04</v>
      </c>
      <c r="G1663" t="s">
        <v>2335</v>
      </c>
      <c r="H1663" s="1" t="str">
        <f t="shared" si="151"/>
        <v>On Hold</v>
      </c>
      <c r="I1663" s="4" t="str">
        <f t="shared" si="152"/>
        <v>not completed</v>
      </c>
      <c r="J1663" t="s">
        <v>401</v>
      </c>
      <c r="K1663">
        <v>4</v>
      </c>
      <c r="L1663">
        <v>11</v>
      </c>
      <c r="M1663">
        <v>2004</v>
      </c>
      <c r="N1663" t="s">
        <v>504</v>
      </c>
      <c r="O1663">
        <v>127</v>
      </c>
      <c r="P1663" t="s">
        <v>629</v>
      </c>
      <c r="Q1663" t="s">
        <v>183</v>
      </c>
      <c r="R1663" t="s">
        <v>184</v>
      </c>
      <c r="S1663" t="s">
        <v>185</v>
      </c>
      <c r="U1663" s="1" t="str">
        <f t="shared" si="153"/>
        <v>Lule</v>
      </c>
      <c r="V1663" t="s">
        <v>186</v>
      </c>
      <c r="X1663" t="s">
        <v>187</v>
      </c>
      <c r="Y1663" s="1" t="str">
        <f t="shared" si="154"/>
        <v>SWEDEN</v>
      </c>
      <c r="Z1663" s="4" t="str">
        <f t="shared" si="155"/>
        <v>Sweden</v>
      </c>
      <c r="AA1663" t="s">
        <v>188</v>
      </c>
      <c r="AB1663" t="s">
        <v>42</v>
      </c>
      <c r="AC1663" t="s">
        <v>189</v>
      </c>
      <c r="AD1663" t="s">
        <v>190</v>
      </c>
      <c r="AE1663" t="s">
        <v>51</v>
      </c>
    </row>
    <row r="1664" spans="1:31" x14ac:dyDescent="0.3">
      <c r="A1664">
        <v>10348</v>
      </c>
      <c r="B1664">
        <v>37</v>
      </c>
      <c r="C1664">
        <v>100</v>
      </c>
      <c r="D1664">
        <v>1</v>
      </c>
      <c r="E1664" s="4" t="str">
        <f t="shared" si="150"/>
        <v>high sales</v>
      </c>
      <c r="F1664">
        <v>5981.42</v>
      </c>
      <c r="G1664" t="s">
        <v>2336</v>
      </c>
      <c r="H1664" s="1" t="str">
        <f t="shared" si="151"/>
        <v>Shipped</v>
      </c>
      <c r="I1664" s="4" t="str">
        <f t="shared" si="152"/>
        <v>completed</v>
      </c>
      <c r="J1664" t="s">
        <v>25</v>
      </c>
      <c r="K1664">
        <v>4</v>
      </c>
      <c r="L1664">
        <v>11</v>
      </c>
      <c r="M1664">
        <v>2004</v>
      </c>
      <c r="N1664" t="s">
        <v>504</v>
      </c>
      <c r="O1664">
        <v>127</v>
      </c>
      <c r="P1664" t="s">
        <v>629</v>
      </c>
      <c r="Q1664" t="s">
        <v>191</v>
      </c>
      <c r="R1664" t="s">
        <v>192</v>
      </c>
      <c r="S1664" t="s">
        <v>193</v>
      </c>
      <c r="U1664" s="1" t="str">
        <f t="shared" si="153"/>
        <v>Madrid</v>
      </c>
      <c r="V1664" t="s">
        <v>177</v>
      </c>
      <c r="X1664">
        <v>28023</v>
      </c>
      <c r="Y1664" s="1" t="str">
        <f t="shared" si="154"/>
        <v>SPAIN</v>
      </c>
      <c r="Z1664" s="4" t="str">
        <f t="shared" si="155"/>
        <v>Spain</v>
      </c>
      <c r="AA1664" t="s">
        <v>178</v>
      </c>
      <c r="AB1664" t="s">
        <v>42</v>
      </c>
      <c r="AC1664" t="s">
        <v>194</v>
      </c>
      <c r="AD1664" t="s">
        <v>195</v>
      </c>
      <c r="AE1664" t="s">
        <v>51</v>
      </c>
    </row>
    <row r="1665" spans="1:31" x14ac:dyDescent="0.3">
      <c r="A1665">
        <v>10358</v>
      </c>
      <c r="B1665">
        <v>41</v>
      </c>
      <c r="C1665">
        <v>100</v>
      </c>
      <c r="D1665">
        <v>7</v>
      </c>
      <c r="E1665" s="4" t="str">
        <f t="shared" si="150"/>
        <v>high sales</v>
      </c>
      <c r="F1665">
        <v>5684.65</v>
      </c>
      <c r="G1665" t="s">
        <v>2337</v>
      </c>
      <c r="H1665" s="1" t="str">
        <f t="shared" si="151"/>
        <v>Shipped</v>
      </c>
      <c r="I1665" s="4" t="str">
        <f t="shared" si="152"/>
        <v>completed</v>
      </c>
      <c r="J1665" t="s">
        <v>25</v>
      </c>
      <c r="K1665">
        <v>4</v>
      </c>
      <c r="L1665">
        <v>12</v>
      </c>
      <c r="M1665">
        <v>2004</v>
      </c>
      <c r="N1665" t="s">
        <v>504</v>
      </c>
      <c r="O1665">
        <v>127</v>
      </c>
      <c r="P1665" t="s">
        <v>629</v>
      </c>
      <c r="Q1665" t="s">
        <v>174</v>
      </c>
      <c r="R1665" t="s">
        <v>175</v>
      </c>
      <c r="S1665" t="s">
        <v>176</v>
      </c>
      <c r="U1665" s="1" t="str">
        <f t="shared" si="153"/>
        <v>Madrid</v>
      </c>
      <c r="V1665" t="s">
        <v>177</v>
      </c>
      <c r="X1665">
        <v>28034</v>
      </c>
      <c r="Y1665" s="1" t="str">
        <f t="shared" si="154"/>
        <v>SPAIN</v>
      </c>
      <c r="Z1665" s="4" t="str">
        <f t="shared" si="155"/>
        <v>Spain</v>
      </c>
      <c r="AA1665" t="s">
        <v>178</v>
      </c>
      <c r="AB1665" t="s">
        <v>42</v>
      </c>
      <c r="AC1665" t="s">
        <v>179</v>
      </c>
      <c r="AD1665" t="s">
        <v>180</v>
      </c>
      <c r="AE1665" t="s">
        <v>51</v>
      </c>
    </row>
    <row r="1666" spans="1:31" x14ac:dyDescent="0.3">
      <c r="A1666">
        <v>10371</v>
      </c>
      <c r="B1666">
        <v>20</v>
      </c>
      <c r="C1666">
        <v>100</v>
      </c>
      <c r="D1666">
        <v>5</v>
      </c>
      <c r="E1666" s="4" t="str">
        <f t="shared" si="150"/>
        <v>low sales</v>
      </c>
      <c r="F1666">
        <v>3449.4</v>
      </c>
      <c r="G1666" t="s">
        <v>2338</v>
      </c>
      <c r="H1666" s="1" t="str">
        <f t="shared" si="151"/>
        <v>Shipped</v>
      </c>
      <c r="I1666" s="4" t="str">
        <f t="shared" si="152"/>
        <v>completed</v>
      </c>
      <c r="J1666" t="s">
        <v>25</v>
      </c>
      <c r="K1666">
        <v>1</v>
      </c>
      <c r="L1666">
        <v>1</v>
      </c>
      <c r="M1666">
        <v>2005</v>
      </c>
      <c r="N1666" t="s">
        <v>504</v>
      </c>
      <c r="O1666">
        <v>127</v>
      </c>
      <c r="P1666" t="s">
        <v>629</v>
      </c>
      <c r="Q1666" t="s">
        <v>272</v>
      </c>
      <c r="R1666">
        <v>4155551450</v>
      </c>
      <c r="S1666" t="s">
        <v>273</v>
      </c>
      <c r="U1666" s="1" t="str">
        <f t="shared" si="153"/>
        <v>San Rafael</v>
      </c>
      <c r="V1666" t="s">
        <v>274</v>
      </c>
      <c r="W1666" t="s">
        <v>55</v>
      </c>
      <c r="X1666">
        <v>97562</v>
      </c>
      <c r="Y1666" s="1" t="str">
        <f t="shared" si="154"/>
        <v>USA</v>
      </c>
      <c r="Z1666" s="4" t="str">
        <f t="shared" si="155"/>
        <v>Usa</v>
      </c>
      <c r="AA1666" t="s">
        <v>32</v>
      </c>
      <c r="AB1666" t="s">
        <v>33</v>
      </c>
      <c r="AC1666" t="s">
        <v>275</v>
      </c>
      <c r="AD1666" t="s">
        <v>276</v>
      </c>
      <c r="AE1666" t="s">
        <v>51</v>
      </c>
    </row>
    <row r="1667" spans="1:31" x14ac:dyDescent="0.3">
      <c r="A1667">
        <v>10382</v>
      </c>
      <c r="B1667">
        <v>20</v>
      </c>
      <c r="C1667">
        <v>100</v>
      </c>
      <c r="D1667">
        <v>3</v>
      </c>
      <c r="E1667" s="4" t="str">
        <f t="shared" ref="E1667:E1730" si="156">IF(F1667&gt;4000,"high sales","low sales")</f>
        <v>low sales</v>
      </c>
      <c r="F1667">
        <v>2654.4</v>
      </c>
      <c r="G1667" t="s">
        <v>2339</v>
      </c>
      <c r="H1667" s="1" t="str">
        <f t="shared" ref="H1667:H1730" si="157">PROPER(TRIM(J1667))</f>
        <v>Shipped</v>
      </c>
      <c r="I1667" s="4" t="str">
        <f t="shared" ref="I1667:I1730" si="158">IF(J1667="shipped","completed","not completed")</f>
        <v>completed</v>
      </c>
      <c r="J1667" t="s">
        <v>25</v>
      </c>
      <c r="K1667">
        <v>1</v>
      </c>
      <c r="L1667">
        <v>2</v>
      </c>
      <c r="M1667">
        <v>2005</v>
      </c>
      <c r="N1667" t="s">
        <v>504</v>
      </c>
      <c r="O1667">
        <v>127</v>
      </c>
      <c r="P1667" t="s">
        <v>629</v>
      </c>
      <c r="Q1667" t="s">
        <v>272</v>
      </c>
      <c r="R1667">
        <v>4155551450</v>
      </c>
      <c r="S1667" t="s">
        <v>273</v>
      </c>
      <c r="U1667" s="1" t="str">
        <f t="shared" ref="U1667:U1730" si="159">PROPER(TRIM(V1667))</f>
        <v>San Rafael</v>
      </c>
      <c r="V1667" t="s">
        <v>274</v>
      </c>
      <c r="W1667" t="s">
        <v>55</v>
      </c>
      <c r="X1667">
        <v>97562</v>
      </c>
      <c r="Y1667" s="1" t="str">
        <f t="shared" ref="Y1667:Y1730" si="160">UPPER(TRIM(AA1667))</f>
        <v>USA</v>
      </c>
      <c r="Z1667" s="4" t="str">
        <f t="shared" ref="Z1667:Z1730" si="161">PROPER(TRIM(AA1667))</f>
        <v>Usa</v>
      </c>
      <c r="AA1667" t="s">
        <v>32</v>
      </c>
      <c r="AB1667" t="s">
        <v>33</v>
      </c>
      <c r="AC1667" t="s">
        <v>275</v>
      </c>
      <c r="AD1667" t="s">
        <v>276</v>
      </c>
      <c r="AE1667" t="s">
        <v>36</v>
      </c>
    </row>
    <row r="1668" spans="1:31" x14ac:dyDescent="0.3">
      <c r="A1668">
        <v>10412</v>
      </c>
      <c r="B1668">
        <v>70</v>
      </c>
      <c r="C1668">
        <v>100</v>
      </c>
      <c r="D1668">
        <v>10</v>
      </c>
      <c r="E1668" s="4" t="str">
        <f t="shared" si="156"/>
        <v>high sales</v>
      </c>
      <c r="F1668">
        <v>8498</v>
      </c>
      <c r="G1668" t="s">
        <v>2340</v>
      </c>
      <c r="H1668" s="1" t="str">
        <f t="shared" si="157"/>
        <v>Shipped</v>
      </c>
      <c r="I1668" s="4" t="str">
        <f t="shared" si="158"/>
        <v>completed</v>
      </c>
      <c r="J1668" t="s">
        <v>25</v>
      </c>
      <c r="K1668">
        <v>2</v>
      </c>
      <c r="L1668">
        <v>5</v>
      </c>
      <c r="M1668">
        <v>2005</v>
      </c>
      <c r="N1668" t="s">
        <v>504</v>
      </c>
      <c r="O1668">
        <v>127</v>
      </c>
      <c r="P1668" t="s">
        <v>629</v>
      </c>
      <c r="Q1668" t="s">
        <v>174</v>
      </c>
      <c r="R1668" t="s">
        <v>175</v>
      </c>
      <c r="S1668" t="s">
        <v>176</v>
      </c>
      <c r="U1668" s="1" t="str">
        <f t="shared" si="159"/>
        <v>Madrid</v>
      </c>
      <c r="V1668" t="s">
        <v>177</v>
      </c>
      <c r="X1668">
        <v>28034</v>
      </c>
      <c r="Y1668" s="1" t="str">
        <f t="shared" si="160"/>
        <v>SPAIN</v>
      </c>
      <c r="Z1668" s="4" t="str">
        <f t="shared" si="161"/>
        <v>Spain</v>
      </c>
      <c r="AA1668" t="s">
        <v>178</v>
      </c>
      <c r="AB1668" t="s">
        <v>42</v>
      </c>
      <c r="AC1668" t="s">
        <v>179</v>
      </c>
      <c r="AD1668" t="s">
        <v>180</v>
      </c>
      <c r="AE1668" t="s">
        <v>151</v>
      </c>
    </row>
    <row r="1669" spans="1:31" x14ac:dyDescent="0.3">
      <c r="A1669">
        <v>10425</v>
      </c>
      <c r="B1669">
        <v>49</v>
      </c>
      <c r="C1669">
        <v>100</v>
      </c>
      <c r="D1669">
        <v>9</v>
      </c>
      <c r="E1669" s="4" t="str">
        <f t="shared" si="156"/>
        <v>high sales</v>
      </c>
      <c r="F1669">
        <v>5510.54</v>
      </c>
      <c r="G1669" t="s">
        <v>2341</v>
      </c>
      <c r="H1669" s="1" t="str">
        <f t="shared" si="157"/>
        <v>In Process</v>
      </c>
      <c r="I1669" s="4" t="str">
        <f t="shared" si="158"/>
        <v>not completed</v>
      </c>
      <c r="J1669" t="s">
        <v>300</v>
      </c>
      <c r="K1669">
        <v>2</v>
      </c>
      <c r="L1669">
        <v>5</v>
      </c>
      <c r="M1669">
        <v>2005</v>
      </c>
      <c r="N1669" t="s">
        <v>504</v>
      </c>
      <c r="O1669">
        <v>127</v>
      </c>
      <c r="P1669" t="s">
        <v>629</v>
      </c>
      <c r="Q1669" t="s">
        <v>114</v>
      </c>
      <c r="R1669" t="s">
        <v>115</v>
      </c>
      <c r="S1669" t="s">
        <v>116</v>
      </c>
      <c r="U1669" s="1" t="str">
        <f t="shared" si="159"/>
        <v>Nantes</v>
      </c>
      <c r="V1669" t="s">
        <v>117</v>
      </c>
      <c r="X1669">
        <v>44000</v>
      </c>
      <c r="Y1669" s="1" t="str">
        <f t="shared" si="160"/>
        <v>FRANCE</v>
      </c>
      <c r="Z1669" s="4" t="str">
        <f t="shared" si="161"/>
        <v>France</v>
      </c>
      <c r="AA1669" t="s">
        <v>41</v>
      </c>
      <c r="AB1669" t="s">
        <v>42</v>
      </c>
      <c r="AC1669" t="s">
        <v>118</v>
      </c>
      <c r="AD1669" t="s">
        <v>119</v>
      </c>
      <c r="AE1669" t="s">
        <v>51</v>
      </c>
    </row>
    <row r="1670" spans="1:31" x14ac:dyDescent="0.3">
      <c r="A1670">
        <v>10108</v>
      </c>
      <c r="B1670">
        <v>35</v>
      </c>
      <c r="C1670">
        <v>58.87</v>
      </c>
      <c r="D1670">
        <v>15</v>
      </c>
      <c r="E1670" s="4" t="str">
        <f t="shared" si="156"/>
        <v>low sales</v>
      </c>
      <c r="F1670">
        <v>2060.4499999999998</v>
      </c>
      <c r="G1670" t="s">
        <v>2342</v>
      </c>
      <c r="H1670" s="1" t="str">
        <f t="shared" si="157"/>
        <v>Shipped</v>
      </c>
      <c r="I1670" s="4" t="str">
        <f t="shared" si="158"/>
        <v>completed</v>
      </c>
      <c r="J1670" t="s">
        <v>25</v>
      </c>
      <c r="K1670">
        <v>1</v>
      </c>
      <c r="L1670">
        <v>3</v>
      </c>
      <c r="M1670">
        <v>2003</v>
      </c>
      <c r="N1670" t="s">
        <v>26</v>
      </c>
      <c r="O1670">
        <v>69</v>
      </c>
      <c r="P1670" t="s">
        <v>630</v>
      </c>
      <c r="Q1670" t="s">
        <v>425</v>
      </c>
      <c r="R1670" t="s">
        <v>426</v>
      </c>
      <c r="S1670" t="s">
        <v>427</v>
      </c>
      <c r="U1670" s="1" t="str">
        <f t="shared" si="159"/>
        <v>Makati City</v>
      </c>
      <c r="V1670" t="s">
        <v>428</v>
      </c>
      <c r="X1670" t="s">
        <v>429</v>
      </c>
      <c r="Y1670" s="1" t="str">
        <f t="shared" si="160"/>
        <v>PHILIPPINES</v>
      </c>
      <c r="Z1670" s="4" t="str">
        <f t="shared" si="161"/>
        <v>Philippines</v>
      </c>
      <c r="AA1670" t="s">
        <v>430</v>
      </c>
      <c r="AB1670" t="s">
        <v>200</v>
      </c>
      <c r="AC1670" t="s">
        <v>431</v>
      </c>
      <c r="AD1670" t="s">
        <v>432</v>
      </c>
      <c r="AE1670" t="s">
        <v>36</v>
      </c>
    </row>
    <row r="1671" spans="1:31" x14ac:dyDescent="0.3">
      <c r="A1671">
        <v>10121</v>
      </c>
      <c r="B1671">
        <v>32</v>
      </c>
      <c r="C1671">
        <v>76.88</v>
      </c>
      <c r="D1671">
        <v>2</v>
      </c>
      <c r="E1671" s="4" t="str">
        <f t="shared" si="156"/>
        <v>low sales</v>
      </c>
      <c r="F1671">
        <v>2460.16</v>
      </c>
      <c r="G1671" t="s">
        <v>2343</v>
      </c>
      <c r="H1671" s="1" t="str">
        <f t="shared" si="157"/>
        <v>Shipped</v>
      </c>
      <c r="I1671" s="4" t="str">
        <f t="shared" si="158"/>
        <v>completed</v>
      </c>
      <c r="J1671" t="s">
        <v>25</v>
      </c>
      <c r="K1671">
        <v>2</v>
      </c>
      <c r="L1671">
        <v>5</v>
      </c>
      <c r="M1671">
        <v>2003</v>
      </c>
      <c r="N1671" t="s">
        <v>26</v>
      </c>
      <c r="O1671">
        <v>69</v>
      </c>
      <c r="P1671" t="s">
        <v>630</v>
      </c>
      <c r="Q1671" t="s">
        <v>37</v>
      </c>
      <c r="R1671" t="s">
        <v>38</v>
      </c>
      <c r="S1671" t="s">
        <v>39</v>
      </c>
      <c r="U1671" s="1" t="str">
        <f t="shared" si="159"/>
        <v>Reims</v>
      </c>
      <c r="V1671" t="s">
        <v>40</v>
      </c>
      <c r="X1671">
        <v>51100</v>
      </c>
      <c r="Y1671" s="1" t="str">
        <f t="shared" si="160"/>
        <v>FRANCE</v>
      </c>
      <c r="Z1671" s="4" t="str">
        <f t="shared" si="161"/>
        <v>France</v>
      </c>
      <c r="AA1671" t="s">
        <v>41</v>
      </c>
      <c r="AB1671" t="s">
        <v>42</v>
      </c>
      <c r="AC1671" t="s">
        <v>43</v>
      </c>
      <c r="AD1671" t="s">
        <v>44</v>
      </c>
      <c r="AE1671" t="s">
        <v>36</v>
      </c>
    </row>
    <row r="1672" spans="1:31" x14ac:dyDescent="0.3">
      <c r="A1672">
        <v>10135</v>
      </c>
      <c r="B1672">
        <v>29</v>
      </c>
      <c r="C1672">
        <v>61.64</v>
      </c>
      <c r="D1672">
        <v>16</v>
      </c>
      <c r="E1672" s="4" t="str">
        <f t="shared" si="156"/>
        <v>low sales</v>
      </c>
      <c r="F1672">
        <v>1787.56</v>
      </c>
      <c r="G1672" t="s">
        <v>2344</v>
      </c>
      <c r="H1672" s="1" t="str">
        <f t="shared" si="157"/>
        <v>Shipped</v>
      </c>
      <c r="I1672" s="4" t="str">
        <f t="shared" si="158"/>
        <v>completed</v>
      </c>
      <c r="J1672" t="s">
        <v>25</v>
      </c>
      <c r="K1672">
        <v>3</v>
      </c>
      <c r="L1672">
        <v>7</v>
      </c>
      <c r="M1672">
        <v>2003</v>
      </c>
      <c r="N1672" t="s">
        <v>26</v>
      </c>
      <c r="O1672">
        <v>69</v>
      </c>
      <c r="P1672" t="s">
        <v>630</v>
      </c>
      <c r="Q1672" t="s">
        <v>272</v>
      </c>
      <c r="R1672">
        <v>4155551450</v>
      </c>
      <c r="S1672" t="s">
        <v>273</v>
      </c>
      <c r="U1672" s="1" t="str">
        <f t="shared" si="159"/>
        <v>San Rafael</v>
      </c>
      <c r="V1672" t="s">
        <v>274</v>
      </c>
      <c r="W1672" t="s">
        <v>55</v>
      </c>
      <c r="X1672">
        <v>97562</v>
      </c>
      <c r="Y1672" s="1" t="str">
        <f t="shared" si="160"/>
        <v>USA</v>
      </c>
      <c r="Z1672" s="4" t="str">
        <f t="shared" si="161"/>
        <v>Usa</v>
      </c>
      <c r="AA1672" t="s">
        <v>32</v>
      </c>
      <c r="AB1672" t="s">
        <v>33</v>
      </c>
      <c r="AC1672" t="s">
        <v>275</v>
      </c>
      <c r="AD1672" t="s">
        <v>276</v>
      </c>
      <c r="AE1672" t="s">
        <v>36</v>
      </c>
    </row>
    <row r="1673" spans="1:31" x14ac:dyDescent="0.3">
      <c r="A1673">
        <v>10145</v>
      </c>
      <c r="B1673">
        <v>27</v>
      </c>
      <c r="C1673">
        <v>60.95</v>
      </c>
      <c r="D1673">
        <v>3</v>
      </c>
      <c r="E1673" s="4" t="str">
        <f t="shared" si="156"/>
        <v>low sales</v>
      </c>
      <c r="F1673">
        <v>1645.65</v>
      </c>
      <c r="G1673" t="s">
        <v>2345</v>
      </c>
      <c r="H1673" s="1" t="str">
        <f t="shared" si="157"/>
        <v>Shipped</v>
      </c>
      <c r="I1673" s="4" t="str">
        <f t="shared" si="158"/>
        <v>completed</v>
      </c>
      <c r="J1673" t="s">
        <v>25</v>
      </c>
      <c r="K1673">
        <v>3</v>
      </c>
      <c r="L1673">
        <v>8</v>
      </c>
      <c r="M1673">
        <v>2003</v>
      </c>
      <c r="N1673" t="s">
        <v>26</v>
      </c>
      <c r="O1673">
        <v>69</v>
      </c>
      <c r="P1673" t="s">
        <v>630</v>
      </c>
      <c r="Q1673" t="s">
        <v>52</v>
      </c>
      <c r="R1673">
        <v>6265557265</v>
      </c>
      <c r="S1673" t="s">
        <v>53</v>
      </c>
      <c r="U1673" s="1" t="str">
        <f t="shared" si="159"/>
        <v>Pasadena</v>
      </c>
      <c r="V1673" t="s">
        <v>54</v>
      </c>
      <c r="W1673" t="s">
        <v>55</v>
      </c>
      <c r="X1673">
        <v>90003</v>
      </c>
      <c r="Y1673" s="1" t="str">
        <f t="shared" si="160"/>
        <v>USA</v>
      </c>
      <c r="Z1673" s="4" t="str">
        <f t="shared" si="161"/>
        <v>Usa</v>
      </c>
      <c r="AA1673" t="s">
        <v>32</v>
      </c>
      <c r="AB1673" t="s">
        <v>33</v>
      </c>
      <c r="AC1673" t="s">
        <v>56</v>
      </c>
      <c r="AD1673" t="s">
        <v>57</v>
      </c>
      <c r="AE1673" t="s">
        <v>36</v>
      </c>
    </row>
    <row r="1674" spans="1:31" x14ac:dyDescent="0.3">
      <c r="A1674">
        <v>10159</v>
      </c>
      <c r="B1674">
        <v>27</v>
      </c>
      <c r="C1674">
        <v>80.34</v>
      </c>
      <c r="D1674">
        <v>11</v>
      </c>
      <c r="E1674" s="4" t="str">
        <f t="shared" si="156"/>
        <v>low sales</v>
      </c>
      <c r="F1674">
        <v>2169.1799999999998</v>
      </c>
      <c r="G1674" t="s">
        <v>2346</v>
      </c>
      <c r="H1674" s="1" t="str">
        <f t="shared" si="157"/>
        <v>Shipped</v>
      </c>
      <c r="I1674" s="4" t="str">
        <f t="shared" si="158"/>
        <v>completed</v>
      </c>
      <c r="J1674" t="s">
        <v>25</v>
      </c>
      <c r="K1674">
        <v>4</v>
      </c>
      <c r="L1674">
        <v>10</v>
      </c>
      <c r="M1674">
        <v>2003</v>
      </c>
      <c r="N1674" t="s">
        <v>26</v>
      </c>
      <c r="O1674">
        <v>69</v>
      </c>
      <c r="P1674" t="s">
        <v>630</v>
      </c>
      <c r="Q1674" t="s">
        <v>58</v>
      </c>
      <c r="R1674">
        <v>6505551386</v>
      </c>
      <c r="S1674" t="s">
        <v>59</v>
      </c>
      <c r="U1674" s="1" t="str">
        <f t="shared" si="159"/>
        <v>San Francisco</v>
      </c>
      <c r="V1674" t="s">
        <v>60</v>
      </c>
      <c r="W1674" t="s">
        <v>55</v>
      </c>
      <c r="Y1674" s="1" t="str">
        <f t="shared" si="160"/>
        <v>USA</v>
      </c>
      <c r="Z1674" s="4" t="str">
        <f t="shared" si="161"/>
        <v>Usa</v>
      </c>
      <c r="AA1674" t="s">
        <v>32</v>
      </c>
      <c r="AB1674" t="s">
        <v>33</v>
      </c>
      <c r="AC1674" t="s">
        <v>61</v>
      </c>
      <c r="AD1674" t="s">
        <v>57</v>
      </c>
      <c r="AE1674" t="s">
        <v>36</v>
      </c>
    </row>
    <row r="1675" spans="1:31" x14ac:dyDescent="0.3">
      <c r="A1675">
        <v>10169</v>
      </c>
      <c r="B1675">
        <v>38</v>
      </c>
      <c r="C1675">
        <v>74.11</v>
      </c>
      <c r="D1675">
        <v>11</v>
      </c>
      <c r="E1675" s="4" t="str">
        <f t="shared" si="156"/>
        <v>low sales</v>
      </c>
      <c r="F1675">
        <v>2816.18</v>
      </c>
      <c r="G1675" t="s">
        <v>2347</v>
      </c>
      <c r="H1675" s="1" t="str">
        <f t="shared" si="157"/>
        <v>Shipped</v>
      </c>
      <c r="I1675" s="4" t="str">
        <f t="shared" si="158"/>
        <v>completed</v>
      </c>
      <c r="J1675" t="s">
        <v>25</v>
      </c>
      <c r="K1675">
        <v>4</v>
      </c>
      <c r="L1675">
        <v>11</v>
      </c>
      <c r="M1675">
        <v>2003</v>
      </c>
      <c r="N1675" t="s">
        <v>26</v>
      </c>
      <c r="O1675">
        <v>69</v>
      </c>
      <c r="P1675" t="s">
        <v>630</v>
      </c>
      <c r="Q1675" t="s">
        <v>285</v>
      </c>
      <c r="R1675" t="s">
        <v>286</v>
      </c>
      <c r="S1675" t="s">
        <v>287</v>
      </c>
      <c r="T1675" t="s">
        <v>288</v>
      </c>
      <c r="U1675" s="1" t="str">
        <f t="shared" si="159"/>
        <v>North Sydney</v>
      </c>
      <c r="V1675" t="s">
        <v>289</v>
      </c>
      <c r="W1675" t="s">
        <v>157</v>
      </c>
      <c r="X1675">
        <v>2060</v>
      </c>
      <c r="Y1675" s="1" t="str">
        <f t="shared" si="160"/>
        <v>AUSTRALIA</v>
      </c>
      <c r="Z1675" s="4" t="str">
        <f t="shared" si="161"/>
        <v>Australia</v>
      </c>
      <c r="AA1675" t="s">
        <v>95</v>
      </c>
      <c r="AB1675" t="s">
        <v>96</v>
      </c>
      <c r="AC1675" t="s">
        <v>290</v>
      </c>
      <c r="AD1675" t="s">
        <v>291</v>
      </c>
      <c r="AE1675" t="s">
        <v>36</v>
      </c>
    </row>
    <row r="1676" spans="1:31" x14ac:dyDescent="0.3">
      <c r="A1676">
        <v>10180</v>
      </c>
      <c r="B1676">
        <v>35</v>
      </c>
      <c r="C1676">
        <v>72.03</v>
      </c>
      <c r="D1676">
        <v>6</v>
      </c>
      <c r="E1676" s="4" t="str">
        <f t="shared" si="156"/>
        <v>low sales</v>
      </c>
      <c r="F1676">
        <v>2521.0500000000002</v>
      </c>
      <c r="G1676" t="s">
        <v>2348</v>
      </c>
      <c r="H1676" s="1" t="str">
        <f t="shared" si="157"/>
        <v>Shipped</v>
      </c>
      <c r="I1676" s="4" t="str">
        <f t="shared" si="158"/>
        <v>completed</v>
      </c>
      <c r="J1676" t="s">
        <v>25</v>
      </c>
      <c r="K1676">
        <v>4</v>
      </c>
      <c r="L1676">
        <v>11</v>
      </c>
      <c r="M1676">
        <v>2003</v>
      </c>
      <c r="N1676" t="s">
        <v>26</v>
      </c>
      <c r="O1676">
        <v>69</v>
      </c>
      <c r="P1676" t="s">
        <v>630</v>
      </c>
      <c r="Q1676" t="s">
        <v>67</v>
      </c>
      <c r="R1676" t="s">
        <v>68</v>
      </c>
      <c r="S1676" t="s">
        <v>69</v>
      </c>
      <c r="U1676" s="1" t="str">
        <f t="shared" si="159"/>
        <v>Lille</v>
      </c>
      <c r="V1676" t="s">
        <v>70</v>
      </c>
      <c r="X1676">
        <v>59000</v>
      </c>
      <c r="Y1676" s="1" t="str">
        <f t="shared" si="160"/>
        <v>FRANCE</v>
      </c>
      <c r="Z1676" s="4" t="str">
        <f t="shared" si="161"/>
        <v>France</v>
      </c>
      <c r="AA1676" t="s">
        <v>41</v>
      </c>
      <c r="AB1676" t="s">
        <v>42</v>
      </c>
      <c r="AC1676" t="s">
        <v>71</v>
      </c>
      <c r="AD1676" t="s">
        <v>72</v>
      </c>
      <c r="AE1676" t="s">
        <v>36</v>
      </c>
    </row>
    <row r="1677" spans="1:31" x14ac:dyDescent="0.3">
      <c r="A1677">
        <v>10190</v>
      </c>
      <c r="B1677">
        <v>42</v>
      </c>
      <c r="C1677">
        <v>76.19</v>
      </c>
      <c r="D1677">
        <v>3</v>
      </c>
      <c r="E1677" s="4" t="str">
        <f t="shared" si="156"/>
        <v>low sales</v>
      </c>
      <c r="F1677">
        <v>3199.98</v>
      </c>
      <c r="G1677" t="s">
        <v>2349</v>
      </c>
      <c r="H1677" s="1" t="str">
        <f t="shared" si="157"/>
        <v>Shipped</v>
      </c>
      <c r="I1677" s="4" t="str">
        <f t="shared" si="158"/>
        <v>completed</v>
      </c>
      <c r="J1677" t="s">
        <v>25</v>
      </c>
      <c r="K1677">
        <v>4</v>
      </c>
      <c r="L1677">
        <v>11</v>
      </c>
      <c r="M1677">
        <v>2003</v>
      </c>
      <c r="N1677" t="s">
        <v>26</v>
      </c>
      <c r="O1677">
        <v>69</v>
      </c>
      <c r="P1677" t="s">
        <v>630</v>
      </c>
      <c r="Q1677" t="s">
        <v>174</v>
      </c>
      <c r="R1677" t="s">
        <v>175</v>
      </c>
      <c r="S1677" t="s">
        <v>176</v>
      </c>
      <c r="U1677" s="1" t="str">
        <f t="shared" si="159"/>
        <v>Madrid</v>
      </c>
      <c r="V1677" t="s">
        <v>177</v>
      </c>
      <c r="X1677">
        <v>28034</v>
      </c>
      <c r="Y1677" s="1" t="str">
        <f t="shared" si="160"/>
        <v>SPAIN</v>
      </c>
      <c r="Z1677" s="4" t="str">
        <f t="shared" si="161"/>
        <v>Spain</v>
      </c>
      <c r="AA1677" t="s">
        <v>178</v>
      </c>
      <c r="AB1677" t="s">
        <v>42</v>
      </c>
      <c r="AC1677" t="s">
        <v>179</v>
      </c>
      <c r="AD1677" t="s">
        <v>180</v>
      </c>
      <c r="AE1677" t="s">
        <v>51</v>
      </c>
    </row>
    <row r="1678" spans="1:31" x14ac:dyDescent="0.3">
      <c r="A1678">
        <v>10211</v>
      </c>
      <c r="B1678">
        <v>21</v>
      </c>
      <c r="C1678">
        <v>63.72</v>
      </c>
      <c r="D1678">
        <v>11</v>
      </c>
      <c r="E1678" s="4" t="str">
        <f t="shared" si="156"/>
        <v>low sales</v>
      </c>
      <c r="F1678">
        <v>1338.12</v>
      </c>
      <c r="G1678" t="s">
        <v>2350</v>
      </c>
      <c r="H1678" s="1" t="str">
        <f t="shared" si="157"/>
        <v>Shipped</v>
      </c>
      <c r="I1678" s="4" t="str">
        <f t="shared" si="158"/>
        <v>completed</v>
      </c>
      <c r="J1678" t="s">
        <v>25</v>
      </c>
      <c r="K1678">
        <v>1</v>
      </c>
      <c r="L1678">
        <v>1</v>
      </c>
      <c r="M1678">
        <v>2004</v>
      </c>
      <c r="N1678" t="s">
        <v>26</v>
      </c>
      <c r="O1678">
        <v>69</v>
      </c>
      <c r="P1678" t="s">
        <v>630</v>
      </c>
      <c r="Q1678" t="s">
        <v>84</v>
      </c>
      <c r="R1678" t="s">
        <v>85</v>
      </c>
      <c r="S1678" t="s">
        <v>86</v>
      </c>
      <c r="U1678" s="1" t="str">
        <f t="shared" si="159"/>
        <v>Paris</v>
      </c>
      <c r="V1678" t="s">
        <v>48</v>
      </c>
      <c r="X1678">
        <v>75016</v>
      </c>
      <c r="Y1678" s="1" t="str">
        <f t="shared" si="160"/>
        <v>FRANCE</v>
      </c>
      <c r="Z1678" s="4" t="str">
        <f t="shared" si="161"/>
        <v>France</v>
      </c>
      <c r="AA1678" t="s">
        <v>41</v>
      </c>
      <c r="AB1678" t="s">
        <v>42</v>
      </c>
      <c r="AC1678" t="s">
        <v>87</v>
      </c>
      <c r="AD1678" t="s">
        <v>88</v>
      </c>
      <c r="AE1678" t="s">
        <v>36</v>
      </c>
    </row>
    <row r="1679" spans="1:31" x14ac:dyDescent="0.3">
      <c r="A1679">
        <v>10224</v>
      </c>
      <c r="B1679">
        <v>37</v>
      </c>
      <c r="C1679">
        <v>80.34</v>
      </c>
      <c r="D1679">
        <v>4</v>
      </c>
      <c r="E1679" s="4" t="str">
        <f t="shared" si="156"/>
        <v>low sales</v>
      </c>
      <c r="F1679">
        <v>2972.58</v>
      </c>
      <c r="G1679" t="s">
        <v>2351</v>
      </c>
      <c r="H1679" s="1" t="str">
        <f t="shared" si="157"/>
        <v>Shipped</v>
      </c>
      <c r="I1679" s="4" t="str">
        <f t="shared" si="158"/>
        <v>completed</v>
      </c>
      <c r="J1679" t="s">
        <v>25</v>
      </c>
      <c r="K1679">
        <v>1</v>
      </c>
      <c r="L1679">
        <v>2</v>
      </c>
      <c r="M1679">
        <v>2004</v>
      </c>
      <c r="N1679" t="s">
        <v>26</v>
      </c>
      <c r="O1679">
        <v>69</v>
      </c>
      <c r="P1679" t="s">
        <v>630</v>
      </c>
      <c r="Q1679" t="s">
        <v>67</v>
      </c>
      <c r="R1679" t="s">
        <v>68</v>
      </c>
      <c r="S1679" t="s">
        <v>69</v>
      </c>
      <c r="U1679" s="1" t="str">
        <f t="shared" si="159"/>
        <v>Lille</v>
      </c>
      <c r="V1679" t="s">
        <v>70</v>
      </c>
      <c r="X1679">
        <v>59000</v>
      </c>
      <c r="Y1679" s="1" t="str">
        <f t="shared" si="160"/>
        <v>FRANCE</v>
      </c>
      <c r="Z1679" s="4" t="str">
        <f t="shared" si="161"/>
        <v>France</v>
      </c>
      <c r="AA1679" t="s">
        <v>41</v>
      </c>
      <c r="AB1679" t="s">
        <v>42</v>
      </c>
      <c r="AC1679" t="s">
        <v>71</v>
      </c>
      <c r="AD1679" t="s">
        <v>72</v>
      </c>
      <c r="AE1679" t="s">
        <v>36</v>
      </c>
    </row>
    <row r="1680" spans="1:31" x14ac:dyDescent="0.3">
      <c r="A1680">
        <v>10237</v>
      </c>
      <c r="B1680">
        <v>26</v>
      </c>
      <c r="C1680">
        <v>79.650000000000006</v>
      </c>
      <c r="D1680">
        <v>4</v>
      </c>
      <c r="E1680" s="4" t="str">
        <f t="shared" si="156"/>
        <v>low sales</v>
      </c>
      <c r="F1680">
        <v>2070.9</v>
      </c>
      <c r="G1680" t="s">
        <v>2352</v>
      </c>
      <c r="H1680" s="1" t="str">
        <f t="shared" si="157"/>
        <v>Shipped</v>
      </c>
      <c r="I1680" s="4" t="str">
        <f t="shared" si="158"/>
        <v>completed</v>
      </c>
      <c r="J1680" t="s">
        <v>25</v>
      </c>
      <c r="K1680">
        <v>2</v>
      </c>
      <c r="L1680">
        <v>4</v>
      </c>
      <c r="M1680">
        <v>2004</v>
      </c>
      <c r="N1680" t="s">
        <v>26</v>
      </c>
      <c r="O1680">
        <v>69</v>
      </c>
      <c r="P1680" t="s">
        <v>630</v>
      </c>
      <c r="Q1680" t="s">
        <v>99</v>
      </c>
      <c r="R1680">
        <v>2125551500</v>
      </c>
      <c r="S1680" t="s">
        <v>100</v>
      </c>
      <c r="T1680" t="s">
        <v>101</v>
      </c>
      <c r="U1680" s="1" t="str">
        <f t="shared" si="159"/>
        <v>Nyc</v>
      </c>
      <c r="V1680" t="s">
        <v>30</v>
      </c>
      <c r="W1680" t="s">
        <v>31</v>
      </c>
      <c r="X1680">
        <v>10022</v>
      </c>
      <c r="Y1680" s="1" t="str">
        <f t="shared" si="160"/>
        <v>USA</v>
      </c>
      <c r="Z1680" s="4" t="str">
        <f t="shared" si="161"/>
        <v>Usa</v>
      </c>
      <c r="AA1680" t="s">
        <v>32</v>
      </c>
      <c r="AB1680" t="s">
        <v>33</v>
      </c>
      <c r="AC1680" t="s">
        <v>102</v>
      </c>
      <c r="AD1680" t="s">
        <v>103</v>
      </c>
      <c r="AE1680" t="s">
        <v>36</v>
      </c>
    </row>
    <row r="1681" spans="1:31" x14ac:dyDescent="0.3">
      <c r="A1681">
        <v>10252</v>
      </c>
      <c r="B1681">
        <v>47</v>
      </c>
      <c r="C1681">
        <v>65.8</v>
      </c>
      <c r="D1681">
        <v>8</v>
      </c>
      <c r="E1681" s="4" t="str">
        <f t="shared" si="156"/>
        <v>low sales</v>
      </c>
      <c r="F1681">
        <v>3092.6</v>
      </c>
      <c r="G1681" t="s">
        <v>2353</v>
      </c>
      <c r="H1681" s="1" t="str">
        <f t="shared" si="157"/>
        <v>Shipped</v>
      </c>
      <c r="I1681" s="4" t="str">
        <f t="shared" si="158"/>
        <v>completed</v>
      </c>
      <c r="J1681" t="s">
        <v>25</v>
      </c>
      <c r="K1681">
        <v>2</v>
      </c>
      <c r="L1681">
        <v>5</v>
      </c>
      <c r="M1681">
        <v>2004</v>
      </c>
      <c r="N1681" t="s">
        <v>26</v>
      </c>
      <c r="O1681">
        <v>69</v>
      </c>
      <c r="P1681" t="s">
        <v>630</v>
      </c>
      <c r="Q1681" t="s">
        <v>84</v>
      </c>
      <c r="R1681" t="s">
        <v>85</v>
      </c>
      <c r="S1681" t="s">
        <v>86</v>
      </c>
      <c r="U1681" s="1" t="str">
        <f t="shared" si="159"/>
        <v>Paris</v>
      </c>
      <c r="V1681" t="s">
        <v>48</v>
      </c>
      <c r="X1681">
        <v>75016</v>
      </c>
      <c r="Y1681" s="1" t="str">
        <f t="shared" si="160"/>
        <v>FRANCE</v>
      </c>
      <c r="Z1681" s="4" t="str">
        <f t="shared" si="161"/>
        <v>France</v>
      </c>
      <c r="AA1681" t="s">
        <v>41</v>
      </c>
      <c r="AB1681" t="s">
        <v>42</v>
      </c>
      <c r="AC1681" t="s">
        <v>87</v>
      </c>
      <c r="AD1681" t="s">
        <v>88</v>
      </c>
      <c r="AE1681" t="s">
        <v>51</v>
      </c>
    </row>
    <row r="1682" spans="1:31" x14ac:dyDescent="0.3">
      <c r="A1682">
        <v>10264</v>
      </c>
      <c r="B1682">
        <v>37</v>
      </c>
      <c r="C1682">
        <v>65.099999999999994</v>
      </c>
      <c r="D1682">
        <v>6</v>
      </c>
      <c r="E1682" s="4" t="str">
        <f t="shared" si="156"/>
        <v>low sales</v>
      </c>
      <c r="F1682">
        <v>2408.6999999999998</v>
      </c>
      <c r="G1682" t="s">
        <v>2354</v>
      </c>
      <c r="H1682" s="1" t="str">
        <f t="shared" si="157"/>
        <v>Shipped</v>
      </c>
      <c r="I1682" s="4" t="str">
        <f t="shared" si="158"/>
        <v>completed</v>
      </c>
      <c r="J1682" t="s">
        <v>25</v>
      </c>
      <c r="K1682">
        <v>2</v>
      </c>
      <c r="L1682">
        <v>6</v>
      </c>
      <c r="M1682">
        <v>2004</v>
      </c>
      <c r="N1682" t="s">
        <v>26</v>
      </c>
      <c r="O1682">
        <v>69</v>
      </c>
      <c r="P1682" t="s">
        <v>630</v>
      </c>
      <c r="Q1682" t="s">
        <v>379</v>
      </c>
      <c r="R1682">
        <v>6175559555</v>
      </c>
      <c r="S1682" t="s">
        <v>380</v>
      </c>
      <c r="U1682" s="1" t="str">
        <f t="shared" si="159"/>
        <v>Boston</v>
      </c>
      <c r="V1682" t="s">
        <v>381</v>
      </c>
      <c r="W1682" t="s">
        <v>123</v>
      </c>
      <c r="X1682">
        <v>51003</v>
      </c>
      <c r="Y1682" s="1" t="str">
        <f t="shared" si="160"/>
        <v>USA</v>
      </c>
      <c r="Z1682" s="4" t="str">
        <f t="shared" si="161"/>
        <v>Usa</v>
      </c>
      <c r="AA1682" t="s">
        <v>32</v>
      </c>
      <c r="AB1682" t="s">
        <v>33</v>
      </c>
      <c r="AC1682" t="s">
        <v>382</v>
      </c>
      <c r="AD1682" t="s">
        <v>66</v>
      </c>
      <c r="AE1682" t="s">
        <v>36</v>
      </c>
    </row>
    <row r="1683" spans="1:31" x14ac:dyDescent="0.3">
      <c r="A1683">
        <v>10276</v>
      </c>
      <c r="B1683">
        <v>46</v>
      </c>
      <c r="C1683">
        <v>75.489999999999995</v>
      </c>
      <c r="D1683">
        <v>12</v>
      </c>
      <c r="E1683" s="4" t="str">
        <f t="shared" si="156"/>
        <v>low sales</v>
      </c>
      <c r="F1683">
        <v>3472.54</v>
      </c>
      <c r="G1683" t="s">
        <v>2355</v>
      </c>
      <c r="H1683" s="1" t="str">
        <f t="shared" si="157"/>
        <v>Shipped</v>
      </c>
      <c r="I1683" s="4" t="str">
        <f t="shared" si="158"/>
        <v>completed</v>
      </c>
      <c r="J1683" t="s">
        <v>25</v>
      </c>
      <c r="K1683">
        <v>3</v>
      </c>
      <c r="L1683">
        <v>8</v>
      </c>
      <c r="M1683">
        <v>2004</v>
      </c>
      <c r="N1683" t="s">
        <v>26</v>
      </c>
      <c r="O1683">
        <v>69</v>
      </c>
      <c r="P1683" t="s">
        <v>630</v>
      </c>
      <c r="Q1683" t="s">
        <v>458</v>
      </c>
      <c r="R1683">
        <v>6175557555</v>
      </c>
      <c r="S1683" t="s">
        <v>459</v>
      </c>
      <c r="U1683" s="1" t="str">
        <f t="shared" si="159"/>
        <v>Brickhaven</v>
      </c>
      <c r="V1683" t="s">
        <v>283</v>
      </c>
      <c r="W1683" t="s">
        <v>123</v>
      </c>
      <c r="X1683">
        <v>58339</v>
      </c>
      <c r="Y1683" s="1" t="str">
        <f t="shared" si="160"/>
        <v>USA</v>
      </c>
      <c r="Z1683" s="4" t="str">
        <f t="shared" si="161"/>
        <v>Usa</v>
      </c>
      <c r="AA1683" t="s">
        <v>32</v>
      </c>
      <c r="AB1683" t="s">
        <v>33</v>
      </c>
      <c r="AC1683" t="s">
        <v>460</v>
      </c>
      <c r="AD1683" t="s">
        <v>461</v>
      </c>
      <c r="AE1683" t="s">
        <v>51</v>
      </c>
    </row>
    <row r="1684" spans="1:31" x14ac:dyDescent="0.3">
      <c r="A1684">
        <v>10285</v>
      </c>
      <c r="B1684">
        <v>38</v>
      </c>
      <c r="C1684">
        <v>59.56</v>
      </c>
      <c r="D1684">
        <v>3</v>
      </c>
      <c r="E1684" s="4" t="str">
        <f t="shared" si="156"/>
        <v>low sales</v>
      </c>
      <c r="F1684">
        <v>2263.2800000000002</v>
      </c>
      <c r="G1684" t="s">
        <v>2356</v>
      </c>
      <c r="H1684" s="1" t="str">
        <f t="shared" si="157"/>
        <v>Shipped</v>
      </c>
      <c r="I1684" s="4" t="str">
        <f t="shared" si="158"/>
        <v>completed</v>
      </c>
      <c r="J1684" t="s">
        <v>25</v>
      </c>
      <c r="K1684">
        <v>3</v>
      </c>
      <c r="L1684">
        <v>8</v>
      </c>
      <c r="M1684">
        <v>2004</v>
      </c>
      <c r="N1684" t="s">
        <v>26</v>
      </c>
      <c r="O1684">
        <v>69</v>
      </c>
      <c r="P1684" t="s">
        <v>630</v>
      </c>
      <c r="Q1684" t="s">
        <v>120</v>
      </c>
      <c r="R1684">
        <v>6175558555</v>
      </c>
      <c r="S1684" t="s">
        <v>121</v>
      </c>
      <c r="U1684" s="1" t="str">
        <f t="shared" si="159"/>
        <v>Cambridge</v>
      </c>
      <c r="V1684" t="s">
        <v>122</v>
      </c>
      <c r="W1684" t="s">
        <v>123</v>
      </c>
      <c r="X1684">
        <v>51247</v>
      </c>
      <c r="Y1684" s="1" t="str">
        <f t="shared" si="160"/>
        <v>USA</v>
      </c>
      <c r="Z1684" s="4" t="str">
        <f t="shared" si="161"/>
        <v>Usa</v>
      </c>
      <c r="AA1684" t="s">
        <v>32</v>
      </c>
      <c r="AB1684" t="s">
        <v>33</v>
      </c>
      <c r="AC1684" t="s">
        <v>124</v>
      </c>
      <c r="AD1684" t="s">
        <v>125</v>
      </c>
      <c r="AE1684" t="s">
        <v>36</v>
      </c>
    </row>
    <row r="1685" spans="1:31" x14ac:dyDescent="0.3">
      <c r="A1685">
        <v>10299</v>
      </c>
      <c r="B1685">
        <v>33</v>
      </c>
      <c r="C1685">
        <v>66.489999999999995</v>
      </c>
      <c r="D1685">
        <v>6</v>
      </c>
      <c r="E1685" s="4" t="str">
        <f t="shared" si="156"/>
        <v>low sales</v>
      </c>
      <c r="F1685">
        <v>2194.17</v>
      </c>
      <c r="G1685" t="s">
        <v>2357</v>
      </c>
      <c r="H1685" s="1" t="str">
        <f t="shared" si="157"/>
        <v>Shipped</v>
      </c>
      <c r="I1685" s="4" t="str">
        <f t="shared" si="158"/>
        <v>completed</v>
      </c>
      <c r="J1685" t="s">
        <v>25</v>
      </c>
      <c r="K1685">
        <v>3</v>
      </c>
      <c r="L1685">
        <v>9</v>
      </c>
      <c r="M1685">
        <v>2004</v>
      </c>
      <c r="N1685" t="s">
        <v>26</v>
      </c>
      <c r="O1685">
        <v>69</v>
      </c>
      <c r="P1685" t="s">
        <v>630</v>
      </c>
      <c r="Q1685" t="s">
        <v>126</v>
      </c>
      <c r="R1685" t="s">
        <v>127</v>
      </c>
      <c r="S1685" t="s">
        <v>128</v>
      </c>
      <c r="U1685" s="1" t="str">
        <f t="shared" si="159"/>
        <v>Helsinki</v>
      </c>
      <c r="V1685" t="s">
        <v>129</v>
      </c>
      <c r="X1685">
        <v>21240</v>
      </c>
      <c r="Y1685" s="1" t="str">
        <f t="shared" si="160"/>
        <v>FINLAND</v>
      </c>
      <c r="Z1685" s="4" t="str">
        <f t="shared" si="161"/>
        <v>Finland</v>
      </c>
      <c r="AA1685" t="s">
        <v>130</v>
      </c>
      <c r="AB1685" t="s">
        <v>42</v>
      </c>
      <c r="AC1685" t="s">
        <v>131</v>
      </c>
      <c r="AD1685" t="s">
        <v>132</v>
      </c>
      <c r="AE1685" t="s">
        <v>36</v>
      </c>
    </row>
    <row r="1686" spans="1:31" x14ac:dyDescent="0.3">
      <c r="A1686">
        <v>10309</v>
      </c>
      <c r="B1686">
        <v>24</v>
      </c>
      <c r="C1686">
        <v>56.1</v>
      </c>
      <c r="D1686">
        <v>2</v>
      </c>
      <c r="E1686" s="4" t="str">
        <f t="shared" si="156"/>
        <v>low sales</v>
      </c>
      <c r="F1686">
        <v>1346.4</v>
      </c>
      <c r="G1686" t="s">
        <v>2358</v>
      </c>
      <c r="H1686" s="1" t="str">
        <f t="shared" si="157"/>
        <v>Shipped</v>
      </c>
      <c r="I1686" s="4" t="str">
        <f t="shared" si="158"/>
        <v>completed</v>
      </c>
      <c r="J1686" t="s">
        <v>25</v>
      </c>
      <c r="K1686">
        <v>4</v>
      </c>
      <c r="L1686">
        <v>10</v>
      </c>
      <c r="M1686">
        <v>2004</v>
      </c>
      <c r="N1686" t="s">
        <v>26</v>
      </c>
      <c r="O1686">
        <v>69</v>
      </c>
      <c r="P1686" t="s">
        <v>630</v>
      </c>
      <c r="Q1686" t="s">
        <v>133</v>
      </c>
      <c r="R1686" t="s">
        <v>134</v>
      </c>
      <c r="S1686" t="s">
        <v>135</v>
      </c>
      <c r="U1686" s="1" t="str">
        <f t="shared" si="159"/>
        <v>Stavern</v>
      </c>
      <c r="V1686" t="s">
        <v>136</v>
      </c>
      <c r="X1686">
        <v>4110</v>
      </c>
      <c r="Y1686" s="1" t="str">
        <f t="shared" si="160"/>
        <v>NORWAY</v>
      </c>
      <c r="Z1686" s="4" t="str">
        <f t="shared" si="161"/>
        <v>Norway</v>
      </c>
      <c r="AA1686" t="s">
        <v>78</v>
      </c>
      <c r="AB1686" t="s">
        <v>42</v>
      </c>
      <c r="AC1686" t="s">
        <v>137</v>
      </c>
      <c r="AD1686" t="s">
        <v>138</v>
      </c>
      <c r="AE1686" t="s">
        <v>36</v>
      </c>
    </row>
    <row r="1687" spans="1:31" x14ac:dyDescent="0.3">
      <c r="A1687">
        <v>10319</v>
      </c>
      <c r="B1687">
        <v>31</v>
      </c>
      <c r="C1687">
        <v>81.73</v>
      </c>
      <c r="D1687">
        <v>7</v>
      </c>
      <c r="E1687" s="4" t="str">
        <f t="shared" si="156"/>
        <v>low sales</v>
      </c>
      <c r="F1687">
        <v>2533.63</v>
      </c>
      <c r="G1687" t="s">
        <v>2359</v>
      </c>
      <c r="H1687" s="1" t="str">
        <f t="shared" si="157"/>
        <v>Shipped</v>
      </c>
      <c r="I1687" s="4" t="str">
        <f t="shared" si="158"/>
        <v>completed</v>
      </c>
      <c r="J1687" t="s">
        <v>25</v>
      </c>
      <c r="K1687">
        <v>4</v>
      </c>
      <c r="L1687">
        <v>11</v>
      </c>
      <c r="M1687">
        <v>2004</v>
      </c>
      <c r="N1687" t="s">
        <v>26</v>
      </c>
      <c r="O1687">
        <v>69</v>
      </c>
      <c r="P1687" t="s">
        <v>630</v>
      </c>
      <c r="Q1687" t="s">
        <v>507</v>
      </c>
      <c r="R1687">
        <v>2125551957</v>
      </c>
      <c r="S1687" t="s">
        <v>508</v>
      </c>
      <c r="T1687" t="s">
        <v>509</v>
      </c>
      <c r="U1687" s="1" t="str">
        <f t="shared" si="159"/>
        <v>Nyc</v>
      </c>
      <c r="V1687" t="s">
        <v>30</v>
      </c>
      <c r="W1687" t="s">
        <v>31</v>
      </c>
      <c r="X1687">
        <v>10022</v>
      </c>
      <c r="Y1687" s="1" t="str">
        <f t="shared" si="160"/>
        <v>USA</v>
      </c>
      <c r="Z1687" s="4" t="str">
        <f t="shared" si="161"/>
        <v>Usa</v>
      </c>
      <c r="AA1687" t="s">
        <v>32</v>
      </c>
      <c r="AB1687" t="s">
        <v>33</v>
      </c>
      <c r="AC1687" t="s">
        <v>510</v>
      </c>
      <c r="AD1687" t="s">
        <v>511</v>
      </c>
      <c r="AE1687" t="s">
        <v>36</v>
      </c>
    </row>
    <row r="1688" spans="1:31" x14ac:dyDescent="0.3">
      <c r="A1688">
        <v>10330</v>
      </c>
      <c r="B1688">
        <v>42</v>
      </c>
      <c r="C1688">
        <v>81.03</v>
      </c>
      <c r="D1688">
        <v>1</v>
      </c>
      <c r="E1688" s="4" t="str">
        <f t="shared" si="156"/>
        <v>low sales</v>
      </c>
      <c r="F1688">
        <v>3403.26</v>
      </c>
      <c r="G1688" t="s">
        <v>2360</v>
      </c>
      <c r="H1688" s="1" t="str">
        <f t="shared" si="157"/>
        <v>Shipped</v>
      </c>
      <c r="I1688" s="4" t="str">
        <f t="shared" si="158"/>
        <v>completed</v>
      </c>
      <c r="J1688" t="s">
        <v>25</v>
      </c>
      <c r="K1688">
        <v>4</v>
      </c>
      <c r="L1688">
        <v>11</v>
      </c>
      <c r="M1688">
        <v>2004</v>
      </c>
      <c r="N1688" t="s">
        <v>26</v>
      </c>
      <c r="O1688">
        <v>69</v>
      </c>
      <c r="P1688" t="s">
        <v>630</v>
      </c>
      <c r="Q1688" t="s">
        <v>425</v>
      </c>
      <c r="R1688" t="s">
        <v>426</v>
      </c>
      <c r="S1688" t="s">
        <v>427</v>
      </c>
      <c r="U1688" s="1" t="str">
        <f t="shared" si="159"/>
        <v>Makati City</v>
      </c>
      <c r="V1688" t="s">
        <v>428</v>
      </c>
      <c r="X1688" t="s">
        <v>429</v>
      </c>
      <c r="Y1688" s="1" t="str">
        <f t="shared" si="160"/>
        <v>PHILIPPINES</v>
      </c>
      <c r="Z1688" s="4" t="str">
        <f t="shared" si="161"/>
        <v>Philippines</v>
      </c>
      <c r="AA1688" t="s">
        <v>430</v>
      </c>
      <c r="AB1688" t="s">
        <v>200</v>
      </c>
      <c r="AC1688" t="s">
        <v>431</v>
      </c>
      <c r="AD1688" t="s">
        <v>432</v>
      </c>
      <c r="AE1688" t="s">
        <v>51</v>
      </c>
    </row>
    <row r="1689" spans="1:31" x14ac:dyDescent="0.3">
      <c r="A1689">
        <v>10341</v>
      </c>
      <c r="B1689">
        <v>32</v>
      </c>
      <c r="C1689">
        <v>100</v>
      </c>
      <c r="D1689">
        <v>6</v>
      </c>
      <c r="E1689" s="4" t="str">
        <f t="shared" si="156"/>
        <v>low sales</v>
      </c>
      <c r="F1689">
        <v>3307.2</v>
      </c>
      <c r="G1689" t="s">
        <v>2361</v>
      </c>
      <c r="H1689" s="1" t="str">
        <f t="shared" si="157"/>
        <v>Shipped</v>
      </c>
      <c r="I1689" s="4" t="str">
        <f t="shared" si="158"/>
        <v>completed</v>
      </c>
      <c r="J1689" t="s">
        <v>25</v>
      </c>
      <c r="K1689">
        <v>4</v>
      </c>
      <c r="L1689">
        <v>11</v>
      </c>
      <c r="M1689">
        <v>2004</v>
      </c>
      <c r="N1689" t="s">
        <v>26</v>
      </c>
      <c r="O1689">
        <v>69</v>
      </c>
      <c r="P1689" t="s">
        <v>630</v>
      </c>
      <c r="Q1689" t="s">
        <v>144</v>
      </c>
      <c r="R1689" t="s">
        <v>145</v>
      </c>
      <c r="S1689" t="s">
        <v>146</v>
      </c>
      <c r="U1689" s="1" t="str">
        <f t="shared" si="159"/>
        <v>Salzburg</v>
      </c>
      <c r="V1689" t="s">
        <v>147</v>
      </c>
      <c r="X1689">
        <v>5020</v>
      </c>
      <c r="Y1689" s="1" t="str">
        <f t="shared" si="160"/>
        <v>AUSTRIA</v>
      </c>
      <c r="Z1689" s="4" t="str">
        <f t="shared" si="161"/>
        <v>Austria</v>
      </c>
      <c r="AA1689" t="s">
        <v>148</v>
      </c>
      <c r="AB1689" t="s">
        <v>42</v>
      </c>
      <c r="AC1689" t="s">
        <v>149</v>
      </c>
      <c r="AD1689" t="s">
        <v>150</v>
      </c>
      <c r="AE1689" t="s">
        <v>51</v>
      </c>
    </row>
    <row r="1690" spans="1:31" x14ac:dyDescent="0.3">
      <c r="A1690">
        <v>10355</v>
      </c>
      <c r="B1690">
        <v>41</v>
      </c>
      <c r="C1690">
        <v>70.650000000000006</v>
      </c>
      <c r="D1690">
        <v>3</v>
      </c>
      <c r="E1690" s="4" t="str">
        <f t="shared" si="156"/>
        <v>low sales</v>
      </c>
      <c r="F1690">
        <v>2896.65</v>
      </c>
      <c r="G1690" t="s">
        <v>2362</v>
      </c>
      <c r="H1690" s="1" t="str">
        <f t="shared" si="157"/>
        <v>Shipped</v>
      </c>
      <c r="I1690" s="4" t="str">
        <f t="shared" si="158"/>
        <v>completed</v>
      </c>
      <c r="J1690" t="s">
        <v>25</v>
      </c>
      <c r="K1690">
        <v>4</v>
      </c>
      <c r="L1690">
        <v>12</v>
      </c>
      <c r="M1690">
        <v>2004</v>
      </c>
      <c r="N1690" t="s">
        <v>26</v>
      </c>
      <c r="O1690">
        <v>69</v>
      </c>
      <c r="P1690" t="s">
        <v>630</v>
      </c>
      <c r="Q1690" t="s">
        <v>174</v>
      </c>
      <c r="R1690" t="s">
        <v>175</v>
      </c>
      <c r="S1690" t="s">
        <v>176</v>
      </c>
      <c r="U1690" s="1" t="str">
        <f t="shared" si="159"/>
        <v>Madrid</v>
      </c>
      <c r="V1690" t="s">
        <v>177</v>
      </c>
      <c r="X1690">
        <v>28034</v>
      </c>
      <c r="Y1690" s="1" t="str">
        <f t="shared" si="160"/>
        <v>SPAIN</v>
      </c>
      <c r="Z1690" s="4" t="str">
        <f t="shared" si="161"/>
        <v>Spain</v>
      </c>
      <c r="AA1690" t="s">
        <v>178</v>
      </c>
      <c r="AB1690" t="s">
        <v>42</v>
      </c>
      <c r="AC1690" t="s">
        <v>179</v>
      </c>
      <c r="AD1690" t="s">
        <v>180</v>
      </c>
      <c r="AE1690" t="s">
        <v>36</v>
      </c>
    </row>
    <row r="1691" spans="1:31" x14ac:dyDescent="0.3">
      <c r="A1691">
        <v>10363</v>
      </c>
      <c r="B1691">
        <v>43</v>
      </c>
      <c r="C1691">
        <v>61.23</v>
      </c>
      <c r="D1691">
        <v>14</v>
      </c>
      <c r="E1691" s="4" t="str">
        <f t="shared" si="156"/>
        <v>low sales</v>
      </c>
      <c r="F1691">
        <v>2632.89</v>
      </c>
      <c r="G1691" t="s">
        <v>2363</v>
      </c>
      <c r="H1691" s="1" t="str">
        <f t="shared" si="157"/>
        <v>Shipped</v>
      </c>
      <c r="I1691" s="4" t="str">
        <f t="shared" si="158"/>
        <v>completed</v>
      </c>
      <c r="J1691" t="s">
        <v>25</v>
      </c>
      <c r="K1691">
        <v>1</v>
      </c>
      <c r="L1691">
        <v>1</v>
      </c>
      <c r="M1691">
        <v>2005</v>
      </c>
      <c r="N1691" t="s">
        <v>26</v>
      </c>
      <c r="O1691">
        <v>69</v>
      </c>
      <c r="P1691" t="s">
        <v>630</v>
      </c>
      <c r="Q1691" t="s">
        <v>467</v>
      </c>
      <c r="R1691" t="s">
        <v>468</v>
      </c>
      <c r="S1691" t="s">
        <v>469</v>
      </c>
      <c r="U1691" s="1" t="str">
        <f t="shared" si="159"/>
        <v>Espoo</v>
      </c>
      <c r="V1691" t="s">
        <v>470</v>
      </c>
      <c r="X1691" t="s">
        <v>471</v>
      </c>
      <c r="Y1691" s="1" t="str">
        <f t="shared" si="160"/>
        <v>FINLAND</v>
      </c>
      <c r="Z1691" s="4" t="str">
        <f t="shared" si="161"/>
        <v>Finland</v>
      </c>
      <c r="AA1691" t="s">
        <v>130</v>
      </c>
      <c r="AB1691" t="s">
        <v>42</v>
      </c>
      <c r="AC1691" t="s">
        <v>472</v>
      </c>
      <c r="AD1691" t="s">
        <v>473</v>
      </c>
      <c r="AE1691" t="s">
        <v>36</v>
      </c>
    </row>
    <row r="1692" spans="1:31" x14ac:dyDescent="0.3">
      <c r="A1692">
        <v>10375</v>
      </c>
      <c r="B1692">
        <v>20</v>
      </c>
      <c r="C1692">
        <v>100</v>
      </c>
      <c r="D1692">
        <v>14</v>
      </c>
      <c r="E1692" s="4" t="str">
        <f t="shared" si="156"/>
        <v>low sales</v>
      </c>
      <c r="F1692">
        <v>2046</v>
      </c>
      <c r="G1692" t="s">
        <v>2364</v>
      </c>
      <c r="H1692" s="1" t="str">
        <f t="shared" si="157"/>
        <v>Shipped</v>
      </c>
      <c r="I1692" s="4" t="str">
        <f t="shared" si="158"/>
        <v>completed</v>
      </c>
      <c r="J1692" t="s">
        <v>25</v>
      </c>
      <c r="K1692">
        <v>1</v>
      </c>
      <c r="L1692">
        <v>2</v>
      </c>
      <c r="M1692">
        <v>2005</v>
      </c>
      <c r="N1692" t="s">
        <v>26</v>
      </c>
      <c r="O1692">
        <v>69</v>
      </c>
      <c r="P1692" t="s">
        <v>630</v>
      </c>
      <c r="Q1692" t="s">
        <v>114</v>
      </c>
      <c r="R1692" t="s">
        <v>115</v>
      </c>
      <c r="S1692" t="s">
        <v>116</v>
      </c>
      <c r="U1692" s="1" t="str">
        <f t="shared" si="159"/>
        <v>Nantes</v>
      </c>
      <c r="V1692" t="s">
        <v>117</v>
      </c>
      <c r="X1692">
        <v>44000</v>
      </c>
      <c r="Y1692" s="1" t="str">
        <f t="shared" si="160"/>
        <v>FRANCE</v>
      </c>
      <c r="Z1692" s="4" t="str">
        <f t="shared" si="161"/>
        <v>France</v>
      </c>
      <c r="AA1692" t="s">
        <v>41</v>
      </c>
      <c r="AB1692" t="s">
        <v>42</v>
      </c>
      <c r="AC1692" t="s">
        <v>118</v>
      </c>
      <c r="AD1692" t="s">
        <v>119</v>
      </c>
      <c r="AE1692" t="s">
        <v>36</v>
      </c>
    </row>
    <row r="1693" spans="1:31" x14ac:dyDescent="0.3">
      <c r="A1693">
        <v>10390</v>
      </c>
      <c r="B1693">
        <v>35</v>
      </c>
      <c r="C1693">
        <v>65.13</v>
      </c>
      <c r="D1693">
        <v>4</v>
      </c>
      <c r="E1693" s="4" t="str">
        <f t="shared" si="156"/>
        <v>low sales</v>
      </c>
      <c r="F1693">
        <v>2279.5500000000002</v>
      </c>
      <c r="G1693" t="s">
        <v>2365</v>
      </c>
      <c r="H1693" s="1" t="str">
        <f t="shared" si="157"/>
        <v>Shipped</v>
      </c>
      <c r="I1693" s="4" t="str">
        <f t="shared" si="158"/>
        <v>completed</v>
      </c>
      <c r="J1693" t="s">
        <v>25</v>
      </c>
      <c r="K1693">
        <v>1</v>
      </c>
      <c r="L1693">
        <v>3</v>
      </c>
      <c r="M1693">
        <v>2005</v>
      </c>
      <c r="N1693" t="s">
        <v>26</v>
      </c>
      <c r="O1693">
        <v>69</v>
      </c>
      <c r="P1693" t="s">
        <v>630</v>
      </c>
      <c r="Q1693" t="s">
        <v>272</v>
      </c>
      <c r="R1693">
        <v>4155551450</v>
      </c>
      <c r="S1693" t="s">
        <v>273</v>
      </c>
      <c r="U1693" s="1" t="str">
        <f t="shared" si="159"/>
        <v>San Rafael</v>
      </c>
      <c r="V1693" t="s">
        <v>274</v>
      </c>
      <c r="W1693" t="s">
        <v>55</v>
      </c>
      <c r="X1693">
        <v>97562</v>
      </c>
      <c r="Y1693" s="1" t="str">
        <f t="shared" si="160"/>
        <v>USA</v>
      </c>
      <c r="Z1693" s="4" t="str">
        <f t="shared" si="161"/>
        <v>Usa</v>
      </c>
      <c r="AA1693" t="s">
        <v>32</v>
      </c>
      <c r="AB1693" t="s">
        <v>33</v>
      </c>
      <c r="AC1693" t="s">
        <v>275</v>
      </c>
      <c r="AD1693" t="s">
        <v>276</v>
      </c>
      <c r="AE1693" t="s">
        <v>36</v>
      </c>
    </row>
    <row r="1694" spans="1:31" x14ac:dyDescent="0.3">
      <c r="A1694">
        <v>10403</v>
      </c>
      <c r="B1694">
        <v>27</v>
      </c>
      <c r="C1694">
        <v>79.650000000000006</v>
      </c>
      <c r="D1694">
        <v>4</v>
      </c>
      <c r="E1694" s="4" t="str">
        <f t="shared" si="156"/>
        <v>low sales</v>
      </c>
      <c r="F1694">
        <v>2150.5500000000002</v>
      </c>
      <c r="G1694" t="s">
        <v>2366</v>
      </c>
      <c r="H1694" s="1" t="str">
        <f t="shared" si="157"/>
        <v>Shipped</v>
      </c>
      <c r="I1694" s="4" t="str">
        <f t="shared" si="158"/>
        <v>completed</v>
      </c>
      <c r="J1694" t="s">
        <v>25</v>
      </c>
      <c r="K1694">
        <v>2</v>
      </c>
      <c r="L1694">
        <v>4</v>
      </c>
      <c r="M1694">
        <v>2005</v>
      </c>
      <c r="N1694" t="s">
        <v>26</v>
      </c>
      <c r="O1694">
        <v>69</v>
      </c>
      <c r="P1694" t="s">
        <v>630</v>
      </c>
      <c r="Q1694" t="s">
        <v>165</v>
      </c>
      <c r="R1694" t="s">
        <v>166</v>
      </c>
      <c r="S1694" t="s">
        <v>167</v>
      </c>
      <c r="U1694" s="1" t="str">
        <f t="shared" si="159"/>
        <v>Liverpool</v>
      </c>
      <c r="V1694" t="s">
        <v>168</v>
      </c>
      <c r="X1694" t="s">
        <v>169</v>
      </c>
      <c r="Y1694" s="1" t="str">
        <f t="shared" si="160"/>
        <v>UK</v>
      </c>
      <c r="Z1694" s="4" t="str">
        <f t="shared" si="161"/>
        <v>Uk</v>
      </c>
      <c r="AA1694" t="s">
        <v>170</v>
      </c>
      <c r="AB1694" t="s">
        <v>42</v>
      </c>
      <c r="AC1694" t="s">
        <v>171</v>
      </c>
      <c r="AD1694" t="s">
        <v>172</v>
      </c>
      <c r="AE1694" t="s">
        <v>36</v>
      </c>
    </row>
    <row r="1695" spans="1:31" x14ac:dyDescent="0.3">
      <c r="A1695">
        <v>10110</v>
      </c>
      <c r="B1695">
        <v>43</v>
      </c>
      <c r="C1695">
        <v>78.150000000000006</v>
      </c>
      <c r="D1695">
        <v>11</v>
      </c>
      <c r="E1695" s="4" t="str">
        <f t="shared" si="156"/>
        <v>low sales</v>
      </c>
      <c r="F1695">
        <v>3360.45</v>
      </c>
      <c r="G1695" t="s">
        <v>2367</v>
      </c>
      <c r="H1695" s="1" t="str">
        <f t="shared" si="157"/>
        <v>Shipped</v>
      </c>
      <c r="I1695" s="4" t="str">
        <f t="shared" si="158"/>
        <v>completed</v>
      </c>
      <c r="J1695" t="s">
        <v>25</v>
      </c>
      <c r="K1695">
        <v>1</v>
      </c>
      <c r="L1695">
        <v>3</v>
      </c>
      <c r="M1695">
        <v>2003</v>
      </c>
      <c r="N1695" t="s">
        <v>181</v>
      </c>
      <c r="O1695">
        <v>90</v>
      </c>
      <c r="P1695" t="s">
        <v>631</v>
      </c>
      <c r="Q1695" t="s">
        <v>492</v>
      </c>
      <c r="R1695" t="s">
        <v>493</v>
      </c>
      <c r="S1695" t="s">
        <v>494</v>
      </c>
      <c r="U1695" s="1" t="str">
        <f t="shared" si="159"/>
        <v>Manchester</v>
      </c>
      <c r="V1695" t="s">
        <v>495</v>
      </c>
      <c r="X1695" t="s">
        <v>496</v>
      </c>
      <c r="Y1695" s="1" t="str">
        <f t="shared" si="160"/>
        <v>UK</v>
      </c>
      <c r="Z1695" s="4" t="str">
        <f t="shared" si="161"/>
        <v>Uk</v>
      </c>
      <c r="AA1695" t="s">
        <v>170</v>
      </c>
      <c r="AB1695" t="s">
        <v>42</v>
      </c>
      <c r="AC1695" t="s">
        <v>497</v>
      </c>
      <c r="AD1695" t="s">
        <v>94</v>
      </c>
      <c r="AE1695" t="s">
        <v>51</v>
      </c>
    </row>
    <row r="1696" spans="1:31" x14ac:dyDescent="0.3">
      <c r="A1696">
        <v>10124</v>
      </c>
      <c r="B1696">
        <v>32</v>
      </c>
      <c r="C1696">
        <v>72.7</v>
      </c>
      <c r="D1696">
        <v>10</v>
      </c>
      <c r="E1696" s="4" t="str">
        <f t="shared" si="156"/>
        <v>low sales</v>
      </c>
      <c r="F1696">
        <v>2326.4</v>
      </c>
      <c r="G1696" t="s">
        <v>2368</v>
      </c>
      <c r="H1696" s="1" t="str">
        <f t="shared" si="157"/>
        <v>Shipped</v>
      </c>
      <c r="I1696" s="4" t="str">
        <f t="shared" si="158"/>
        <v>completed</v>
      </c>
      <c r="J1696" t="s">
        <v>25</v>
      </c>
      <c r="K1696">
        <v>2</v>
      </c>
      <c r="L1696">
        <v>5</v>
      </c>
      <c r="M1696">
        <v>2003</v>
      </c>
      <c r="N1696" t="s">
        <v>181</v>
      </c>
      <c r="O1696">
        <v>90</v>
      </c>
      <c r="P1696" t="s">
        <v>631</v>
      </c>
      <c r="Q1696" t="s">
        <v>539</v>
      </c>
      <c r="R1696">
        <v>7025551838</v>
      </c>
      <c r="S1696" t="s">
        <v>540</v>
      </c>
      <c r="U1696" s="1" t="str">
        <f t="shared" si="159"/>
        <v>Las Vegas</v>
      </c>
      <c r="V1696" t="s">
        <v>541</v>
      </c>
      <c r="W1696" t="s">
        <v>542</v>
      </c>
      <c r="X1696">
        <v>83030</v>
      </c>
      <c r="Y1696" s="1" t="str">
        <f t="shared" si="160"/>
        <v>USA</v>
      </c>
      <c r="Z1696" s="4" t="str">
        <f t="shared" si="161"/>
        <v>Usa</v>
      </c>
      <c r="AA1696" t="s">
        <v>32</v>
      </c>
      <c r="AB1696" t="s">
        <v>33</v>
      </c>
      <c r="AC1696" t="s">
        <v>113</v>
      </c>
      <c r="AD1696" t="s">
        <v>400</v>
      </c>
      <c r="AE1696" t="s">
        <v>36</v>
      </c>
    </row>
    <row r="1697" spans="1:31" x14ac:dyDescent="0.3">
      <c r="A1697">
        <v>10148</v>
      </c>
      <c r="B1697">
        <v>21</v>
      </c>
      <c r="C1697">
        <v>73.599999999999994</v>
      </c>
      <c r="D1697">
        <v>4</v>
      </c>
      <c r="E1697" s="4" t="str">
        <f t="shared" si="156"/>
        <v>low sales</v>
      </c>
      <c r="F1697">
        <v>1545.6</v>
      </c>
      <c r="G1697" t="s">
        <v>2369</v>
      </c>
      <c r="H1697" s="1" t="str">
        <f t="shared" si="157"/>
        <v>Shipped</v>
      </c>
      <c r="I1697" s="4" t="str">
        <f t="shared" si="158"/>
        <v>completed</v>
      </c>
      <c r="J1697" t="s">
        <v>25</v>
      </c>
      <c r="K1697">
        <v>3</v>
      </c>
      <c r="L1697">
        <v>9</v>
      </c>
      <c r="M1697">
        <v>2003</v>
      </c>
      <c r="N1697" t="s">
        <v>181</v>
      </c>
      <c r="O1697">
        <v>90</v>
      </c>
      <c r="P1697" t="s">
        <v>631</v>
      </c>
      <c r="Q1697" t="s">
        <v>285</v>
      </c>
      <c r="R1697" t="s">
        <v>286</v>
      </c>
      <c r="S1697" t="s">
        <v>287</v>
      </c>
      <c r="T1697" t="s">
        <v>288</v>
      </c>
      <c r="U1697" s="1" t="str">
        <f t="shared" si="159"/>
        <v>North Sydney</v>
      </c>
      <c r="V1697" t="s">
        <v>289</v>
      </c>
      <c r="W1697" t="s">
        <v>157</v>
      </c>
      <c r="X1697">
        <v>2060</v>
      </c>
      <c r="Y1697" s="1" t="str">
        <f t="shared" si="160"/>
        <v>AUSTRALIA</v>
      </c>
      <c r="Z1697" s="4" t="str">
        <f t="shared" si="161"/>
        <v>Australia</v>
      </c>
      <c r="AA1697" t="s">
        <v>95</v>
      </c>
      <c r="AB1697" t="s">
        <v>96</v>
      </c>
      <c r="AC1697" t="s">
        <v>290</v>
      </c>
      <c r="AD1697" t="s">
        <v>291</v>
      </c>
      <c r="AE1697" t="s">
        <v>36</v>
      </c>
    </row>
    <row r="1698" spans="1:31" x14ac:dyDescent="0.3">
      <c r="A1698">
        <v>10161</v>
      </c>
      <c r="B1698">
        <v>20</v>
      </c>
      <c r="C1698">
        <v>100</v>
      </c>
      <c r="D1698">
        <v>3</v>
      </c>
      <c r="E1698" s="4" t="str">
        <f t="shared" si="156"/>
        <v>low sales</v>
      </c>
      <c r="F1698">
        <v>2144.6</v>
      </c>
      <c r="G1698" t="s">
        <v>2370</v>
      </c>
      <c r="H1698" s="1" t="str">
        <f t="shared" si="157"/>
        <v>Shipped</v>
      </c>
      <c r="I1698" s="4" t="str">
        <f t="shared" si="158"/>
        <v>completed</v>
      </c>
      <c r="J1698" t="s">
        <v>25</v>
      </c>
      <c r="K1698">
        <v>4</v>
      </c>
      <c r="L1698">
        <v>10</v>
      </c>
      <c r="M1698">
        <v>2003</v>
      </c>
      <c r="N1698" t="s">
        <v>181</v>
      </c>
      <c r="O1698">
        <v>90</v>
      </c>
      <c r="P1698" t="s">
        <v>631</v>
      </c>
      <c r="Q1698" t="s">
        <v>498</v>
      </c>
      <c r="R1698" t="s">
        <v>499</v>
      </c>
      <c r="S1698" t="s">
        <v>500</v>
      </c>
      <c r="U1698" s="1" t="str">
        <f t="shared" si="159"/>
        <v>Aaarhus</v>
      </c>
      <c r="V1698" t="s">
        <v>501</v>
      </c>
      <c r="X1698">
        <v>8200</v>
      </c>
      <c r="Y1698" s="1" t="str">
        <f t="shared" si="160"/>
        <v>DENMARK</v>
      </c>
      <c r="Z1698" s="4" t="str">
        <f t="shared" si="161"/>
        <v>Denmark</v>
      </c>
      <c r="AA1698" t="s">
        <v>326</v>
      </c>
      <c r="AB1698" t="s">
        <v>42</v>
      </c>
      <c r="AC1698" t="s">
        <v>502</v>
      </c>
      <c r="AD1698" t="s">
        <v>503</v>
      </c>
      <c r="AE1698" t="s">
        <v>36</v>
      </c>
    </row>
    <row r="1699" spans="1:31" x14ac:dyDescent="0.3">
      <c r="A1699">
        <v>10172</v>
      </c>
      <c r="B1699">
        <v>22</v>
      </c>
      <c r="C1699">
        <v>74.510000000000005</v>
      </c>
      <c r="D1699">
        <v>1</v>
      </c>
      <c r="E1699" s="4" t="str">
        <f t="shared" si="156"/>
        <v>low sales</v>
      </c>
      <c r="F1699">
        <v>1639.22</v>
      </c>
      <c r="G1699" t="s">
        <v>2371</v>
      </c>
      <c r="H1699" s="1" t="str">
        <f t="shared" si="157"/>
        <v>Shipped</v>
      </c>
      <c r="I1699" s="4" t="str">
        <f t="shared" si="158"/>
        <v>completed</v>
      </c>
      <c r="J1699" t="s">
        <v>25</v>
      </c>
      <c r="K1699">
        <v>4</v>
      </c>
      <c r="L1699">
        <v>11</v>
      </c>
      <c r="M1699">
        <v>2003</v>
      </c>
      <c r="N1699" t="s">
        <v>181</v>
      </c>
      <c r="O1699">
        <v>90</v>
      </c>
      <c r="P1699" t="s">
        <v>631</v>
      </c>
      <c r="Q1699" t="s">
        <v>109</v>
      </c>
      <c r="R1699">
        <v>2035552570</v>
      </c>
      <c r="S1699" t="s">
        <v>110</v>
      </c>
      <c r="U1699" s="1" t="str">
        <f t="shared" si="159"/>
        <v>Bridgewater</v>
      </c>
      <c r="V1699" t="s">
        <v>111</v>
      </c>
      <c r="W1699" t="s">
        <v>112</v>
      </c>
      <c r="X1699">
        <v>97562</v>
      </c>
      <c r="Y1699" s="1" t="str">
        <f t="shared" si="160"/>
        <v>USA</v>
      </c>
      <c r="Z1699" s="4" t="str">
        <f t="shared" si="161"/>
        <v>Usa</v>
      </c>
      <c r="AA1699" t="s">
        <v>32</v>
      </c>
      <c r="AB1699" t="s">
        <v>33</v>
      </c>
      <c r="AC1699" t="s">
        <v>113</v>
      </c>
      <c r="AD1699" t="s">
        <v>57</v>
      </c>
      <c r="AE1699" t="s">
        <v>36</v>
      </c>
    </row>
    <row r="1700" spans="1:31" x14ac:dyDescent="0.3">
      <c r="A1700">
        <v>10182</v>
      </c>
      <c r="B1700">
        <v>36</v>
      </c>
      <c r="C1700">
        <v>73.599999999999994</v>
      </c>
      <c r="D1700">
        <v>14</v>
      </c>
      <c r="E1700" s="4" t="str">
        <f t="shared" si="156"/>
        <v>low sales</v>
      </c>
      <c r="F1700">
        <v>2649.6</v>
      </c>
      <c r="G1700" t="s">
        <v>2372</v>
      </c>
      <c r="H1700" s="1" t="str">
        <f t="shared" si="157"/>
        <v>Shipped</v>
      </c>
      <c r="I1700" s="4" t="str">
        <f t="shared" si="158"/>
        <v>completed</v>
      </c>
      <c r="J1700" t="s">
        <v>25</v>
      </c>
      <c r="K1700">
        <v>4</v>
      </c>
      <c r="L1700">
        <v>11</v>
      </c>
      <c r="M1700">
        <v>2003</v>
      </c>
      <c r="N1700" t="s">
        <v>181</v>
      </c>
      <c r="O1700">
        <v>90</v>
      </c>
      <c r="P1700" t="s">
        <v>631</v>
      </c>
      <c r="Q1700" t="s">
        <v>272</v>
      </c>
      <c r="R1700">
        <v>4155551450</v>
      </c>
      <c r="S1700" t="s">
        <v>273</v>
      </c>
      <c r="U1700" s="1" t="str">
        <f t="shared" si="159"/>
        <v>San Rafael</v>
      </c>
      <c r="V1700" t="s">
        <v>274</v>
      </c>
      <c r="W1700" t="s">
        <v>55</v>
      </c>
      <c r="X1700">
        <v>97562</v>
      </c>
      <c r="Y1700" s="1" t="str">
        <f t="shared" si="160"/>
        <v>USA</v>
      </c>
      <c r="Z1700" s="4" t="str">
        <f t="shared" si="161"/>
        <v>Usa</v>
      </c>
      <c r="AA1700" t="s">
        <v>32</v>
      </c>
      <c r="AB1700" t="s">
        <v>33</v>
      </c>
      <c r="AC1700" t="s">
        <v>275</v>
      </c>
      <c r="AD1700" t="s">
        <v>276</v>
      </c>
      <c r="AE1700" t="s">
        <v>36</v>
      </c>
    </row>
    <row r="1701" spans="1:31" x14ac:dyDescent="0.3">
      <c r="A1701">
        <v>10192</v>
      </c>
      <c r="B1701">
        <v>46</v>
      </c>
      <c r="C1701">
        <v>83.6</v>
      </c>
      <c r="D1701">
        <v>2</v>
      </c>
      <c r="E1701" s="4" t="str">
        <f t="shared" si="156"/>
        <v>low sales</v>
      </c>
      <c r="F1701">
        <v>3845.6</v>
      </c>
      <c r="G1701" t="s">
        <v>2373</v>
      </c>
      <c r="H1701" s="1" t="str">
        <f t="shared" si="157"/>
        <v>Shipped</v>
      </c>
      <c r="I1701" s="4" t="str">
        <f t="shared" si="158"/>
        <v>completed</v>
      </c>
      <c r="J1701" t="s">
        <v>25</v>
      </c>
      <c r="K1701">
        <v>4</v>
      </c>
      <c r="L1701">
        <v>11</v>
      </c>
      <c r="M1701">
        <v>2003</v>
      </c>
      <c r="N1701" t="s">
        <v>181</v>
      </c>
      <c r="O1701">
        <v>90</v>
      </c>
      <c r="P1701" t="s">
        <v>631</v>
      </c>
      <c r="Q1701" t="s">
        <v>277</v>
      </c>
      <c r="R1701">
        <v>6035558647</v>
      </c>
      <c r="S1701" t="s">
        <v>278</v>
      </c>
      <c r="U1701" s="1" t="str">
        <f t="shared" si="159"/>
        <v>Nashua</v>
      </c>
      <c r="V1701" t="s">
        <v>279</v>
      </c>
      <c r="W1701" t="s">
        <v>280</v>
      </c>
      <c r="X1701">
        <v>62005</v>
      </c>
      <c r="Y1701" s="1" t="str">
        <f t="shared" si="160"/>
        <v>USA</v>
      </c>
      <c r="Z1701" s="4" t="str">
        <f t="shared" si="161"/>
        <v>Usa</v>
      </c>
      <c r="AA1701" t="s">
        <v>32</v>
      </c>
      <c r="AB1701" t="s">
        <v>33</v>
      </c>
      <c r="AC1701" t="s">
        <v>56</v>
      </c>
      <c r="AD1701" t="s">
        <v>276</v>
      </c>
      <c r="AE1701" t="s">
        <v>51</v>
      </c>
    </row>
    <row r="1702" spans="1:31" x14ac:dyDescent="0.3">
      <c r="A1702">
        <v>10204</v>
      </c>
      <c r="B1702">
        <v>47</v>
      </c>
      <c r="C1702">
        <v>96.32</v>
      </c>
      <c r="D1702">
        <v>8</v>
      </c>
      <c r="E1702" s="4" t="str">
        <f t="shared" si="156"/>
        <v>high sales</v>
      </c>
      <c r="F1702">
        <v>4527.04</v>
      </c>
      <c r="G1702" t="s">
        <v>2374</v>
      </c>
      <c r="H1702" s="1" t="str">
        <f t="shared" si="157"/>
        <v>Shipped</v>
      </c>
      <c r="I1702" s="4" t="str">
        <f t="shared" si="158"/>
        <v>completed</v>
      </c>
      <c r="J1702" t="s">
        <v>25</v>
      </c>
      <c r="K1702">
        <v>4</v>
      </c>
      <c r="L1702">
        <v>12</v>
      </c>
      <c r="M1702">
        <v>2003</v>
      </c>
      <c r="N1702" t="s">
        <v>181</v>
      </c>
      <c r="O1702">
        <v>90</v>
      </c>
      <c r="P1702" t="s">
        <v>631</v>
      </c>
      <c r="Q1702" t="s">
        <v>475</v>
      </c>
      <c r="R1702">
        <v>2125557413</v>
      </c>
      <c r="S1702" t="s">
        <v>476</v>
      </c>
      <c r="T1702" t="s">
        <v>477</v>
      </c>
      <c r="U1702" s="1" t="str">
        <f t="shared" si="159"/>
        <v>Nyc</v>
      </c>
      <c r="V1702" t="s">
        <v>30</v>
      </c>
      <c r="W1702" t="s">
        <v>31</v>
      </c>
      <c r="X1702">
        <v>10022</v>
      </c>
      <c r="Y1702" s="1" t="str">
        <f t="shared" si="160"/>
        <v>USA</v>
      </c>
      <c r="Z1702" s="4" t="str">
        <f t="shared" si="161"/>
        <v>Usa</v>
      </c>
      <c r="AA1702" t="s">
        <v>32</v>
      </c>
      <c r="AB1702" t="s">
        <v>33</v>
      </c>
      <c r="AC1702" t="s">
        <v>56</v>
      </c>
      <c r="AD1702" t="s">
        <v>478</v>
      </c>
      <c r="AE1702" t="s">
        <v>51</v>
      </c>
    </row>
    <row r="1703" spans="1:31" x14ac:dyDescent="0.3">
      <c r="A1703">
        <v>10212</v>
      </c>
      <c r="B1703">
        <v>45</v>
      </c>
      <c r="C1703">
        <v>88.14</v>
      </c>
      <c r="D1703">
        <v>1</v>
      </c>
      <c r="E1703" s="4" t="str">
        <f t="shared" si="156"/>
        <v>low sales</v>
      </c>
      <c r="F1703">
        <v>3966.3</v>
      </c>
      <c r="G1703" t="s">
        <v>2375</v>
      </c>
      <c r="H1703" s="1" t="str">
        <f t="shared" si="157"/>
        <v>Shipped</v>
      </c>
      <c r="I1703" s="4" t="str">
        <f t="shared" si="158"/>
        <v>completed</v>
      </c>
      <c r="J1703" t="s">
        <v>25</v>
      </c>
      <c r="K1703">
        <v>1</v>
      </c>
      <c r="L1703">
        <v>1</v>
      </c>
      <c r="M1703">
        <v>2004</v>
      </c>
      <c r="N1703" t="s">
        <v>181</v>
      </c>
      <c r="O1703">
        <v>90</v>
      </c>
      <c r="P1703" t="s">
        <v>631</v>
      </c>
      <c r="Q1703" t="s">
        <v>174</v>
      </c>
      <c r="R1703" t="s">
        <v>175</v>
      </c>
      <c r="S1703" t="s">
        <v>176</v>
      </c>
      <c r="U1703" s="1" t="str">
        <f t="shared" si="159"/>
        <v>Madrid</v>
      </c>
      <c r="V1703" t="s">
        <v>177</v>
      </c>
      <c r="X1703">
        <v>28034</v>
      </c>
      <c r="Y1703" s="1" t="str">
        <f t="shared" si="160"/>
        <v>SPAIN</v>
      </c>
      <c r="Z1703" s="4" t="str">
        <f t="shared" si="161"/>
        <v>Spain</v>
      </c>
      <c r="AA1703" t="s">
        <v>178</v>
      </c>
      <c r="AB1703" t="s">
        <v>42</v>
      </c>
      <c r="AC1703" t="s">
        <v>179</v>
      </c>
      <c r="AD1703" t="s">
        <v>180</v>
      </c>
      <c r="AE1703" t="s">
        <v>51</v>
      </c>
    </row>
    <row r="1704" spans="1:31" x14ac:dyDescent="0.3">
      <c r="A1704">
        <v>10227</v>
      </c>
      <c r="B1704">
        <v>47</v>
      </c>
      <c r="C1704">
        <v>88.14</v>
      </c>
      <c r="D1704">
        <v>14</v>
      </c>
      <c r="E1704" s="4" t="str">
        <f t="shared" si="156"/>
        <v>high sales</v>
      </c>
      <c r="F1704">
        <v>4142.58</v>
      </c>
      <c r="G1704" t="s">
        <v>2376</v>
      </c>
      <c r="H1704" s="1" t="str">
        <f t="shared" si="157"/>
        <v>Shipped</v>
      </c>
      <c r="I1704" s="4" t="str">
        <f t="shared" si="158"/>
        <v>completed</v>
      </c>
      <c r="J1704" t="s">
        <v>25</v>
      </c>
      <c r="K1704">
        <v>1</v>
      </c>
      <c r="L1704">
        <v>3</v>
      </c>
      <c r="M1704">
        <v>2004</v>
      </c>
      <c r="N1704" t="s">
        <v>181</v>
      </c>
      <c r="O1704">
        <v>90</v>
      </c>
      <c r="P1704" t="s">
        <v>631</v>
      </c>
      <c r="Q1704" t="s">
        <v>219</v>
      </c>
      <c r="R1704" t="s">
        <v>220</v>
      </c>
      <c r="S1704" t="s">
        <v>221</v>
      </c>
      <c r="U1704" s="1" t="str">
        <f t="shared" si="159"/>
        <v>Lyon</v>
      </c>
      <c r="V1704" t="s">
        <v>222</v>
      </c>
      <c r="X1704">
        <v>69004</v>
      </c>
      <c r="Y1704" s="1" t="str">
        <f t="shared" si="160"/>
        <v>FRANCE</v>
      </c>
      <c r="Z1704" s="4" t="str">
        <f t="shared" si="161"/>
        <v>France</v>
      </c>
      <c r="AA1704" t="s">
        <v>41</v>
      </c>
      <c r="AB1704" t="s">
        <v>42</v>
      </c>
      <c r="AC1704" t="s">
        <v>223</v>
      </c>
      <c r="AD1704" t="s">
        <v>224</v>
      </c>
      <c r="AE1704" t="s">
        <v>51</v>
      </c>
    </row>
    <row r="1705" spans="1:31" x14ac:dyDescent="0.3">
      <c r="A1705">
        <v>10241</v>
      </c>
      <c r="B1705">
        <v>47</v>
      </c>
      <c r="C1705">
        <v>94.5</v>
      </c>
      <c r="D1705">
        <v>6</v>
      </c>
      <c r="E1705" s="4" t="str">
        <f t="shared" si="156"/>
        <v>high sales</v>
      </c>
      <c r="F1705">
        <v>4441.5</v>
      </c>
      <c r="G1705" t="s">
        <v>2377</v>
      </c>
      <c r="H1705" s="1" t="str">
        <f t="shared" si="157"/>
        <v>Shipped</v>
      </c>
      <c r="I1705" s="4" t="str">
        <f t="shared" si="158"/>
        <v>completed</v>
      </c>
      <c r="J1705" t="s">
        <v>25</v>
      </c>
      <c r="K1705">
        <v>2</v>
      </c>
      <c r="L1705">
        <v>4</v>
      </c>
      <c r="M1705">
        <v>2004</v>
      </c>
      <c r="N1705" t="s">
        <v>181</v>
      </c>
      <c r="O1705">
        <v>90</v>
      </c>
      <c r="P1705" t="s">
        <v>631</v>
      </c>
      <c r="Q1705" t="s">
        <v>531</v>
      </c>
      <c r="R1705" t="s">
        <v>532</v>
      </c>
      <c r="S1705" t="s">
        <v>533</v>
      </c>
      <c r="U1705" s="1" t="str">
        <f t="shared" si="159"/>
        <v>Strasbourg</v>
      </c>
      <c r="V1705" t="s">
        <v>534</v>
      </c>
      <c r="X1705">
        <v>67000</v>
      </c>
      <c r="Y1705" s="1" t="str">
        <f t="shared" si="160"/>
        <v>FRANCE</v>
      </c>
      <c r="Z1705" s="4" t="str">
        <f t="shared" si="161"/>
        <v>France</v>
      </c>
      <c r="AA1705" t="s">
        <v>41</v>
      </c>
      <c r="AB1705" t="s">
        <v>42</v>
      </c>
      <c r="AC1705" t="s">
        <v>535</v>
      </c>
      <c r="AD1705" t="s">
        <v>536</v>
      </c>
      <c r="AE1705" t="s">
        <v>51</v>
      </c>
    </row>
    <row r="1706" spans="1:31" x14ac:dyDescent="0.3">
      <c r="A1706">
        <v>10267</v>
      </c>
      <c r="B1706">
        <v>38</v>
      </c>
      <c r="C1706">
        <v>87.24</v>
      </c>
      <c r="D1706">
        <v>3</v>
      </c>
      <c r="E1706" s="4" t="str">
        <f t="shared" si="156"/>
        <v>low sales</v>
      </c>
      <c r="F1706">
        <v>3315.12</v>
      </c>
      <c r="G1706" t="s">
        <v>2378</v>
      </c>
      <c r="H1706" s="1" t="str">
        <f t="shared" si="157"/>
        <v>Shipped</v>
      </c>
      <c r="I1706" s="4" t="str">
        <f t="shared" si="158"/>
        <v>completed</v>
      </c>
      <c r="J1706" t="s">
        <v>25</v>
      </c>
      <c r="K1706">
        <v>3</v>
      </c>
      <c r="L1706">
        <v>7</v>
      </c>
      <c r="M1706">
        <v>2004</v>
      </c>
      <c r="N1706" t="s">
        <v>181</v>
      </c>
      <c r="O1706">
        <v>90</v>
      </c>
      <c r="P1706" t="s">
        <v>631</v>
      </c>
      <c r="Q1706" t="s">
        <v>475</v>
      </c>
      <c r="R1706">
        <v>2125557413</v>
      </c>
      <c r="S1706" t="s">
        <v>476</v>
      </c>
      <c r="T1706" t="s">
        <v>477</v>
      </c>
      <c r="U1706" s="1" t="str">
        <f t="shared" si="159"/>
        <v>Nyc</v>
      </c>
      <c r="V1706" t="s">
        <v>30</v>
      </c>
      <c r="W1706" t="s">
        <v>31</v>
      </c>
      <c r="X1706">
        <v>10022</v>
      </c>
      <c r="Y1706" s="1" t="str">
        <f t="shared" si="160"/>
        <v>USA</v>
      </c>
      <c r="Z1706" s="4" t="str">
        <f t="shared" si="161"/>
        <v>Usa</v>
      </c>
      <c r="AA1706" t="s">
        <v>32</v>
      </c>
      <c r="AB1706" t="s">
        <v>33</v>
      </c>
      <c r="AC1706" t="s">
        <v>56</v>
      </c>
      <c r="AD1706" t="s">
        <v>478</v>
      </c>
      <c r="AE1706" t="s">
        <v>51</v>
      </c>
    </row>
    <row r="1707" spans="1:31" x14ac:dyDescent="0.3">
      <c r="A1707">
        <v>10279</v>
      </c>
      <c r="B1707">
        <v>49</v>
      </c>
      <c r="C1707">
        <v>79.97</v>
      </c>
      <c r="D1707">
        <v>3</v>
      </c>
      <c r="E1707" s="4" t="str">
        <f t="shared" si="156"/>
        <v>low sales</v>
      </c>
      <c r="F1707">
        <v>3918.53</v>
      </c>
      <c r="G1707" t="s">
        <v>2379</v>
      </c>
      <c r="H1707" s="1" t="str">
        <f t="shared" si="157"/>
        <v>Shipped</v>
      </c>
      <c r="I1707" s="4" t="str">
        <f t="shared" si="158"/>
        <v>completed</v>
      </c>
      <c r="J1707" t="s">
        <v>25</v>
      </c>
      <c r="K1707">
        <v>3</v>
      </c>
      <c r="L1707">
        <v>8</v>
      </c>
      <c r="M1707">
        <v>2004</v>
      </c>
      <c r="N1707" t="s">
        <v>181</v>
      </c>
      <c r="O1707">
        <v>90</v>
      </c>
      <c r="P1707" t="s">
        <v>631</v>
      </c>
      <c r="Q1707" t="s">
        <v>174</v>
      </c>
      <c r="R1707" t="s">
        <v>175</v>
      </c>
      <c r="S1707" t="s">
        <v>176</v>
      </c>
      <c r="U1707" s="1" t="str">
        <f t="shared" si="159"/>
        <v>Madrid</v>
      </c>
      <c r="V1707" t="s">
        <v>177</v>
      </c>
      <c r="X1707">
        <v>28034</v>
      </c>
      <c r="Y1707" s="1" t="str">
        <f t="shared" si="160"/>
        <v>SPAIN</v>
      </c>
      <c r="Z1707" s="4" t="str">
        <f t="shared" si="161"/>
        <v>Spain</v>
      </c>
      <c r="AA1707" t="s">
        <v>178</v>
      </c>
      <c r="AB1707" t="s">
        <v>42</v>
      </c>
      <c r="AC1707" t="s">
        <v>179</v>
      </c>
      <c r="AD1707" t="s">
        <v>180</v>
      </c>
      <c r="AE1707" t="s">
        <v>51</v>
      </c>
    </row>
    <row r="1708" spans="1:31" x14ac:dyDescent="0.3">
      <c r="A1708">
        <v>10288</v>
      </c>
      <c r="B1708">
        <v>35</v>
      </c>
      <c r="C1708">
        <v>80.87</v>
      </c>
      <c r="D1708">
        <v>9</v>
      </c>
      <c r="E1708" s="4" t="str">
        <f t="shared" si="156"/>
        <v>low sales</v>
      </c>
      <c r="F1708">
        <v>2830.45</v>
      </c>
      <c r="G1708" t="s">
        <v>2380</v>
      </c>
      <c r="H1708" s="1" t="str">
        <f t="shared" si="157"/>
        <v>Shipped</v>
      </c>
      <c r="I1708" s="4" t="str">
        <f t="shared" si="158"/>
        <v>completed</v>
      </c>
      <c r="J1708" t="s">
        <v>25</v>
      </c>
      <c r="K1708">
        <v>3</v>
      </c>
      <c r="L1708">
        <v>9</v>
      </c>
      <c r="M1708">
        <v>2004</v>
      </c>
      <c r="N1708" t="s">
        <v>181</v>
      </c>
      <c r="O1708">
        <v>90</v>
      </c>
      <c r="P1708" t="s">
        <v>631</v>
      </c>
      <c r="Q1708" t="s">
        <v>418</v>
      </c>
      <c r="R1708" t="s">
        <v>419</v>
      </c>
      <c r="S1708" t="s">
        <v>420</v>
      </c>
      <c r="T1708" t="s">
        <v>421</v>
      </c>
      <c r="U1708" s="1" t="str">
        <f t="shared" si="159"/>
        <v>Singapore</v>
      </c>
      <c r="V1708" t="s">
        <v>199</v>
      </c>
      <c r="X1708">
        <v>69045</v>
      </c>
      <c r="Y1708" s="1" t="str">
        <f t="shared" si="160"/>
        <v>SINGAPORE</v>
      </c>
      <c r="Z1708" s="4" t="str">
        <f t="shared" si="161"/>
        <v>Singapore</v>
      </c>
      <c r="AA1708" t="s">
        <v>199</v>
      </c>
      <c r="AB1708" t="s">
        <v>96</v>
      </c>
      <c r="AC1708" t="s">
        <v>422</v>
      </c>
      <c r="AD1708" t="s">
        <v>423</v>
      </c>
      <c r="AE1708" t="s">
        <v>36</v>
      </c>
    </row>
    <row r="1709" spans="1:31" x14ac:dyDescent="0.3">
      <c r="A1709">
        <v>10302</v>
      </c>
      <c r="B1709">
        <v>49</v>
      </c>
      <c r="C1709">
        <v>100</v>
      </c>
      <c r="D1709">
        <v>5</v>
      </c>
      <c r="E1709" s="4" t="str">
        <f t="shared" si="156"/>
        <v>high sales</v>
      </c>
      <c r="F1709">
        <v>5298.86</v>
      </c>
      <c r="G1709" t="s">
        <v>2381</v>
      </c>
      <c r="H1709" s="1" t="str">
        <f t="shared" si="157"/>
        <v>Shipped</v>
      </c>
      <c r="I1709" s="4" t="str">
        <f t="shared" si="158"/>
        <v>completed</v>
      </c>
      <c r="J1709" t="s">
        <v>25</v>
      </c>
      <c r="K1709">
        <v>4</v>
      </c>
      <c r="L1709">
        <v>10</v>
      </c>
      <c r="M1709">
        <v>2003</v>
      </c>
      <c r="N1709" t="s">
        <v>181</v>
      </c>
      <c r="O1709">
        <v>90</v>
      </c>
      <c r="P1709" t="s">
        <v>631</v>
      </c>
      <c r="Q1709" t="s">
        <v>165</v>
      </c>
      <c r="R1709" t="s">
        <v>166</v>
      </c>
      <c r="S1709" t="s">
        <v>167</v>
      </c>
      <c r="U1709" s="1" t="str">
        <f t="shared" si="159"/>
        <v>Liverpool</v>
      </c>
      <c r="V1709" t="s">
        <v>168</v>
      </c>
      <c r="X1709" t="s">
        <v>169</v>
      </c>
      <c r="Y1709" s="1" t="str">
        <f t="shared" si="160"/>
        <v>UK</v>
      </c>
      <c r="Z1709" s="4" t="str">
        <f t="shared" si="161"/>
        <v>Uk</v>
      </c>
      <c r="AA1709" t="s">
        <v>170</v>
      </c>
      <c r="AB1709" t="s">
        <v>42</v>
      </c>
      <c r="AC1709" t="s">
        <v>171</v>
      </c>
      <c r="AD1709" t="s">
        <v>172</v>
      </c>
      <c r="AE1709" t="s">
        <v>51</v>
      </c>
    </row>
    <row r="1710" spans="1:31" x14ac:dyDescent="0.3">
      <c r="A1710">
        <v>10311</v>
      </c>
      <c r="B1710">
        <v>28</v>
      </c>
      <c r="C1710">
        <v>93.6</v>
      </c>
      <c r="D1710">
        <v>4</v>
      </c>
      <c r="E1710" s="4" t="str">
        <f t="shared" si="156"/>
        <v>low sales</v>
      </c>
      <c r="F1710">
        <v>2620.8000000000002</v>
      </c>
      <c r="G1710" t="s">
        <v>2382</v>
      </c>
      <c r="H1710" s="1" t="str">
        <f t="shared" si="157"/>
        <v>Shipped</v>
      </c>
      <c r="I1710" s="4" t="str">
        <f t="shared" si="158"/>
        <v>completed</v>
      </c>
      <c r="J1710" t="s">
        <v>25</v>
      </c>
      <c r="K1710">
        <v>4</v>
      </c>
      <c r="L1710">
        <v>10</v>
      </c>
      <c r="M1710">
        <v>2004</v>
      </c>
      <c r="N1710" t="s">
        <v>181</v>
      </c>
      <c r="O1710">
        <v>90</v>
      </c>
      <c r="P1710" t="s">
        <v>631</v>
      </c>
      <c r="Q1710" t="s">
        <v>174</v>
      </c>
      <c r="R1710" t="s">
        <v>175</v>
      </c>
      <c r="S1710" t="s">
        <v>176</v>
      </c>
      <c r="U1710" s="1" t="str">
        <f t="shared" si="159"/>
        <v>Madrid</v>
      </c>
      <c r="V1710" t="s">
        <v>177</v>
      </c>
      <c r="X1710">
        <v>28034</v>
      </c>
      <c r="Y1710" s="1" t="str">
        <f t="shared" si="160"/>
        <v>SPAIN</v>
      </c>
      <c r="Z1710" s="4" t="str">
        <f t="shared" si="161"/>
        <v>Spain</v>
      </c>
      <c r="AA1710" t="s">
        <v>178</v>
      </c>
      <c r="AB1710" t="s">
        <v>42</v>
      </c>
      <c r="AC1710" t="s">
        <v>179</v>
      </c>
      <c r="AD1710" t="s">
        <v>180</v>
      </c>
      <c r="AE1710" t="s">
        <v>36</v>
      </c>
    </row>
    <row r="1711" spans="1:31" x14ac:dyDescent="0.3">
      <c r="A1711">
        <v>10321</v>
      </c>
      <c r="B1711">
        <v>30</v>
      </c>
      <c r="C1711">
        <v>72.7</v>
      </c>
      <c r="D1711">
        <v>1</v>
      </c>
      <c r="E1711" s="4" t="str">
        <f t="shared" si="156"/>
        <v>low sales</v>
      </c>
      <c r="F1711">
        <v>2181</v>
      </c>
      <c r="G1711" t="s">
        <v>2383</v>
      </c>
      <c r="H1711" s="1" t="str">
        <f t="shared" si="157"/>
        <v>Shipped</v>
      </c>
      <c r="I1711" s="4" t="str">
        <f t="shared" si="158"/>
        <v>completed</v>
      </c>
      <c r="J1711" t="s">
        <v>25</v>
      </c>
      <c r="K1711">
        <v>4</v>
      </c>
      <c r="L1711">
        <v>11</v>
      </c>
      <c r="M1711">
        <v>2004</v>
      </c>
      <c r="N1711" t="s">
        <v>181</v>
      </c>
      <c r="O1711">
        <v>90</v>
      </c>
      <c r="P1711" t="s">
        <v>631</v>
      </c>
      <c r="Q1711" t="s">
        <v>160</v>
      </c>
      <c r="R1711">
        <v>5085552555</v>
      </c>
      <c r="S1711" t="s">
        <v>161</v>
      </c>
      <c r="U1711" s="1" t="str">
        <f t="shared" si="159"/>
        <v>New Bedford</v>
      </c>
      <c r="V1711" t="s">
        <v>162</v>
      </c>
      <c r="W1711" t="s">
        <v>123</v>
      </c>
      <c r="X1711">
        <v>50553</v>
      </c>
      <c r="Y1711" s="1" t="str">
        <f t="shared" si="160"/>
        <v>USA</v>
      </c>
      <c r="Z1711" s="4" t="str">
        <f t="shared" si="161"/>
        <v>Usa</v>
      </c>
      <c r="AA1711" t="s">
        <v>32</v>
      </c>
      <c r="AB1711" t="s">
        <v>33</v>
      </c>
      <c r="AC1711" t="s">
        <v>163</v>
      </c>
      <c r="AD1711" t="s">
        <v>164</v>
      </c>
      <c r="AE1711" t="s">
        <v>36</v>
      </c>
    </row>
    <row r="1712" spans="1:31" x14ac:dyDescent="0.3">
      <c r="A1712">
        <v>10332</v>
      </c>
      <c r="B1712">
        <v>39</v>
      </c>
      <c r="C1712">
        <v>86.72</v>
      </c>
      <c r="D1712">
        <v>7</v>
      </c>
      <c r="E1712" s="4" t="str">
        <f t="shared" si="156"/>
        <v>low sales</v>
      </c>
      <c r="F1712">
        <v>3382.08</v>
      </c>
      <c r="G1712" t="s">
        <v>2384</v>
      </c>
      <c r="H1712" s="1" t="str">
        <f t="shared" si="157"/>
        <v>Shipped</v>
      </c>
      <c r="I1712" s="4" t="str">
        <f t="shared" si="158"/>
        <v>completed</v>
      </c>
      <c r="J1712" t="s">
        <v>25</v>
      </c>
      <c r="K1712">
        <v>4</v>
      </c>
      <c r="L1712">
        <v>11</v>
      </c>
      <c r="M1712">
        <v>2004</v>
      </c>
      <c r="N1712" t="s">
        <v>181</v>
      </c>
      <c r="O1712">
        <v>90</v>
      </c>
      <c r="P1712" t="s">
        <v>631</v>
      </c>
      <c r="Q1712" t="s">
        <v>492</v>
      </c>
      <c r="R1712" t="s">
        <v>493</v>
      </c>
      <c r="S1712" t="s">
        <v>494</v>
      </c>
      <c r="U1712" s="1" t="str">
        <f t="shared" si="159"/>
        <v>Manchester</v>
      </c>
      <c r="V1712" t="s">
        <v>495</v>
      </c>
      <c r="X1712" t="s">
        <v>496</v>
      </c>
      <c r="Y1712" s="1" t="str">
        <f t="shared" si="160"/>
        <v>UK</v>
      </c>
      <c r="Z1712" s="4" t="str">
        <f t="shared" si="161"/>
        <v>Uk</v>
      </c>
      <c r="AA1712" t="s">
        <v>170</v>
      </c>
      <c r="AB1712" t="s">
        <v>42</v>
      </c>
      <c r="AC1712" t="s">
        <v>497</v>
      </c>
      <c r="AD1712" t="s">
        <v>94</v>
      </c>
      <c r="AE1712" t="s">
        <v>51</v>
      </c>
    </row>
    <row r="1713" spans="1:31" x14ac:dyDescent="0.3">
      <c r="A1713">
        <v>10346</v>
      </c>
      <c r="B1713">
        <v>25</v>
      </c>
      <c r="C1713">
        <v>100</v>
      </c>
      <c r="D1713">
        <v>1</v>
      </c>
      <c r="E1713" s="4" t="str">
        <f t="shared" si="156"/>
        <v>low sales</v>
      </c>
      <c r="F1713">
        <v>2876.75</v>
      </c>
      <c r="G1713" t="s">
        <v>2385</v>
      </c>
      <c r="H1713" s="1" t="str">
        <f t="shared" si="157"/>
        <v>Shipped</v>
      </c>
      <c r="I1713" s="4" t="str">
        <f t="shared" si="158"/>
        <v>completed</v>
      </c>
      <c r="J1713" t="s">
        <v>25</v>
      </c>
      <c r="K1713">
        <v>4</v>
      </c>
      <c r="L1713">
        <v>11</v>
      </c>
      <c r="M1713">
        <v>2004</v>
      </c>
      <c r="N1713" t="s">
        <v>181</v>
      </c>
      <c r="O1713">
        <v>90</v>
      </c>
      <c r="P1713" t="s">
        <v>631</v>
      </c>
      <c r="Q1713" t="s">
        <v>539</v>
      </c>
      <c r="R1713">
        <v>7025551838</v>
      </c>
      <c r="S1713" t="s">
        <v>540</v>
      </c>
      <c r="U1713" s="1" t="str">
        <f t="shared" si="159"/>
        <v>Las Vegas</v>
      </c>
      <c r="V1713" t="s">
        <v>541</v>
      </c>
      <c r="W1713" t="s">
        <v>542</v>
      </c>
      <c r="X1713">
        <v>83030</v>
      </c>
      <c r="Y1713" s="1" t="str">
        <f t="shared" si="160"/>
        <v>USA</v>
      </c>
      <c r="Z1713" s="4" t="str">
        <f t="shared" si="161"/>
        <v>Usa</v>
      </c>
      <c r="AA1713" t="s">
        <v>32</v>
      </c>
      <c r="AB1713" t="s">
        <v>33</v>
      </c>
      <c r="AC1713" t="s">
        <v>113</v>
      </c>
      <c r="AD1713" t="s">
        <v>400</v>
      </c>
      <c r="AE1713" t="s">
        <v>36</v>
      </c>
    </row>
    <row r="1714" spans="1:31" x14ac:dyDescent="0.3">
      <c r="A1714">
        <v>10368</v>
      </c>
      <c r="B1714">
        <v>40</v>
      </c>
      <c r="C1714">
        <v>100</v>
      </c>
      <c r="D1714">
        <v>2</v>
      </c>
      <c r="E1714" s="4" t="str">
        <f t="shared" si="156"/>
        <v>high sales</v>
      </c>
      <c r="F1714">
        <v>4107.2</v>
      </c>
      <c r="G1714" t="s">
        <v>2386</v>
      </c>
      <c r="H1714" s="1" t="str">
        <f t="shared" si="157"/>
        <v>Shipped</v>
      </c>
      <c r="I1714" s="4" t="str">
        <f t="shared" si="158"/>
        <v>completed</v>
      </c>
      <c r="J1714" t="s">
        <v>25</v>
      </c>
      <c r="K1714">
        <v>1</v>
      </c>
      <c r="L1714">
        <v>1</v>
      </c>
      <c r="M1714">
        <v>2005</v>
      </c>
      <c r="N1714" t="s">
        <v>181</v>
      </c>
      <c r="O1714">
        <v>90</v>
      </c>
      <c r="P1714" t="s">
        <v>631</v>
      </c>
      <c r="Q1714" t="s">
        <v>272</v>
      </c>
      <c r="R1714">
        <v>4155551450</v>
      </c>
      <c r="S1714" t="s">
        <v>273</v>
      </c>
      <c r="U1714" s="1" t="str">
        <f t="shared" si="159"/>
        <v>San Rafael</v>
      </c>
      <c r="V1714" t="s">
        <v>274</v>
      </c>
      <c r="W1714" t="s">
        <v>55</v>
      </c>
      <c r="X1714">
        <v>97562</v>
      </c>
      <c r="Y1714" s="1" t="str">
        <f t="shared" si="160"/>
        <v>USA</v>
      </c>
      <c r="Z1714" s="4" t="str">
        <f t="shared" si="161"/>
        <v>Usa</v>
      </c>
      <c r="AA1714" t="s">
        <v>32</v>
      </c>
      <c r="AB1714" t="s">
        <v>33</v>
      </c>
      <c r="AC1714" t="s">
        <v>275</v>
      </c>
      <c r="AD1714" t="s">
        <v>276</v>
      </c>
      <c r="AE1714" t="s">
        <v>51</v>
      </c>
    </row>
    <row r="1715" spans="1:31" x14ac:dyDescent="0.3">
      <c r="A1715">
        <v>10380</v>
      </c>
      <c r="B1715">
        <v>36</v>
      </c>
      <c r="C1715">
        <v>37.5</v>
      </c>
      <c r="D1715">
        <v>6</v>
      </c>
      <c r="E1715" s="4" t="str">
        <f t="shared" si="156"/>
        <v>low sales</v>
      </c>
      <c r="F1715">
        <v>1350</v>
      </c>
      <c r="G1715" t="s">
        <v>2387</v>
      </c>
      <c r="H1715" s="1" t="str">
        <f t="shared" si="157"/>
        <v>Shipped</v>
      </c>
      <c r="I1715" s="4" t="str">
        <f t="shared" si="158"/>
        <v>completed</v>
      </c>
      <c r="J1715" t="s">
        <v>25</v>
      </c>
      <c r="K1715">
        <v>1</v>
      </c>
      <c r="L1715">
        <v>2</v>
      </c>
      <c r="M1715">
        <v>2005</v>
      </c>
      <c r="N1715" t="s">
        <v>181</v>
      </c>
      <c r="O1715">
        <v>90</v>
      </c>
      <c r="P1715" t="s">
        <v>631</v>
      </c>
      <c r="Q1715" t="s">
        <v>174</v>
      </c>
      <c r="R1715" t="s">
        <v>175</v>
      </c>
      <c r="S1715" t="s">
        <v>176</v>
      </c>
      <c r="U1715" s="1" t="str">
        <f t="shared" si="159"/>
        <v>Madrid</v>
      </c>
      <c r="V1715" t="s">
        <v>177</v>
      </c>
      <c r="X1715">
        <v>28034</v>
      </c>
      <c r="Y1715" s="1" t="str">
        <f t="shared" si="160"/>
        <v>SPAIN</v>
      </c>
      <c r="Z1715" s="4" t="str">
        <f t="shared" si="161"/>
        <v>Spain</v>
      </c>
      <c r="AA1715" t="s">
        <v>178</v>
      </c>
      <c r="AB1715" t="s">
        <v>42</v>
      </c>
      <c r="AC1715" t="s">
        <v>179</v>
      </c>
      <c r="AD1715" t="s">
        <v>180</v>
      </c>
      <c r="AE1715" t="s">
        <v>36</v>
      </c>
    </row>
    <row r="1716" spans="1:31" x14ac:dyDescent="0.3">
      <c r="A1716">
        <v>10407</v>
      </c>
      <c r="B1716">
        <v>76</v>
      </c>
      <c r="C1716">
        <v>94.5</v>
      </c>
      <c r="D1716">
        <v>6</v>
      </c>
      <c r="E1716" s="4" t="str">
        <f t="shared" si="156"/>
        <v>high sales</v>
      </c>
      <c r="F1716">
        <v>7182</v>
      </c>
      <c r="G1716" t="s">
        <v>2388</v>
      </c>
      <c r="H1716" s="1" t="str">
        <f t="shared" si="157"/>
        <v>On Hold</v>
      </c>
      <c r="I1716" s="4" t="str">
        <f t="shared" si="158"/>
        <v>not completed</v>
      </c>
      <c r="J1716" t="s">
        <v>401</v>
      </c>
      <c r="K1716">
        <v>2</v>
      </c>
      <c r="L1716">
        <v>4</v>
      </c>
      <c r="M1716">
        <v>2005</v>
      </c>
      <c r="N1716" t="s">
        <v>181</v>
      </c>
      <c r="O1716">
        <v>90</v>
      </c>
      <c r="P1716" t="s">
        <v>631</v>
      </c>
      <c r="Q1716" t="s">
        <v>397</v>
      </c>
      <c r="R1716">
        <v>4085553659</v>
      </c>
      <c r="S1716" t="s">
        <v>398</v>
      </c>
      <c r="U1716" s="1" t="str">
        <f t="shared" si="159"/>
        <v>San Jose</v>
      </c>
      <c r="V1716" t="s">
        <v>399</v>
      </c>
      <c r="W1716" t="s">
        <v>55</v>
      </c>
      <c r="X1716">
        <v>94217</v>
      </c>
      <c r="Y1716" s="1" t="str">
        <f t="shared" si="160"/>
        <v>USA</v>
      </c>
      <c r="Z1716" s="4" t="str">
        <f t="shared" si="161"/>
        <v>Usa</v>
      </c>
      <c r="AA1716" t="s">
        <v>32</v>
      </c>
      <c r="AB1716" t="s">
        <v>33</v>
      </c>
      <c r="AC1716" t="s">
        <v>102</v>
      </c>
      <c r="AD1716" t="s">
        <v>400</v>
      </c>
      <c r="AE1716" t="s">
        <v>151</v>
      </c>
    </row>
    <row r="1717" spans="1:31" x14ac:dyDescent="0.3">
      <c r="A1717">
        <v>10420</v>
      </c>
      <c r="B1717">
        <v>39</v>
      </c>
      <c r="C1717">
        <v>100</v>
      </c>
      <c r="D1717">
        <v>9</v>
      </c>
      <c r="E1717" s="4" t="str">
        <f t="shared" si="156"/>
        <v>low sales</v>
      </c>
      <c r="F1717">
        <v>3933.93</v>
      </c>
      <c r="G1717" t="s">
        <v>2389</v>
      </c>
      <c r="H1717" s="1" t="str">
        <f t="shared" si="157"/>
        <v>In Process</v>
      </c>
      <c r="I1717" s="4" t="str">
        <f t="shared" si="158"/>
        <v>not completed</v>
      </c>
      <c r="J1717" t="s">
        <v>300</v>
      </c>
      <c r="K1717">
        <v>2</v>
      </c>
      <c r="L1717">
        <v>5</v>
      </c>
      <c r="M1717">
        <v>2005</v>
      </c>
      <c r="N1717" t="s">
        <v>181</v>
      </c>
      <c r="O1717">
        <v>90</v>
      </c>
      <c r="P1717" t="s">
        <v>631</v>
      </c>
      <c r="Q1717" t="s">
        <v>152</v>
      </c>
      <c r="R1717" t="s">
        <v>153</v>
      </c>
      <c r="S1717" t="s">
        <v>154</v>
      </c>
      <c r="T1717" t="s">
        <v>155</v>
      </c>
      <c r="U1717" s="1" t="str">
        <f t="shared" si="159"/>
        <v>Chatswood</v>
      </c>
      <c r="V1717" t="s">
        <v>156</v>
      </c>
      <c r="W1717" t="s">
        <v>157</v>
      </c>
      <c r="X1717">
        <v>2067</v>
      </c>
      <c r="Y1717" s="1" t="str">
        <f t="shared" si="160"/>
        <v>AUSTRALIA</v>
      </c>
      <c r="Z1717" s="4" t="str">
        <f t="shared" si="161"/>
        <v>Australia</v>
      </c>
      <c r="AA1717" t="s">
        <v>95</v>
      </c>
      <c r="AB1717" t="s">
        <v>96</v>
      </c>
      <c r="AC1717" t="s">
        <v>158</v>
      </c>
      <c r="AD1717" t="s">
        <v>159</v>
      </c>
      <c r="AE1717" t="s">
        <v>51</v>
      </c>
    </row>
    <row r="1718" spans="1:31" x14ac:dyDescent="0.3">
      <c r="A1718">
        <v>10104</v>
      </c>
      <c r="B1718">
        <v>44</v>
      </c>
      <c r="C1718">
        <v>39.6</v>
      </c>
      <c r="D1718">
        <v>10</v>
      </c>
      <c r="E1718" s="4" t="str">
        <f t="shared" si="156"/>
        <v>low sales</v>
      </c>
      <c r="F1718">
        <v>1742.4</v>
      </c>
      <c r="G1718" t="s">
        <v>2390</v>
      </c>
      <c r="H1718" s="1" t="str">
        <f t="shared" si="157"/>
        <v>Shipped</v>
      </c>
      <c r="I1718" s="4" t="str">
        <f t="shared" si="158"/>
        <v>completed</v>
      </c>
      <c r="J1718" t="s">
        <v>25</v>
      </c>
      <c r="K1718">
        <v>1</v>
      </c>
      <c r="L1718">
        <v>1</v>
      </c>
      <c r="M1718">
        <v>2003</v>
      </c>
      <c r="N1718" t="s">
        <v>181</v>
      </c>
      <c r="O1718">
        <v>35</v>
      </c>
      <c r="P1718" t="s">
        <v>632</v>
      </c>
      <c r="Q1718" t="s">
        <v>174</v>
      </c>
      <c r="R1718" t="s">
        <v>175</v>
      </c>
      <c r="S1718" t="s">
        <v>176</v>
      </c>
      <c r="U1718" s="1" t="str">
        <f t="shared" si="159"/>
        <v>Madrid</v>
      </c>
      <c r="V1718" t="s">
        <v>177</v>
      </c>
      <c r="X1718">
        <v>28034</v>
      </c>
      <c r="Y1718" s="1" t="str">
        <f t="shared" si="160"/>
        <v>SPAIN</v>
      </c>
      <c r="Z1718" s="4" t="str">
        <f t="shared" si="161"/>
        <v>Spain</v>
      </c>
      <c r="AA1718" t="s">
        <v>178</v>
      </c>
      <c r="AB1718" t="s">
        <v>42</v>
      </c>
      <c r="AC1718" t="s">
        <v>179</v>
      </c>
      <c r="AD1718" t="s">
        <v>180</v>
      </c>
      <c r="AE1718" t="s">
        <v>36</v>
      </c>
    </row>
    <row r="1719" spans="1:31" x14ac:dyDescent="0.3">
      <c r="A1719">
        <v>10114</v>
      </c>
      <c r="B1719">
        <v>24</v>
      </c>
      <c r="C1719">
        <v>30.06</v>
      </c>
      <c r="D1719">
        <v>1</v>
      </c>
      <c r="E1719" s="4" t="str">
        <f t="shared" si="156"/>
        <v>low sales</v>
      </c>
      <c r="F1719">
        <v>721.44</v>
      </c>
      <c r="G1719" t="s">
        <v>2391</v>
      </c>
      <c r="H1719" s="1" t="str">
        <f t="shared" si="157"/>
        <v>Shipped</v>
      </c>
      <c r="I1719" s="4" t="str">
        <f t="shared" si="158"/>
        <v>completed</v>
      </c>
      <c r="J1719" t="s">
        <v>25</v>
      </c>
      <c r="K1719">
        <v>2</v>
      </c>
      <c r="L1719">
        <v>4</v>
      </c>
      <c r="M1719">
        <v>2003</v>
      </c>
      <c r="N1719" t="s">
        <v>181</v>
      </c>
      <c r="O1719">
        <v>35</v>
      </c>
      <c r="P1719" t="s">
        <v>632</v>
      </c>
      <c r="Q1719" t="s">
        <v>403</v>
      </c>
      <c r="R1719" t="s">
        <v>404</v>
      </c>
      <c r="S1719" t="s">
        <v>405</v>
      </c>
      <c r="U1719" s="1" t="str">
        <f t="shared" si="159"/>
        <v>Paris</v>
      </c>
      <c r="V1719" t="s">
        <v>48</v>
      </c>
      <c r="X1719">
        <v>75012</v>
      </c>
      <c r="Y1719" s="1" t="str">
        <f t="shared" si="160"/>
        <v>FRANCE</v>
      </c>
      <c r="Z1719" s="4" t="str">
        <f t="shared" si="161"/>
        <v>France</v>
      </c>
      <c r="AA1719" t="s">
        <v>41</v>
      </c>
      <c r="AB1719" t="s">
        <v>42</v>
      </c>
      <c r="AC1719" t="s">
        <v>406</v>
      </c>
      <c r="AD1719" t="s">
        <v>407</v>
      </c>
      <c r="AE1719" t="s">
        <v>36</v>
      </c>
    </row>
    <row r="1720" spans="1:31" x14ac:dyDescent="0.3">
      <c r="A1720">
        <v>10127</v>
      </c>
      <c r="B1720">
        <v>39</v>
      </c>
      <c r="C1720">
        <v>38.19</v>
      </c>
      <c r="D1720">
        <v>12</v>
      </c>
      <c r="E1720" s="4" t="str">
        <f t="shared" si="156"/>
        <v>low sales</v>
      </c>
      <c r="F1720">
        <v>1489.41</v>
      </c>
      <c r="G1720" t="s">
        <v>2392</v>
      </c>
      <c r="H1720" s="1" t="str">
        <f t="shared" si="157"/>
        <v>Shipped</v>
      </c>
      <c r="I1720" s="4" t="str">
        <f t="shared" si="158"/>
        <v>completed</v>
      </c>
      <c r="J1720" t="s">
        <v>25</v>
      </c>
      <c r="K1720">
        <v>2</v>
      </c>
      <c r="L1720">
        <v>6</v>
      </c>
      <c r="M1720">
        <v>2003</v>
      </c>
      <c r="N1720" t="s">
        <v>181</v>
      </c>
      <c r="O1720">
        <v>35</v>
      </c>
      <c r="P1720" t="s">
        <v>632</v>
      </c>
      <c r="Q1720" t="s">
        <v>475</v>
      </c>
      <c r="R1720">
        <v>2125557413</v>
      </c>
      <c r="S1720" t="s">
        <v>476</v>
      </c>
      <c r="T1720" t="s">
        <v>477</v>
      </c>
      <c r="U1720" s="1" t="str">
        <f t="shared" si="159"/>
        <v>Nyc</v>
      </c>
      <c r="V1720" t="s">
        <v>30</v>
      </c>
      <c r="W1720" t="s">
        <v>31</v>
      </c>
      <c r="X1720">
        <v>10022</v>
      </c>
      <c r="Y1720" s="1" t="str">
        <f t="shared" si="160"/>
        <v>USA</v>
      </c>
      <c r="Z1720" s="4" t="str">
        <f t="shared" si="161"/>
        <v>Usa</v>
      </c>
      <c r="AA1720" t="s">
        <v>32</v>
      </c>
      <c r="AB1720" t="s">
        <v>33</v>
      </c>
      <c r="AC1720" t="s">
        <v>56</v>
      </c>
      <c r="AD1720" t="s">
        <v>478</v>
      </c>
      <c r="AE1720" t="s">
        <v>36</v>
      </c>
    </row>
    <row r="1721" spans="1:31" x14ac:dyDescent="0.3">
      <c r="A1721">
        <v>10141</v>
      </c>
      <c r="B1721">
        <v>21</v>
      </c>
      <c r="C1721">
        <v>42.43</v>
      </c>
      <c r="D1721">
        <v>6</v>
      </c>
      <c r="E1721" s="4" t="str">
        <f t="shared" si="156"/>
        <v>low sales</v>
      </c>
      <c r="F1721">
        <v>891.03</v>
      </c>
      <c r="G1721" t="s">
        <v>2393</v>
      </c>
      <c r="H1721" s="1" t="str">
        <f t="shared" si="157"/>
        <v>Shipped</v>
      </c>
      <c r="I1721" s="4" t="str">
        <f t="shared" si="158"/>
        <v>completed</v>
      </c>
      <c r="J1721" t="s">
        <v>25</v>
      </c>
      <c r="K1721">
        <v>3</v>
      </c>
      <c r="L1721">
        <v>8</v>
      </c>
      <c r="M1721">
        <v>2003</v>
      </c>
      <c r="N1721" t="s">
        <v>181</v>
      </c>
      <c r="O1721">
        <v>35</v>
      </c>
      <c r="P1721" t="s">
        <v>632</v>
      </c>
      <c r="Q1721" t="s">
        <v>467</v>
      </c>
      <c r="R1721" t="s">
        <v>468</v>
      </c>
      <c r="S1721" t="s">
        <v>469</v>
      </c>
      <c r="U1721" s="1" t="str">
        <f t="shared" si="159"/>
        <v>Espoo</v>
      </c>
      <c r="V1721" t="s">
        <v>470</v>
      </c>
      <c r="X1721" t="s">
        <v>471</v>
      </c>
      <c r="Y1721" s="1" t="str">
        <f t="shared" si="160"/>
        <v>FINLAND</v>
      </c>
      <c r="Z1721" s="4" t="str">
        <f t="shared" si="161"/>
        <v>Finland</v>
      </c>
      <c r="AA1721" t="s">
        <v>130</v>
      </c>
      <c r="AB1721" t="s">
        <v>42</v>
      </c>
      <c r="AC1721" t="s">
        <v>472</v>
      </c>
      <c r="AD1721" t="s">
        <v>473</v>
      </c>
      <c r="AE1721" t="s">
        <v>36</v>
      </c>
    </row>
    <row r="1722" spans="1:31" x14ac:dyDescent="0.3">
      <c r="A1722">
        <v>10151</v>
      </c>
      <c r="B1722">
        <v>30</v>
      </c>
      <c r="C1722">
        <v>40.31</v>
      </c>
      <c r="D1722">
        <v>4</v>
      </c>
      <c r="E1722" s="4" t="str">
        <f t="shared" si="156"/>
        <v>low sales</v>
      </c>
      <c r="F1722">
        <v>1209.3</v>
      </c>
      <c r="G1722" t="s">
        <v>2394</v>
      </c>
      <c r="H1722" s="1" t="str">
        <f t="shared" si="157"/>
        <v>Shipped</v>
      </c>
      <c r="I1722" s="4" t="str">
        <f t="shared" si="158"/>
        <v>completed</v>
      </c>
      <c r="J1722" t="s">
        <v>25</v>
      </c>
      <c r="K1722">
        <v>3</v>
      </c>
      <c r="L1722">
        <v>9</v>
      </c>
      <c r="M1722">
        <v>2003</v>
      </c>
      <c r="N1722" t="s">
        <v>181</v>
      </c>
      <c r="O1722">
        <v>35</v>
      </c>
      <c r="P1722" t="s">
        <v>632</v>
      </c>
      <c r="Q1722" t="s">
        <v>391</v>
      </c>
      <c r="R1722" t="s">
        <v>392</v>
      </c>
      <c r="S1722" t="s">
        <v>393</v>
      </c>
      <c r="U1722" s="1" t="str">
        <f t="shared" si="159"/>
        <v>Oulu</v>
      </c>
      <c r="V1722" t="s">
        <v>394</v>
      </c>
      <c r="X1722">
        <v>90110</v>
      </c>
      <c r="Y1722" s="1" t="str">
        <f t="shared" si="160"/>
        <v>FINLAND</v>
      </c>
      <c r="Z1722" s="4" t="str">
        <f t="shared" si="161"/>
        <v>Finland</v>
      </c>
      <c r="AA1722" t="s">
        <v>130</v>
      </c>
      <c r="AB1722" t="s">
        <v>42</v>
      </c>
      <c r="AC1722" t="s">
        <v>395</v>
      </c>
      <c r="AD1722" t="s">
        <v>396</v>
      </c>
      <c r="AE1722" t="s">
        <v>36</v>
      </c>
    </row>
    <row r="1723" spans="1:31" x14ac:dyDescent="0.3">
      <c r="A1723">
        <v>10165</v>
      </c>
      <c r="B1723">
        <v>27</v>
      </c>
      <c r="C1723">
        <v>31.82</v>
      </c>
      <c r="D1723">
        <v>13</v>
      </c>
      <c r="E1723" s="4" t="str">
        <f t="shared" si="156"/>
        <v>low sales</v>
      </c>
      <c r="F1723">
        <v>859.14</v>
      </c>
      <c r="G1723" t="s">
        <v>2395</v>
      </c>
      <c r="H1723" s="1" t="str">
        <f t="shared" si="157"/>
        <v>Shipped</v>
      </c>
      <c r="I1723" s="4" t="str">
        <f t="shared" si="158"/>
        <v>completed</v>
      </c>
      <c r="J1723" t="s">
        <v>25</v>
      </c>
      <c r="K1723">
        <v>4</v>
      </c>
      <c r="L1723">
        <v>10</v>
      </c>
      <c r="M1723">
        <v>2003</v>
      </c>
      <c r="N1723" t="s">
        <v>181</v>
      </c>
      <c r="O1723">
        <v>35</v>
      </c>
      <c r="P1723" t="s">
        <v>632</v>
      </c>
      <c r="Q1723" t="s">
        <v>196</v>
      </c>
      <c r="R1723" t="s">
        <v>197</v>
      </c>
      <c r="S1723" t="s">
        <v>198</v>
      </c>
      <c r="U1723" s="1" t="str">
        <f t="shared" si="159"/>
        <v>Singapore</v>
      </c>
      <c r="V1723" t="s">
        <v>199</v>
      </c>
      <c r="X1723">
        <v>79903</v>
      </c>
      <c r="Y1723" s="1" t="str">
        <f t="shared" si="160"/>
        <v>SINGAPORE</v>
      </c>
      <c r="Z1723" s="4" t="str">
        <f t="shared" si="161"/>
        <v>Singapore</v>
      </c>
      <c r="AA1723" t="s">
        <v>199</v>
      </c>
      <c r="AB1723" t="s">
        <v>200</v>
      </c>
      <c r="AC1723" t="s">
        <v>201</v>
      </c>
      <c r="AD1723" t="s">
        <v>202</v>
      </c>
      <c r="AE1723" t="s">
        <v>36</v>
      </c>
    </row>
    <row r="1724" spans="1:31" x14ac:dyDescent="0.3">
      <c r="A1724">
        <v>10175</v>
      </c>
      <c r="B1724">
        <v>37</v>
      </c>
      <c r="C1724">
        <v>31.12</v>
      </c>
      <c r="D1724">
        <v>2</v>
      </c>
      <c r="E1724" s="4" t="str">
        <f t="shared" si="156"/>
        <v>low sales</v>
      </c>
      <c r="F1724">
        <v>1151.44</v>
      </c>
      <c r="G1724" t="s">
        <v>2396</v>
      </c>
      <c r="H1724" s="1" t="str">
        <f t="shared" si="157"/>
        <v>Shipped</v>
      </c>
      <c r="I1724" s="4" t="str">
        <f t="shared" si="158"/>
        <v>completed</v>
      </c>
      <c r="J1724" t="s">
        <v>25</v>
      </c>
      <c r="K1724">
        <v>4</v>
      </c>
      <c r="L1724">
        <v>11</v>
      </c>
      <c r="M1724">
        <v>2003</v>
      </c>
      <c r="N1724" t="s">
        <v>181</v>
      </c>
      <c r="O1724">
        <v>35</v>
      </c>
      <c r="P1724" t="s">
        <v>632</v>
      </c>
      <c r="Q1724" t="s">
        <v>329</v>
      </c>
      <c r="R1724" t="s">
        <v>330</v>
      </c>
      <c r="S1724" t="s">
        <v>331</v>
      </c>
      <c r="U1724" s="1" t="str">
        <f t="shared" si="159"/>
        <v>London</v>
      </c>
      <c r="V1724" t="s">
        <v>332</v>
      </c>
      <c r="X1724" t="s">
        <v>333</v>
      </c>
      <c r="Y1724" s="1" t="str">
        <f t="shared" si="160"/>
        <v>UK</v>
      </c>
      <c r="Z1724" s="4" t="str">
        <f t="shared" si="161"/>
        <v>Uk</v>
      </c>
      <c r="AA1724" t="s">
        <v>170</v>
      </c>
      <c r="AB1724" t="s">
        <v>42</v>
      </c>
      <c r="AC1724" t="s">
        <v>61</v>
      </c>
      <c r="AD1724" t="s">
        <v>334</v>
      </c>
      <c r="AE1724" t="s">
        <v>36</v>
      </c>
    </row>
    <row r="1725" spans="1:31" x14ac:dyDescent="0.3">
      <c r="A1725">
        <v>10184</v>
      </c>
      <c r="B1725">
        <v>42</v>
      </c>
      <c r="C1725">
        <v>31.82</v>
      </c>
      <c r="D1725">
        <v>7</v>
      </c>
      <c r="E1725" s="4" t="str">
        <f t="shared" si="156"/>
        <v>low sales</v>
      </c>
      <c r="F1725">
        <v>1336.44</v>
      </c>
      <c r="G1725" t="s">
        <v>2397</v>
      </c>
      <c r="H1725" s="1" t="str">
        <f t="shared" si="157"/>
        <v>Shipped</v>
      </c>
      <c r="I1725" s="4" t="str">
        <f t="shared" si="158"/>
        <v>completed</v>
      </c>
      <c r="J1725" t="s">
        <v>25</v>
      </c>
      <c r="K1725">
        <v>4</v>
      </c>
      <c r="L1725">
        <v>11</v>
      </c>
      <c r="M1725">
        <v>2003</v>
      </c>
      <c r="N1725" t="s">
        <v>181</v>
      </c>
      <c r="O1725">
        <v>35</v>
      </c>
      <c r="P1725" t="s">
        <v>632</v>
      </c>
      <c r="Q1725" t="s">
        <v>520</v>
      </c>
      <c r="R1725" t="s">
        <v>521</v>
      </c>
      <c r="S1725" t="s">
        <v>522</v>
      </c>
      <c r="U1725" s="1" t="str">
        <f t="shared" si="159"/>
        <v>Sevilla</v>
      </c>
      <c r="V1725" t="s">
        <v>523</v>
      </c>
      <c r="X1725">
        <v>41101</v>
      </c>
      <c r="Y1725" s="1" t="str">
        <f t="shared" si="160"/>
        <v>SPAIN</v>
      </c>
      <c r="Z1725" s="4" t="str">
        <f t="shared" si="161"/>
        <v>Spain</v>
      </c>
      <c r="AA1725" t="s">
        <v>178</v>
      </c>
      <c r="AB1725" t="s">
        <v>42</v>
      </c>
      <c r="AC1725" t="s">
        <v>524</v>
      </c>
      <c r="AD1725" t="s">
        <v>525</v>
      </c>
      <c r="AE1725" t="s">
        <v>36</v>
      </c>
    </row>
    <row r="1726" spans="1:31" x14ac:dyDescent="0.3">
      <c r="A1726">
        <v>10195</v>
      </c>
      <c r="B1726">
        <v>32</v>
      </c>
      <c r="C1726">
        <v>28.29</v>
      </c>
      <c r="D1726">
        <v>7</v>
      </c>
      <c r="E1726" s="4" t="str">
        <f t="shared" si="156"/>
        <v>low sales</v>
      </c>
      <c r="F1726">
        <v>905.28</v>
      </c>
      <c r="G1726" t="s">
        <v>2398</v>
      </c>
      <c r="H1726" s="1" t="str">
        <f t="shared" si="157"/>
        <v>Shipped</v>
      </c>
      <c r="I1726" s="4" t="str">
        <f t="shared" si="158"/>
        <v>completed</v>
      </c>
      <c r="J1726" t="s">
        <v>25</v>
      </c>
      <c r="K1726">
        <v>4</v>
      </c>
      <c r="L1726">
        <v>11</v>
      </c>
      <c r="M1726">
        <v>2003</v>
      </c>
      <c r="N1726" t="s">
        <v>181</v>
      </c>
      <c r="O1726">
        <v>35</v>
      </c>
      <c r="P1726" t="s">
        <v>632</v>
      </c>
      <c r="Q1726" t="s">
        <v>317</v>
      </c>
      <c r="R1726">
        <v>9145554562</v>
      </c>
      <c r="S1726" t="s">
        <v>318</v>
      </c>
      <c r="U1726" s="1" t="str">
        <f t="shared" si="159"/>
        <v>White Plains</v>
      </c>
      <c r="V1726" t="s">
        <v>319</v>
      </c>
      <c r="W1726" t="s">
        <v>31</v>
      </c>
      <c r="X1726">
        <v>24067</v>
      </c>
      <c r="Y1726" s="1" t="str">
        <f t="shared" si="160"/>
        <v>USA</v>
      </c>
      <c r="Z1726" s="4" t="str">
        <f t="shared" si="161"/>
        <v>Usa</v>
      </c>
      <c r="AA1726" t="s">
        <v>32</v>
      </c>
      <c r="AB1726" t="s">
        <v>33</v>
      </c>
      <c r="AC1726" t="s">
        <v>102</v>
      </c>
      <c r="AD1726" t="s">
        <v>238</v>
      </c>
      <c r="AE1726" t="s">
        <v>36</v>
      </c>
    </row>
    <row r="1727" spans="1:31" x14ac:dyDescent="0.3">
      <c r="A1727">
        <v>10207</v>
      </c>
      <c r="B1727">
        <v>42</v>
      </c>
      <c r="C1727">
        <v>29.7</v>
      </c>
      <c r="D1727">
        <v>8</v>
      </c>
      <c r="E1727" s="4" t="str">
        <f t="shared" si="156"/>
        <v>low sales</v>
      </c>
      <c r="F1727">
        <v>1247.4000000000001</v>
      </c>
      <c r="G1727" t="s">
        <v>2399</v>
      </c>
      <c r="H1727" s="1" t="str">
        <f t="shared" si="157"/>
        <v>Shipped</v>
      </c>
      <c r="I1727" s="4" t="str">
        <f t="shared" si="158"/>
        <v>completed</v>
      </c>
      <c r="J1727" t="s">
        <v>25</v>
      </c>
      <c r="K1727">
        <v>4</v>
      </c>
      <c r="L1727">
        <v>12</v>
      </c>
      <c r="M1727">
        <v>2003</v>
      </c>
      <c r="N1727" t="s">
        <v>181</v>
      </c>
      <c r="O1727">
        <v>35</v>
      </c>
      <c r="P1727" t="s">
        <v>632</v>
      </c>
      <c r="Q1727" t="s">
        <v>415</v>
      </c>
      <c r="R1727">
        <v>6175552555</v>
      </c>
      <c r="S1727" t="s">
        <v>416</v>
      </c>
      <c r="U1727" s="1" t="str">
        <f t="shared" si="159"/>
        <v>Boston</v>
      </c>
      <c r="V1727" t="s">
        <v>381</v>
      </c>
      <c r="W1727" t="s">
        <v>123</v>
      </c>
      <c r="X1727">
        <v>51003</v>
      </c>
      <c r="Y1727" s="1" t="str">
        <f t="shared" si="160"/>
        <v>USA</v>
      </c>
      <c r="Z1727" s="4" t="str">
        <f t="shared" si="161"/>
        <v>Usa</v>
      </c>
      <c r="AA1727" t="s">
        <v>32</v>
      </c>
      <c r="AB1727" t="s">
        <v>33</v>
      </c>
      <c r="AC1727" t="s">
        <v>417</v>
      </c>
      <c r="AD1727" t="s">
        <v>276</v>
      </c>
      <c r="AE1727" t="s">
        <v>36</v>
      </c>
    </row>
    <row r="1728" spans="1:31" x14ac:dyDescent="0.3">
      <c r="A1728">
        <v>10219</v>
      </c>
      <c r="B1728">
        <v>21</v>
      </c>
      <c r="C1728">
        <v>40.31</v>
      </c>
      <c r="D1728">
        <v>3</v>
      </c>
      <c r="E1728" s="4" t="str">
        <f t="shared" si="156"/>
        <v>low sales</v>
      </c>
      <c r="F1728">
        <v>846.51</v>
      </c>
      <c r="G1728" t="s">
        <v>2400</v>
      </c>
      <c r="H1728" s="1" t="str">
        <f t="shared" si="157"/>
        <v>Shipped</v>
      </c>
      <c r="I1728" s="4" t="str">
        <f t="shared" si="158"/>
        <v>completed</v>
      </c>
      <c r="J1728" t="s">
        <v>25</v>
      </c>
      <c r="K1728">
        <v>1</v>
      </c>
      <c r="L1728">
        <v>2</v>
      </c>
      <c r="M1728">
        <v>2004</v>
      </c>
      <c r="N1728" t="s">
        <v>181</v>
      </c>
      <c r="O1728">
        <v>35</v>
      </c>
      <c r="P1728" t="s">
        <v>632</v>
      </c>
      <c r="Q1728" t="s">
        <v>526</v>
      </c>
      <c r="R1728">
        <v>4155554312</v>
      </c>
      <c r="S1728" t="s">
        <v>527</v>
      </c>
      <c r="U1728" s="1" t="str">
        <f t="shared" si="159"/>
        <v>Brisbane</v>
      </c>
      <c r="V1728" t="s">
        <v>528</v>
      </c>
      <c r="W1728" t="s">
        <v>55</v>
      </c>
      <c r="X1728">
        <v>94217</v>
      </c>
      <c r="Y1728" s="1" t="str">
        <f t="shared" si="160"/>
        <v>USA</v>
      </c>
      <c r="Z1728" s="4" t="str">
        <f t="shared" si="161"/>
        <v>Usa</v>
      </c>
      <c r="AA1728" t="s">
        <v>32</v>
      </c>
      <c r="AB1728" t="s">
        <v>33</v>
      </c>
      <c r="AC1728" t="s">
        <v>529</v>
      </c>
      <c r="AD1728" t="s">
        <v>400</v>
      </c>
      <c r="AE1728" t="s">
        <v>36</v>
      </c>
    </row>
    <row r="1729" spans="1:31" x14ac:dyDescent="0.3">
      <c r="A1729">
        <v>10229</v>
      </c>
      <c r="B1729">
        <v>33</v>
      </c>
      <c r="C1729">
        <v>32.880000000000003</v>
      </c>
      <c r="D1729">
        <v>2</v>
      </c>
      <c r="E1729" s="4" t="str">
        <f t="shared" si="156"/>
        <v>low sales</v>
      </c>
      <c r="F1729">
        <v>1085.04</v>
      </c>
      <c r="G1729" t="s">
        <v>2401</v>
      </c>
      <c r="H1729" s="1" t="str">
        <f t="shared" si="157"/>
        <v>Shipped</v>
      </c>
      <c r="I1729" s="4" t="str">
        <f t="shared" si="158"/>
        <v>completed</v>
      </c>
      <c r="J1729" t="s">
        <v>25</v>
      </c>
      <c r="K1729">
        <v>1</v>
      </c>
      <c r="L1729">
        <v>3</v>
      </c>
      <c r="M1729">
        <v>2004</v>
      </c>
      <c r="N1729" t="s">
        <v>181</v>
      </c>
      <c r="O1729">
        <v>35</v>
      </c>
      <c r="P1729" t="s">
        <v>632</v>
      </c>
      <c r="Q1729" t="s">
        <v>272</v>
      </c>
      <c r="R1729">
        <v>4155551450</v>
      </c>
      <c r="S1729" t="s">
        <v>273</v>
      </c>
      <c r="U1729" s="1" t="str">
        <f t="shared" si="159"/>
        <v>San Rafael</v>
      </c>
      <c r="V1729" t="s">
        <v>274</v>
      </c>
      <c r="W1729" t="s">
        <v>55</v>
      </c>
      <c r="X1729">
        <v>97562</v>
      </c>
      <c r="Y1729" s="1" t="str">
        <f t="shared" si="160"/>
        <v>USA</v>
      </c>
      <c r="Z1729" s="4" t="str">
        <f t="shared" si="161"/>
        <v>Usa</v>
      </c>
      <c r="AA1729" t="s">
        <v>32</v>
      </c>
      <c r="AB1729" t="s">
        <v>33</v>
      </c>
      <c r="AC1729" t="s">
        <v>275</v>
      </c>
      <c r="AD1729" t="s">
        <v>276</v>
      </c>
      <c r="AE1729" t="s">
        <v>36</v>
      </c>
    </row>
    <row r="1730" spans="1:31" x14ac:dyDescent="0.3">
      <c r="A1730">
        <v>10246</v>
      </c>
      <c r="B1730">
        <v>49</v>
      </c>
      <c r="C1730">
        <v>36.07</v>
      </c>
      <c r="D1730">
        <v>6</v>
      </c>
      <c r="E1730" s="4" t="str">
        <f t="shared" si="156"/>
        <v>low sales</v>
      </c>
      <c r="F1730">
        <v>1767.43</v>
      </c>
      <c r="G1730" t="s">
        <v>2402</v>
      </c>
      <c r="H1730" s="1" t="str">
        <f t="shared" si="157"/>
        <v>Shipped</v>
      </c>
      <c r="I1730" s="4" t="str">
        <f t="shared" si="158"/>
        <v>completed</v>
      </c>
      <c r="J1730" t="s">
        <v>25</v>
      </c>
      <c r="K1730">
        <v>2</v>
      </c>
      <c r="L1730">
        <v>5</v>
      </c>
      <c r="M1730">
        <v>2004</v>
      </c>
      <c r="N1730" t="s">
        <v>181</v>
      </c>
      <c r="O1730">
        <v>35</v>
      </c>
      <c r="P1730" t="s">
        <v>632</v>
      </c>
      <c r="Q1730" t="s">
        <v>174</v>
      </c>
      <c r="R1730" t="s">
        <v>175</v>
      </c>
      <c r="S1730" t="s">
        <v>176</v>
      </c>
      <c r="U1730" s="1" t="str">
        <f t="shared" si="159"/>
        <v>Madrid</v>
      </c>
      <c r="V1730" t="s">
        <v>177</v>
      </c>
      <c r="X1730">
        <v>28034</v>
      </c>
      <c r="Y1730" s="1" t="str">
        <f t="shared" si="160"/>
        <v>SPAIN</v>
      </c>
      <c r="Z1730" s="4" t="str">
        <f t="shared" si="161"/>
        <v>Spain</v>
      </c>
      <c r="AA1730" t="s">
        <v>178</v>
      </c>
      <c r="AB1730" t="s">
        <v>42</v>
      </c>
      <c r="AC1730" t="s">
        <v>179</v>
      </c>
      <c r="AD1730" t="s">
        <v>180</v>
      </c>
      <c r="AE1730" t="s">
        <v>36</v>
      </c>
    </row>
    <row r="1731" spans="1:31" x14ac:dyDescent="0.3">
      <c r="A1731">
        <v>10259</v>
      </c>
      <c r="B1731">
        <v>31</v>
      </c>
      <c r="C1731">
        <v>33.24</v>
      </c>
      <c r="D1731">
        <v>5</v>
      </c>
      <c r="E1731" s="4" t="str">
        <f t="shared" ref="E1731:E1794" si="162">IF(F1731&gt;4000,"high sales","low sales")</f>
        <v>low sales</v>
      </c>
      <c r="F1731">
        <v>1030.44</v>
      </c>
      <c r="G1731" t="s">
        <v>2403</v>
      </c>
      <c r="H1731" s="1" t="str">
        <f t="shared" ref="H1731:H1794" si="163">PROPER(TRIM(J1731))</f>
        <v>Shipped</v>
      </c>
      <c r="I1731" s="4" t="str">
        <f t="shared" ref="I1731:I1794" si="164">IF(J1731="shipped","completed","not completed")</f>
        <v>completed</v>
      </c>
      <c r="J1731" t="s">
        <v>25</v>
      </c>
      <c r="K1731">
        <v>2</v>
      </c>
      <c r="L1731">
        <v>6</v>
      </c>
      <c r="M1731">
        <v>2004</v>
      </c>
      <c r="N1731" t="s">
        <v>181</v>
      </c>
      <c r="O1731">
        <v>35</v>
      </c>
      <c r="P1731" t="s">
        <v>632</v>
      </c>
      <c r="Q1731" t="s">
        <v>418</v>
      </c>
      <c r="R1731" t="s">
        <v>419</v>
      </c>
      <c r="S1731" t="s">
        <v>420</v>
      </c>
      <c r="T1731" t="s">
        <v>421</v>
      </c>
      <c r="U1731" s="1" t="str">
        <f t="shared" ref="U1731:U1794" si="165">PROPER(TRIM(V1731))</f>
        <v>Singapore</v>
      </c>
      <c r="V1731" t="s">
        <v>199</v>
      </c>
      <c r="X1731">
        <v>69045</v>
      </c>
      <c r="Y1731" s="1" t="str">
        <f t="shared" ref="Y1731:Y1794" si="166">UPPER(TRIM(AA1731))</f>
        <v>SINGAPORE</v>
      </c>
      <c r="Z1731" s="4" t="str">
        <f t="shared" ref="Z1731:Z1794" si="167">PROPER(TRIM(AA1731))</f>
        <v>Singapore</v>
      </c>
      <c r="AA1731" t="s">
        <v>199</v>
      </c>
      <c r="AB1731" t="s">
        <v>96</v>
      </c>
      <c r="AC1731" t="s">
        <v>422</v>
      </c>
      <c r="AD1731" t="s">
        <v>423</v>
      </c>
      <c r="AE1731" t="s">
        <v>36</v>
      </c>
    </row>
    <row r="1732" spans="1:31" x14ac:dyDescent="0.3">
      <c r="A1732">
        <v>10271</v>
      </c>
      <c r="B1732">
        <v>38</v>
      </c>
      <c r="C1732">
        <v>41.72</v>
      </c>
      <c r="D1732">
        <v>6</v>
      </c>
      <c r="E1732" s="4" t="str">
        <f t="shared" si="162"/>
        <v>low sales</v>
      </c>
      <c r="F1732">
        <v>1585.36</v>
      </c>
      <c r="G1732" t="s">
        <v>2404</v>
      </c>
      <c r="H1732" s="1" t="str">
        <f t="shared" si="163"/>
        <v>Shipped</v>
      </c>
      <c r="I1732" s="4" t="str">
        <f t="shared" si="164"/>
        <v>completed</v>
      </c>
      <c r="J1732" t="s">
        <v>25</v>
      </c>
      <c r="K1732">
        <v>3</v>
      </c>
      <c r="L1732">
        <v>7</v>
      </c>
      <c r="M1732">
        <v>2004</v>
      </c>
      <c r="N1732" t="s">
        <v>181</v>
      </c>
      <c r="O1732">
        <v>35</v>
      </c>
      <c r="P1732" t="s">
        <v>632</v>
      </c>
      <c r="Q1732" t="s">
        <v>272</v>
      </c>
      <c r="R1732">
        <v>4155551450</v>
      </c>
      <c r="S1732" t="s">
        <v>273</v>
      </c>
      <c r="U1732" s="1" t="str">
        <f t="shared" si="165"/>
        <v>San Rafael</v>
      </c>
      <c r="V1732" t="s">
        <v>274</v>
      </c>
      <c r="W1732" t="s">
        <v>55</v>
      </c>
      <c r="X1732">
        <v>97562</v>
      </c>
      <c r="Y1732" s="1" t="str">
        <f t="shared" si="166"/>
        <v>USA</v>
      </c>
      <c r="Z1732" s="4" t="str">
        <f t="shared" si="167"/>
        <v>Usa</v>
      </c>
      <c r="AA1732" t="s">
        <v>32</v>
      </c>
      <c r="AB1732" t="s">
        <v>33</v>
      </c>
      <c r="AC1732" t="s">
        <v>275</v>
      </c>
      <c r="AD1732" t="s">
        <v>276</v>
      </c>
      <c r="AE1732" t="s">
        <v>36</v>
      </c>
    </row>
    <row r="1733" spans="1:31" x14ac:dyDescent="0.3">
      <c r="A1733">
        <v>10281</v>
      </c>
      <c r="B1733">
        <v>20</v>
      </c>
      <c r="C1733">
        <v>40.659999999999997</v>
      </c>
      <c r="D1733">
        <v>2</v>
      </c>
      <c r="E1733" s="4" t="str">
        <f t="shared" si="162"/>
        <v>low sales</v>
      </c>
      <c r="F1733">
        <v>813.2</v>
      </c>
      <c r="G1733" t="s">
        <v>2405</v>
      </c>
      <c r="H1733" s="1" t="str">
        <f t="shared" si="163"/>
        <v>Shipped</v>
      </c>
      <c r="I1733" s="4" t="str">
        <f t="shared" si="164"/>
        <v>completed</v>
      </c>
      <c r="J1733" t="s">
        <v>25</v>
      </c>
      <c r="K1733">
        <v>3</v>
      </c>
      <c r="L1733">
        <v>8</v>
      </c>
      <c r="M1733">
        <v>2004</v>
      </c>
      <c r="N1733" t="s">
        <v>181</v>
      </c>
      <c r="O1733">
        <v>35</v>
      </c>
      <c r="P1733" t="s">
        <v>632</v>
      </c>
      <c r="Q1733" t="s">
        <v>139</v>
      </c>
      <c r="R1733">
        <v>2155551555</v>
      </c>
      <c r="S1733" t="s">
        <v>140</v>
      </c>
      <c r="U1733" s="1" t="str">
        <f t="shared" si="165"/>
        <v>Allentown</v>
      </c>
      <c r="V1733" t="s">
        <v>141</v>
      </c>
      <c r="W1733" t="s">
        <v>142</v>
      </c>
      <c r="X1733">
        <v>70267</v>
      </c>
      <c r="Y1733" s="1" t="str">
        <f t="shared" si="166"/>
        <v>USA</v>
      </c>
      <c r="Z1733" s="4" t="str">
        <f t="shared" si="167"/>
        <v>Usa</v>
      </c>
      <c r="AA1733" t="s">
        <v>32</v>
      </c>
      <c r="AB1733" t="s">
        <v>33</v>
      </c>
      <c r="AC1733" t="s">
        <v>34</v>
      </c>
      <c r="AD1733" t="s">
        <v>143</v>
      </c>
      <c r="AE1733" t="s">
        <v>36</v>
      </c>
    </row>
    <row r="1734" spans="1:31" x14ac:dyDescent="0.3">
      <c r="A1734">
        <v>10292</v>
      </c>
      <c r="B1734">
        <v>39</v>
      </c>
      <c r="C1734">
        <v>30.06</v>
      </c>
      <c r="D1734">
        <v>9</v>
      </c>
      <c r="E1734" s="4" t="str">
        <f t="shared" si="162"/>
        <v>low sales</v>
      </c>
      <c r="F1734">
        <v>1172.3399999999999</v>
      </c>
      <c r="G1734" t="s">
        <v>2406</v>
      </c>
      <c r="H1734" s="1" t="str">
        <f t="shared" si="163"/>
        <v>Shipped</v>
      </c>
      <c r="I1734" s="4" t="str">
        <f t="shared" si="164"/>
        <v>completed</v>
      </c>
      <c r="J1734" t="s">
        <v>25</v>
      </c>
      <c r="K1734">
        <v>3</v>
      </c>
      <c r="L1734">
        <v>9</v>
      </c>
      <c r="M1734">
        <v>2004</v>
      </c>
      <c r="N1734" t="s">
        <v>181</v>
      </c>
      <c r="O1734">
        <v>35</v>
      </c>
      <c r="P1734" t="s">
        <v>632</v>
      </c>
      <c r="Q1734" t="s">
        <v>28</v>
      </c>
      <c r="R1734">
        <v>2125557818</v>
      </c>
      <c r="S1734" t="s">
        <v>29</v>
      </c>
      <c r="U1734" s="1" t="str">
        <f t="shared" si="165"/>
        <v>Nyc</v>
      </c>
      <c r="V1734" t="s">
        <v>30</v>
      </c>
      <c r="W1734" t="s">
        <v>31</v>
      </c>
      <c r="X1734">
        <v>10022</v>
      </c>
      <c r="Y1734" s="1" t="str">
        <f t="shared" si="166"/>
        <v>USA</v>
      </c>
      <c r="Z1734" s="4" t="str">
        <f t="shared" si="167"/>
        <v>Usa</v>
      </c>
      <c r="AA1734" t="s">
        <v>32</v>
      </c>
      <c r="AB1734" t="s">
        <v>33</v>
      </c>
      <c r="AC1734" t="s">
        <v>34</v>
      </c>
      <c r="AD1734" t="s">
        <v>35</v>
      </c>
      <c r="AE1734" t="s">
        <v>36</v>
      </c>
    </row>
    <row r="1735" spans="1:31" x14ac:dyDescent="0.3">
      <c r="A1735">
        <v>10305</v>
      </c>
      <c r="B1735">
        <v>48</v>
      </c>
      <c r="C1735">
        <v>31.47</v>
      </c>
      <c r="D1735">
        <v>6</v>
      </c>
      <c r="E1735" s="4" t="str">
        <f t="shared" si="162"/>
        <v>low sales</v>
      </c>
      <c r="F1735">
        <v>1510.56</v>
      </c>
      <c r="G1735" t="s">
        <v>2407</v>
      </c>
      <c r="H1735" s="1" t="str">
        <f t="shared" si="163"/>
        <v>Shipped</v>
      </c>
      <c r="I1735" s="4" t="str">
        <f t="shared" si="164"/>
        <v>completed</v>
      </c>
      <c r="J1735" t="s">
        <v>25</v>
      </c>
      <c r="K1735">
        <v>4</v>
      </c>
      <c r="L1735">
        <v>10</v>
      </c>
      <c r="M1735">
        <v>2004</v>
      </c>
      <c r="N1735" t="s">
        <v>181</v>
      </c>
      <c r="O1735">
        <v>35</v>
      </c>
      <c r="P1735" t="s">
        <v>632</v>
      </c>
      <c r="Q1735" t="s">
        <v>120</v>
      </c>
      <c r="R1735">
        <v>6175558555</v>
      </c>
      <c r="S1735" t="s">
        <v>121</v>
      </c>
      <c r="U1735" s="1" t="str">
        <f t="shared" si="165"/>
        <v>Cambridge</v>
      </c>
      <c r="V1735" t="s">
        <v>122</v>
      </c>
      <c r="W1735" t="s">
        <v>123</v>
      </c>
      <c r="X1735">
        <v>51247</v>
      </c>
      <c r="Y1735" s="1" t="str">
        <f t="shared" si="166"/>
        <v>USA</v>
      </c>
      <c r="Z1735" s="4" t="str">
        <f t="shared" si="167"/>
        <v>Usa</v>
      </c>
      <c r="AA1735" t="s">
        <v>32</v>
      </c>
      <c r="AB1735" t="s">
        <v>33</v>
      </c>
      <c r="AC1735" t="s">
        <v>124</v>
      </c>
      <c r="AD1735" t="s">
        <v>125</v>
      </c>
      <c r="AE1735" t="s">
        <v>36</v>
      </c>
    </row>
    <row r="1736" spans="1:31" x14ac:dyDescent="0.3">
      <c r="A1736">
        <v>10314</v>
      </c>
      <c r="B1736">
        <v>39</v>
      </c>
      <c r="C1736">
        <v>37.130000000000003</v>
      </c>
      <c r="D1736">
        <v>15</v>
      </c>
      <c r="E1736" s="4" t="str">
        <f t="shared" si="162"/>
        <v>low sales</v>
      </c>
      <c r="F1736">
        <v>1448.07</v>
      </c>
      <c r="G1736" t="s">
        <v>2408</v>
      </c>
      <c r="H1736" s="1" t="str">
        <f t="shared" si="163"/>
        <v>Shipped</v>
      </c>
      <c r="I1736" s="4" t="str">
        <f t="shared" si="164"/>
        <v>completed</v>
      </c>
      <c r="J1736" t="s">
        <v>25</v>
      </c>
      <c r="K1736">
        <v>4</v>
      </c>
      <c r="L1736">
        <v>10</v>
      </c>
      <c r="M1736">
        <v>2004</v>
      </c>
      <c r="N1736" t="s">
        <v>181</v>
      </c>
      <c r="O1736">
        <v>35</v>
      </c>
      <c r="P1736" t="s">
        <v>632</v>
      </c>
      <c r="Q1736" t="s">
        <v>498</v>
      </c>
      <c r="R1736" t="s">
        <v>499</v>
      </c>
      <c r="S1736" t="s">
        <v>500</v>
      </c>
      <c r="U1736" s="1" t="str">
        <f t="shared" si="165"/>
        <v>Aaarhus</v>
      </c>
      <c r="V1736" t="s">
        <v>501</v>
      </c>
      <c r="X1736">
        <v>8200</v>
      </c>
      <c r="Y1736" s="1" t="str">
        <f t="shared" si="166"/>
        <v>DENMARK</v>
      </c>
      <c r="Z1736" s="4" t="str">
        <f t="shared" si="167"/>
        <v>Denmark</v>
      </c>
      <c r="AA1736" t="s">
        <v>326</v>
      </c>
      <c r="AB1736" t="s">
        <v>42</v>
      </c>
      <c r="AC1736" t="s">
        <v>502</v>
      </c>
      <c r="AD1736" t="s">
        <v>503</v>
      </c>
      <c r="AE1736" t="s">
        <v>36</v>
      </c>
    </row>
    <row r="1737" spans="1:31" x14ac:dyDescent="0.3">
      <c r="A1737">
        <v>10324</v>
      </c>
      <c r="B1737">
        <v>30</v>
      </c>
      <c r="C1737">
        <v>100</v>
      </c>
      <c r="D1737">
        <v>9</v>
      </c>
      <c r="E1737" s="4" t="str">
        <f t="shared" si="162"/>
        <v>low sales</v>
      </c>
      <c r="F1737">
        <v>3338.1</v>
      </c>
      <c r="G1737" t="s">
        <v>2409</v>
      </c>
      <c r="H1737" s="1" t="str">
        <f t="shared" si="163"/>
        <v>Shipped</v>
      </c>
      <c r="I1737" s="4" t="str">
        <f t="shared" si="164"/>
        <v>completed</v>
      </c>
      <c r="J1737" t="s">
        <v>25</v>
      </c>
      <c r="K1737">
        <v>4</v>
      </c>
      <c r="L1737">
        <v>11</v>
      </c>
      <c r="M1737">
        <v>2004</v>
      </c>
      <c r="N1737" t="s">
        <v>181</v>
      </c>
      <c r="O1737">
        <v>35</v>
      </c>
      <c r="P1737" t="s">
        <v>632</v>
      </c>
      <c r="Q1737" t="s">
        <v>99</v>
      </c>
      <c r="R1737">
        <v>2125551500</v>
      </c>
      <c r="S1737" t="s">
        <v>100</v>
      </c>
      <c r="T1737" t="s">
        <v>101</v>
      </c>
      <c r="U1737" s="1" t="str">
        <f t="shared" si="165"/>
        <v>Nyc</v>
      </c>
      <c r="V1737" t="s">
        <v>30</v>
      </c>
      <c r="W1737" t="s">
        <v>31</v>
      </c>
      <c r="X1737">
        <v>10022</v>
      </c>
      <c r="Y1737" s="1" t="str">
        <f t="shared" si="166"/>
        <v>USA</v>
      </c>
      <c r="Z1737" s="4" t="str">
        <f t="shared" si="167"/>
        <v>Usa</v>
      </c>
      <c r="AA1737" t="s">
        <v>32</v>
      </c>
      <c r="AB1737" t="s">
        <v>33</v>
      </c>
      <c r="AC1737" t="s">
        <v>102</v>
      </c>
      <c r="AD1737" t="s">
        <v>103</v>
      </c>
      <c r="AE1737" t="s">
        <v>51</v>
      </c>
    </row>
    <row r="1738" spans="1:31" x14ac:dyDescent="0.3">
      <c r="A1738">
        <v>10335</v>
      </c>
      <c r="B1738">
        <v>33</v>
      </c>
      <c r="C1738">
        <v>37.130000000000003</v>
      </c>
      <c r="D1738">
        <v>2</v>
      </c>
      <c r="E1738" s="4" t="str">
        <f t="shared" si="162"/>
        <v>low sales</v>
      </c>
      <c r="F1738">
        <v>1225.29</v>
      </c>
      <c r="G1738" t="s">
        <v>2410</v>
      </c>
      <c r="H1738" s="1" t="str">
        <f t="shared" si="163"/>
        <v>Shipped</v>
      </c>
      <c r="I1738" s="4" t="str">
        <f t="shared" si="164"/>
        <v>completed</v>
      </c>
      <c r="J1738" t="s">
        <v>25</v>
      </c>
      <c r="K1738">
        <v>4</v>
      </c>
      <c r="L1738">
        <v>11</v>
      </c>
      <c r="M1738">
        <v>2004</v>
      </c>
      <c r="N1738" t="s">
        <v>181</v>
      </c>
      <c r="O1738">
        <v>35</v>
      </c>
      <c r="P1738" t="s">
        <v>632</v>
      </c>
      <c r="Q1738" t="s">
        <v>272</v>
      </c>
      <c r="R1738">
        <v>4155551450</v>
      </c>
      <c r="S1738" t="s">
        <v>273</v>
      </c>
      <c r="U1738" s="1" t="str">
        <f t="shared" si="165"/>
        <v>San Rafael</v>
      </c>
      <c r="V1738" t="s">
        <v>274</v>
      </c>
      <c r="W1738" t="s">
        <v>55</v>
      </c>
      <c r="X1738">
        <v>97562</v>
      </c>
      <c r="Y1738" s="1" t="str">
        <f t="shared" si="166"/>
        <v>USA</v>
      </c>
      <c r="Z1738" s="4" t="str">
        <f t="shared" si="167"/>
        <v>Usa</v>
      </c>
      <c r="AA1738" t="s">
        <v>32</v>
      </c>
      <c r="AB1738" t="s">
        <v>33</v>
      </c>
      <c r="AC1738" t="s">
        <v>275</v>
      </c>
      <c r="AD1738" t="s">
        <v>276</v>
      </c>
      <c r="AE1738" t="s">
        <v>36</v>
      </c>
    </row>
    <row r="1739" spans="1:31" x14ac:dyDescent="0.3">
      <c r="A1739">
        <v>10349</v>
      </c>
      <c r="B1739">
        <v>36</v>
      </c>
      <c r="C1739">
        <v>37.130000000000003</v>
      </c>
      <c r="D1739">
        <v>3</v>
      </c>
      <c r="E1739" s="4" t="str">
        <f t="shared" si="162"/>
        <v>low sales</v>
      </c>
      <c r="F1739">
        <v>1336.68</v>
      </c>
      <c r="G1739" t="s">
        <v>2411</v>
      </c>
      <c r="H1739" s="1" t="str">
        <f t="shared" si="163"/>
        <v>Shipped</v>
      </c>
      <c r="I1739" s="4" t="str">
        <f t="shared" si="164"/>
        <v>completed</v>
      </c>
      <c r="J1739" t="s">
        <v>25</v>
      </c>
      <c r="K1739">
        <v>4</v>
      </c>
      <c r="L1739">
        <v>12</v>
      </c>
      <c r="M1739">
        <v>2004</v>
      </c>
      <c r="N1739" t="s">
        <v>181</v>
      </c>
      <c r="O1739">
        <v>35</v>
      </c>
      <c r="P1739" t="s">
        <v>632</v>
      </c>
      <c r="Q1739" t="s">
        <v>475</v>
      </c>
      <c r="R1739">
        <v>2125557413</v>
      </c>
      <c r="S1739" t="s">
        <v>476</v>
      </c>
      <c r="T1739" t="s">
        <v>477</v>
      </c>
      <c r="U1739" s="1" t="str">
        <f t="shared" si="165"/>
        <v>Nyc</v>
      </c>
      <c r="V1739" t="s">
        <v>30</v>
      </c>
      <c r="W1739" t="s">
        <v>31</v>
      </c>
      <c r="X1739">
        <v>10022</v>
      </c>
      <c r="Y1739" s="1" t="str">
        <f t="shared" si="166"/>
        <v>USA</v>
      </c>
      <c r="Z1739" s="4" t="str">
        <f t="shared" si="167"/>
        <v>Usa</v>
      </c>
      <c r="AA1739" t="s">
        <v>32</v>
      </c>
      <c r="AB1739" t="s">
        <v>33</v>
      </c>
      <c r="AC1739" t="s">
        <v>56</v>
      </c>
      <c r="AD1739" t="s">
        <v>478</v>
      </c>
      <c r="AE1739" t="s">
        <v>36</v>
      </c>
    </row>
    <row r="1740" spans="1:31" x14ac:dyDescent="0.3">
      <c r="A1740">
        <v>10358</v>
      </c>
      <c r="B1740">
        <v>36</v>
      </c>
      <c r="C1740">
        <v>82.94</v>
      </c>
      <c r="D1740">
        <v>4</v>
      </c>
      <c r="E1740" s="4" t="str">
        <f t="shared" si="162"/>
        <v>low sales</v>
      </c>
      <c r="F1740">
        <v>2985.84</v>
      </c>
      <c r="G1740" t="s">
        <v>2412</v>
      </c>
      <c r="H1740" s="1" t="str">
        <f t="shared" si="163"/>
        <v>Shipped</v>
      </c>
      <c r="I1740" s="4" t="str">
        <f t="shared" si="164"/>
        <v>completed</v>
      </c>
      <c r="J1740" t="s">
        <v>25</v>
      </c>
      <c r="K1740">
        <v>4</v>
      </c>
      <c r="L1740">
        <v>12</v>
      </c>
      <c r="M1740">
        <v>2004</v>
      </c>
      <c r="N1740" t="s">
        <v>181</v>
      </c>
      <c r="O1740">
        <v>35</v>
      </c>
      <c r="P1740" t="s">
        <v>632</v>
      </c>
      <c r="Q1740" t="s">
        <v>174</v>
      </c>
      <c r="R1740" t="s">
        <v>175</v>
      </c>
      <c r="S1740" t="s">
        <v>176</v>
      </c>
      <c r="U1740" s="1" t="str">
        <f t="shared" si="165"/>
        <v>Madrid</v>
      </c>
      <c r="V1740" t="s">
        <v>177</v>
      </c>
      <c r="X1740">
        <v>28034</v>
      </c>
      <c r="Y1740" s="1" t="str">
        <f t="shared" si="166"/>
        <v>SPAIN</v>
      </c>
      <c r="Z1740" s="4" t="str">
        <f t="shared" si="167"/>
        <v>Spain</v>
      </c>
      <c r="AA1740" t="s">
        <v>178</v>
      </c>
      <c r="AB1740" t="s">
        <v>42</v>
      </c>
      <c r="AC1740" t="s">
        <v>179</v>
      </c>
      <c r="AD1740" t="s">
        <v>180</v>
      </c>
      <c r="AE1740" t="s">
        <v>36</v>
      </c>
    </row>
    <row r="1741" spans="1:31" x14ac:dyDescent="0.3">
      <c r="A1741">
        <v>10371</v>
      </c>
      <c r="B1741">
        <v>45</v>
      </c>
      <c r="C1741">
        <v>100</v>
      </c>
      <c r="D1741">
        <v>8</v>
      </c>
      <c r="E1741" s="4" t="str">
        <f t="shared" si="162"/>
        <v>high sales</v>
      </c>
      <c r="F1741">
        <v>5545.8</v>
      </c>
      <c r="G1741" t="s">
        <v>2413</v>
      </c>
      <c r="H1741" s="1" t="str">
        <f t="shared" si="163"/>
        <v>Shipped</v>
      </c>
      <c r="I1741" s="4" t="str">
        <f t="shared" si="164"/>
        <v>completed</v>
      </c>
      <c r="J1741" t="s">
        <v>25</v>
      </c>
      <c r="K1741">
        <v>1</v>
      </c>
      <c r="L1741">
        <v>1</v>
      </c>
      <c r="M1741">
        <v>2005</v>
      </c>
      <c r="N1741" t="s">
        <v>181</v>
      </c>
      <c r="O1741">
        <v>35</v>
      </c>
      <c r="P1741" t="s">
        <v>632</v>
      </c>
      <c r="Q1741" t="s">
        <v>272</v>
      </c>
      <c r="R1741">
        <v>4155551450</v>
      </c>
      <c r="S1741" t="s">
        <v>273</v>
      </c>
      <c r="U1741" s="1" t="str">
        <f t="shared" si="165"/>
        <v>San Rafael</v>
      </c>
      <c r="V1741" t="s">
        <v>274</v>
      </c>
      <c r="W1741" t="s">
        <v>55</v>
      </c>
      <c r="X1741">
        <v>97562</v>
      </c>
      <c r="Y1741" s="1" t="str">
        <f t="shared" si="166"/>
        <v>USA</v>
      </c>
      <c r="Z1741" s="4" t="str">
        <f t="shared" si="167"/>
        <v>Usa</v>
      </c>
      <c r="AA1741" t="s">
        <v>32</v>
      </c>
      <c r="AB1741" t="s">
        <v>33</v>
      </c>
      <c r="AC1741" t="s">
        <v>275</v>
      </c>
      <c r="AD1741" t="s">
        <v>276</v>
      </c>
      <c r="AE1741" t="s">
        <v>51</v>
      </c>
    </row>
    <row r="1742" spans="1:31" x14ac:dyDescent="0.3">
      <c r="A1742">
        <v>10383</v>
      </c>
      <c r="B1742">
        <v>40</v>
      </c>
      <c r="C1742">
        <v>100</v>
      </c>
      <c r="D1742">
        <v>3</v>
      </c>
      <c r="E1742" s="4" t="str">
        <f t="shared" si="162"/>
        <v>high sales</v>
      </c>
      <c r="F1742">
        <v>6089.6</v>
      </c>
      <c r="G1742" t="s">
        <v>2414</v>
      </c>
      <c r="H1742" s="1" t="str">
        <f t="shared" si="163"/>
        <v>Shipped</v>
      </c>
      <c r="I1742" s="4" t="str">
        <f t="shared" si="164"/>
        <v>completed</v>
      </c>
      <c r="J1742" t="s">
        <v>25</v>
      </c>
      <c r="K1742">
        <v>1</v>
      </c>
      <c r="L1742">
        <v>2</v>
      </c>
      <c r="M1742">
        <v>2005</v>
      </c>
      <c r="N1742" t="s">
        <v>181</v>
      </c>
      <c r="O1742">
        <v>35</v>
      </c>
      <c r="P1742" t="s">
        <v>632</v>
      </c>
      <c r="Q1742" t="s">
        <v>174</v>
      </c>
      <c r="R1742" t="s">
        <v>175</v>
      </c>
      <c r="S1742" t="s">
        <v>176</v>
      </c>
      <c r="U1742" s="1" t="str">
        <f t="shared" si="165"/>
        <v>Madrid</v>
      </c>
      <c r="V1742" t="s">
        <v>177</v>
      </c>
      <c r="X1742">
        <v>28034</v>
      </c>
      <c r="Y1742" s="1" t="str">
        <f t="shared" si="166"/>
        <v>SPAIN</v>
      </c>
      <c r="Z1742" s="4" t="str">
        <f t="shared" si="167"/>
        <v>Spain</v>
      </c>
      <c r="AA1742" t="s">
        <v>178</v>
      </c>
      <c r="AB1742" t="s">
        <v>42</v>
      </c>
      <c r="AC1742" t="s">
        <v>179</v>
      </c>
      <c r="AD1742" t="s">
        <v>180</v>
      </c>
      <c r="AE1742" t="s">
        <v>51</v>
      </c>
    </row>
    <row r="1743" spans="1:31" x14ac:dyDescent="0.3">
      <c r="A1743">
        <v>10394</v>
      </c>
      <c r="B1743">
        <v>46</v>
      </c>
      <c r="C1743">
        <v>38.9</v>
      </c>
      <c r="D1743">
        <v>6</v>
      </c>
      <c r="E1743" s="4" t="str">
        <f t="shared" si="162"/>
        <v>low sales</v>
      </c>
      <c r="F1743">
        <v>1789.4</v>
      </c>
      <c r="G1743" t="s">
        <v>2415</v>
      </c>
      <c r="H1743" s="1" t="str">
        <f t="shared" si="163"/>
        <v>Shipped</v>
      </c>
      <c r="I1743" s="4" t="str">
        <f t="shared" si="164"/>
        <v>completed</v>
      </c>
      <c r="J1743" t="s">
        <v>25</v>
      </c>
      <c r="K1743">
        <v>1</v>
      </c>
      <c r="L1743">
        <v>3</v>
      </c>
      <c r="M1743">
        <v>2005</v>
      </c>
      <c r="N1743" t="s">
        <v>181</v>
      </c>
      <c r="O1743">
        <v>35</v>
      </c>
      <c r="P1743" t="s">
        <v>632</v>
      </c>
      <c r="Q1743" t="s">
        <v>174</v>
      </c>
      <c r="R1743" t="s">
        <v>175</v>
      </c>
      <c r="S1743" t="s">
        <v>176</v>
      </c>
      <c r="U1743" s="1" t="str">
        <f t="shared" si="165"/>
        <v>Madrid</v>
      </c>
      <c r="V1743" t="s">
        <v>177</v>
      </c>
      <c r="X1743">
        <v>28034</v>
      </c>
      <c r="Y1743" s="1" t="str">
        <f t="shared" si="166"/>
        <v>SPAIN</v>
      </c>
      <c r="Z1743" s="4" t="str">
        <f t="shared" si="167"/>
        <v>Spain</v>
      </c>
      <c r="AA1743" t="s">
        <v>178</v>
      </c>
      <c r="AB1743" t="s">
        <v>42</v>
      </c>
      <c r="AC1743" t="s">
        <v>179</v>
      </c>
      <c r="AD1743" t="s">
        <v>180</v>
      </c>
      <c r="AE1743" t="s">
        <v>36</v>
      </c>
    </row>
    <row r="1744" spans="1:31" x14ac:dyDescent="0.3">
      <c r="A1744">
        <v>10412</v>
      </c>
      <c r="B1744">
        <v>30</v>
      </c>
      <c r="C1744">
        <v>36.07</v>
      </c>
      <c r="D1744">
        <v>6</v>
      </c>
      <c r="E1744" s="4" t="str">
        <f t="shared" si="162"/>
        <v>low sales</v>
      </c>
      <c r="F1744">
        <v>1082.0999999999999</v>
      </c>
      <c r="G1744" t="s">
        <v>2416</v>
      </c>
      <c r="H1744" s="1" t="str">
        <f t="shared" si="163"/>
        <v>Shipped</v>
      </c>
      <c r="I1744" s="4" t="str">
        <f t="shared" si="164"/>
        <v>completed</v>
      </c>
      <c r="J1744" t="s">
        <v>25</v>
      </c>
      <c r="K1744">
        <v>2</v>
      </c>
      <c r="L1744">
        <v>5</v>
      </c>
      <c r="M1744">
        <v>2005</v>
      </c>
      <c r="N1744" t="s">
        <v>181</v>
      </c>
      <c r="O1744">
        <v>35</v>
      </c>
      <c r="P1744" t="s">
        <v>632</v>
      </c>
      <c r="Q1744" t="s">
        <v>174</v>
      </c>
      <c r="R1744" t="s">
        <v>175</v>
      </c>
      <c r="S1744" t="s">
        <v>176</v>
      </c>
      <c r="U1744" s="1" t="str">
        <f t="shared" si="165"/>
        <v>Madrid</v>
      </c>
      <c r="V1744" t="s">
        <v>177</v>
      </c>
      <c r="X1744">
        <v>28034</v>
      </c>
      <c r="Y1744" s="1" t="str">
        <f t="shared" si="166"/>
        <v>SPAIN</v>
      </c>
      <c r="Z1744" s="4" t="str">
        <f t="shared" si="167"/>
        <v>Spain</v>
      </c>
      <c r="AA1744" t="s">
        <v>178</v>
      </c>
      <c r="AB1744" t="s">
        <v>42</v>
      </c>
      <c r="AC1744" t="s">
        <v>179</v>
      </c>
      <c r="AD1744" t="s">
        <v>180</v>
      </c>
      <c r="AE1744" t="s">
        <v>36</v>
      </c>
    </row>
    <row r="1745" spans="1:31" x14ac:dyDescent="0.3">
      <c r="A1745">
        <v>10425</v>
      </c>
      <c r="B1745">
        <v>31</v>
      </c>
      <c r="C1745">
        <v>33.24</v>
      </c>
      <c r="D1745">
        <v>5</v>
      </c>
      <c r="E1745" s="4" t="str">
        <f t="shared" si="162"/>
        <v>low sales</v>
      </c>
      <c r="F1745">
        <v>1030.44</v>
      </c>
      <c r="G1745" t="s">
        <v>2417</v>
      </c>
      <c r="H1745" s="1" t="str">
        <f t="shared" si="163"/>
        <v>In Process</v>
      </c>
      <c r="I1745" s="4" t="str">
        <f t="shared" si="164"/>
        <v>not completed</v>
      </c>
      <c r="J1745" t="s">
        <v>300</v>
      </c>
      <c r="K1745">
        <v>2</v>
      </c>
      <c r="L1745">
        <v>5</v>
      </c>
      <c r="M1745">
        <v>2005</v>
      </c>
      <c r="N1745" t="s">
        <v>181</v>
      </c>
      <c r="O1745">
        <v>35</v>
      </c>
      <c r="P1745" t="s">
        <v>632</v>
      </c>
      <c r="Q1745" t="s">
        <v>114</v>
      </c>
      <c r="R1745" t="s">
        <v>115</v>
      </c>
      <c r="S1745" t="s">
        <v>116</v>
      </c>
      <c r="U1745" s="1" t="str">
        <f t="shared" si="165"/>
        <v>Nantes</v>
      </c>
      <c r="V1745" t="s">
        <v>117</v>
      </c>
      <c r="X1745">
        <v>44000</v>
      </c>
      <c r="Y1745" s="1" t="str">
        <f t="shared" si="166"/>
        <v>FRANCE</v>
      </c>
      <c r="Z1745" s="4" t="str">
        <f t="shared" si="167"/>
        <v>France</v>
      </c>
      <c r="AA1745" t="s">
        <v>41</v>
      </c>
      <c r="AB1745" t="s">
        <v>42</v>
      </c>
      <c r="AC1745" t="s">
        <v>118</v>
      </c>
      <c r="AD1745" t="s">
        <v>119</v>
      </c>
      <c r="AE1745" t="s">
        <v>36</v>
      </c>
    </row>
    <row r="1746" spans="1:31" x14ac:dyDescent="0.3">
      <c r="A1746">
        <v>10106</v>
      </c>
      <c r="B1746">
        <v>49</v>
      </c>
      <c r="C1746">
        <v>74.680000000000007</v>
      </c>
      <c r="D1746">
        <v>13</v>
      </c>
      <c r="E1746" s="4" t="str">
        <f t="shared" si="162"/>
        <v>low sales</v>
      </c>
      <c r="F1746">
        <v>3659.32</v>
      </c>
      <c r="G1746" t="s">
        <v>2418</v>
      </c>
      <c r="H1746" s="1" t="str">
        <f t="shared" si="163"/>
        <v>Shipped</v>
      </c>
      <c r="I1746" s="4" t="str">
        <f t="shared" si="164"/>
        <v>completed</v>
      </c>
      <c r="J1746" t="s">
        <v>25</v>
      </c>
      <c r="K1746">
        <v>1</v>
      </c>
      <c r="L1746">
        <v>2</v>
      </c>
      <c r="M1746">
        <v>2003</v>
      </c>
      <c r="N1746" t="s">
        <v>566</v>
      </c>
      <c r="O1746">
        <v>68</v>
      </c>
      <c r="P1746" t="s">
        <v>633</v>
      </c>
      <c r="Q1746" t="s">
        <v>552</v>
      </c>
      <c r="R1746" t="s">
        <v>553</v>
      </c>
      <c r="S1746" t="s">
        <v>554</v>
      </c>
      <c r="U1746" s="1" t="str">
        <f t="shared" si="165"/>
        <v>Bergamo</v>
      </c>
      <c r="V1746" t="s">
        <v>555</v>
      </c>
      <c r="X1746">
        <v>24100</v>
      </c>
      <c r="Y1746" s="1" t="str">
        <f t="shared" si="166"/>
        <v>ITALY</v>
      </c>
      <c r="Z1746" s="4" t="str">
        <f t="shared" si="167"/>
        <v>Italy</v>
      </c>
      <c r="AA1746" t="s">
        <v>258</v>
      </c>
      <c r="AB1746" t="s">
        <v>42</v>
      </c>
      <c r="AC1746" t="s">
        <v>556</v>
      </c>
      <c r="AD1746" t="s">
        <v>557</v>
      </c>
      <c r="AE1746" t="s">
        <v>51</v>
      </c>
    </row>
    <row r="1747" spans="1:31" x14ac:dyDescent="0.3">
      <c r="A1747">
        <v>10119</v>
      </c>
      <c r="B1747">
        <v>41</v>
      </c>
      <c r="C1747">
        <v>59.6</v>
      </c>
      <c r="D1747">
        <v>4</v>
      </c>
      <c r="E1747" s="4" t="str">
        <f t="shared" si="162"/>
        <v>low sales</v>
      </c>
      <c r="F1747">
        <v>2443.6</v>
      </c>
      <c r="G1747" t="s">
        <v>2419</v>
      </c>
      <c r="H1747" s="1" t="str">
        <f t="shared" si="163"/>
        <v>Shipped</v>
      </c>
      <c r="I1747" s="4" t="str">
        <f t="shared" si="164"/>
        <v>completed</v>
      </c>
      <c r="J1747" t="s">
        <v>25</v>
      </c>
      <c r="K1747">
        <v>2</v>
      </c>
      <c r="L1747">
        <v>4</v>
      </c>
      <c r="M1747">
        <v>2003</v>
      </c>
      <c r="N1747" t="s">
        <v>566</v>
      </c>
      <c r="O1747">
        <v>68</v>
      </c>
      <c r="P1747" t="s">
        <v>633</v>
      </c>
      <c r="Q1747" t="s">
        <v>144</v>
      </c>
      <c r="R1747" t="s">
        <v>145</v>
      </c>
      <c r="S1747" t="s">
        <v>146</v>
      </c>
      <c r="U1747" s="1" t="str">
        <f t="shared" si="165"/>
        <v>Salzburg</v>
      </c>
      <c r="V1747" t="s">
        <v>147</v>
      </c>
      <c r="X1747">
        <v>5020</v>
      </c>
      <c r="Y1747" s="1" t="str">
        <f t="shared" si="166"/>
        <v>AUSTRIA</v>
      </c>
      <c r="Z1747" s="4" t="str">
        <f t="shared" si="167"/>
        <v>Austria</v>
      </c>
      <c r="AA1747" t="s">
        <v>148</v>
      </c>
      <c r="AB1747" t="s">
        <v>42</v>
      </c>
      <c r="AC1747" t="s">
        <v>149</v>
      </c>
      <c r="AD1747" t="s">
        <v>150</v>
      </c>
      <c r="AE1747" t="s">
        <v>36</v>
      </c>
    </row>
    <row r="1748" spans="1:31" x14ac:dyDescent="0.3">
      <c r="A1748">
        <v>10131</v>
      </c>
      <c r="B1748">
        <v>35</v>
      </c>
      <c r="C1748">
        <v>67.14</v>
      </c>
      <c r="D1748">
        <v>5</v>
      </c>
      <c r="E1748" s="4" t="str">
        <f t="shared" si="162"/>
        <v>low sales</v>
      </c>
      <c r="F1748">
        <v>2349.9</v>
      </c>
      <c r="G1748" t="s">
        <v>2420</v>
      </c>
      <c r="H1748" s="1" t="str">
        <f t="shared" si="163"/>
        <v>Shipped</v>
      </c>
      <c r="I1748" s="4" t="str">
        <f t="shared" si="164"/>
        <v>completed</v>
      </c>
      <c r="J1748" t="s">
        <v>25</v>
      </c>
      <c r="K1748">
        <v>2</v>
      </c>
      <c r="L1748">
        <v>6</v>
      </c>
      <c r="M1748">
        <v>2003</v>
      </c>
      <c r="N1748" t="s">
        <v>566</v>
      </c>
      <c r="O1748">
        <v>68</v>
      </c>
      <c r="P1748" t="s">
        <v>633</v>
      </c>
      <c r="Q1748" t="s">
        <v>568</v>
      </c>
      <c r="R1748">
        <v>2035554407</v>
      </c>
      <c r="S1748" t="s">
        <v>569</v>
      </c>
      <c r="U1748" s="1" t="str">
        <f t="shared" si="165"/>
        <v>Glendale</v>
      </c>
      <c r="V1748" t="s">
        <v>516</v>
      </c>
      <c r="W1748" t="s">
        <v>112</v>
      </c>
      <c r="X1748">
        <v>97561</v>
      </c>
      <c r="Y1748" s="1" t="str">
        <f t="shared" si="166"/>
        <v>USA</v>
      </c>
      <c r="Z1748" s="4" t="str">
        <f t="shared" si="167"/>
        <v>Usa</v>
      </c>
      <c r="AA1748" t="s">
        <v>32</v>
      </c>
      <c r="AB1748" t="s">
        <v>33</v>
      </c>
      <c r="AC1748" t="s">
        <v>570</v>
      </c>
      <c r="AD1748" t="s">
        <v>571</v>
      </c>
      <c r="AE1748" t="s">
        <v>36</v>
      </c>
    </row>
    <row r="1749" spans="1:31" x14ac:dyDescent="0.3">
      <c r="A1749">
        <v>10143</v>
      </c>
      <c r="B1749">
        <v>27</v>
      </c>
      <c r="C1749">
        <v>60.97</v>
      </c>
      <c r="D1749">
        <v>8</v>
      </c>
      <c r="E1749" s="4" t="str">
        <f t="shared" si="162"/>
        <v>low sales</v>
      </c>
      <c r="F1749">
        <v>1646.19</v>
      </c>
      <c r="G1749" t="s">
        <v>2421</v>
      </c>
      <c r="H1749" s="1" t="str">
        <f t="shared" si="163"/>
        <v>Shipped</v>
      </c>
      <c r="I1749" s="4" t="str">
        <f t="shared" si="164"/>
        <v>completed</v>
      </c>
      <c r="J1749" t="s">
        <v>25</v>
      </c>
      <c r="K1749">
        <v>3</v>
      </c>
      <c r="L1749">
        <v>8</v>
      </c>
      <c r="M1749">
        <v>2003</v>
      </c>
      <c r="N1749" t="s">
        <v>566</v>
      </c>
      <c r="O1749">
        <v>68</v>
      </c>
      <c r="P1749" t="s">
        <v>633</v>
      </c>
      <c r="Q1749" t="s">
        <v>335</v>
      </c>
      <c r="R1749">
        <v>5085559555</v>
      </c>
      <c r="S1749" t="s">
        <v>336</v>
      </c>
      <c r="U1749" s="1" t="str">
        <f t="shared" si="165"/>
        <v>New Bedford</v>
      </c>
      <c r="V1749" t="s">
        <v>162</v>
      </c>
      <c r="W1749" t="s">
        <v>123</v>
      </c>
      <c r="X1749">
        <v>50553</v>
      </c>
      <c r="Y1749" s="1" t="str">
        <f t="shared" si="166"/>
        <v>USA</v>
      </c>
      <c r="Z1749" s="4" t="str">
        <f t="shared" si="167"/>
        <v>Usa</v>
      </c>
      <c r="AA1749" t="s">
        <v>32</v>
      </c>
      <c r="AB1749" t="s">
        <v>33</v>
      </c>
      <c r="AC1749" t="s">
        <v>337</v>
      </c>
      <c r="AD1749" t="s">
        <v>338</v>
      </c>
      <c r="AE1749" t="s">
        <v>36</v>
      </c>
    </row>
    <row r="1750" spans="1:31" x14ac:dyDescent="0.3">
      <c r="A1750">
        <v>10155</v>
      </c>
      <c r="B1750">
        <v>23</v>
      </c>
      <c r="C1750">
        <v>72.62</v>
      </c>
      <c r="D1750">
        <v>6</v>
      </c>
      <c r="E1750" s="4" t="str">
        <f t="shared" si="162"/>
        <v>low sales</v>
      </c>
      <c r="F1750">
        <v>1670.26</v>
      </c>
      <c r="G1750" t="s">
        <v>2422</v>
      </c>
      <c r="H1750" s="1" t="str">
        <f t="shared" si="163"/>
        <v>Shipped</v>
      </c>
      <c r="I1750" s="4" t="str">
        <f t="shared" si="164"/>
        <v>completed</v>
      </c>
      <c r="J1750" t="s">
        <v>25</v>
      </c>
      <c r="K1750">
        <v>4</v>
      </c>
      <c r="L1750">
        <v>10</v>
      </c>
      <c r="M1750">
        <v>2003</v>
      </c>
      <c r="N1750" t="s">
        <v>566</v>
      </c>
      <c r="O1750">
        <v>68</v>
      </c>
      <c r="P1750" t="s">
        <v>633</v>
      </c>
      <c r="Q1750" t="s">
        <v>126</v>
      </c>
      <c r="R1750" t="s">
        <v>127</v>
      </c>
      <c r="S1750" t="s">
        <v>128</v>
      </c>
      <c r="U1750" s="1" t="str">
        <f t="shared" si="165"/>
        <v>Helsinki</v>
      </c>
      <c r="V1750" t="s">
        <v>129</v>
      </c>
      <c r="X1750">
        <v>21240</v>
      </c>
      <c r="Y1750" s="1" t="str">
        <f t="shared" si="166"/>
        <v>FINLAND</v>
      </c>
      <c r="Z1750" s="4" t="str">
        <f t="shared" si="167"/>
        <v>Finland</v>
      </c>
      <c r="AA1750" t="s">
        <v>130</v>
      </c>
      <c r="AB1750" t="s">
        <v>42</v>
      </c>
      <c r="AC1750" t="s">
        <v>131</v>
      </c>
      <c r="AD1750" t="s">
        <v>132</v>
      </c>
      <c r="AE1750" t="s">
        <v>36</v>
      </c>
    </row>
    <row r="1751" spans="1:31" x14ac:dyDescent="0.3">
      <c r="A1751">
        <v>10167</v>
      </c>
      <c r="B1751">
        <v>21</v>
      </c>
      <c r="C1751">
        <v>69.88</v>
      </c>
      <c r="D1751">
        <v>2</v>
      </c>
      <c r="E1751" s="4" t="str">
        <f t="shared" si="162"/>
        <v>low sales</v>
      </c>
      <c r="F1751">
        <v>1467.48</v>
      </c>
      <c r="G1751" t="s">
        <v>2423</v>
      </c>
      <c r="H1751" s="1" t="str">
        <f t="shared" si="163"/>
        <v>Cancelled</v>
      </c>
      <c r="I1751" s="4" t="str">
        <f t="shared" si="164"/>
        <v>not completed</v>
      </c>
      <c r="J1751" t="s">
        <v>339</v>
      </c>
      <c r="K1751">
        <v>4</v>
      </c>
      <c r="L1751">
        <v>10</v>
      </c>
      <c r="M1751">
        <v>2003</v>
      </c>
      <c r="N1751" t="s">
        <v>566</v>
      </c>
      <c r="O1751">
        <v>68</v>
      </c>
      <c r="P1751" t="s">
        <v>633</v>
      </c>
      <c r="Q1751" t="s">
        <v>261</v>
      </c>
      <c r="R1751" t="s">
        <v>262</v>
      </c>
      <c r="S1751" t="s">
        <v>263</v>
      </c>
      <c r="U1751" s="1" t="str">
        <f t="shared" si="165"/>
        <v>Boras</v>
      </c>
      <c r="V1751" t="s">
        <v>264</v>
      </c>
      <c r="X1751" t="s">
        <v>265</v>
      </c>
      <c r="Y1751" s="1" t="str">
        <f t="shared" si="166"/>
        <v>SWEDEN</v>
      </c>
      <c r="Z1751" s="4" t="str">
        <f t="shared" si="167"/>
        <v>Sweden</v>
      </c>
      <c r="AA1751" t="s">
        <v>188</v>
      </c>
      <c r="AB1751" t="s">
        <v>42</v>
      </c>
      <c r="AC1751" t="s">
        <v>266</v>
      </c>
      <c r="AD1751" t="s">
        <v>206</v>
      </c>
      <c r="AE1751" t="s">
        <v>36</v>
      </c>
    </row>
    <row r="1752" spans="1:31" x14ac:dyDescent="0.3">
      <c r="A1752">
        <v>10178</v>
      </c>
      <c r="B1752">
        <v>34</v>
      </c>
      <c r="C1752">
        <v>80.84</v>
      </c>
      <c r="D1752">
        <v>5</v>
      </c>
      <c r="E1752" s="4" t="str">
        <f t="shared" si="162"/>
        <v>low sales</v>
      </c>
      <c r="F1752">
        <v>2748.56</v>
      </c>
      <c r="G1752" t="s">
        <v>2424</v>
      </c>
      <c r="H1752" s="1" t="str">
        <f t="shared" si="163"/>
        <v>Shipped</v>
      </c>
      <c r="I1752" s="4" t="str">
        <f t="shared" si="164"/>
        <v>completed</v>
      </c>
      <c r="J1752" t="s">
        <v>25</v>
      </c>
      <c r="K1752">
        <v>4</v>
      </c>
      <c r="L1752">
        <v>11</v>
      </c>
      <c r="M1752">
        <v>2003</v>
      </c>
      <c r="N1752" t="s">
        <v>566</v>
      </c>
      <c r="O1752">
        <v>68</v>
      </c>
      <c r="P1752" t="s">
        <v>633</v>
      </c>
      <c r="Q1752" t="s">
        <v>340</v>
      </c>
      <c r="R1752" t="s">
        <v>341</v>
      </c>
      <c r="S1752" t="s">
        <v>342</v>
      </c>
      <c r="U1752" s="1" t="str">
        <f t="shared" si="165"/>
        <v>Toulouse</v>
      </c>
      <c r="V1752" t="s">
        <v>343</v>
      </c>
      <c r="X1752">
        <v>31000</v>
      </c>
      <c r="Y1752" s="1" t="str">
        <f t="shared" si="166"/>
        <v>FRANCE</v>
      </c>
      <c r="Z1752" s="4" t="str">
        <f t="shared" si="167"/>
        <v>France</v>
      </c>
      <c r="AA1752" t="s">
        <v>41</v>
      </c>
      <c r="AB1752" t="s">
        <v>42</v>
      </c>
      <c r="AC1752" t="s">
        <v>344</v>
      </c>
      <c r="AD1752" t="s">
        <v>345</v>
      </c>
      <c r="AE1752" t="s">
        <v>36</v>
      </c>
    </row>
    <row r="1753" spans="1:31" x14ac:dyDescent="0.3">
      <c r="A1753">
        <v>10186</v>
      </c>
      <c r="B1753">
        <v>22</v>
      </c>
      <c r="C1753">
        <v>69.2</v>
      </c>
      <c r="D1753">
        <v>2</v>
      </c>
      <c r="E1753" s="4" t="str">
        <f t="shared" si="162"/>
        <v>low sales</v>
      </c>
      <c r="F1753">
        <v>1522.4</v>
      </c>
      <c r="G1753" t="s">
        <v>2425</v>
      </c>
      <c r="H1753" s="1" t="str">
        <f t="shared" si="163"/>
        <v>Shipped</v>
      </c>
      <c r="I1753" s="4" t="str">
        <f t="shared" si="164"/>
        <v>completed</v>
      </c>
      <c r="J1753" t="s">
        <v>25</v>
      </c>
      <c r="K1753">
        <v>4</v>
      </c>
      <c r="L1753">
        <v>11</v>
      </c>
      <c r="M1753">
        <v>2003</v>
      </c>
      <c r="N1753" t="s">
        <v>566</v>
      </c>
      <c r="O1753">
        <v>68</v>
      </c>
      <c r="P1753" t="s">
        <v>633</v>
      </c>
      <c r="Q1753" t="s">
        <v>346</v>
      </c>
      <c r="R1753" t="s">
        <v>347</v>
      </c>
      <c r="S1753" t="s">
        <v>348</v>
      </c>
      <c r="U1753" s="1" t="str">
        <f t="shared" si="165"/>
        <v>London</v>
      </c>
      <c r="V1753" t="s">
        <v>332</v>
      </c>
      <c r="X1753" t="s">
        <v>349</v>
      </c>
      <c r="Y1753" s="1" t="str">
        <f t="shared" si="166"/>
        <v>UK</v>
      </c>
      <c r="Z1753" s="4" t="str">
        <f t="shared" si="167"/>
        <v>Uk</v>
      </c>
      <c r="AA1753" t="s">
        <v>170</v>
      </c>
      <c r="AB1753" t="s">
        <v>42</v>
      </c>
      <c r="AC1753" t="s">
        <v>350</v>
      </c>
      <c r="AD1753" t="s">
        <v>351</v>
      </c>
      <c r="AE1753" t="s">
        <v>36</v>
      </c>
    </row>
    <row r="1754" spans="1:31" x14ac:dyDescent="0.3">
      <c r="A1754">
        <v>10198</v>
      </c>
      <c r="B1754">
        <v>48</v>
      </c>
      <c r="C1754">
        <v>67.819999999999993</v>
      </c>
      <c r="D1754">
        <v>5</v>
      </c>
      <c r="E1754" s="4" t="str">
        <f t="shared" si="162"/>
        <v>low sales</v>
      </c>
      <c r="F1754">
        <v>3255.36</v>
      </c>
      <c r="G1754" t="s">
        <v>2426</v>
      </c>
      <c r="H1754" s="1" t="str">
        <f t="shared" si="163"/>
        <v>Shipped</v>
      </c>
      <c r="I1754" s="4" t="str">
        <f t="shared" si="164"/>
        <v>completed</v>
      </c>
      <c r="J1754" t="s">
        <v>25</v>
      </c>
      <c r="K1754">
        <v>4</v>
      </c>
      <c r="L1754">
        <v>11</v>
      </c>
      <c r="M1754">
        <v>2003</v>
      </c>
      <c r="N1754" t="s">
        <v>566</v>
      </c>
      <c r="O1754">
        <v>68</v>
      </c>
      <c r="P1754" t="s">
        <v>633</v>
      </c>
      <c r="Q1754" t="s">
        <v>425</v>
      </c>
      <c r="R1754" t="s">
        <v>426</v>
      </c>
      <c r="S1754" t="s">
        <v>427</v>
      </c>
      <c r="U1754" s="1" t="str">
        <f t="shared" si="165"/>
        <v>Makati City</v>
      </c>
      <c r="V1754" t="s">
        <v>428</v>
      </c>
      <c r="X1754" t="s">
        <v>429</v>
      </c>
      <c r="Y1754" s="1" t="str">
        <f t="shared" si="166"/>
        <v>PHILIPPINES</v>
      </c>
      <c r="Z1754" s="4" t="str">
        <f t="shared" si="167"/>
        <v>Philippines</v>
      </c>
      <c r="AA1754" t="s">
        <v>430</v>
      </c>
      <c r="AB1754" t="s">
        <v>200</v>
      </c>
      <c r="AC1754" t="s">
        <v>431</v>
      </c>
      <c r="AD1754" t="s">
        <v>432</v>
      </c>
      <c r="AE1754" t="s">
        <v>51</v>
      </c>
    </row>
    <row r="1755" spans="1:31" x14ac:dyDescent="0.3">
      <c r="A1755">
        <v>10209</v>
      </c>
      <c r="B1755">
        <v>43</v>
      </c>
      <c r="C1755">
        <v>82.21</v>
      </c>
      <c r="D1755">
        <v>1</v>
      </c>
      <c r="E1755" s="4" t="str">
        <f t="shared" si="162"/>
        <v>low sales</v>
      </c>
      <c r="F1755">
        <v>3535.03</v>
      </c>
      <c r="G1755" t="s">
        <v>2427</v>
      </c>
      <c r="H1755" s="1" t="str">
        <f t="shared" si="163"/>
        <v>Shipped</v>
      </c>
      <c r="I1755" s="4" t="str">
        <f t="shared" si="164"/>
        <v>completed</v>
      </c>
      <c r="J1755" t="s">
        <v>25</v>
      </c>
      <c r="K1755">
        <v>1</v>
      </c>
      <c r="L1755">
        <v>1</v>
      </c>
      <c r="M1755">
        <v>2004</v>
      </c>
      <c r="N1755" t="s">
        <v>566</v>
      </c>
      <c r="O1755">
        <v>68</v>
      </c>
      <c r="P1755" t="s">
        <v>633</v>
      </c>
      <c r="Q1755" t="s">
        <v>358</v>
      </c>
      <c r="R1755">
        <v>2155554369</v>
      </c>
      <c r="S1755" t="s">
        <v>359</v>
      </c>
      <c r="U1755" s="1" t="str">
        <f t="shared" si="165"/>
        <v>Los Angeles</v>
      </c>
      <c r="V1755" t="s">
        <v>360</v>
      </c>
      <c r="W1755" t="s">
        <v>55</v>
      </c>
      <c r="Y1755" s="1" t="str">
        <f t="shared" si="166"/>
        <v>USA</v>
      </c>
      <c r="Z1755" s="4" t="str">
        <f t="shared" si="167"/>
        <v>Usa</v>
      </c>
      <c r="AA1755" t="s">
        <v>32</v>
      </c>
      <c r="AB1755" t="s">
        <v>33</v>
      </c>
      <c r="AC1755" t="s">
        <v>361</v>
      </c>
      <c r="AD1755" t="s">
        <v>103</v>
      </c>
      <c r="AE1755" t="s">
        <v>51</v>
      </c>
    </row>
    <row r="1756" spans="1:31" x14ac:dyDescent="0.3">
      <c r="A1756">
        <v>10222</v>
      </c>
      <c r="B1756">
        <v>32</v>
      </c>
      <c r="C1756">
        <v>81.53</v>
      </c>
      <c r="D1756">
        <v>5</v>
      </c>
      <c r="E1756" s="4" t="str">
        <f t="shared" si="162"/>
        <v>low sales</v>
      </c>
      <c r="F1756">
        <v>2608.96</v>
      </c>
      <c r="G1756" t="s">
        <v>2428</v>
      </c>
      <c r="H1756" s="1" t="str">
        <f t="shared" si="163"/>
        <v>Shipped</v>
      </c>
      <c r="I1756" s="4" t="str">
        <f t="shared" si="164"/>
        <v>completed</v>
      </c>
      <c r="J1756" t="s">
        <v>25</v>
      </c>
      <c r="K1756">
        <v>1</v>
      </c>
      <c r="L1756">
        <v>2</v>
      </c>
      <c r="M1756">
        <v>2004</v>
      </c>
      <c r="N1756" t="s">
        <v>566</v>
      </c>
      <c r="O1756">
        <v>68</v>
      </c>
      <c r="P1756" t="s">
        <v>633</v>
      </c>
      <c r="Q1756" t="s">
        <v>362</v>
      </c>
      <c r="R1756">
        <v>7605558146</v>
      </c>
      <c r="S1756" t="s">
        <v>363</v>
      </c>
      <c r="U1756" s="1" t="str">
        <f t="shared" si="165"/>
        <v>San Diego</v>
      </c>
      <c r="V1756" t="s">
        <v>364</v>
      </c>
      <c r="W1756" t="s">
        <v>55</v>
      </c>
      <c r="X1756">
        <v>91217</v>
      </c>
      <c r="Y1756" s="1" t="str">
        <f t="shared" si="166"/>
        <v>USA</v>
      </c>
      <c r="Z1756" s="4" t="str">
        <f t="shared" si="167"/>
        <v>Usa</v>
      </c>
      <c r="AA1756" t="s">
        <v>32</v>
      </c>
      <c r="AB1756" t="s">
        <v>33</v>
      </c>
      <c r="AC1756" t="s">
        <v>237</v>
      </c>
      <c r="AD1756" t="s">
        <v>276</v>
      </c>
      <c r="AE1756" t="s">
        <v>36</v>
      </c>
    </row>
    <row r="1757" spans="1:31" x14ac:dyDescent="0.3">
      <c r="A1757">
        <v>10249</v>
      </c>
      <c r="B1757">
        <v>20</v>
      </c>
      <c r="C1757">
        <v>67.819999999999993</v>
      </c>
      <c r="D1757">
        <v>1</v>
      </c>
      <c r="E1757" s="4" t="str">
        <f t="shared" si="162"/>
        <v>low sales</v>
      </c>
      <c r="F1757">
        <v>1356.4</v>
      </c>
      <c r="G1757" t="s">
        <v>2429</v>
      </c>
      <c r="H1757" s="1" t="str">
        <f t="shared" si="163"/>
        <v>Shipped</v>
      </c>
      <c r="I1757" s="4" t="str">
        <f t="shared" si="164"/>
        <v>completed</v>
      </c>
      <c r="J1757" t="s">
        <v>25</v>
      </c>
      <c r="K1757">
        <v>2</v>
      </c>
      <c r="L1757">
        <v>5</v>
      </c>
      <c r="M1757">
        <v>2004</v>
      </c>
      <c r="N1757" t="s">
        <v>566</v>
      </c>
      <c r="O1757">
        <v>68</v>
      </c>
      <c r="P1757" t="s">
        <v>633</v>
      </c>
      <c r="Q1757" t="s">
        <v>239</v>
      </c>
      <c r="R1757">
        <v>6175555555</v>
      </c>
      <c r="S1757" t="s">
        <v>240</v>
      </c>
      <c r="U1757" s="1" t="str">
        <f t="shared" si="165"/>
        <v>Cambridge</v>
      </c>
      <c r="V1757" t="s">
        <v>122</v>
      </c>
      <c r="W1757" t="s">
        <v>123</v>
      </c>
      <c r="X1757">
        <v>51247</v>
      </c>
      <c r="Y1757" s="1" t="str">
        <f t="shared" si="166"/>
        <v>USA</v>
      </c>
      <c r="Z1757" s="4" t="str">
        <f t="shared" si="167"/>
        <v>Usa</v>
      </c>
      <c r="AA1757" t="s">
        <v>32</v>
      </c>
      <c r="AB1757" t="s">
        <v>33</v>
      </c>
      <c r="AC1757" t="s">
        <v>241</v>
      </c>
      <c r="AD1757" t="s">
        <v>143</v>
      </c>
      <c r="AE1757" t="s">
        <v>36</v>
      </c>
    </row>
    <row r="1758" spans="1:31" x14ac:dyDescent="0.3">
      <c r="A1758">
        <v>10262</v>
      </c>
      <c r="B1758">
        <v>24</v>
      </c>
      <c r="C1758">
        <v>67.14</v>
      </c>
      <c r="D1758">
        <v>10</v>
      </c>
      <c r="E1758" s="4" t="str">
        <f t="shared" si="162"/>
        <v>low sales</v>
      </c>
      <c r="F1758">
        <v>1611.36</v>
      </c>
      <c r="G1758" t="s">
        <v>2430</v>
      </c>
      <c r="H1758" s="1" t="str">
        <f t="shared" si="163"/>
        <v>Cancelled</v>
      </c>
      <c r="I1758" s="4" t="str">
        <f t="shared" si="164"/>
        <v>not completed</v>
      </c>
      <c r="J1758" t="s">
        <v>339</v>
      </c>
      <c r="K1758">
        <v>2</v>
      </c>
      <c r="L1758">
        <v>6</v>
      </c>
      <c r="M1758">
        <v>2004</v>
      </c>
      <c r="N1758" t="s">
        <v>566</v>
      </c>
      <c r="O1758">
        <v>68</v>
      </c>
      <c r="P1758" t="s">
        <v>633</v>
      </c>
      <c r="Q1758" t="s">
        <v>174</v>
      </c>
      <c r="R1758" t="s">
        <v>175</v>
      </c>
      <c r="S1758" t="s">
        <v>176</v>
      </c>
      <c r="U1758" s="1" t="str">
        <f t="shared" si="165"/>
        <v>Madrid</v>
      </c>
      <c r="V1758" t="s">
        <v>177</v>
      </c>
      <c r="X1758">
        <v>28034</v>
      </c>
      <c r="Y1758" s="1" t="str">
        <f t="shared" si="166"/>
        <v>SPAIN</v>
      </c>
      <c r="Z1758" s="4" t="str">
        <f t="shared" si="167"/>
        <v>Spain</v>
      </c>
      <c r="AA1758" t="s">
        <v>178</v>
      </c>
      <c r="AB1758" t="s">
        <v>42</v>
      </c>
      <c r="AC1758" t="s">
        <v>179</v>
      </c>
      <c r="AD1758" t="s">
        <v>180</v>
      </c>
      <c r="AE1758" t="s">
        <v>36</v>
      </c>
    </row>
    <row r="1759" spans="1:31" x14ac:dyDescent="0.3">
      <c r="A1759">
        <v>10274</v>
      </c>
      <c r="B1759">
        <v>40</v>
      </c>
      <c r="C1759">
        <v>65.08</v>
      </c>
      <c r="D1759">
        <v>2</v>
      </c>
      <c r="E1759" s="4" t="str">
        <f t="shared" si="162"/>
        <v>low sales</v>
      </c>
      <c r="F1759">
        <v>2603.1999999999998</v>
      </c>
      <c r="G1759" t="s">
        <v>2431</v>
      </c>
      <c r="H1759" s="1" t="str">
        <f t="shared" si="163"/>
        <v>Shipped</v>
      </c>
      <c r="I1759" s="4" t="str">
        <f t="shared" si="164"/>
        <v>completed</v>
      </c>
      <c r="J1759" t="s">
        <v>25</v>
      </c>
      <c r="K1759">
        <v>3</v>
      </c>
      <c r="L1759">
        <v>7</v>
      </c>
      <c r="M1759">
        <v>2004</v>
      </c>
      <c r="N1759" t="s">
        <v>566</v>
      </c>
      <c r="O1759">
        <v>68</v>
      </c>
      <c r="P1759" t="s">
        <v>633</v>
      </c>
      <c r="Q1759" t="s">
        <v>281</v>
      </c>
      <c r="R1759">
        <v>6175558555</v>
      </c>
      <c r="S1759" t="s">
        <v>282</v>
      </c>
      <c r="U1759" s="1" t="str">
        <f t="shared" si="165"/>
        <v>Brickhaven</v>
      </c>
      <c r="V1759" t="s">
        <v>283</v>
      </c>
      <c r="W1759" t="s">
        <v>123</v>
      </c>
      <c r="X1759">
        <v>58339</v>
      </c>
      <c r="Y1759" s="1" t="str">
        <f t="shared" si="166"/>
        <v>USA</v>
      </c>
      <c r="Z1759" s="4" t="str">
        <f t="shared" si="167"/>
        <v>Usa</v>
      </c>
      <c r="AA1759" t="s">
        <v>32</v>
      </c>
      <c r="AB1759" t="s">
        <v>33</v>
      </c>
      <c r="AC1759" t="s">
        <v>275</v>
      </c>
      <c r="AD1759" t="s">
        <v>284</v>
      </c>
      <c r="AE1759" t="s">
        <v>36</v>
      </c>
    </row>
    <row r="1760" spans="1:31" x14ac:dyDescent="0.3">
      <c r="A1760">
        <v>10284</v>
      </c>
      <c r="B1760">
        <v>30</v>
      </c>
      <c r="C1760">
        <v>73.989999999999995</v>
      </c>
      <c r="D1760">
        <v>12</v>
      </c>
      <c r="E1760" s="4" t="str">
        <f t="shared" si="162"/>
        <v>low sales</v>
      </c>
      <c r="F1760">
        <v>2219.6999999999998</v>
      </c>
      <c r="G1760" t="s">
        <v>2432</v>
      </c>
      <c r="H1760" s="1" t="str">
        <f t="shared" si="163"/>
        <v>Shipped</v>
      </c>
      <c r="I1760" s="4" t="str">
        <f t="shared" si="164"/>
        <v>completed</v>
      </c>
      <c r="J1760" t="s">
        <v>25</v>
      </c>
      <c r="K1760">
        <v>3</v>
      </c>
      <c r="L1760">
        <v>8</v>
      </c>
      <c r="M1760">
        <v>2004</v>
      </c>
      <c r="N1760" t="s">
        <v>566</v>
      </c>
      <c r="O1760">
        <v>68</v>
      </c>
      <c r="P1760" t="s">
        <v>633</v>
      </c>
      <c r="Q1760" t="s">
        <v>543</v>
      </c>
      <c r="R1760" t="s">
        <v>544</v>
      </c>
      <c r="S1760" t="s">
        <v>545</v>
      </c>
      <c r="U1760" s="1" t="str">
        <f t="shared" si="165"/>
        <v>Oslo</v>
      </c>
      <c r="V1760" t="s">
        <v>546</v>
      </c>
      <c r="X1760" t="s">
        <v>547</v>
      </c>
      <c r="Y1760" s="1" t="str">
        <f t="shared" si="166"/>
        <v>NORWAY</v>
      </c>
      <c r="Z1760" s="4" t="str">
        <f t="shared" si="167"/>
        <v>Norway</v>
      </c>
      <c r="AA1760" t="s">
        <v>78</v>
      </c>
      <c r="AB1760" t="s">
        <v>42</v>
      </c>
      <c r="AC1760" t="s">
        <v>548</v>
      </c>
      <c r="AD1760" t="s">
        <v>549</v>
      </c>
      <c r="AE1760" t="s">
        <v>36</v>
      </c>
    </row>
    <row r="1761" spans="1:31" x14ac:dyDescent="0.3">
      <c r="A1761">
        <v>10296</v>
      </c>
      <c r="B1761">
        <v>21</v>
      </c>
      <c r="C1761">
        <v>71.25</v>
      </c>
      <c r="D1761">
        <v>8</v>
      </c>
      <c r="E1761" s="4" t="str">
        <f t="shared" si="162"/>
        <v>low sales</v>
      </c>
      <c r="F1761">
        <v>1496.25</v>
      </c>
      <c r="G1761" t="s">
        <v>2433</v>
      </c>
      <c r="H1761" s="1" t="str">
        <f t="shared" si="163"/>
        <v>Shipped</v>
      </c>
      <c r="I1761" s="4" t="str">
        <f t="shared" si="164"/>
        <v>completed</v>
      </c>
      <c r="J1761" t="s">
        <v>25</v>
      </c>
      <c r="K1761">
        <v>3</v>
      </c>
      <c r="L1761">
        <v>9</v>
      </c>
      <c r="M1761">
        <v>2004</v>
      </c>
      <c r="N1761" t="s">
        <v>566</v>
      </c>
      <c r="O1761">
        <v>68</v>
      </c>
      <c r="P1761" t="s">
        <v>633</v>
      </c>
      <c r="Q1761" t="s">
        <v>572</v>
      </c>
      <c r="R1761" t="s">
        <v>573</v>
      </c>
      <c r="S1761" t="s">
        <v>574</v>
      </c>
      <c r="U1761" s="1" t="str">
        <f t="shared" si="165"/>
        <v>Munich</v>
      </c>
      <c r="V1761" t="s">
        <v>575</v>
      </c>
      <c r="X1761">
        <v>80686</v>
      </c>
      <c r="Y1761" s="1" t="str">
        <f t="shared" si="166"/>
        <v>GERMANY</v>
      </c>
      <c r="Z1761" s="4" t="str">
        <f t="shared" si="167"/>
        <v>Germany</v>
      </c>
      <c r="AA1761" t="s">
        <v>443</v>
      </c>
      <c r="AB1761" t="s">
        <v>42</v>
      </c>
      <c r="AC1761" t="s">
        <v>576</v>
      </c>
      <c r="AD1761" t="s">
        <v>103</v>
      </c>
      <c r="AE1761" t="s">
        <v>36</v>
      </c>
    </row>
    <row r="1762" spans="1:31" x14ac:dyDescent="0.3">
      <c r="A1762">
        <v>10307</v>
      </c>
      <c r="B1762">
        <v>25</v>
      </c>
      <c r="C1762">
        <v>75.36</v>
      </c>
      <c r="D1762">
        <v>2</v>
      </c>
      <c r="E1762" s="4" t="str">
        <f t="shared" si="162"/>
        <v>low sales</v>
      </c>
      <c r="F1762">
        <v>1884</v>
      </c>
      <c r="G1762" t="s">
        <v>2434</v>
      </c>
      <c r="H1762" s="1" t="str">
        <f t="shared" si="163"/>
        <v>Shipped</v>
      </c>
      <c r="I1762" s="4" t="str">
        <f t="shared" si="164"/>
        <v>completed</v>
      </c>
      <c r="J1762" t="s">
        <v>25</v>
      </c>
      <c r="K1762">
        <v>4</v>
      </c>
      <c r="L1762">
        <v>10</v>
      </c>
      <c r="M1762">
        <v>2004</v>
      </c>
      <c r="N1762" t="s">
        <v>566</v>
      </c>
      <c r="O1762">
        <v>68</v>
      </c>
      <c r="P1762" t="s">
        <v>633</v>
      </c>
      <c r="Q1762" t="s">
        <v>214</v>
      </c>
      <c r="R1762">
        <v>2155554695</v>
      </c>
      <c r="S1762" t="s">
        <v>215</v>
      </c>
      <c r="U1762" s="1" t="str">
        <f t="shared" si="165"/>
        <v>Philadelphia</v>
      </c>
      <c r="V1762" t="s">
        <v>216</v>
      </c>
      <c r="W1762" t="s">
        <v>142</v>
      </c>
      <c r="X1762">
        <v>71270</v>
      </c>
      <c r="Y1762" s="1" t="str">
        <f t="shared" si="166"/>
        <v>USA</v>
      </c>
      <c r="Z1762" s="4" t="str">
        <f t="shared" si="167"/>
        <v>Usa</v>
      </c>
      <c r="AA1762" t="s">
        <v>32</v>
      </c>
      <c r="AB1762" t="s">
        <v>33</v>
      </c>
      <c r="AC1762" t="s">
        <v>217</v>
      </c>
      <c r="AD1762" t="s">
        <v>218</v>
      </c>
      <c r="AE1762" t="s">
        <v>36</v>
      </c>
    </row>
    <row r="1763" spans="1:31" x14ac:dyDescent="0.3">
      <c r="A1763">
        <v>10316</v>
      </c>
      <c r="B1763">
        <v>34</v>
      </c>
      <c r="C1763">
        <v>63.71</v>
      </c>
      <c r="D1763">
        <v>10</v>
      </c>
      <c r="E1763" s="4" t="str">
        <f t="shared" si="162"/>
        <v>low sales</v>
      </c>
      <c r="F1763">
        <v>2166.14</v>
      </c>
      <c r="G1763" t="s">
        <v>2435</v>
      </c>
      <c r="H1763" s="1" t="str">
        <f t="shared" si="163"/>
        <v>Shipped</v>
      </c>
      <c r="I1763" s="4" t="str">
        <f t="shared" si="164"/>
        <v>completed</v>
      </c>
      <c r="J1763" t="s">
        <v>25</v>
      </c>
      <c r="K1763">
        <v>4</v>
      </c>
      <c r="L1763">
        <v>11</v>
      </c>
      <c r="M1763">
        <v>2004</v>
      </c>
      <c r="N1763" t="s">
        <v>566</v>
      </c>
      <c r="O1763">
        <v>68</v>
      </c>
      <c r="P1763" t="s">
        <v>633</v>
      </c>
      <c r="Q1763" t="s">
        <v>383</v>
      </c>
      <c r="R1763" t="s">
        <v>384</v>
      </c>
      <c r="S1763" t="s">
        <v>385</v>
      </c>
      <c r="U1763" s="1" t="str">
        <f t="shared" si="165"/>
        <v>Cowes</v>
      </c>
      <c r="V1763" t="s">
        <v>386</v>
      </c>
      <c r="W1763" t="s">
        <v>387</v>
      </c>
      <c r="X1763" t="s">
        <v>388</v>
      </c>
      <c r="Y1763" s="1" t="str">
        <f t="shared" si="166"/>
        <v>UK</v>
      </c>
      <c r="Z1763" s="4" t="str">
        <f t="shared" si="167"/>
        <v>Uk</v>
      </c>
      <c r="AA1763" t="s">
        <v>170</v>
      </c>
      <c r="AB1763" t="s">
        <v>42</v>
      </c>
      <c r="AC1763" t="s">
        <v>389</v>
      </c>
      <c r="AD1763" t="s">
        <v>390</v>
      </c>
      <c r="AE1763" t="s">
        <v>36</v>
      </c>
    </row>
    <row r="1764" spans="1:31" x14ac:dyDescent="0.3">
      <c r="A1764">
        <v>10328</v>
      </c>
      <c r="B1764">
        <v>48</v>
      </c>
      <c r="C1764">
        <v>58.92</v>
      </c>
      <c r="D1764">
        <v>1</v>
      </c>
      <c r="E1764" s="4" t="str">
        <f t="shared" si="162"/>
        <v>low sales</v>
      </c>
      <c r="F1764">
        <v>2828.16</v>
      </c>
      <c r="G1764" t="s">
        <v>2436</v>
      </c>
      <c r="H1764" s="1" t="str">
        <f t="shared" si="163"/>
        <v>Shipped</v>
      </c>
      <c r="I1764" s="4" t="str">
        <f t="shared" si="164"/>
        <v>completed</v>
      </c>
      <c r="J1764" t="s">
        <v>25</v>
      </c>
      <c r="K1764">
        <v>4</v>
      </c>
      <c r="L1764">
        <v>11</v>
      </c>
      <c r="M1764">
        <v>2004</v>
      </c>
      <c r="N1764" t="s">
        <v>566</v>
      </c>
      <c r="O1764">
        <v>68</v>
      </c>
      <c r="P1764" t="s">
        <v>633</v>
      </c>
      <c r="Q1764" t="s">
        <v>552</v>
      </c>
      <c r="R1764" t="s">
        <v>553</v>
      </c>
      <c r="S1764" t="s">
        <v>554</v>
      </c>
      <c r="U1764" s="1" t="str">
        <f t="shared" si="165"/>
        <v>Bergamo</v>
      </c>
      <c r="V1764" t="s">
        <v>555</v>
      </c>
      <c r="X1764">
        <v>24100</v>
      </c>
      <c r="Y1764" s="1" t="str">
        <f t="shared" si="166"/>
        <v>ITALY</v>
      </c>
      <c r="Z1764" s="4" t="str">
        <f t="shared" si="167"/>
        <v>Italy</v>
      </c>
      <c r="AA1764" t="s">
        <v>258</v>
      </c>
      <c r="AB1764" t="s">
        <v>42</v>
      </c>
      <c r="AC1764" t="s">
        <v>556</v>
      </c>
      <c r="AD1764" t="s">
        <v>557</v>
      </c>
      <c r="AE1764" t="s">
        <v>36</v>
      </c>
    </row>
    <row r="1765" spans="1:31" x14ac:dyDescent="0.3">
      <c r="A1765">
        <v>10339</v>
      </c>
      <c r="B1765">
        <v>55</v>
      </c>
      <c r="C1765">
        <v>100</v>
      </c>
      <c r="D1765">
        <v>12</v>
      </c>
      <c r="E1765" s="4" t="str">
        <f t="shared" si="162"/>
        <v>high sales</v>
      </c>
      <c r="F1765">
        <v>6214.45</v>
      </c>
      <c r="G1765" t="s">
        <v>2437</v>
      </c>
      <c r="H1765" s="1" t="str">
        <f t="shared" si="163"/>
        <v>Shipped</v>
      </c>
      <c r="I1765" s="4" t="str">
        <f t="shared" si="164"/>
        <v>completed</v>
      </c>
      <c r="J1765" t="s">
        <v>25</v>
      </c>
      <c r="K1765">
        <v>4</v>
      </c>
      <c r="L1765">
        <v>11</v>
      </c>
      <c r="M1765">
        <v>2004</v>
      </c>
      <c r="N1765" t="s">
        <v>566</v>
      </c>
      <c r="O1765">
        <v>68</v>
      </c>
      <c r="P1765" t="s">
        <v>633</v>
      </c>
      <c r="Q1765" t="s">
        <v>246</v>
      </c>
      <c r="R1765" t="s">
        <v>247</v>
      </c>
      <c r="S1765" t="s">
        <v>248</v>
      </c>
      <c r="U1765" s="1" t="str">
        <f t="shared" si="165"/>
        <v>Minato-Ku</v>
      </c>
      <c r="V1765" t="s">
        <v>249</v>
      </c>
      <c r="W1765" t="s">
        <v>250</v>
      </c>
      <c r="X1765" t="s">
        <v>251</v>
      </c>
      <c r="Y1765" s="1" t="str">
        <f t="shared" si="166"/>
        <v>JAPAN</v>
      </c>
      <c r="Z1765" s="4" t="str">
        <f t="shared" si="167"/>
        <v>Japan</v>
      </c>
      <c r="AA1765" t="s">
        <v>200</v>
      </c>
      <c r="AB1765" t="s">
        <v>200</v>
      </c>
      <c r="AC1765" t="s">
        <v>252</v>
      </c>
      <c r="AD1765" t="s">
        <v>253</v>
      </c>
      <c r="AE1765" t="s">
        <v>51</v>
      </c>
    </row>
    <row r="1766" spans="1:31" x14ac:dyDescent="0.3">
      <c r="A1766">
        <v>10351</v>
      </c>
      <c r="B1766">
        <v>25</v>
      </c>
      <c r="C1766">
        <v>74.680000000000007</v>
      </c>
      <c r="D1766">
        <v>5</v>
      </c>
      <c r="E1766" s="4" t="str">
        <f t="shared" si="162"/>
        <v>low sales</v>
      </c>
      <c r="F1766">
        <v>1867</v>
      </c>
      <c r="G1766" t="s">
        <v>2438</v>
      </c>
      <c r="H1766" s="1" t="str">
        <f t="shared" si="163"/>
        <v>Shipped</v>
      </c>
      <c r="I1766" s="4" t="str">
        <f t="shared" si="164"/>
        <v>completed</v>
      </c>
      <c r="J1766" t="s">
        <v>25</v>
      </c>
      <c r="K1766">
        <v>4</v>
      </c>
      <c r="L1766">
        <v>12</v>
      </c>
      <c r="M1766">
        <v>2004</v>
      </c>
      <c r="N1766" t="s">
        <v>566</v>
      </c>
      <c r="O1766">
        <v>68</v>
      </c>
      <c r="P1766" t="s">
        <v>633</v>
      </c>
      <c r="Q1766" t="s">
        <v>329</v>
      </c>
      <c r="R1766" t="s">
        <v>330</v>
      </c>
      <c r="S1766" t="s">
        <v>331</v>
      </c>
      <c r="U1766" s="1" t="str">
        <f t="shared" si="165"/>
        <v>London</v>
      </c>
      <c r="V1766" t="s">
        <v>332</v>
      </c>
      <c r="X1766" t="s">
        <v>333</v>
      </c>
      <c r="Y1766" s="1" t="str">
        <f t="shared" si="166"/>
        <v>UK</v>
      </c>
      <c r="Z1766" s="4" t="str">
        <f t="shared" si="167"/>
        <v>Uk</v>
      </c>
      <c r="AA1766" t="s">
        <v>170</v>
      </c>
      <c r="AB1766" t="s">
        <v>42</v>
      </c>
      <c r="AC1766" t="s">
        <v>61</v>
      </c>
      <c r="AD1766" t="s">
        <v>334</v>
      </c>
      <c r="AE1766" t="s">
        <v>36</v>
      </c>
    </row>
    <row r="1767" spans="1:31" x14ac:dyDescent="0.3">
      <c r="A1767">
        <v>10373</v>
      </c>
      <c r="B1767">
        <v>38</v>
      </c>
      <c r="C1767">
        <v>70.44</v>
      </c>
      <c r="D1767">
        <v>7</v>
      </c>
      <c r="E1767" s="4" t="str">
        <f t="shared" si="162"/>
        <v>low sales</v>
      </c>
      <c r="F1767">
        <v>2676.72</v>
      </c>
      <c r="G1767" t="s">
        <v>2439</v>
      </c>
      <c r="H1767" s="1" t="str">
        <f t="shared" si="163"/>
        <v>Shipped</v>
      </c>
      <c r="I1767" s="4" t="str">
        <f t="shared" si="164"/>
        <v>completed</v>
      </c>
      <c r="J1767" t="s">
        <v>25</v>
      </c>
      <c r="K1767">
        <v>1</v>
      </c>
      <c r="L1767">
        <v>1</v>
      </c>
      <c r="M1767">
        <v>2005</v>
      </c>
      <c r="N1767" t="s">
        <v>566</v>
      </c>
      <c r="O1767">
        <v>68</v>
      </c>
      <c r="P1767" t="s">
        <v>633</v>
      </c>
      <c r="Q1767" t="s">
        <v>391</v>
      </c>
      <c r="R1767" t="s">
        <v>392</v>
      </c>
      <c r="S1767" t="s">
        <v>393</v>
      </c>
      <c r="U1767" s="1" t="str">
        <f t="shared" si="165"/>
        <v>Oulu</v>
      </c>
      <c r="V1767" t="s">
        <v>394</v>
      </c>
      <c r="X1767">
        <v>90110</v>
      </c>
      <c r="Y1767" s="1" t="str">
        <f t="shared" si="166"/>
        <v>FINLAND</v>
      </c>
      <c r="Z1767" s="4" t="str">
        <f t="shared" si="167"/>
        <v>Finland</v>
      </c>
      <c r="AA1767" t="s">
        <v>130</v>
      </c>
      <c r="AB1767" t="s">
        <v>42</v>
      </c>
      <c r="AC1767" t="s">
        <v>395</v>
      </c>
      <c r="AD1767" t="s">
        <v>396</v>
      </c>
      <c r="AE1767" t="s">
        <v>36</v>
      </c>
    </row>
    <row r="1768" spans="1:31" x14ac:dyDescent="0.3">
      <c r="A1768">
        <v>10386</v>
      </c>
      <c r="B1768">
        <v>39</v>
      </c>
      <c r="C1768">
        <v>55.96</v>
      </c>
      <c r="D1768">
        <v>1</v>
      </c>
      <c r="E1768" s="4" t="str">
        <f t="shared" si="162"/>
        <v>low sales</v>
      </c>
      <c r="F1768">
        <v>2182.44</v>
      </c>
      <c r="G1768" t="s">
        <v>2440</v>
      </c>
      <c r="H1768" s="1" t="str">
        <f t="shared" si="163"/>
        <v>Resolved</v>
      </c>
      <c r="I1768" s="4" t="str">
        <f t="shared" si="164"/>
        <v>not completed</v>
      </c>
      <c r="J1768" t="s">
        <v>408</v>
      </c>
      <c r="K1768">
        <v>1</v>
      </c>
      <c r="L1768">
        <v>3</v>
      </c>
      <c r="M1768">
        <v>2005</v>
      </c>
      <c r="N1768" t="s">
        <v>566</v>
      </c>
      <c r="O1768">
        <v>68</v>
      </c>
      <c r="P1768" t="s">
        <v>633</v>
      </c>
      <c r="Q1768" t="s">
        <v>174</v>
      </c>
      <c r="R1768" t="s">
        <v>175</v>
      </c>
      <c r="S1768" t="s">
        <v>176</v>
      </c>
      <c r="U1768" s="1" t="str">
        <f t="shared" si="165"/>
        <v>Madrid</v>
      </c>
      <c r="V1768" t="s">
        <v>177</v>
      </c>
      <c r="X1768">
        <v>28034</v>
      </c>
      <c r="Y1768" s="1" t="str">
        <f t="shared" si="166"/>
        <v>SPAIN</v>
      </c>
      <c r="Z1768" s="4" t="str">
        <f t="shared" si="167"/>
        <v>Spain</v>
      </c>
      <c r="AA1768" t="s">
        <v>178</v>
      </c>
      <c r="AB1768" t="s">
        <v>42</v>
      </c>
      <c r="AC1768" t="s">
        <v>179</v>
      </c>
      <c r="AD1768" t="s">
        <v>180</v>
      </c>
      <c r="AE1768" t="s">
        <v>36</v>
      </c>
    </row>
    <row r="1769" spans="1:31" x14ac:dyDescent="0.3">
      <c r="A1769">
        <v>10398</v>
      </c>
      <c r="B1769">
        <v>28</v>
      </c>
      <c r="C1769">
        <v>57.55</v>
      </c>
      <c r="D1769">
        <v>3</v>
      </c>
      <c r="E1769" s="4" t="str">
        <f t="shared" si="162"/>
        <v>low sales</v>
      </c>
      <c r="F1769">
        <v>1611.4</v>
      </c>
      <c r="G1769" t="s">
        <v>2441</v>
      </c>
      <c r="H1769" s="1" t="str">
        <f t="shared" si="163"/>
        <v>Shipped</v>
      </c>
      <c r="I1769" s="4" t="str">
        <f t="shared" si="164"/>
        <v>completed</v>
      </c>
      <c r="J1769" t="s">
        <v>25</v>
      </c>
      <c r="K1769">
        <v>1</v>
      </c>
      <c r="L1769">
        <v>3</v>
      </c>
      <c r="M1769">
        <v>2005</v>
      </c>
      <c r="N1769" t="s">
        <v>566</v>
      </c>
      <c r="O1769">
        <v>68</v>
      </c>
      <c r="P1769" t="s">
        <v>633</v>
      </c>
      <c r="Q1769" t="s">
        <v>37</v>
      </c>
      <c r="R1769" t="s">
        <v>38</v>
      </c>
      <c r="S1769" t="s">
        <v>39</v>
      </c>
      <c r="U1769" s="1" t="str">
        <f t="shared" si="165"/>
        <v>Reims</v>
      </c>
      <c r="V1769" t="s">
        <v>40</v>
      </c>
      <c r="X1769">
        <v>51100</v>
      </c>
      <c r="Y1769" s="1" t="str">
        <f t="shared" si="166"/>
        <v>FRANCE</v>
      </c>
      <c r="Z1769" s="4" t="str">
        <f t="shared" si="167"/>
        <v>France</v>
      </c>
      <c r="AA1769" t="s">
        <v>41</v>
      </c>
      <c r="AB1769" t="s">
        <v>42</v>
      </c>
      <c r="AC1769" t="s">
        <v>43</v>
      </c>
      <c r="AD1769" t="s">
        <v>44</v>
      </c>
      <c r="AE1769" t="s">
        <v>36</v>
      </c>
    </row>
    <row r="1770" spans="1:31" x14ac:dyDescent="0.3">
      <c r="A1770">
        <v>10400</v>
      </c>
      <c r="B1770">
        <v>24</v>
      </c>
      <c r="C1770">
        <v>61.66</v>
      </c>
      <c r="D1770">
        <v>2</v>
      </c>
      <c r="E1770" s="4" t="str">
        <f t="shared" si="162"/>
        <v>low sales</v>
      </c>
      <c r="F1770">
        <v>1479.84</v>
      </c>
      <c r="G1770" t="s">
        <v>2442</v>
      </c>
      <c r="H1770" s="1" t="str">
        <f t="shared" si="163"/>
        <v>Shipped</v>
      </c>
      <c r="I1770" s="4" t="str">
        <f t="shared" si="164"/>
        <v>completed</v>
      </c>
      <c r="J1770" t="s">
        <v>25</v>
      </c>
      <c r="K1770">
        <v>2</v>
      </c>
      <c r="L1770">
        <v>4</v>
      </c>
      <c r="M1770">
        <v>2005</v>
      </c>
      <c r="N1770" t="s">
        <v>566</v>
      </c>
      <c r="O1770">
        <v>68</v>
      </c>
      <c r="P1770" t="s">
        <v>633</v>
      </c>
      <c r="Q1770" t="s">
        <v>397</v>
      </c>
      <c r="R1770">
        <v>4085553659</v>
      </c>
      <c r="S1770" t="s">
        <v>398</v>
      </c>
      <c r="U1770" s="1" t="str">
        <f t="shared" si="165"/>
        <v>San Jose</v>
      </c>
      <c r="V1770" t="s">
        <v>399</v>
      </c>
      <c r="W1770" t="s">
        <v>55</v>
      </c>
      <c r="X1770">
        <v>94217</v>
      </c>
      <c r="Y1770" s="1" t="str">
        <f t="shared" si="166"/>
        <v>USA</v>
      </c>
      <c r="Z1770" s="4" t="str">
        <f t="shared" si="167"/>
        <v>Usa</v>
      </c>
      <c r="AA1770" t="s">
        <v>32</v>
      </c>
      <c r="AB1770" t="s">
        <v>33</v>
      </c>
      <c r="AC1770" t="s">
        <v>102</v>
      </c>
      <c r="AD1770" t="s">
        <v>400</v>
      </c>
      <c r="AE1770" t="s">
        <v>36</v>
      </c>
    </row>
    <row r="1771" spans="1:31" x14ac:dyDescent="0.3">
      <c r="A1771">
        <v>10415</v>
      </c>
      <c r="B1771">
        <v>21</v>
      </c>
      <c r="C1771">
        <v>67.819999999999993</v>
      </c>
      <c r="D1771">
        <v>1</v>
      </c>
      <c r="E1771" s="4" t="str">
        <f t="shared" si="162"/>
        <v>low sales</v>
      </c>
      <c r="F1771">
        <v>1424.22</v>
      </c>
      <c r="G1771" t="s">
        <v>2443</v>
      </c>
      <c r="H1771" s="1" t="str">
        <f t="shared" si="163"/>
        <v>Disputed</v>
      </c>
      <c r="I1771" s="4" t="str">
        <f t="shared" si="164"/>
        <v>not completed</v>
      </c>
      <c r="J1771" t="s">
        <v>173</v>
      </c>
      <c r="K1771">
        <v>2</v>
      </c>
      <c r="L1771">
        <v>5</v>
      </c>
      <c r="M1771">
        <v>2005</v>
      </c>
      <c r="N1771" t="s">
        <v>566</v>
      </c>
      <c r="O1771">
        <v>68</v>
      </c>
      <c r="P1771" t="s">
        <v>633</v>
      </c>
      <c r="Q1771" t="s">
        <v>558</v>
      </c>
      <c r="R1771" t="s">
        <v>559</v>
      </c>
      <c r="S1771" t="s">
        <v>560</v>
      </c>
      <c r="U1771" s="1" t="str">
        <f t="shared" si="165"/>
        <v>Glen Waverly</v>
      </c>
      <c r="V1771" t="s">
        <v>561</v>
      </c>
      <c r="W1771" t="s">
        <v>94</v>
      </c>
      <c r="X1771">
        <v>3150</v>
      </c>
      <c r="Y1771" s="1" t="str">
        <f t="shared" si="166"/>
        <v>AUSTRALIA</v>
      </c>
      <c r="Z1771" s="4" t="str">
        <f t="shared" si="167"/>
        <v>Australia</v>
      </c>
      <c r="AA1771" t="s">
        <v>95</v>
      </c>
      <c r="AB1771" t="s">
        <v>96</v>
      </c>
      <c r="AC1771" t="s">
        <v>562</v>
      </c>
      <c r="AD1771" t="s">
        <v>563</v>
      </c>
      <c r="AE1771" t="s">
        <v>36</v>
      </c>
    </row>
    <row r="1772" spans="1:31" x14ac:dyDescent="0.3">
      <c r="A1772">
        <v>10110</v>
      </c>
      <c r="B1772">
        <v>46</v>
      </c>
      <c r="C1772">
        <v>100</v>
      </c>
      <c r="D1772">
        <v>10</v>
      </c>
      <c r="E1772" s="4" t="str">
        <f t="shared" si="162"/>
        <v>high sales</v>
      </c>
      <c r="F1772">
        <v>5942.28</v>
      </c>
      <c r="G1772" t="s">
        <v>2444</v>
      </c>
      <c r="H1772" s="1" t="str">
        <f t="shared" si="163"/>
        <v>Shipped</v>
      </c>
      <c r="I1772" s="4" t="str">
        <f t="shared" si="164"/>
        <v>completed</v>
      </c>
      <c r="J1772" t="s">
        <v>25</v>
      </c>
      <c r="K1772">
        <v>1</v>
      </c>
      <c r="L1772">
        <v>3</v>
      </c>
      <c r="M1772">
        <v>2003</v>
      </c>
      <c r="N1772" t="s">
        <v>181</v>
      </c>
      <c r="O1772">
        <v>117</v>
      </c>
      <c r="P1772" t="s">
        <v>634</v>
      </c>
      <c r="Q1772" t="s">
        <v>492</v>
      </c>
      <c r="R1772" t="s">
        <v>493</v>
      </c>
      <c r="S1772" t="s">
        <v>494</v>
      </c>
      <c r="U1772" s="1" t="str">
        <f t="shared" si="165"/>
        <v>Manchester</v>
      </c>
      <c r="V1772" t="s">
        <v>495</v>
      </c>
      <c r="X1772" t="s">
        <v>496</v>
      </c>
      <c r="Y1772" s="1" t="str">
        <f t="shared" si="166"/>
        <v>UK</v>
      </c>
      <c r="Z1772" s="4" t="str">
        <f t="shared" si="167"/>
        <v>Uk</v>
      </c>
      <c r="AA1772" t="s">
        <v>170</v>
      </c>
      <c r="AB1772" t="s">
        <v>42</v>
      </c>
      <c r="AC1772" t="s">
        <v>497</v>
      </c>
      <c r="AD1772" t="s">
        <v>94</v>
      </c>
      <c r="AE1772" t="s">
        <v>51</v>
      </c>
    </row>
    <row r="1773" spans="1:31" x14ac:dyDescent="0.3">
      <c r="A1773">
        <v>10124</v>
      </c>
      <c r="B1773">
        <v>25</v>
      </c>
      <c r="C1773">
        <v>93.95</v>
      </c>
      <c r="D1773">
        <v>9</v>
      </c>
      <c r="E1773" s="4" t="str">
        <f t="shared" si="162"/>
        <v>low sales</v>
      </c>
      <c r="F1773">
        <v>2348.75</v>
      </c>
      <c r="G1773" t="s">
        <v>2445</v>
      </c>
      <c r="H1773" s="1" t="str">
        <f t="shared" si="163"/>
        <v>Shipped</v>
      </c>
      <c r="I1773" s="4" t="str">
        <f t="shared" si="164"/>
        <v>completed</v>
      </c>
      <c r="J1773" t="s">
        <v>25</v>
      </c>
      <c r="K1773">
        <v>2</v>
      </c>
      <c r="L1773">
        <v>5</v>
      </c>
      <c r="M1773">
        <v>2003</v>
      </c>
      <c r="N1773" t="s">
        <v>181</v>
      </c>
      <c r="O1773">
        <v>117</v>
      </c>
      <c r="P1773" t="s">
        <v>634</v>
      </c>
      <c r="Q1773" t="s">
        <v>539</v>
      </c>
      <c r="R1773">
        <v>7025551838</v>
      </c>
      <c r="S1773" t="s">
        <v>540</v>
      </c>
      <c r="U1773" s="1" t="str">
        <f t="shared" si="165"/>
        <v>Las Vegas</v>
      </c>
      <c r="V1773" t="s">
        <v>541</v>
      </c>
      <c r="W1773" t="s">
        <v>542</v>
      </c>
      <c r="X1773">
        <v>83030</v>
      </c>
      <c r="Y1773" s="1" t="str">
        <f t="shared" si="166"/>
        <v>USA</v>
      </c>
      <c r="Z1773" s="4" t="str">
        <f t="shared" si="167"/>
        <v>Usa</v>
      </c>
      <c r="AA1773" t="s">
        <v>32</v>
      </c>
      <c r="AB1773" t="s">
        <v>33</v>
      </c>
      <c r="AC1773" t="s">
        <v>113</v>
      </c>
      <c r="AD1773" t="s">
        <v>400</v>
      </c>
      <c r="AE1773" t="s">
        <v>36</v>
      </c>
    </row>
    <row r="1774" spans="1:31" x14ac:dyDescent="0.3">
      <c r="A1774">
        <v>10148</v>
      </c>
      <c r="B1774">
        <v>34</v>
      </c>
      <c r="C1774">
        <v>100</v>
      </c>
      <c r="D1774">
        <v>3</v>
      </c>
      <c r="E1774" s="4" t="str">
        <f t="shared" si="162"/>
        <v>high sales</v>
      </c>
      <c r="F1774">
        <v>4392.12</v>
      </c>
      <c r="G1774" t="s">
        <v>2446</v>
      </c>
      <c r="H1774" s="1" t="str">
        <f t="shared" si="163"/>
        <v>Shipped</v>
      </c>
      <c r="I1774" s="4" t="str">
        <f t="shared" si="164"/>
        <v>completed</v>
      </c>
      <c r="J1774" t="s">
        <v>25</v>
      </c>
      <c r="K1774">
        <v>3</v>
      </c>
      <c r="L1774">
        <v>9</v>
      </c>
      <c r="M1774">
        <v>2003</v>
      </c>
      <c r="N1774" t="s">
        <v>181</v>
      </c>
      <c r="O1774">
        <v>117</v>
      </c>
      <c r="P1774" t="s">
        <v>634</v>
      </c>
      <c r="Q1774" t="s">
        <v>285</v>
      </c>
      <c r="R1774" t="s">
        <v>286</v>
      </c>
      <c r="S1774" t="s">
        <v>287</v>
      </c>
      <c r="T1774" t="s">
        <v>288</v>
      </c>
      <c r="U1774" s="1" t="str">
        <f t="shared" si="165"/>
        <v>North Sydney</v>
      </c>
      <c r="V1774" t="s">
        <v>289</v>
      </c>
      <c r="W1774" t="s">
        <v>157</v>
      </c>
      <c r="X1774">
        <v>2060</v>
      </c>
      <c r="Y1774" s="1" t="str">
        <f t="shared" si="166"/>
        <v>AUSTRALIA</v>
      </c>
      <c r="Z1774" s="4" t="str">
        <f t="shared" si="167"/>
        <v>Australia</v>
      </c>
      <c r="AA1774" t="s">
        <v>95</v>
      </c>
      <c r="AB1774" t="s">
        <v>96</v>
      </c>
      <c r="AC1774" t="s">
        <v>290</v>
      </c>
      <c r="AD1774" t="s">
        <v>291</v>
      </c>
      <c r="AE1774" t="s">
        <v>51</v>
      </c>
    </row>
    <row r="1775" spans="1:31" x14ac:dyDescent="0.3">
      <c r="A1775">
        <v>10161</v>
      </c>
      <c r="B1775">
        <v>25</v>
      </c>
      <c r="C1775">
        <v>100</v>
      </c>
      <c r="D1775">
        <v>2</v>
      </c>
      <c r="E1775" s="4" t="str">
        <f t="shared" si="162"/>
        <v>low sales</v>
      </c>
      <c r="F1775">
        <v>2759.75</v>
      </c>
      <c r="G1775" t="s">
        <v>2447</v>
      </c>
      <c r="H1775" s="1" t="str">
        <f t="shared" si="163"/>
        <v>Shipped</v>
      </c>
      <c r="I1775" s="4" t="str">
        <f t="shared" si="164"/>
        <v>completed</v>
      </c>
      <c r="J1775" t="s">
        <v>25</v>
      </c>
      <c r="K1775">
        <v>4</v>
      </c>
      <c r="L1775">
        <v>10</v>
      </c>
      <c r="M1775">
        <v>2003</v>
      </c>
      <c r="N1775" t="s">
        <v>181</v>
      </c>
      <c r="O1775">
        <v>117</v>
      </c>
      <c r="P1775" t="s">
        <v>634</v>
      </c>
      <c r="Q1775" t="s">
        <v>498</v>
      </c>
      <c r="R1775" t="s">
        <v>499</v>
      </c>
      <c r="S1775" t="s">
        <v>500</v>
      </c>
      <c r="U1775" s="1" t="str">
        <f t="shared" si="165"/>
        <v>Aaarhus</v>
      </c>
      <c r="V1775" t="s">
        <v>501</v>
      </c>
      <c r="X1775">
        <v>8200</v>
      </c>
      <c r="Y1775" s="1" t="str">
        <f t="shared" si="166"/>
        <v>DENMARK</v>
      </c>
      <c r="Z1775" s="4" t="str">
        <f t="shared" si="167"/>
        <v>Denmark</v>
      </c>
      <c r="AA1775" t="s">
        <v>326</v>
      </c>
      <c r="AB1775" t="s">
        <v>42</v>
      </c>
      <c r="AC1775" t="s">
        <v>502</v>
      </c>
      <c r="AD1775" t="s">
        <v>503</v>
      </c>
      <c r="AE1775" t="s">
        <v>36</v>
      </c>
    </row>
    <row r="1776" spans="1:31" x14ac:dyDescent="0.3">
      <c r="A1776">
        <v>10173</v>
      </c>
      <c r="B1776">
        <v>23</v>
      </c>
      <c r="C1776">
        <v>100</v>
      </c>
      <c r="D1776">
        <v>16</v>
      </c>
      <c r="E1776" s="4" t="str">
        <f t="shared" si="162"/>
        <v>low sales</v>
      </c>
      <c r="F1776">
        <v>2728.03</v>
      </c>
      <c r="G1776" t="s">
        <v>2448</v>
      </c>
      <c r="H1776" s="1" t="str">
        <f t="shared" si="163"/>
        <v>Shipped</v>
      </c>
      <c r="I1776" s="4" t="str">
        <f t="shared" si="164"/>
        <v>completed</v>
      </c>
      <c r="J1776" t="s">
        <v>25</v>
      </c>
      <c r="K1776">
        <v>4</v>
      </c>
      <c r="L1776">
        <v>11</v>
      </c>
      <c r="M1776">
        <v>2003</v>
      </c>
      <c r="N1776" t="s">
        <v>181</v>
      </c>
      <c r="O1776">
        <v>117</v>
      </c>
      <c r="P1776" t="s">
        <v>634</v>
      </c>
      <c r="Q1776" t="s">
        <v>552</v>
      </c>
      <c r="R1776" t="s">
        <v>553</v>
      </c>
      <c r="S1776" t="s">
        <v>554</v>
      </c>
      <c r="U1776" s="1" t="str">
        <f t="shared" si="165"/>
        <v>Bergamo</v>
      </c>
      <c r="V1776" t="s">
        <v>555</v>
      </c>
      <c r="X1776">
        <v>24100</v>
      </c>
      <c r="Y1776" s="1" t="str">
        <f t="shared" si="166"/>
        <v>ITALY</v>
      </c>
      <c r="Z1776" s="4" t="str">
        <f t="shared" si="167"/>
        <v>Italy</v>
      </c>
      <c r="AA1776" t="s">
        <v>258</v>
      </c>
      <c r="AB1776" t="s">
        <v>42</v>
      </c>
      <c r="AC1776" t="s">
        <v>556</v>
      </c>
      <c r="AD1776" t="s">
        <v>557</v>
      </c>
      <c r="AE1776" t="s">
        <v>36</v>
      </c>
    </row>
    <row r="1777" spans="1:31" x14ac:dyDescent="0.3">
      <c r="A1777">
        <v>10182</v>
      </c>
      <c r="B1777">
        <v>20</v>
      </c>
      <c r="C1777">
        <v>100</v>
      </c>
      <c r="D1777">
        <v>13</v>
      </c>
      <c r="E1777" s="4" t="str">
        <f t="shared" si="162"/>
        <v>low sales</v>
      </c>
      <c r="F1777">
        <v>2395.8000000000002</v>
      </c>
      <c r="G1777" t="s">
        <v>2449</v>
      </c>
      <c r="H1777" s="1" t="str">
        <f t="shared" si="163"/>
        <v>Shipped</v>
      </c>
      <c r="I1777" s="4" t="str">
        <f t="shared" si="164"/>
        <v>completed</v>
      </c>
      <c r="J1777" t="s">
        <v>25</v>
      </c>
      <c r="K1777">
        <v>4</v>
      </c>
      <c r="L1777">
        <v>11</v>
      </c>
      <c r="M1777">
        <v>2003</v>
      </c>
      <c r="N1777" t="s">
        <v>181</v>
      </c>
      <c r="O1777">
        <v>117</v>
      </c>
      <c r="P1777" t="s">
        <v>634</v>
      </c>
      <c r="Q1777" t="s">
        <v>272</v>
      </c>
      <c r="R1777">
        <v>4155551450</v>
      </c>
      <c r="S1777" t="s">
        <v>273</v>
      </c>
      <c r="U1777" s="1" t="str">
        <f t="shared" si="165"/>
        <v>San Rafael</v>
      </c>
      <c r="V1777" t="s">
        <v>274</v>
      </c>
      <c r="W1777" t="s">
        <v>55</v>
      </c>
      <c r="X1777">
        <v>97562</v>
      </c>
      <c r="Y1777" s="1" t="str">
        <f t="shared" si="166"/>
        <v>USA</v>
      </c>
      <c r="Z1777" s="4" t="str">
        <f t="shared" si="167"/>
        <v>Usa</v>
      </c>
      <c r="AA1777" t="s">
        <v>32</v>
      </c>
      <c r="AB1777" t="s">
        <v>33</v>
      </c>
      <c r="AC1777" t="s">
        <v>275</v>
      </c>
      <c r="AD1777" t="s">
        <v>276</v>
      </c>
      <c r="AE1777" t="s">
        <v>36</v>
      </c>
    </row>
    <row r="1778" spans="1:31" x14ac:dyDescent="0.3">
      <c r="A1778">
        <v>10192</v>
      </c>
      <c r="B1778">
        <v>23</v>
      </c>
      <c r="C1778">
        <v>100</v>
      </c>
      <c r="D1778">
        <v>1</v>
      </c>
      <c r="E1778" s="4" t="str">
        <f t="shared" si="162"/>
        <v>low sales</v>
      </c>
      <c r="F1778">
        <v>3052.33</v>
      </c>
      <c r="G1778" t="s">
        <v>2450</v>
      </c>
      <c r="H1778" s="1" t="str">
        <f t="shared" si="163"/>
        <v>Shipped</v>
      </c>
      <c r="I1778" s="4" t="str">
        <f t="shared" si="164"/>
        <v>completed</v>
      </c>
      <c r="J1778" t="s">
        <v>25</v>
      </c>
      <c r="K1778">
        <v>4</v>
      </c>
      <c r="L1778">
        <v>11</v>
      </c>
      <c r="M1778">
        <v>2003</v>
      </c>
      <c r="N1778" t="s">
        <v>181</v>
      </c>
      <c r="O1778">
        <v>117</v>
      </c>
      <c r="P1778" t="s">
        <v>634</v>
      </c>
      <c r="Q1778" t="s">
        <v>277</v>
      </c>
      <c r="R1778">
        <v>6035558647</v>
      </c>
      <c r="S1778" t="s">
        <v>278</v>
      </c>
      <c r="U1778" s="1" t="str">
        <f t="shared" si="165"/>
        <v>Nashua</v>
      </c>
      <c r="V1778" t="s">
        <v>279</v>
      </c>
      <c r="W1778" t="s">
        <v>280</v>
      </c>
      <c r="X1778">
        <v>62005</v>
      </c>
      <c r="Y1778" s="1" t="str">
        <f t="shared" si="166"/>
        <v>USA</v>
      </c>
      <c r="Z1778" s="4" t="str">
        <f t="shared" si="167"/>
        <v>Usa</v>
      </c>
      <c r="AA1778" t="s">
        <v>32</v>
      </c>
      <c r="AB1778" t="s">
        <v>33</v>
      </c>
      <c r="AC1778" t="s">
        <v>56</v>
      </c>
      <c r="AD1778" t="s">
        <v>276</v>
      </c>
      <c r="AE1778" t="s">
        <v>51</v>
      </c>
    </row>
    <row r="1779" spans="1:31" x14ac:dyDescent="0.3">
      <c r="A1779">
        <v>10204</v>
      </c>
      <c r="B1779">
        <v>42</v>
      </c>
      <c r="C1779">
        <v>100</v>
      </c>
      <c r="D1779">
        <v>7</v>
      </c>
      <c r="E1779" s="4" t="str">
        <f t="shared" si="162"/>
        <v>high sales</v>
      </c>
      <c r="F1779">
        <v>4242</v>
      </c>
      <c r="G1779" t="s">
        <v>2451</v>
      </c>
      <c r="H1779" s="1" t="str">
        <f t="shared" si="163"/>
        <v>Shipped</v>
      </c>
      <c r="I1779" s="4" t="str">
        <f t="shared" si="164"/>
        <v>completed</v>
      </c>
      <c r="J1779" t="s">
        <v>25</v>
      </c>
      <c r="K1779">
        <v>4</v>
      </c>
      <c r="L1779">
        <v>12</v>
      </c>
      <c r="M1779">
        <v>2003</v>
      </c>
      <c r="N1779" t="s">
        <v>181</v>
      </c>
      <c r="O1779">
        <v>117</v>
      </c>
      <c r="P1779" t="s">
        <v>634</v>
      </c>
      <c r="Q1779" t="s">
        <v>475</v>
      </c>
      <c r="R1779">
        <v>2125557413</v>
      </c>
      <c r="S1779" t="s">
        <v>476</v>
      </c>
      <c r="T1779" t="s">
        <v>477</v>
      </c>
      <c r="U1779" s="1" t="str">
        <f t="shared" si="165"/>
        <v>Nyc</v>
      </c>
      <c r="V1779" t="s">
        <v>30</v>
      </c>
      <c r="W1779" t="s">
        <v>31</v>
      </c>
      <c r="X1779">
        <v>10022</v>
      </c>
      <c r="Y1779" s="1" t="str">
        <f t="shared" si="166"/>
        <v>USA</v>
      </c>
      <c r="Z1779" s="4" t="str">
        <f t="shared" si="167"/>
        <v>Usa</v>
      </c>
      <c r="AA1779" t="s">
        <v>32</v>
      </c>
      <c r="AB1779" t="s">
        <v>33</v>
      </c>
      <c r="AC1779" t="s">
        <v>56</v>
      </c>
      <c r="AD1779" t="s">
        <v>478</v>
      </c>
      <c r="AE1779" t="s">
        <v>51</v>
      </c>
    </row>
    <row r="1780" spans="1:31" x14ac:dyDescent="0.3">
      <c r="A1780">
        <v>10213</v>
      </c>
      <c r="B1780">
        <v>27</v>
      </c>
      <c r="C1780">
        <v>100</v>
      </c>
      <c r="D1780">
        <v>3</v>
      </c>
      <c r="E1780" s="4" t="str">
        <f t="shared" si="162"/>
        <v>low sales</v>
      </c>
      <c r="F1780">
        <v>2790.45</v>
      </c>
      <c r="G1780" t="s">
        <v>2452</v>
      </c>
      <c r="H1780" s="1" t="str">
        <f t="shared" si="163"/>
        <v>Shipped</v>
      </c>
      <c r="I1780" s="4" t="str">
        <f t="shared" si="164"/>
        <v>completed</v>
      </c>
      <c r="J1780" t="s">
        <v>25</v>
      </c>
      <c r="K1780">
        <v>1</v>
      </c>
      <c r="L1780">
        <v>1</v>
      </c>
      <c r="M1780">
        <v>2004</v>
      </c>
      <c r="N1780" t="s">
        <v>181</v>
      </c>
      <c r="O1780">
        <v>117</v>
      </c>
      <c r="P1780" t="s">
        <v>634</v>
      </c>
      <c r="Q1780" t="s">
        <v>346</v>
      </c>
      <c r="R1780" t="s">
        <v>347</v>
      </c>
      <c r="S1780" t="s">
        <v>348</v>
      </c>
      <c r="U1780" s="1" t="str">
        <f t="shared" si="165"/>
        <v>London</v>
      </c>
      <c r="V1780" t="s">
        <v>332</v>
      </c>
      <c r="X1780" t="s">
        <v>349</v>
      </c>
      <c r="Y1780" s="1" t="str">
        <f t="shared" si="166"/>
        <v>UK</v>
      </c>
      <c r="Z1780" s="4" t="str">
        <f t="shared" si="167"/>
        <v>Uk</v>
      </c>
      <c r="AA1780" t="s">
        <v>170</v>
      </c>
      <c r="AB1780" t="s">
        <v>42</v>
      </c>
      <c r="AC1780" t="s">
        <v>350</v>
      </c>
      <c r="AD1780" t="s">
        <v>351</v>
      </c>
      <c r="AE1780" t="s">
        <v>36</v>
      </c>
    </row>
    <row r="1781" spans="1:31" x14ac:dyDescent="0.3">
      <c r="A1781">
        <v>10227</v>
      </c>
      <c r="B1781">
        <v>33</v>
      </c>
      <c r="C1781">
        <v>100</v>
      </c>
      <c r="D1781">
        <v>13</v>
      </c>
      <c r="E1781" s="4" t="str">
        <f t="shared" si="162"/>
        <v>high sales</v>
      </c>
      <c r="F1781">
        <v>4340.49</v>
      </c>
      <c r="G1781" t="s">
        <v>2453</v>
      </c>
      <c r="H1781" s="1" t="str">
        <f t="shared" si="163"/>
        <v>Shipped</v>
      </c>
      <c r="I1781" s="4" t="str">
        <f t="shared" si="164"/>
        <v>completed</v>
      </c>
      <c r="J1781" t="s">
        <v>25</v>
      </c>
      <c r="K1781">
        <v>1</v>
      </c>
      <c r="L1781">
        <v>3</v>
      </c>
      <c r="M1781">
        <v>2004</v>
      </c>
      <c r="N1781" t="s">
        <v>181</v>
      </c>
      <c r="O1781">
        <v>117</v>
      </c>
      <c r="P1781" t="s">
        <v>634</v>
      </c>
      <c r="Q1781" t="s">
        <v>219</v>
      </c>
      <c r="R1781" t="s">
        <v>220</v>
      </c>
      <c r="S1781" t="s">
        <v>221</v>
      </c>
      <c r="U1781" s="1" t="str">
        <f t="shared" si="165"/>
        <v>Lyon</v>
      </c>
      <c r="V1781" t="s">
        <v>222</v>
      </c>
      <c r="X1781">
        <v>69004</v>
      </c>
      <c r="Y1781" s="1" t="str">
        <f t="shared" si="166"/>
        <v>FRANCE</v>
      </c>
      <c r="Z1781" s="4" t="str">
        <f t="shared" si="167"/>
        <v>France</v>
      </c>
      <c r="AA1781" t="s">
        <v>41</v>
      </c>
      <c r="AB1781" t="s">
        <v>42</v>
      </c>
      <c r="AC1781" t="s">
        <v>223</v>
      </c>
      <c r="AD1781" t="s">
        <v>224</v>
      </c>
      <c r="AE1781" t="s">
        <v>51</v>
      </c>
    </row>
    <row r="1782" spans="1:31" x14ac:dyDescent="0.3">
      <c r="A1782">
        <v>10241</v>
      </c>
      <c r="B1782">
        <v>28</v>
      </c>
      <c r="C1782">
        <v>98.65</v>
      </c>
      <c r="D1782">
        <v>5</v>
      </c>
      <c r="E1782" s="4" t="str">
        <f t="shared" si="162"/>
        <v>low sales</v>
      </c>
      <c r="F1782">
        <v>2762.2</v>
      </c>
      <c r="G1782" t="s">
        <v>2454</v>
      </c>
      <c r="H1782" s="1" t="str">
        <f t="shared" si="163"/>
        <v>Shipped</v>
      </c>
      <c r="I1782" s="4" t="str">
        <f t="shared" si="164"/>
        <v>completed</v>
      </c>
      <c r="J1782" t="s">
        <v>25</v>
      </c>
      <c r="K1782">
        <v>2</v>
      </c>
      <c r="L1782">
        <v>4</v>
      </c>
      <c r="M1782">
        <v>2004</v>
      </c>
      <c r="N1782" t="s">
        <v>181</v>
      </c>
      <c r="O1782">
        <v>117</v>
      </c>
      <c r="P1782" t="s">
        <v>634</v>
      </c>
      <c r="Q1782" t="s">
        <v>531</v>
      </c>
      <c r="R1782" t="s">
        <v>532</v>
      </c>
      <c r="S1782" t="s">
        <v>533</v>
      </c>
      <c r="U1782" s="1" t="str">
        <f t="shared" si="165"/>
        <v>Strasbourg</v>
      </c>
      <c r="V1782" t="s">
        <v>534</v>
      </c>
      <c r="X1782">
        <v>67000</v>
      </c>
      <c r="Y1782" s="1" t="str">
        <f t="shared" si="166"/>
        <v>FRANCE</v>
      </c>
      <c r="Z1782" s="4" t="str">
        <f t="shared" si="167"/>
        <v>France</v>
      </c>
      <c r="AA1782" t="s">
        <v>41</v>
      </c>
      <c r="AB1782" t="s">
        <v>42</v>
      </c>
      <c r="AC1782" t="s">
        <v>535</v>
      </c>
      <c r="AD1782" t="s">
        <v>536</v>
      </c>
      <c r="AE1782" t="s">
        <v>36</v>
      </c>
    </row>
    <row r="1783" spans="1:31" x14ac:dyDescent="0.3">
      <c r="A1783">
        <v>10267</v>
      </c>
      <c r="B1783">
        <v>43</v>
      </c>
      <c r="C1783">
        <v>100</v>
      </c>
      <c r="D1783">
        <v>2</v>
      </c>
      <c r="E1783" s="4" t="str">
        <f t="shared" si="162"/>
        <v>high sales</v>
      </c>
      <c r="F1783">
        <v>4645.72</v>
      </c>
      <c r="G1783" t="s">
        <v>2455</v>
      </c>
      <c r="H1783" s="1" t="str">
        <f t="shared" si="163"/>
        <v>Shipped</v>
      </c>
      <c r="I1783" s="4" t="str">
        <f t="shared" si="164"/>
        <v>completed</v>
      </c>
      <c r="J1783" t="s">
        <v>25</v>
      </c>
      <c r="K1783">
        <v>3</v>
      </c>
      <c r="L1783">
        <v>7</v>
      </c>
      <c r="M1783">
        <v>2004</v>
      </c>
      <c r="N1783" t="s">
        <v>181</v>
      </c>
      <c r="O1783">
        <v>117</v>
      </c>
      <c r="P1783" t="s">
        <v>634</v>
      </c>
      <c r="Q1783" t="s">
        <v>475</v>
      </c>
      <c r="R1783">
        <v>2125557413</v>
      </c>
      <c r="S1783" t="s">
        <v>476</v>
      </c>
      <c r="T1783" t="s">
        <v>477</v>
      </c>
      <c r="U1783" s="1" t="str">
        <f t="shared" si="165"/>
        <v>Nyc</v>
      </c>
      <c r="V1783" t="s">
        <v>30</v>
      </c>
      <c r="W1783" t="s">
        <v>31</v>
      </c>
      <c r="X1783">
        <v>10022</v>
      </c>
      <c r="Y1783" s="1" t="str">
        <f t="shared" si="166"/>
        <v>USA</v>
      </c>
      <c r="Z1783" s="4" t="str">
        <f t="shared" si="167"/>
        <v>Usa</v>
      </c>
      <c r="AA1783" t="s">
        <v>32</v>
      </c>
      <c r="AB1783" t="s">
        <v>33</v>
      </c>
      <c r="AC1783" t="s">
        <v>56</v>
      </c>
      <c r="AD1783" t="s">
        <v>478</v>
      </c>
      <c r="AE1783" t="s">
        <v>51</v>
      </c>
    </row>
    <row r="1784" spans="1:31" x14ac:dyDescent="0.3">
      <c r="A1784">
        <v>10279</v>
      </c>
      <c r="B1784">
        <v>48</v>
      </c>
      <c r="C1784">
        <v>100</v>
      </c>
      <c r="D1784">
        <v>2</v>
      </c>
      <c r="E1784" s="4" t="str">
        <f t="shared" si="162"/>
        <v>high sales</v>
      </c>
      <c r="F1784">
        <v>5580.96</v>
      </c>
      <c r="G1784" t="s">
        <v>2456</v>
      </c>
      <c r="H1784" s="1" t="str">
        <f t="shared" si="163"/>
        <v>Shipped</v>
      </c>
      <c r="I1784" s="4" t="str">
        <f t="shared" si="164"/>
        <v>completed</v>
      </c>
      <c r="J1784" t="s">
        <v>25</v>
      </c>
      <c r="K1784">
        <v>3</v>
      </c>
      <c r="L1784">
        <v>8</v>
      </c>
      <c r="M1784">
        <v>2004</v>
      </c>
      <c r="N1784" t="s">
        <v>181</v>
      </c>
      <c r="O1784">
        <v>117</v>
      </c>
      <c r="P1784" t="s">
        <v>634</v>
      </c>
      <c r="Q1784" t="s">
        <v>174</v>
      </c>
      <c r="R1784" t="s">
        <v>175</v>
      </c>
      <c r="S1784" t="s">
        <v>176</v>
      </c>
      <c r="U1784" s="1" t="str">
        <f t="shared" si="165"/>
        <v>Madrid</v>
      </c>
      <c r="V1784" t="s">
        <v>177</v>
      </c>
      <c r="X1784">
        <v>28034</v>
      </c>
      <c r="Y1784" s="1" t="str">
        <f t="shared" si="166"/>
        <v>SPAIN</v>
      </c>
      <c r="Z1784" s="4" t="str">
        <f t="shared" si="167"/>
        <v>Spain</v>
      </c>
      <c r="AA1784" t="s">
        <v>178</v>
      </c>
      <c r="AB1784" t="s">
        <v>42</v>
      </c>
      <c r="AC1784" t="s">
        <v>179</v>
      </c>
      <c r="AD1784" t="s">
        <v>180</v>
      </c>
      <c r="AE1784" t="s">
        <v>51</v>
      </c>
    </row>
    <row r="1785" spans="1:31" x14ac:dyDescent="0.3">
      <c r="A1785">
        <v>10288</v>
      </c>
      <c r="B1785">
        <v>48</v>
      </c>
      <c r="C1785">
        <v>100</v>
      </c>
      <c r="D1785">
        <v>8</v>
      </c>
      <c r="E1785" s="4" t="str">
        <f t="shared" si="162"/>
        <v>high sales</v>
      </c>
      <c r="F1785">
        <v>6539.04</v>
      </c>
      <c r="G1785" t="s">
        <v>2457</v>
      </c>
      <c r="H1785" s="1" t="str">
        <f t="shared" si="163"/>
        <v>Shipped</v>
      </c>
      <c r="I1785" s="4" t="str">
        <f t="shared" si="164"/>
        <v>completed</v>
      </c>
      <c r="J1785" t="s">
        <v>25</v>
      </c>
      <c r="K1785">
        <v>3</v>
      </c>
      <c r="L1785">
        <v>9</v>
      </c>
      <c r="M1785">
        <v>2004</v>
      </c>
      <c r="N1785" t="s">
        <v>181</v>
      </c>
      <c r="O1785">
        <v>117</v>
      </c>
      <c r="P1785" t="s">
        <v>634</v>
      </c>
      <c r="Q1785" t="s">
        <v>418</v>
      </c>
      <c r="R1785" t="s">
        <v>419</v>
      </c>
      <c r="S1785" t="s">
        <v>420</v>
      </c>
      <c r="T1785" t="s">
        <v>421</v>
      </c>
      <c r="U1785" s="1" t="str">
        <f t="shared" si="165"/>
        <v>Singapore</v>
      </c>
      <c r="V1785" t="s">
        <v>199</v>
      </c>
      <c r="X1785">
        <v>69045</v>
      </c>
      <c r="Y1785" s="1" t="str">
        <f t="shared" si="166"/>
        <v>SINGAPORE</v>
      </c>
      <c r="Z1785" s="4" t="str">
        <f t="shared" si="167"/>
        <v>Singapore</v>
      </c>
      <c r="AA1785" t="s">
        <v>199</v>
      </c>
      <c r="AB1785" t="s">
        <v>96</v>
      </c>
      <c r="AC1785" t="s">
        <v>422</v>
      </c>
      <c r="AD1785" t="s">
        <v>423</v>
      </c>
      <c r="AE1785" t="s">
        <v>51</v>
      </c>
    </row>
    <row r="1786" spans="1:31" x14ac:dyDescent="0.3">
      <c r="A1786">
        <v>10302</v>
      </c>
      <c r="B1786">
        <v>45</v>
      </c>
      <c r="C1786">
        <v>100</v>
      </c>
      <c r="D1786">
        <v>4</v>
      </c>
      <c r="E1786" s="4" t="str">
        <f t="shared" si="162"/>
        <v>high sales</v>
      </c>
      <c r="F1786">
        <v>5548.95</v>
      </c>
      <c r="G1786" t="s">
        <v>2458</v>
      </c>
      <c r="H1786" s="1" t="str">
        <f t="shared" si="163"/>
        <v>Shipped</v>
      </c>
      <c r="I1786" s="4" t="str">
        <f t="shared" si="164"/>
        <v>completed</v>
      </c>
      <c r="J1786" t="s">
        <v>25</v>
      </c>
      <c r="K1786">
        <v>4</v>
      </c>
      <c r="L1786">
        <v>10</v>
      </c>
      <c r="M1786">
        <v>2003</v>
      </c>
      <c r="N1786" t="s">
        <v>181</v>
      </c>
      <c r="O1786">
        <v>117</v>
      </c>
      <c r="P1786" t="s">
        <v>634</v>
      </c>
      <c r="Q1786" t="s">
        <v>165</v>
      </c>
      <c r="R1786" t="s">
        <v>166</v>
      </c>
      <c r="S1786" t="s">
        <v>167</v>
      </c>
      <c r="U1786" s="1" t="str">
        <f t="shared" si="165"/>
        <v>Liverpool</v>
      </c>
      <c r="V1786" t="s">
        <v>168</v>
      </c>
      <c r="X1786" t="s">
        <v>169</v>
      </c>
      <c r="Y1786" s="1" t="str">
        <f t="shared" si="166"/>
        <v>UK</v>
      </c>
      <c r="Z1786" s="4" t="str">
        <f t="shared" si="167"/>
        <v>Uk</v>
      </c>
      <c r="AA1786" t="s">
        <v>170</v>
      </c>
      <c r="AB1786" t="s">
        <v>42</v>
      </c>
      <c r="AC1786" t="s">
        <v>171</v>
      </c>
      <c r="AD1786" t="s">
        <v>172</v>
      </c>
      <c r="AE1786" t="s">
        <v>51</v>
      </c>
    </row>
    <row r="1787" spans="1:31" x14ac:dyDescent="0.3">
      <c r="A1787">
        <v>10311</v>
      </c>
      <c r="B1787">
        <v>43</v>
      </c>
      <c r="C1787">
        <v>100</v>
      </c>
      <c r="D1787">
        <v>3</v>
      </c>
      <c r="E1787" s="4" t="str">
        <f t="shared" si="162"/>
        <v>high sales</v>
      </c>
      <c r="F1787">
        <v>4595.41</v>
      </c>
      <c r="G1787" t="s">
        <v>2459</v>
      </c>
      <c r="H1787" s="1" t="str">
        <f t="shared" si="163"/>
        <v>Shipped</v>
      </c>
      <c r="I1787" s="4" t="str">
        <f t="shared" si="164"/>
        <v>completed</v>
      </c>
      <c r="J1787" t="s">
        <v>25</v>
      </c>
      <c r="K1787">
        <v>4</v>
      </c>
      <c r="L1787">
        <v>10</v>
      </c>
      <c r="M1787">
        <v>2004</v>
      </c>
      <c r="N1787" t="s">
        <v>181</v>
      </c>
      <c r="O1787">
        <v>117</v>
      </c>
      <c r="P1787" t="s">
        <v>634</v>
      </c>
      <c r="Q1787" t="s">
        <v>174</v>
      </c>
      <c r="R1787" t="s">
        <v>175</v>
      </c>
      <c r="S1787" t="s">
        <v>176</v>
      </c>
      <c r="U1787" s="1" t="str">
        <f t="shared" si="165"/>
        <v>Madrid</v>
      </c>
      <c r="V1787" t="s">
        <v>177</v>
      </c>
      <c r="X1787">
        <v>28034</v>
      </c>
      <c r="Y1787" s="1" t="str">
        <f t="shared" si="166"/>
        <v>SPAIN</v>
      </c>
      <c r="Z1787" s="4" t="str">
        <f t="shared" si="167"/>
        <v>Spain</v>
      </c>
      <c r="AA1787" t="s">
        <v>178</v>
      </c>
      <c r="AB1787" t="s">
        <v>42</v>
      </c>
      <c r="AC1787" t="s">
        <v>179</v>
      </c>
      <c r="AD1787" t="s">
        <v>180</v>
      </c>
      <c r="AE1787" t="s">
        <v>51</v>
      </c>
    </row>
    <row r="1788" spans="1:31" x14ac:dyDescent="0.3">
      <c r="A1788">
        <v>10332</v>
      </c>
      <c r="B1788">
        <v>44</v>
      </c>
      <c r="C1788">
        <v>42.26</v>
      </c>
      <c r="D1788">
        <v>11</v>
      </c>
      <c r="E1788" s="4" t="str">
        <f t="shared" si="162"/>
        <v>low sales</v>
      </c>
      <c r="F1788">
        <v>1859.44</v>
      </c>
      <c r="G1788" t="s">
        <v>2460</v>
      </c>
      <c r="H1788" s="1" t="str">
        <f t="shared" si="163"/>
        <v>Shipped</v>
      </c>
      <c r="I1788" s="4" t="str">
        <f t="shared" si="164"/>
        <v>completed</v>
      </c>
      <c r="J1788" t="s">
        <v>25</v>
      </c>
      <c r="K1788">
        <v>4</v>
      </c>
      <c r="L1788">
        <v>11</v>
      </c>
      <c r="M1788">
        <v>2004</v>
      </c>
      <c r="N1788" t="s">
        <v>181</v>
      </c>
      <c r="O1788">
        <v>117</v>
      </c>
      <c r="P1788" t="s">
        <v>634</v>
      </c>
      <c r="Q1788" t="s">
        <v>492</v>
      </c>
      <c r="R1788" t="s">
        <v>493</v>
      </c>
      <c r="S1788" t="s">
        <v>494</v>
      </c>
      <c r="U1788" s="1" t="str">
        <f t="shared" si="165"/>
        <v>Manchester</v>
      </c>
      <c r="V1788" t="s">
        <v>495</v>
      </c>
      <c r="X1788" t="s">
        <v>496</v>
      </c>
      <c r="Y1788" s="1" t="str">
        <f t="shared" si="166"/>
        <v>UK</v>
      </c>
      <c r="Z1788" s="4" t="str">
        <f t="shared" si="167"/>
        <v>Uk</v>
      </c>
      <c r="AA1788" t="s">
        <v>170</v>
      </c>
      <c r="AB1788" t="s">
        <v>42</v>
      </c>
      <c r="AC1788" t="s">
        <v>497</v>
      </c>
      <c r="AD1788" t="s">
        <v>94</v>
      </c>
      <c r="AE1788" t="s">
        <v>36</v>
      </c>
    </row>
    <row r="1789" spans="1:31" x14ac:dyDescent="0.3">
      <c r="A1789">
        <v>10346</v>
      </c>
      <c r="B1789">
        <v>24</v>
      </c>
      <c r="C1789">
        <v>87.24</v>
      </c>
      <c r="D1789">
        <v>5</v>
      </c>
      <c r="E1789" s="4" t="str">
        <f t="shared" si="162"/>
        <v>low sales</v>
      </c>
      <c r="F1789">
        <v>2093.7600000000002</v>
      </c>
      <c r="G1789" t="s">
        <v>2461</v>
      </c>
      <c r="H1789" s="1" t="str">
        <f t="shared" si="163"/>
        <v>Shipped</v>
      </c>
      <c r="I1789" s="4" t="str">
        <f t="shared" si="164"/>
        <v>completed</v>
      </c>
      <c r="J1789" t="s">
        <v>25</v>
      </c>
      <c r="K1789">
        <v>4</v>
      </c>
      <c r="L1789">
        <v>11</v>
      </c>
      <c r="M1789">
        <v>2004</v>
      </c>
      <c r="N1789" t="s">
        <v>181</v>
      </c>
      <c r="O1789">
        <v>117</v>
      </c>
      <c r="P1789" t="s">
        <v>634</v>
      </c>
      <c r="Q1789" t="s">
        <v>539</v>
      </c>
      <c r="R1789">
        <v>7025551838</v>
      </c>
      <c r="S1789" t="s">
        <v>540</v>
      </c>
      <c r="U1789" s="1" t="str">
        <f t="shared" si="165"/>
        <v>Las Vegas</v>
      </c>
      <c r="V1789" t="s">
        <v>541</v>
      </c>
      <c r="W1789" t="s">
        <v>542</v>
      </c>
      <c r="X1789">
        <v>83030</v>
      </c>
      <c r="Y1789" s="1" t="str">
        <f t="shared" si="166"/>
        <v>USA</v>
      </c>
      <c r="Z1789" s="4" t="str">
        <f t="shared" si="167"/>
        <v>Usa</v>
      </c>
      <c r="AA1789" t="s">
        <v>32</v>
      </c>
      <c r="AB1789" t="s">
        <v>33</v>
      </c>
      <c r="AC1789" t="s">
        <v>113</v>
      </c>
      <c r="AD1789" t="s">
        <v>400</v>
      </c>
      <c r="AE1789" t="s">
        <v>36</v>
      </c>
    </row>
    <row r="1790" spans="1:31" x14ac:dyDescent="0.3">
      <c r="A1790">
        <v>10368</v>
      </c>
      <c r="B1790">
        <v>31</v>
      </c>
      <c r="C1790">
        <v>100</v>
      </c>
      <c r="D1790">
        <v>5</v>
      </c>
      <c r="E1790" s="4" t="str">
        <f t="shared" si="162"/>
        <v>high sales</v>
      </c>
      <c r="F1790">
        <v>4223.13</v>
      </c>
      <c r="G1790" t="s">
        <v>2462</v>
      </c>
      <c r="H1790" s="1" t="str">
        <f t="shared" si="163"/>
        <v>Shipped</v>
      </c>
      <c r="I1790" s="4" t="str">
        <f t="shared" si="164"/>
        <v>completed</v>
      </c>
      <c r="J1790" t="s">
        <v>25</v>
      </c>
      <c r="K1790">
        <v>1</v>
      </c>
      <c r="L1790">
        <v>1</v>
      </c>
      <c r="M1790">
        <v>2005</v>
      </c>
      <c r="N1790" t="s">
        <v>181</v>
      </c>
      <c r="O1790">
        <v>117</v>
      </c>
      <c r="P1790" t="s">
        <v>634</v>
      </c>
      <c r="Q1790" t="s">
        <v>272</v>
      </c>
      <c r="R1790">
        <v>4155551450</v>
      </c>
      <c r="S1790" t="s">
        <v>273</v>
      </c>
      <c r="U1790" s="1" t="str">
        <f t="shared" si="165"/>
        <v>San Rafael</v>
      </c>
      <c r="V1790" t="s">
        <v>274</v>
      </c>
      <c r="W1790" t="s">
        <v>55</v>
      </c>
      <c r="X1790">
        <v>97562</v>
      </c>
      <c r="Y1790" s="1" t="str">
        <f t="shared" si="166"/>
        <v>USA</v>
      </c>
      <c r="Z1790" s="4" t="str">
        <f t="shared" si="167"/>
        <v>Usa</v>
      </c>
      <c r="AA1790" t="s">
        <v>32</v>
      </c>
      <c r="AB1790" t="s">
        <v>33</v>
      </c>
      <c r="AC1790" t="s">
        <v>275</v>
      </c>
      <c r="AD1790" t="s">
        <v>276</v>
      </c>
      <c r="AE1790" t="s">
        <v>51</v>
      </c>
    </row>
    <row r="1791" spans="1:31" x14ac:dyDescent="0.3">
      <c r="A1791">
        <v>10380</v>
      </c>
      <c r="B1791">
        <v>44</v>
      </c>
      <c r="C1791">
        <v>36.29</v>
      </c>
      <c r="D1791">
        <v>7</v>
      </c>
      <c r="E1791" s="4" t="str">
        <f t="shared" si="162"/>
        <v>low sales</v>
      </c>
      <c r="F1791">
        <v>1596.76</v>
      </c>
      <c r="G1791" t="s">
        <v>2463</v>
      </c>
      <c r="H1791" s="1" t="str">
        <f t="shared" si="163"/>
        <v>Shipped</v>
      </c>
      <c r="I1791" s="4" t="str">
        <f t="shared" si="164"/>
        <v>completed</v>
      </c>
      <c r="J1791" t="s">
        <v>25</v>
      </c>
      <c r="K1791">
        <v>1</v>
      </c>
      <c r="L1791">
        <v>2</v>
      </c>
      <c r="M1791">
        <v>2005</v>
      </c>
      <c r="N1791" t="s">
        <v>181</v>
      </c>
      <c r="O1791">
        <v>117</v>
      </c>
      <c r="P1791" t="s">
        <v>634</v>
      </c>
      <c r="Q1791" t="s">
        <v>174</v>
      </c>
      <c r="R1791" t="s">
        <v>175</v>
      </c>
      <c r="S1791" t="s">
        <v>176</v>
      </c>
      <c r="U1791" s="1" t="str">
        <f t="shared" si="165"/>
        <v>Madrid</v>
      </c>
      <c r="V1791" t="s">
        <v>177</v>
      </c>
      <c r="X1791">
        <v>28034</v>
      </c>
      <c r="Y1791" s="1" t="str">
        <f t="shared" si="166"/>
        <v>SPAIN</v>
      </c>
      <c r="Z1791" s="4" t="str">
        <f t="shared" si="167"/>
        <v>Spain</v>
      </c>
      <c r="AA1791" t="s">
        <v>178</v>
      </c>
      <c r="AB1791" t="s">
        <v>42</v>
      </c>
      <c r="AC1791" t="s">
        <v>179</v>
      </c>
      <c r="AD1791" t="s">
        <v>180</v>
      </c>
      <c r="AE1791" t="s">
        <v>36</v>
      </c>
    </row>
    <row r="1792" spans="1:31" x14ac:dyDescent="0.3">
      <c r="A1792">
        <v>10407</v>
      </c>
      <c r="B1792">
        <v>59</v>
      </c>
      <c r="C1792">
        <v>98.65</v>
      </c>
      <c r="D1792">
        <v>5</v>
      </c>
      <c r="E1792" s="4" t="str">
        <f t="shared" si="162"/>
        <v>high sales</v>
      </c>
      <c r="F1792">
        <v>5820.35</v>
      </c>
      <c r="G1792" t="s">
        <v>2464</v>
      </c>
      <c r="H1792" s="1" t="str">
        <f t="shared" si="163"/>
        <v>On Hold</v>
      </c>
      <c r="I1792" s="4" t="str">
        <f t="shared" si="164"/>
        <v>not completed</v>
      </c>
      <c r="J1792" t="s">
        <v>401</v>
      </c>
      <c r="K1792">
        <v>2</v>
      </c>
      <c r="L1792">
        <v>4</v>
      </c>
      <c r="M1792">
        <v>2005</v>
      </c>
      <c r="N1792" t="s">
        <v>181</v>
      </c>
      <c r="O1792">
        <v>117</v>
      </c>
      <c r="P1792" t="s">
        <v>634</v>
      </c>
      <c r="Q1792" t="s">
        <v>397</v>
      </c>
      <c r="R1792">
        <v>4085553659</v>
      </c>
      <c r="S1792" t="s">
        <v>398</v>
      </c>
      <c r="U1792" s="1" t="str">
        <f t="shared" si="165"/>
        <v>San Jose</v>
      </c>
      <c r="V1792" t="s">
        <v>399</v>
      </c>
      <c r="W1792" t="s">
        <v>55</v>
      </c>
      <c r="X1792">
        <v>94217</v>
      </c>
      <c r="Y1792" s="1" t="str">
        <f t="shared" si="166"/>
        <v>USA</v>
      </c>
      <c r="Z1792" s="4" t="str">
        <f t="shared" si="167"/>
        <v>Usa</v>
      </c>
      <c r="AA1792" t="s">
        <v>32</v>
      </c>
      <c r="AB1792" t="s">
        <v>33</v>
      </c>
      <c r="AC1792" t="s">
        <v>102</v>
      </c>
      <c r="AD1792" t="s">
        <v>400</v>
      </c>
      <c r="AE1792" t="s">
        <v>51</v>
      </c>
    </row>
    <row r="1793" spans="1:31" x14ac:dyDescent="0.3">
      <c r="A1793">
        <v>10420</v>
      </c>
      <c r="B1793">
        <v>55</v>
      </c>
      <c r="C1793">
        <v>96.3</v>
      </c>
      <c r="D1793">
        <v>8</v>
      </c>
      <c r="E1793" s="4" t="str">
        <f t="shared" si="162"/>
        <v>high sales</v>
      </c>
      <c r="F1793">
        <v>5296.5</v>
      </c>
      <c r="G1793" t="s">
        <v>2465</v>
      </c>
      <c r="H1793" s="1" t="str">
        <f t="shared" si="163"/>
        <v>In Process</v>
      </c>
      <c r="I1793" s="4" t="str">
        <f t="shared" si="164"/>
        <v>not completed</v>
      </c>
      <c r="J1793" t="s">
        <v>300</v>
      </c>
      <c r="K1793">
        <v>2</v>
      </c>
      <c r="L1793">
        <v>5</v>
      </c>
      <c r="M1793">
        <v>2005</v>
      </c>
      <c r="N1793" t="s">
        <v>181</v>
      </c>
      <c r="O1793">
        <v>117</v>
      </c>
      <c r="P1793" t="s">
        <v>634</v>
      </c>
      <c r="Q1793" t="s">
        <v>152</v>
      </c>
      <c r="R1793" t="s">
        <v>153</v>
      </c>
      <c r="S1793" t="s">
        <v>154</v>
      </c>
      <c r="T1793" t="s">
        <v>155</v>
      </c>
      <c r="U1793" s="1" t="str">
        <f t="shared" si="165"/>
        <v>Chatswood</v>
      </c>
      <c r="V1793" t="s">
        <v>156</v>
      </c>
      <c r="W1793" t="s">
        <v>157</v>
      </c>
      <c r="X1793">
        <v>2067</v>
      </c>
      <c r="Y1793" s="1" t="str">
        <f t="shared" si="166"/>
        <v>AUSTRALIA</v>
      </c>
      <c r="Z1793" s="4" t="str">
        <f t="shared" si="167"/>
        <v>Australia</v>
      </c>
      <c r="AA1793" t="s">
        <v>95</v>
      </c>
      <c r="AB1793" t="s">
        <v>96</v>
      </c>
      <c r="AC1793" t="s">
        <v>158</v>
      </c>
      <c r="AD1793" t="s">
        <v>159</v>
      </c>
      <c r="AE1793" t="s">
        <v>51</v>
      </c>
    </row>
    <row r="1794" spans="1:31" x14ac:dyDescent="0.3">
      <c r="A1794">
        <v>10109</v>
      </c>
      <c r="B1794">
        <v>29</v>
      </c>
      <c r="C1794">
        <v>32.1</v>
      </c>
      <c r="D1794">
        <v>6</v>
      </c>
      <c r="E1794" s="4" t="str">
        <f t="shared" si="162"/>
        <v>low sales</v>
      </c>
      <c r="F1794">
        <v>930.9</v>
      </c>
      <c r="G1794" t="s">
        <v>2466</v>
      </c>
      <c r="H1794" s="1" t="str">
        <f t="shared" si="163"/>
        <v>Shipped</v>
      </c>
      <c r="I1794" s="4" t="str">
        <f t="shared" si="164"/>
        <v>completed</v>
      </c>
      <c r="J1794" t="s">
        <v>25</v>
      </c>
      <c r="K1794">
        <v>1</v>
      </c>
      <c r="L1794">
        <v>3</v>
      </c>
      <c r="M1794">
        <v>2003</v>
      </c>
      <c r="N1794" t="s">
        <v>181</v>
      </c>
      <c r="O1794">
        <v>37</v>
      </c>
      <c r="P1794" t="s">
        <v>635</v>
      </c>
      <c r="Q1794" t="s">
        <v>309</v>
      </c>
      <c r="R1794">
        <v>2155559857</v>
      </c>
      <c r="S1794" t="s">
        <v>310</v>
      </c>
      <c r="U1794" s="1" t="str">
        <f t="shared" si="165"/>
        <v>Philadelphia</v>
      </c>
      <c r="V1794" t="s">
        <v>216</v>
      </c>
      <c r="W1794" t="s">
        <v>142</v>
      </c>
      <c r="X1794">
        <v>71270</v>
      </c>
      <c r="Y1794" s="1" t="str">
        <f t="shared" si="166"/>
        <v>USA</v>
      </c>
      <c r="Z1794" s="4" t="str">
        <f t="shared" si="167"/>
        <v>Usa</v>
      </c>
      <c r="AA1794" t="s">
        <v>32</v>
      </c>
      <c r="AB1794" t="s">
        <v>33</v>
      </c>
      <c r="AC1794" t="s">
        <v>124</v>
      </c>
      <c r="AD1794" t="s">
        <v>311</v>
      </c>
      <c r="AE1794" t="s">
        <v>36</v>
      </c>
    </row>
    <row r="1795" spans="1:31" x14ac:dyDescent="0.3">
      <c r="A1795">
        <v>10122</v>
      </c>
      <c r="B1795">
        <v>39</v>
      </c>
      <c r="C1795">
        <v>30.96</v>
      </c>
      <c r="D1795">
        <v>4</v>
      </c>
      <c r="E1795" s="4" t="str">
        <f t="shared" ref="E1795:E1858" si="168">IF(F1795&gt;4000,"high sales","low sales")</f>
        <v>low sales</v>
      </c>
      <c r="F1795">
        <v>1207.44</v>
      </c>
      <c r="G1795" t="s">
        <v>2467</v>
      </c>
      <c r="H1795" s="1" t="str">
        <f t="shared" ref="H1795:H1858" si="169">PROPER(TRIM(J1795))</f>
        <v>Shipped</v>
      </c>
      <c r="I1795" s="4" t="str">
        <f t="shared" ref="I1795:I1858" si="170">IF(J1795="shipped","completed","not completed")</f>
        <v>completed</v>
      </c>
      <c r="J1795" t="s">
        <v>25</v>
      </c>
      <c r="K1795">
        <v>2</v>
      </c>
      <c r="L1795">
        <v>5</v>
      </c>
      <c r="M1795">
        <v>2003</v>
      </c>
      <c r="N1795" t="s">
        <v>181</v>
      </c>
      <c r="O1795">
        <v>37</v>
      </c>
      <c r="P1795" t="s">
        <v>635</v>
      </c>
      <c r="Q1795" t="s">
        <v>433</v>
      </c>
      <c r="R1795" t="s">
        <v>434</v>
      </c>
      <c r="S1795" t="s">
        <v>435</v>
      </c>
      <c r="U1795" s="1" t="str">
        <f t="shared" ref="U1795:U1858" si="171">PROPER(TRIM(V1795))</f>
        <v>Marseille</v>
      </c>
      <c r="V1795" t="s">
        <v>436</v>
      </c>
      <c r="X1795">
        <v>13008</v>
      </c>
      <c r="Y1795" s="1" t="str">
        <f t="shared" ref="Y1795:Y1858" si="172">UPPER(TRIM(AA1795))</f>
        <v>FRANCE</v>
      </c>
      <c r="Z1795" s="4" t="str">
        <f t="shared" ref="Z1795:Z1858" si="173">PROPER(TRIM(AA1795))</f>
        <v>France</v>
      </c>
      <c r="AA1795" t="s">
        <v>41</v>
      </c>
      <c r="AB1795" t="s">
        <v>42</v>
      </c>
      <c r="AC1795" t="s">
        <v>437</v>
      </c>
      <c r="AD1795" t="s">
        <v>438</v>
      </c>
      <c r="AE1795" t="s">
        <v>36</v>
      </c>
    </row>
    <row r="1796" spans="1:31" x14ac:dyDescent="0.3">
      <c r="A1796">
        <v>10135</v>
      </c>
      <c r="B1796">
        <v>20</v>
      </c>
      <c r="C1796">
        <v>35.869999999999997</v>
      </c>
      <c r="D1796">
        <v>1</v>
      </c>
      <c r="E1796" s="4" t="str">
        <f t="shared" si="168"/>
        <v>low sales</v>
      </c>
      <c r="F1796">
        <v>717.4</v>
      </c>
      <c r="G1796" t="s">
        <v>2468</v>
      </c>
      <c r="H1796" s="1" t="str">
        <f t="shared" si="169"/>
        <v>Shipped</v>
      </c>
      <c r="I1796" s="4" t="str">
        <f t="shared" si="170"/>
        <v>completed</v>
      </c>
      <c r="J1796" t="s">
        <v>25</v>
      </c>
      <c r="K1796">
        <v>3</v>
      </c>
      <c r="L1796">
        <v>7</v>
      </c>
      <c r="M1796">
        <v>2003</v>
      </c>
      <c r="N1796" t="s">
        <v>181</v>
      </c>
      <c r="O1796">
        <v>37</v>
      </c>
      <c r="P1796" t="s">
        <v>635</v>
      </c>
      <c r="Q1796" t="s">
        <v>272</v>
      </c>
      <c r="R1796">
        <v>4155551450</v>
      </c>
      <c r="S1796" t="s">
        <v>273</v>
      </c>
      <c r="U1796" s="1" t="str">
        <f t="shared" si="171"/>
        <v>San Rafael</v>
      </c>
      <c r="V1796" t="s">
        <v>274</v>
      </c>
      <c r="W1796" t="s">
        <v>55</v>
      </c>
      <c r="X1796">
        <v>97562</v>
      </c>
      <c r="Y1796" s="1" t="str">
        <f t="shared" si="172"/>
        <v>USA</v>
      </c>
      <c r="Z1796" s="4" t="str">
        <f t="shared" si="173"/>
        <v>Usa</v>
      </c>
      <c r="AA1796" t="s">
        <v>32</v>
      </c>
      <c r="AB1796" t="s">
        <v>33</v>
      </c>
      <c r="AC1796" t="s">
        <v>275</v>
      </c>
      <c r="AD1796" t="s">
        <v>276</v>
      </c>
      <c r="AE1796" t="s">
        <v>36</v>
      </c>
    </row>
    <row r="1797" spans="1:31" x14ac:dyDescent="0.3">
      <c r="A1797">
        <v>10147</v>
      </c>
      <c r="B1797">
        <v>25</v>
      </c>
      <c r="C1797">
        <v>42.67</v>
      </c>
      <c r="D1797">
        <v>1</v>
      </c>
      <c r="E1797" s="4" t="str">
        <f t="shared" si="168"/>
        <v>low sales</v>
      </c>
      <c r="F1797">
        <v>1066.75</v>
      </c>
      <c r="G1797" t="s">
        <v>2469</v>
      </c>
      <c r="H1797" s="1" t="str">
        <f t="shared" si="169"/>
        <v>Shipped</v>
      </c>
      <c r="I1797" s="4" t="str">
        <f t="shared" si="170"/>
        <v>completed</v>
      </c>
      <c r="J1797" t="s">
        <v>25</v>
      </c>
      <c r="K1797">
        <v>3</v>
      </c>
      <c r="L1797">
        <v>9</v>
      </c>
      <c r="M1797">
        <v>2003</v>
      </c>
      <c r="N1797" t="s">
        <v>181</v>
      </c>
      <c r="O1797">
        <v>37</v>
      </c>
      <c r="P1797" t="s">
        <v>635</v>
      </c>
      <c r="Q1797" t="s">
        <v>281</v>
      </c>
      <c r="R1797">
        <v>6175558555</v>
      </c>
      <c r="S1797" t="s">
        <v>282</v>
      </c>
      <c r="U1797" s="1" t="str">
        <f t="shared" si="171"/>
        <v>Brickhaven</v>
      </c>
      <c r="V1797" t="s">
        <v>283</v>
      </c>
      <c r="W1797" t="s">
        <v>123</v>
      </c>
      <c r="X1797">
        <v>58339</v>
      </c>
      <c r="Y1797" s="1" t="str">
        <f t="shared" si="172"/>
        <v>USA</v>
      </c>
      <c r="Z1797" s="4" t="str">
        <f t="shared" si="173"/>
        <v>Usa</v>
      </c>
      <c r="AA1797" t="s">
        <v>32</v>
      </c>
      <c r="AB1797" t="s">
        <v>33</v>
      </c>
      <c r="AC1797" t="s">
        <v>275</v>
      </c>
      <c r="AD1797" t="s">
        <v>284</v>
      </c>
      <c r="AE1797" t="s">
        <v>36</v>
      </c>
    </row>
    <row r="1798" spans="1:31" x14ac:dyDescent="0.3">
      <c r="A1798">
        <v>10160</v>
      </c>
      <c r="B1798">
        <v>42</v>
      </c>
      <c r="C1798">
        <v>37</v>
      </c>
      <c r="D1798">
        <v>2</v>
      </c>
      <c r="E1798" s="4" t="str">
        <f t="shared" si="168"/>
        <v>low sales</v>
      </c>
      <c r="F1798">
        <v>1554</v>
      </c>
      <c r="G1798" t="s">
        <v>2470</v>
      </c>
      <c r="H1798" s="1" t="str">
        <f t="shared" si="169"/>
        <v>Shipped</v>
      </c>
      <c r="I1798" s="4" t="str">
        <f t="shared" si="170"/>
        <v>completed</v>
      </c>
      <c r="J1798" t="s">
        <v>25</v>
      </c>
      <c r="K1798">
        <v>4</v>
      </c>
      <c r="L1798">
        <v>10</v>
      </c>
      <c r="M1798">
        <v>2003</v>
      </c>
      <c r="N1798" t="s">
        <v>181</v>
      </c>
      <c r="O1798">
        <v>37</v>
      </c>
      <c r="P1798" t="s">
        <v>635</v>
      </c>
      <c r="Q1798" t="s">
        <v>358</v>
      </c>
      <c r="R1798">
        <v>2155554369</v>
      </c>
      <c r="S1798" t="s">
        <v>359</v>
      </c>
      <c r="U1798" s="1" t="str">
        <f t="shared" si="171"/>
        <v>Los Angeles</v>
      </c>
      <c r="V1798" t="s">
        <v>360</v>
      </c>
      <c r="W1798" t="s">
        <v>55</v>
      </c>
      <c r="Y1798" s="1" t="str">
        <f t="shared" si="172"/>
        <v>USA</v>
      </c>
      <c r="Z1798" s="4" t="str">
        <f t="shared" si="173"/>
        <v>Usa</v>
      </c>
      <c r="AA1798" t="s">
        <v>32</v>
      </c>
      <c r="AB1798" t="s">
        <v>33</v>
      </c>
      <c r="AC1798" t="s">
        <v>361</v>
      </c>
      <c r="AD1798" t="s">
        <v>103</v>
      </c>
      <c r="AE1798" t="s">
        <v>36</v>
      </c>
    </row>
    <row r="1799" spans="1:31" x14ac:dyDescent="0.3">
      <c r="A1799">
        <v>10171</v>
      </c>
      <c r="B1799">
        <v>36</v>
      </c>
      <c r="C1799">
        <v>35.49</v>
      </c>
      <c r="D1799">
        <v>4</v>
      </c>
      <c r="E1799" s="4" t="str">
        <f t="shared" si="168"/>
        <v>low sales</v>
      </c>
      <c r="F1799">
        <v>1277.6400000000001</v>
      </c>
      <c r="G1799" t="s">
        <v>2471</v>
      </c>
      <c r="H1799" s="1" t="str">
        <f t="shared" si="169"/>
        <v>Shipped</v>
      </c>
      <c r="I1799" s="4" t="str">
        <f t="shared" si="170"/>
        <v>completed</v>
      </c>
      <c r="J1799" t="s">
        <v>25</v>
      </c>
      <c r="K1799">
        <v>4</v>
      </c>
      <c r="L1799">
        <v>11</v>
      </c>
      <c r="M1799">
        <v>2003</v>
      </c>
      <c r="N1799" t="s">
        <v>181</v>
      </c>
      <c r="O1799">
        <v>37</v>
      </c>
      <c r="P1799" t="s">
        <v>635</v>
      </c>
      <c r="Q1799" t="s">
        <v>292</v>
      </c>
      <c r="R1799" t="s">
        <v>293</v>
      </c>
      <c r="S1799" t="s">
        <v>294</v>
      </c>
      <c r="U1799" s="1" t="str">
        <f t="shared" si="171"/>
        <v>Montreal</v>
      </c>
      <c r="V1799" t="s">
        <v>295</v>
      </c>
      <c r="W1799" t="s">
        <v>296</v>
      </c>
      <c r="X1799" t="s">
        <v>297</v>
      </c>
      <c r="Y1799" s="1" t="str">
        <f t="shared" si="172"/>
        <v>CANADA</v>
      </c>
      <c r="Z1799" s="4" t="str">
        <f t="shared" si="173"/>
        <v>Canada</v>
      </c>
      <c r="AA1799" t="s">
        <v>231</v>
      </c>
      <c r="AB1799" t="s">
        <v>33</v>
      </c>
      <c r="AC1799" t="s">
        <v>298</v>
      </c>
      <c r="AD1799" t="s">
        <v>299</v>
      </c>
      <c r="AE1799" t="s">
        <v>36</v>
      </c>
    </row>
    <row r="1800" spans="1:31" x14ac:dyDescent="0.3">
      <c r="A1800">
        <v>10181</v>
      </c>
      <c r="B1800">
        <v>37</v>
      </c>
      <c r="C1800">
        <v>42.67</v>
      </c>
      <c r="D1800">
        <v>8</v>
      </c>
      <c r="E1800" s="4" t="str">
        <f t="shared" si="168"/>
        <v>low sales</v>
      </c>
      <c r="F1800">
        <v>1578.79</v>
      </c>
      <c r="G1800" t="s">
        <v>2472</v>
      </c>
      <c r="H1800" s="1" t="str">
        <f t="shared" si="169"/>
        <v>Shipped</v>
      </c>
      <c r="I1800" s="4" t="str">
        <f t="shared" si="170"/>
        <v>completed</v>
      </c>
      <c r="J1800" t="s">
        <v>25</v>
      </c>
      <c r="K1800">
        <v>4</v>
      </c>
      <c r="L1800">
        <v>11</v>
      </c>
      <c r="M1800">
        <v>2003</v>
      </c>
      <c r="N1800" t="s">
        <v>181</v>
      </c>
      <c r="O1800">
        <v>37</v>
      </c>
      <c r="P1800" t="s">
        <v>635</v>
      </c>
      <c r="Q1800" t="s">
        <v>73</v>
      </c>
      <c r="R1800" t="s">
        <v>74</v>
      </c>
      <c r="S1800" t="s">
        <v>75</v>
      </c>
      <c r="U1800" s="1" t="str">
        <f t="shared" si="171"/>
        <v>Bergen</v>
      </c>
      <c r="V1800" t="s">
        <v>76</v>
      </c>
      <c r="X1800" t="s">
        <v>77</v>
      </c>
      <c r="Y1800" s="1" t="str">
        <f t="shared" si="172"/>
        <v>NORWAY</v>
      </c>
      <c r="Z1800" s="4" t="str">
        <f t="shared" si="173"/>
        <v>Norway</v>
      </c>
      <c r="AA1800" t="s">
        <v>78</v>
      </c>
      <c r="AB1800" t="s">
        <v>42</v>
      </c>
      <c r="AC1800" t="s">
        <v>79</v>
      </c>
      <c r="AD1800" t="s">
        <v>80</v>
      </c>
      <c r="AE1800" t="s">
        <v>36</v>
      </c>
    </row>
    <row r="1801" spans="1:31" x14ac:dyDescent="0.3">
      <c r="A1801">
        <v>10192</v>
      </c>
      <c r="B1801">
        <v>30</v>
      </c>
      <c r="C1801">
        <v>30.59</v>
      </c>
      <c r="D1801">
        <v>13</v>
      </c>
      <c r="E1801" s="4" t="str">
        <f t="shared" si="168"/>
        <v>low sales</v>
      </c>
      <c r="F1801">
        <v>917.7</v>
      </c>
      <c r="G1801" t="s">
        <v>2473</v>
      </c>
      <c r="H1801" s="1" t="str">
        <f t="shared" si="169"/>
        <v>Shipped</v>
      </c>
      <c r="I1801" s="4" t="str">
        <f t="shared" si="170"/>
        <v>completed</v>
      </c>
      <c r="J1801" t="s">
        <v>25</v>
      </c>
      <c r="K1801">
        <v>4</v>
      </c>
      <c r="L1801">
        <v>11</v>
      </c>
      <c r="M1801">
        <v>2003</v>
      </c>
      <c r="N1801" t="s">
        <v>181</v>
      </c>
      <c r="O1801">
        <v>37</v>
      </c>
      <c r="P1801" t="s">
        <v>635</v>
      </c>
      <c r="Q1801" t="s">
        <v>277</v>
      </c>
      <c r="R1801">
        <v>6035558647</v>
      </c>
      <c r="S1801" t="s">
        <v>278</v>
      </c>
      <c r="U1801" s="1" t="str">
        <f t="shared" si="171"/>
        <v>Nashua</v>
      </c>
      <c r="V1801" t="s">
        <v>279</v>
      </c>
      <c r="W1801" t="s">
        <v>280</v>
      </c>
      <c r="X1801">
        <v>62005</v>
      </c>
      <c r="Y1801" s="1" t="str">
        <f t="shared" si="172"/>
        <v>USA</v>
      </c>
      <c r="Z1801" s="4" t="str">
        <f t="shared" si="173"/>
        <v>Usa</v>
      </c>
      <c r="AA1801" t="s">
        <v>32</v>
      </c>
      <c r="AB1801" t="s">
        <v>33</v>
      </c>
      <c r="AC1801" t="s">
        <v>56</v>
      </c>
      <c r="AD1801" t="s">
        <v>276</v>
      </c>
      <c r="AE1801" t="s">
        <v>36</v>
      </c>
    </row>
    <row r="1802" spans="1:31" x14ac:dyDescent="0.3">
      <c r="A1802">
        <v>10203</v>
      </c>
      <c r="B1802">
        <v>21</v>
      </c>
      <c r="C1802">
        <v>37</v>
      </c>
      <c r="D1802">
        <v>2</v>
      </c>
      <c r="E1802" s="4" t="str">
        <f t="shared" si="168"/>
        <v>low sales</v>
      </c>
      <c r="F1802">
        <v>777</v>
      </c>
      <c r="G1802" t="s">
        <v>2474</v>
      </c>
      <c r="H1802" s="1" t="str">
        <f t="shared" si="169"/>
        <v>Shipped</v>
      </c>
      <c r="I1802" s="4" t="str">
        <f t="shared" si="170"/>
        <v>completed</v>
      </c>
      <c r="J1802" t="s">
        <v>25</v>
      </c>
      <c r="K1802">
        <v>4</v>
      </c>
      <c r="L1802">
        <v>12</v>
      </c>
      <c r="M1802">
        <v>2003</v>
      </c>
      <c r="N1802" t="s">
        <v>181</v>
      </c>
      <c r="O1802">
        <v>37</v>
      </c>
      <c r="P1802" t="s">
        <v>635</v>
      </c>
      <c r="Q1802" t="s">
        <v>174</v>
      </c>
      <c r="R1802" t="s">
        <v>175</v>
      </c>
      <c r="S1802" t="s">
        <v>176</v>
      </c>
      <c r="U1802" s="1" t="str">
        <f t="shared" si="171"/>
        <v>Madrid</v>
      </c>
      <c r="V1802" t="s">
        <v>177</v>
      </c>
      <c r="X1802">
        <v>28034</v>
      </c>
      <c r="Y1802" s="1" t="str">
        <f t="shared" si="172"/>
        <v>SPAIN</v>
      </c>
      <c r="Z1802" s="4" t="str">
        <f t="shared" si="173"/>
        <v>Spain</v>
      </c>
      <c r="AA1802" t="s">
        <v>178</v>
      </c>
      <c r="AB1802" t="s">
        <v>42</v>
      </c>
      <c r="AC1802" t="s">
        <v>179</v>
      </c>
      <c r="AD1802" t="s">
        <v>180</v>
      </c>
      <c r="AE1802" t="s">
        <v>36</v>
      </c>
    </row>
    <row r="1803" spans="1:31" x14ac:dyDescent="0.3">
      <c r="A1803">
        <v>10212</v>
      </c>
      <c r="B1803">
        <v>34</v>
      </c>
      <c r="C1803">
        <v>43.42</v>
      </c>
      <c r="D1803">
        <v>12</v>
      </c>
      <c r="E1803" s="4" t="str">
        <f t="shared" si="168"/>
        <v>low sales</v>
      </c>
      <c r="F1803">
        <v>1476.28</v>
      </c>
      <c r="G1803" t="s">
        <v>2475</v>
      </c>
      <c r="H1803" s="1" t="str">
        <f t="shared" si="169"/>
        <v>Shipped</v>
      </c>
      <c r="I1803" s="4" t="str">
        <f t="shared" si="170"/>
        <v>completed</v>
      </c>
      <c r="J1803" t="s">
        <v>25</v>
      </c>
      <c r="K1803">
        <v>1</v>
      </c>
      <c r="L1803">
        <v>1</v>
      </c>
      <c r="M1803">
        <v>2004</v>
      </c>
      <c r="N1803" t="s">
        <v>181</v>
      </c>
      <c r="O1803">
        <v>37</v>
      </c>
      <c r="P1803" t="s">
        <v>635</v>
      </c>
      <c r="Q1803" t="s">
        <v>174</v>
      </c>
      <c r="R1803" t="s">
        <v>175</v>
      </c>
      <c r="S1803" t="s">
        <v>176</v>
      </c>
      <c r="U1803" s="1" t="str">
        <f t="shared" si="171"/>
        <v>Madrid</v>
      </c>
      <c r="V1803" t="s">
        <v>177</v>
      </c>
      <c r="X1803">
        <v>28034</v>
      </c>
      <c r="Y1803" s="1" t="str">
        <f t="shared" si="172"/>
        <v>SPAIN</v>
      </c>
      <c r="Z1803" s="4" t="str">
        <f t="shared" si="173"/>
        <v>Spain</v>
      </c>
      <c r="AA1803" t="s">
        <v>178</v>
      </c>
      <c r="AB1803" t="s">
        <v>42</v>
      </c>
      <c r="AC1803" t="s">
        <v>179</v>
      </c>
      <c r="AD1803" t="s">
        <v>180</v>
      </c>
      <c r="AE1803" t="s">
        <v>36</v>
      </c>
    </row>
    <row r="1804" spans="1:31" x14ac:dyDescent="0.3">
      <c r="A1804">
        <v>10225</v>
      </c>
      <c r="B1804">
        <v>42</v>
      </c>
      <c r="C1804">
        <v>36.630000000000003</v>
      </c>
      <c r="D1804">
        <v>3</v>
      </c>
      <c r="E1804" s="4" t="str">
        <f t="shared" si="168"/>
        <v>low sales</v>
      </c>
      <c r="F1804">
        <v>1538.46</v>
      </c>
      <c r="G1804" t="s">
        <v>2476</v>
      </c>
      <c r="H1804" s="1" t="str">
        <f t="shared" si="169"/>
        <v>Shipped</v>
      </c>
      <c r="I1804" s="4" t="str">
        <f t="shared" si="170"/>
        <v>completed</v>
      </c>
      <c r="J1804" t="s">
        <v>25</v>
      </c>
      <c r="K1804">
        <v>1</v>
      </c>
      <c r="L1804">
        <v>2</v>
      </c>
      <c r="M1804">
        <v>2004</v>
      </c>
      <c r="N1804" t="s">
        <v>181</v>
      </c>
      <c r="O1804">
        <v>37</v>
      </c>
      <c r="P1804" t="s">
        <v>635</v>
      </c>
      <c r="Q1804" t="s">
        <v>446</v>
      </c>
      <c r="R1804" t="s">
        <v>447</v>
      </c>
      <c r="S1804" t="s">
        <v>448</v>
      </c>
      <c r="U1804" s="1" t="str">
        <f t="shared" si="171"/>
        <v>Gensve</v>
      </c>
      <c r="V1804" t="s">
        <v>449</v>
      </c>
      <c r="X1804">
        <v>1203</v>
      </c>
      <c r="Y1804" s="1" t="str">
        <f t="shared" si="172"/>
        <v>SWITZERLAND</v>
      </c>
      <c r="Z1804" s="4" t="str">
        <f t="shared" si="173"/>
        <v>Switzerland</v>
      </c>
      <c r="AA1804" t="s">
        <v>450</v>
      </c>
      <c r="AB1804" t="s">
        <v>42</v>
      </c>
      <c r="AC1804" t="s">
        <v>451</v>
      </c>
      <c r="AD1804" t="s">
        <v>103</v>
      </c>
      <c r="AE1804" t="s">
        <v>36</v>
      </c>
    </row>
    <row r="1805" spans="1:31" x14ac:dyDescent="0.3">
      <c r="A1805">
        <v>10239</v>
      </c>
      <c r="B1805">
        <v>20</v>
      </c>
      <c r="C1805">
        <v>44.56</v>
      </c>
      <c r="D1805">
        <v>2</v>
      </c>
      <c r="E1805" s="4" t="str">
        <f t="shared" si="168"/>
        <v>low sales</v>
      </c>
      <c r="F1805">
        <v>891.2</v>
      </c>
      <c r="G1805" t="s">
        <v>2477</v>
      </c>
      <c r="H1805" s="1" t="str">
        <f t="shared" si="169"/>
        <v>Shipped</v>
      </c>
      <c r="I1805" s="4" t="str">
        <f t="shared" si="170"/>
        <v>completed</v>
      </c>
      <c r="J1805" t="s">
        <v>25</v>
      </c>
      <c r="K1805">
        <v>2</v>
      </c>
      <c r="L1805">
        <v>4</v>
      </c>
      <c r="M1805">
        <v>2004</v>
      </c>
      <c r="N1805" t="s">
        <v>181</v>
      </c>
      <c r="O1805">
        <v>37</v>
      </c>
      <c r="P1805" t="s">
        <v>635</v>
      </c>
      <c r="Q1805" t="s">
        <v>391</v>
      </c>
      <c r="R1805" t="s">
        <v>392</v>
      </c>
      <c r="S1805" t="s">
        <v>393</v>
      </c>
      <c r="U1805" s="1" t="str">
        <f t="shared" si="171"/>
        <v>Oulu</v>
      </c>
      <c r="V1805" t="s">
        <v>394</v>
      </c>
      <c r="X1805">
        <v>90110</v>
      </c>
      <c r="Y1805" s="1" t="str">
        <f t="shared" si="172"/>
        <v>FINLAND</v>
      </c>
      <c r="Z1805" s="4" t="str">
        <f t="shared" si="173"/>
        <v>Finland</v>
      </c>
      <c r="AA1805" t="s">
        <v>130</v>
      </c>
      <c r="AB1805" t="s">
        <v>42</v>
      </c>
      <c r="AC1805" t="s">
        <v>395</v>
      </c>
      <c r="AD1805" t="s">
        <v>396</v>
      </c>
      <c r="AE1805" t="s">
        <v>36</v>
      </c>
    </row>
    <row r="1806" spans="1:31" x14ac:dyDescent="0.3">
      <c r="A1806">
        <v>10253</v>
      </c>
      <c r="B1806">
        <v>40</v>
      </c>
      <c r="C1806">
        <v>42.67</v>
      </c>
      <c r="D1806">
        <v>7</v>
      </c>
      <c r="E1806" s="4" t="str">
        <f t="shared" si="168"/>
        <v>low sales</v>
      </c>
      <c r="F1806">
        <v>1706.8</v>
      </c>
      <c r="G1806" t="s">
        <v>2478</v>
      </c>
      <c r="H1806" s="1" t="str">
        <f t="shared" si="169"/>
        <v>Cancelled</v>
      </c>
      <c r="I1806" s="4" t="str">
        <f t="shared" si="170"/>
        <v>not completed</v>
      </c>
      <c r="J1806" t="s">
        <v>339</v>
      </c>
      <c r="K1806">
        <v>2</v>
      </c>
      <c r="L1806">
        <v>6</v>
      </c>
      <c r="M1806">
        <v>2004</v>
      </c>
      <c r="N1806" t="s">
        <v>181</v>
      </c>
      <c r="O1806">
        <v>37</v>
      </c>
      <c r="P1806" t="s">
        <v>635</v>
      </c>
      <c r="Q1806" t="s">
        <v>165</v>
      </c>
      <c r="R1806" t="s">
        <v>166</v>
      </c>
      <c r="S1806" t="s">
        <v>167</v>
      </c>
      <c r="U1806" s="1" t="str">
        <f t="shared" si="171"/>
        <v>Liverpool</v>
      </c>
      <c r="V1806" t="s">
        <v>168</v>
      </c>
      <c r="X1806" t="s">
        <v>169</v>
      </c>
      <c r="Y1806" s="1" t="str">
        <f t="shared" si="172"/>
        <v>UK</v>
      </c>
      <c r="Z1806" s="4" t="str">
        <f t="shared" si="173"/>
        <v>Uk</v>
      </c>
      <c r="AA1806" t="s">
        <v>170</v>
      </c>
      <c r="AB1806" t="s">
        <v>42</v>
      </c>
      <c r="AC1806" t="s">
        <v>171</v>
      </c>
      <c r="AD1806" t="s">
        <v>172</v>
      </c>
      <c r="AE1806" t="s">
        <v>36</v>
      </c>
    </row>
    <row r="1807" spans="1:31" x14ac:dyDescent="0.3">
      <c r="A1807">
        <v>10266</v>
      </c>
      <c r="B1807">
        <v>34</v>
      </c>
      <c r="C1807">
        <v>40.4</v>
      </c>
      <c r="D1807">
        <v>8</v>
      </c>
      <c r="E1807" s="4" t="str">
        <f t="shared" si="168"/>
        <v>low sales</v>
      </c>
      <c r="F1807">
        <v>1373.6</v>
      </c>
      <c r="G1807" t="s">
        <v>2479</v>
      </c>
      <c r="H1807" s="1" t="str">
        <f t="shared" si="169"/>
        <v>Shipped</v>
      </c>
      <c r="I1807" s="4" t="str">
        <f t="shared" si="170"/>
        <v>completed</v>
      </c>
      <c r="J1807" t="s">
        <v>25</v>
      </c>
      <c r="K1807">
        <v>3</v>
      </c>
      <c r="L1807">
        <v>7</v>
      </c>
      <c r="M1807">
        <v>2004</v>
      </c>
      <c r="N1807" t="s">
        <v>181</v>
      </c>
      <c r="O1807">
        <v>37</v>
      </c>
      <c r="P1807" t="s">
        <v>635</v>
      </c>
      <c r="Q1807" t="s">
        <v>452</v>
      </c>
      <c r="R1807" t="s">
        <v>453</v>
      </c>
      <c r="S1807" t="s">
        <v>454</v>
      </c>
      <c r="U1807" s="1" t="str">
        <f t="shared" si="171"/>
        <v>Reggio Emilia</v>
      </c>
      <c r="V1807" t="s">
        <v>455</v>
      </c>
      <c r="X1807">
        <v>42100</v>
      </c>
      <c r="Y1807" s="1" t="str">
        <f t="shared" si="172"/>
        <v>ITALY</v>
      </c>
      <c r="Z1807" s="4" t="str">
        <f t="shared" si="173"/>
        <v>Italy</v>
      </c>
      <c r="AA1807" t="s">
        <v>258</v>
      </c>
      <c r="AB1807" t="s">
        <v>42</v>
      </c>
      <c r="AC1807" t="s">
        <v>456</v>
      </c>
      <c r="AD1807" t="s">
        <v>457</v>
      </c>
      <c r="AE1807" t="s">
        <v>36</v>
      </c>
    </row>
    <row r="1808" spans="1:31" x14ac:dyDescent="0.3">
      <c r="A1808">
        <v>10278</v>
      </c>
      <c r="B1808">
        <v>31</v>
      </c>
      <c r="C1808">
        <v>38.89</v>
      </c>
      <c r="D1808">
        <v>8</v>
      </c>
      <c r="E1808" s="4" t="str">
        <f t="shared" si="168"/>
        <v>low sales</v>
      </c>
      <c r="F1808">
        <v>1205.5899999999999</v>
      </c>
      <c r="G1808" t="s">
        <v>2480</v>
      </c>
      <c r="H1808" s="1" t="str">
        <f t="shared" si="169"/>
        <v>Shipped</v>
      </c>
      <c r="I1808" s="4" t="str">
        <f t="shared" si="170"/>
        <v>completed</v>
      </c>
      <c r="J1808" t="s">
        <v>25</v>
      </c>
      <c r="K1808">
        <v>3</v>
      </c>
      <c r="L1808">
        <v>8</v>
      </c>
      <c r="M1808">
        <v>2004</v>
      </c>
      <c r="N1808" t="s">
        <v>181</v>
      </c>
      <c r="O1808">
        <v>37</v>
      </c>
      <c r="P1808" t="s">
        <v>635</v>
      </c>
      <c r="Q1808" t="s">
        <v>539</v>
      </c>
      <c r="R1808">
        <v>7025551838</v>
      </c>
      <c r="S1808" t="s">
        <v>540</v>
      </c>
      <c r="U1808" s="1" t="str">
        <f t="shared" si="171"/>
        <v>Las Vegas</v>
      </c>
      <c r="V1808" t="s">
        <v>541</v>
      </c>
      <c r="W1808" t="s">
        <v>542</v>
      </c>
      <c r="X1808">
        <v>83030</v>
      </c>
      <c r="Y1808" s="1" t="str">
        <f t="shared" si="172"/>
        <v>USA</v>
      </c>
      <c r="Z1808" s="4" t="str">
        <f t="shared" si="173"/>
        <v>Usa</v>
      </c>
      <c r="AA1808" t="s">
        <v>32</v>
      </c>
      <c r="AB1808" t="s">
        <v>33</v>
      </c>
      <c r="AC1808" t="s">
        <v>113</v>
      </c>
      <c r="AD1808" t="s">
        <v>400</v>
      </c>
      <c r="AE1808" t="s">
        <v>36</v>
      </c>
    </row>
    <row r="1809" spans="1:31" x14ac:dyDescent="0.3">
      <c r="A1809">
        <v>10287</v>
      </c>
      <c r="B1809">
        <v>36</v>
      </c>
      <c r="C1809">
        <v>39.65</v>
      </c>
      <c r="D1809">
        <v>6</v>
      </c>
      <c r="E1809" s="4" t="str">
        <f t="shared" si="168"/>
        <v>low sales</v>
      </c>
      <c r="F1809">
        <v>1427.4</v>
      </c>
      <c r="G1809" t="s">
        <v>2481</v>
      </c>
      <c r="H1809" s="1" t="str">
        <f t="shared" si="169"/>
        <v>Shipped</v>
      </c>
      <c r="I1809" s="4" t="str">
        <f t="shared" si="170"/>
        <v>completed</v>
      </c>
      <c r="J1809" t="s">
        <v>25</v>
      </c>
      <c r="K1809">
        <v>3</v>
      </c>
      <c r="L1809">
        <v>8</v>
      </c>
      <c r="M1809">
        <v>2004</v>
      </c>
      <c r="N1809" t="s">
        <v>181</v>
      </c>
      <c r="O1809">
        <v>37</v>
      </c>
      <c r="P1809" t="s">
        <v>635</v>
      </c>
      <c r="Q1809" t="s">
        <v>446</v>
      </c>
      <c r="R1809" t="s">
        <v>447</v>
      </c>
      <c r="S1809" t="s">
        <v>448</v>
      </c>
      <c r="U1809" s="1" t="str">
        <f t="shared" si="171"/>
        <v>Gensve</v>
      </c>
      <c r="V1809" t="s">
        <v>449</v>
      </c>
      <c r="X1809">
        <v>1203</v>
      </c>
      <c r="Y1809" s="1" t="str">
        <f t="shared" si="172"/>
        <v>SWITZERLAND</v>
      </c>
      <c r="Z1809" s="4" t="str">
        <f t="shared" si="173"/>
        <v>Switzerland</v>
      </c>
      <c r="AA1809" t="s">
        <v>450</v>
      </c>
      <c r="AB1809" t="s">
        <v>42</v>
      </c>
      <c r="AC1809" t="s">
        <v>451</v>
      </c>
      <c r="AD1809" t="s">
        <v>103</v>
      </c>
      <c r="AE1809" t="s">
        <v>36</v>
      </c>
    </row>
    <row r="1810" spans="1:31" x14ac:dyDescent="0.3">
      <c r="A1810">
        <v>10301</v>
      </c>
      <c r="B1810">
        <v>48</v>
      </c>
      <c r="C1810">
        <v>34.36</v>
      </c>
      <c r="D1810">
        <v>10</v>
      </c>
      <c r="E1810" s="4" t="str">
        <f t="shared" si="168"/>
        <v>low sales</v>
      </c>
      <c r="F1810">
        <v>1649.28</v>
      </c>
      <c r="G1810" t="s">
        <v>2482</v>
      </c>
      <c r="H1810" s="1" t="str">
        <f t="shared" si="169"/>
        <v>Shipped</v>
      </c>
      <c r="I1810" s="4" t="str">
        <f t="shared" si="170"/>
        <v>completed</v>
      </c>
      <c r="J1810" t="s">
        <v>25</v>
      </c>
      <c r="K1810">
        <v>4</v>
      </c>
      <c r="L1810">
        <v>10</v>
      </c>
      <c r="M1810">
        <v>2003</v>
      </c>
      <c r="N1810" t="s">
        <v>181</v>
      </c>
      <c r="O1810">
        <v>37</v>
      </c>
      <c r="P1810" t="s">
        <v>635</v>
      </c>
      <c r="Q1810" t="s">
        <v>543</v>
      </c>
      <c r="R1810" t="s">
        <v>544</v>
      </c>
      <c r="S1810" t="s">
        <v>545</v>
      </c>
      <c r="U1810" s="1" t="str">
        <f t="shared" si="171"/>
        <v>Oslo</v>
      </c>
      <c r="V1810" t="s">
        <v>546</v>
      </c>
      <c r="X1810" t="s">
        <v>547</v>
      </c>
      <c r="Y1810" s="1" t="str">
        <f t="shared" si="172"/>
        <v>NORWAY</v>
      </c>
      <c r="Z1810" s="4" t="str">
        <f t="shared" si="173"/>
        <v>Norway</v>
      </c>
      <c r="AA1810" t="s">
        <v>78</v>
      </c>
      <c r="AB1810" t="s">
        <v>42</v>
      </c>
      <c r="AC1810" t="s">
        <v>548</v>
      </c>
      <c r="AD1810" t="s">
        <v>549</v>
      </c>
      <c r="AE1810" t="s">
        <v>36</v>
      </c>
    </row>
    <row r="1811" spans="1:31" x14ac:dyDescent="0.3">
      <c r="A1811">
        <v>10310</v>
      </c>
      <c r="B1811">
        <v>33</v>
      </c>
      <c r="C1811">
        <v>41.91</v>
      </c>
      <c r="D1811">
        <v>4</v>
      </c>
      <c r="E1811" s="4" t="str">
        <f t="shared" si="168"/>
        <v>low sales</v>
      </c>
      <c r="F1811">
        <v>1383.03</v>
      </c>
      <c r="G1811" t="s">
        <v>2483</v>
      </c>
      <c r="H1811" s="1" t="str">
        <f t="shared" si="169"/>
        <v>Shipped</v>
      </c>
      <c r="I1811" s="4" t="str">
        <f t="shared" si="170"/>
        <v>completed</v>
      </c>
      <c r="J1811" t="s">
        <v>25</v>
      </c>
      <c r="K1811">
        <v>4</v>
      </c>
      <c r="L1811">
        <v>10</v>
      </c>
      <c r="M1811">
        <v>2004</v>
      </c>
      <c r="N1811" t="s">
        <v>181</v>
      </c>
      <c r="O1811">
        <v>37</v>
      </c>
      <c r="P1811" t="s">
        <v>635</v>
      </c>
      <c r="Q1811" t="s">
        <v>439</v>
      </c>
      <c r="R1811" t="s">
        <v>440</v>
      </c>
      <c r="S1811" t="s">
        <v>441</v>
      </c>
      <c r="U1811" s="1" t="str">
        <f t="shared" si="171"/>
        <v>Koln</v>
      </c>
      <c r="V1811" t="s">
        <v>442</v>
      </c>
      <c r="X1811">
        <v>50739</v>
      </c>
      <c r="Y1811" s="1" t="str">
        <f t="shared" si="172"/>
        <v>GERMANY</v>
      </c>
      <c r="Z1811" s="4" t="str">
        <f t="shared" si="173"/>
        <v>Germany</v>
      </c>
      <c r="AA1811" t="s">
        <v>443</v>
      </c>
      <c r="AB1811" t="s">
        <v>42</v>
      </c>
      <c r="AC1811" t="s">
        <v>444</v>
      </c>
      <c r="AD1811" t="s">
        <v>445</v>
      </c>
      <c r="AE1811" t="s">
        <v>36</v>
      </c>
    </row>
    <row r="1812" spans="1:31" x14ac:dyDescent="0.3">
      <c r="A1812">
        <v>10321</v>
      </c>
      <c r="B1812">
        <v>37</v>
      </c>
      <c r="C1812">
        <v>33.229999999999997</v>
      </c>
      <c r="D1812">
        <v>12</v>
      </c>
      <c r="E1812" s="4" t="str">
        <f t="shared" si="168"/>
        <v>low sales</v>
      </c>
      <c r="F1812">
        <v>1229.51</v>
      </c>
      <c r="G1812" t="s">
        <v>2484</v>
      </c>
      <c r="H1812" s="1" t="str">
        <f t="shared" si="169"/>
        <v>Shipped</v>
      </c>
      <c r="I1812" s="4" t="str">
        <f t="shared" si="170"/>
        <v>completed</v>
      </c>
      <c r="J1812" t="s">
        <v>25</v>
      </c>
      <c r="K1812">
        <v>4</v>
      </c>
      <c r="L1812">
        <v>11</v>
      </c>
      <c r="M1812">
        <v>2004</v>
      </c>
      <c r="N1812" t="s">
        <v>181</v>
      </c>
      <c r="O1812">
        <v>37</v>
      </c>
      <c r="P1812" t="s">
        <v>635</v>
      </c>
      <c r="Q1812" t="s">
        <v>160</v>
      </c>
      <c r="R1812">
        <v>5085552555</v>
      </c>
      <c r="S1812" t="s">
        <v>161</v>
      </c>
      <c r="U1812" s="1" t="str">
        <f t="shared" si="171"/>
        <v>New Bedford</v>
      </c>
      <c r="V1812" t="s">
        <v>162</v>
      </c>
      <c r="W1812" t="s">
        <v>123</v>
      </c>
      <c r="X1812">
        <v>50553</v>
      </c>
      <c r="Y1812" s="1" t="str">
        <f t="shared" si="172"/>
        <v>USA</v>
      </c>
      <c r="Z1812" s="4" t="str">
        <f t="shared" si="173"/>
        <v>Usa</v>
      </c>
      <c r="AA1812" t="s">
        <v>32</v>
      </c>
      <c r="AB1812" t="s">
        <v>33</v>
      </c>
      <c r="AC1812" t="s">
        <v>163</v>
      </c>
      <c r="AD1812" t="s">
        <v>164</v>
      </c>
      <c r="AE1812" t="s">
        <v>36</v>
      </c>
    </row>
    <row r="1813" spans="1:31" x14ac:dyDescent="0.3">
      <c r="A1813">
        <v>10331</v>
      </c>
      <c r="B1813">
        <v>27</v>
      </c>
      <c r="C1813">
        <v>42.24</v>
      </c>
      <c r="D1813">
        <v>13</v>
      </c>
      <c r="E1813" s="4" t="str">
        <f t="shared" si="168"/>
        <v>low sales</v>
      </c>
      <c r="F1813">
        <v>1140.48</v>
      </c>
      <c r="G1813" t="s">
        <v>2485</v>
      </c>
      <c r="H1813" s="1" t="str">
        <f t="shared" si="169"/>
        <v>Shipped</v>
      </c>
      <c r="I1813" s="4" t="str">
        <f t="shared" si="170"/>
        <v>completed</v>
      </c>
      <c r="J1813" t="s">
        <v>25</v>
      </c>
      <c r="K1813">
        <v>4</v>
      </c>
      <c r="L1813">
        <v>11</v>
      </c>
      <c r="M1813">
        <v>2004</v>
      </c>
      <c r="N1813" t="s">
        <v>181</v>
      </c>
      <c r="O1813">
        <v>37</v>
      </c>
      <c r="P1813" t="s">
        <v>635</v>
      </c>
      <c r="Q1813" t="s">
        <v>309</v>
      </c>
      <c r="R1813">
        <v>2155559857</v>
      </c>
      <c r="S1813" t="s">
        <v>310</v>
      </c>
      <c r="U1813" s="1" t="str">
        <f t="shared" si="171"/>
        <v>Philadelphia</v>
      </c>
      <c r="V1813" t="s">
        <v>216</v>
      </c>
      <c r="W1813" t="s">
        <v>142</v>
      </c>
      <c r="X1813">
        <v>71270</v>
      </c>
      <c r="Y1813" s="1" t="str">
        <f t="shared" si="172"/>
        <v>USA</v>
      </c>
      <c r="Z1813" s="4" t="str">
        <f t="shared" si="173"/>
        <v>Usa</v>
      </c>
      <c r="AA1813" t="s">
        <v>32</v>
      </c>
      <c r="AB1813" t="s">
        <v>33</v>
      </c>
      <c r="AC1813" t="s">
        <v>124</v>
      </c>
      <c r="AD1813" t="s">
        <v>311</v>
      </c>
      <c r="AE1813" t="s">
        <v>36</v>
      </c>
    </row>
    <row r="1814" spans="1:31" x14ac:dyDescent="0.3">
      <c r="A1814">
        <v>10342</v>
      </c>
      <c r="B1814">
        <v>39</v>
      </c>
      <c r="C1814">
        <v>40.4</v>
      </c>
      <c r="D1814">
        <v>9</v>
      </c>
      <c r="E1814" s="4" t="str">
        <f t="shared" si="168"/>
        <v>low sales</v>
      </c>
      <c r="F1814">
        <v>1575.6</v>
      </c>
      <c r="G1814" t="s">
        <v>2486</v>
      </c>
      <c r="H1814" s="1" t="str">
        <f t="shared" si="169"/>
        <v>Shipped</v>
      </c>
      <c r="I1814" s="4" t="str">
        <f t="shared" si="170"/>
        <v>completed</v>
      </c>
      <c r="J1814" t="s">
        <v>25</v>
      </c>
      <c r="K1814">
        <v>4</v>
      </c>
      <c r="L1814">
        <v>11</v>
      </c>
      <c r="M1814">
        <v>2004</v>
      </c>
      <c r="N1814" t="s">
        <v>181</v>
      </c>
      <c r="O1814">
        <v>37</v>
      </c>
      <c r="P1814" t="s">
        <v>635</v>
      </c>
      <c r="Q1814" t="s">
        <v>89</v>
      </c>
      <c r="R1814" t="s">
        <v>90</v>
      </c>
      <c r="S1814" t="s">
        <v>91</v>
      </c>
      <c r="T1814" t="s">
        <v>92</v>
      </c>
      <c r="U1814" s="1" t="str">
        <f t="shared" si="171"/>
        <v>Melbourne</v>
      </c>
      <c r="V1814" t="s">
        <v>93</v>
      </c>
      <c r="W1814" t="s">
        <v>94</v>
      </c>
      <c r="X1814">
        <v>3004</v>
      </c>
      <c r="Y1814" s="1" t="str">
        <f t="shared" si="172"/>
        <v>AUSTRALIA</v>
      </c>
      <c r="Z1814" s="4" t="str">
        <f t="shared" si="173"/>
        <v>Australia</v>
      </c>
      <c r="AA1814" t="s">
        <v>95</v>
      </c>
      <c r="AB1814" t="s">
        <v>96</v>
      </c>
      <c r="AC1814" t="s">
        <v>97</v>
      </c>
      <c r="AD1814" t="s">
        <v>98</v>
      </c>
      <c r="AE1814" t="s">
        <v>36</v>
      </c>
    </row>
    <row r="1815" spans="1:31" x14ac:dyDescent="0.3">
      <c r="A1815">
        <v>10355</v>
      </c>
      <c r="B1815">
        <v>36</v>
      </c>
      <c r="C1815">
        <v>38.520000000000003</v>
      </c>
      <c r="D1815">
        <v>4</v>
      </c>
      <c r="E1815" s="4" t="str">
        <f t="shared" si="168"/>
        <v>low sales</v>
      </c>
      <c r="F1815">
        <v>1386.72</v>
      </c>
      <c r="G1815" t="s">
        <v>2487</v>
      </c>
      <c r="H1815" s="1" t="str">
        <f t="shared" si="169"/>
        <v>Shipped</v>
      </c>
      <c r="I1815" s="4" t="str">
        <f t="shared" si="170"/>
        <v>completed</v>
      </c>
      <c r="J1815" t="s">
        <v>25</v>
      </c>
      <c r="K1815">
        <v>4</v>
      </c>
      <c r="L1815">
        <v>12</v>
      </c>
      <c r="M1815">
        <v>2004</v>
      </c>
      <c r="N1815" t="s">
        <v>181</v>
      </c>
      <c r="O1815">
        <v>37</v>
      </c>
      <c r="P1815" t="s">
        <v>635</v>
      </c>
      <c r="Q1815" t="s">
        <v>174</v>
      </c>
      <c r="R1815" t="s">
        <v>175</v>
      </c>
      <c r="S1815" t="s">
        <v>176</v>
      </c>
      <c r="U1815" s="1" t="str">
        <f t="shared" si="171"/>
        <v>Madrid</v>
      </c>
      <c r="V1815" t="s">
        <v>177</v>
      </c>
      <c r="X1815">
        <v>28034</v>
      </c>
      <c r="Y1815" s="1" t="str">
        <f t="shared" si="172"/>
        <v>SPAIN</v>
      </c>
      <c r="Z1815" s="4" t="str">
        <f t="shared" si="173"/>
        <v>Spain</v>
      </c>
      <c r="AA1815" t="s">
        <v>178</v>
      </c>
      <c r="AB1815" t="s">
        <v>42</v>
      </c>
      <c r="AC1815" t="s">
        <v>179</v>
      </c>
      <c r="AD1815" t="s">
        <v>180</v>
      </c>
      <c r="AE1815" t="s">
        <v>36</v>
      </c>
    </row>
    <row r="1816" spans="1:31" x14ac:dyDescent="0.3">
      <c r="A1816">
        <v>10367</v>
      </c>
      <c r="B1816">
        <v>36</v>
      </c>
      <c r="C1816">
        <v>100</v>
      </c>
      <c r="D1816">
        <v>2</v>
      </c>
      <c r="E1816" s="4" t="str">
        <f t="shared" si="168"/>
        <v>high sales</v>
      </c>
      <c r="F1816">
        <v>5018.3999999999996</v>
      </c>
      <c r="G1816" t="s">
        <v>2488</v>
      </c>
      <c r="H1816" s="1" t="str">
        <f t="shared" si="169"/>
        <v>Resolved</v>
      </c>
      <c r="I1816" s="4" t="str">
        <f t="shared" si="170"/>
        <v>not completed</v>
      </c>
      <c r="J1816" t="s">
        <v>408</v>
      </c>
      <c r="K1816">
        <v>1</v>
      </c>
      <c r="L1816">
        <v>1</v>
      </c>
      <c r="M1816">
        <v>2005</v>
      </c>
      <c r="N1816" t="s">
        <v>181</v>
      </c>
      <c r="O1816">
        <v>37</v>
      </c>
      <c r="P1816" t="s">
        <v>635</v>
      </c>
      <c r="Q1816" t="s">
        <v>52</v>
      </c>
      <c r="R1816">
        <v>6265557265</v>
      </c>
      <c r="S1816" t="s">
        <v>53</v>
      </c>
      <c r="U1816" s="1" t="str">
        <f t="shared" si="171"/>
        <v>Pasadena</v>
      </c>
      <c r="V1816" t="s">
        <v>54</v>
      </c>
      <c r="W1816" t="s">
        <v>55</v>
      </c>
      <c r="X1816">
        <v>90003</v>
      </c>
      <c r="Y1816" s="1" t="str">
        <f t="shared" si="172"/>
        <v>USA</v>
      </c>
      <c r="Z1816" s="4" t="str">
        <f t="shared" si="173"/>
        <v>Usa</v>
      </c>
      <c r="AA1816" t="s">
        <v>32</v>
      </c>
      <c r="AB1816" t="s">
        <v>33</v>
      </c>
      <c r="AC1816" t="s">
        <v>56</v>
      </c>
      <c r="AD1816" t="s">
        <v>57</v>
      </c>
      <c r="AE1816" t="s">
        <v>51</v>
      </c>
    </row>
    <row r="1817" spans="1:31" x14ac:dyDescent="0.3">
      <c r="A1817">
        <v>10378</v>
      </c>
      <c r="B1817">
        <v>41</v>
      </c>
      <c r="C1817">
        <v>100</v>
      </c>
      <c r="D1817">
        <v>7</v>
      </c>
      <c r="E1817" s="4" t="str">
        <f t="shared" si="168"/>
        <v>high sales</v>
      </c>
      <c r="F1817">
        <v>5856.85</v>
      </c>
      <c r="G1817" t="s">
        <v>2489</v>
      </c>
      <c r="H1817" s="1" t="str">
        <f t="shared" si="169"/>
        <v>Shipped</v>
      </c>
      <c r="I1817" s="4" t="str">
        <f t="shared" si="170"/>
        <v>completed</v>
      </c>
      <c r="J1817" t="s">
        <v>25</v>
      </c>
      <c r="K1817">
        <v>1</v>
      </c>
      <c r="L1817">
        <v>2</v>
      </c>
      <c r="M1817">
        <v>2005</v>
      </c>
      <c r="N1817" t="s">
        <v>181</v>
      </c>
      <c r="O1817">
        <v>37</v>
      </c>
      <c r="P1817" t="s">
        <v>635</v>
      </c>
      <c r="Q1817" t="s">
        <v>174</v>
      </c>
      <c r="R1817" t="s">
        <v>175</v>
      </c>
      <c r="S1817" t="s">
        <v>176</v>
      </c>
      <c r="U1817" s="1" t="str">
        <f t="shared" si="171"/>
        <v>Madrid</v>
      </c>
      <c r="V1817" t="s">
        <v>177</v>
      </c>
      <c r="X1817">
        <v>28034</v>
      </c>
      <c r="Y1817" s="1" t="str">
        <f t="shared" si="172"/>
        <v>SPAIN</v>
      </c>
      <c r="Z1817" s="4" t="str">
        <f t="shared" si="173"/>
        <v>Spain</v>
      </c>
      <c r="AA1817" t="s">
        <v>178</v>
      </c>
      <c r="AB1817" t="s">
        <v>42</v>
      </c>
      <c r="AC1817" t="s">
        <v>179</v>
      </c>
      <c r="AD1817" t="s">
        <v>180</v>
      </c>
      <c r="AE1817" t="s">
        <v>51</v>
      </c>
    </row>
    <row r="1818" spans="1:31" x14ac:dyDescent="0.3">
      <c r="A1818">
        <v>10390</v>
      </c>
      <c r="B1818">
        <v>37</v>
      </c>
      <c r="C1818">
        <v>100</v>
      </c>
      <c r="D1818">
        <v>5</v>
      </c>
      <c r="E1818" s="4" t="str">
        <f t="shared" si="168"/>
        <v>high sales</v>
      </c>
      <c r="F1818">
        <v>4894.7299999999996</v>
      </c>
      <c r="G1818" t="s">
        <v>2490</v>
      </c>
      <c r="H1818" s="1" t="str">
        <f t="shared" si="169"/>
        <v>Shipped</v>
      </c>
      <c r="I1818" s="4" t="str">
        <f t="shared" si="170"/>
        <v>completed</v>
      </c>
      <c r="J1818" t="s">
        <v>25</v>
      </c>
      <c r="K1818">
        <v>1</v>
      </c>
      <c r="L1818">
        <v>3</v>
      </c>
      <c r="M1818">
        <v>2005</v>
      </c>
      <c r="N1818" t="s">
        <v>181</v>
      </c>
      <c r="O1818">
        <v>37</v>
      </c>
      <c r="P1818" t="s">
        <v>635</v>
      </c>
      <c r="Q1818" t="s">
        <v>272</v>
      </c>
      <c r="R1818">
        <v>4155551450</v>
      </c>
      <c r="S1818" t="s">
        <v>273</v>
      </c>
      <c r="U1818" s="1" t="str">
        <f t="shared" si="171"/>
        <v>San Rafael</v>
      </c>
      <c r="V1818" t="s">
        <v>274</v>
      </c>
      <c r="W1818" t="s">
        <v>55</v>
      </c>
      <c r="X1818">
        <v>97562</v>
      </c>
      <c r="Y1818" s="1" t="str">
        <f t="shared" si="172"/>
        <v>USA</v>
      </c>
      <c r="Z1818" s="4" t="str">
        <f t="shared" si="173"/>
        <v>Usa</v>
      </c>
      <c r="AA1818" t="s">
        <v>32</v>
      </c>
      <c r="AB1818" t="s">
        <v>33</v>
      </c>
      <c r="AC1818" t="s">
        <v>275</v>
      </c>
      <c r="AD1818" t="s">
        <v>276</v>
      </c>
      <c r="AE1818" t="s">
        <v>51</v>
      </c>
    </row>
    <row r="1819" spans="1:31" x14ac:dyDescent="0.3">
      <c r="A1819">
        <v>10405</v>
      </c>
      <c r="B1819">
        <v>47</v>
      </c>
      <c r="C1819">
        <v>44.56</v>
      </c>
      <c r="D1819">
        <v>2</v>
      </c>
      <c r="E1819" s="4" t="str">
        <f t="shared" si="168"/>
        <v>low sales</v>
      </c>
      <c r="F1819">
        <v>2094.3200000000002</v>
      </c>
      <c r="G1819" t="s">
        <v>2491</v>
      </c>
      <c r="H1819" s="1" t="str">
        <f t="shared" si="169"/>
        <v>Shipped</v>
      </c>
      <c r="I1819" s="4" t="str">
        <f t="shared" si="170"/>
        <v>completed</v>
      </c>
      <c r="J1819" t="s">
        <v>25</v>
      </c>
      <c r="K1819">
        <v>2</v>
      </c>
      <c r="L1819">
        <v>4</v>
      </c>
      <c r="M1819">
        <v>2005</v>
      </c>
      <c r="N1819" t="s">
        <v>181</v>
      </c>
      <c r="O1819">
        <v>37</v>
      </c>
      <c r="P1819" t="s">
        <v>635</v>
      </c>
      <c r="Q1819" t="s">
        <v>531</v>
      </c>
      <c r="R1819" t="s">
        <v>532</v>
      </c>
      <c r="S1819" t="s">
        <v>533</v>
      </c>
      <c r="U1819" s="1" t="str">
        <f t="shared" si="171"/>
        <v>Strasbourg</v>
      </c>
      <c r="V1819" t="s">
        <v>534</v>
      </c>
      <c r="X1819">
        <v>67000</v>
      </c>
      <c r="Y1819" s="1" t="str">
        <f t="shared" si="172"/>
        <v>FRANCE</v>
      </c>
      <c r="Z1819" s="4" t="str">
        <f t="shared" si="173"/>
        <v>France</v>
      </c>
      <c r="AA1819" t="s">
        <v>41</v>
      </c>
      <c r="AB1819" t="s">
        <v>42</v>
      </c>
      <c r="AC1819" t="s">
        <v>535</v>
      </c>
      <c r="AD1819" t="s">
        <v>536</v>
      </c>
      <c r="AE1819" t="s">
        <v>36</v>
      </c>
    </row>
    <row r="1820" spans="1:31" x14ac:dyDescent="0.3">
      <c r="A1820">
        <v>10419</v>
      </c>
      <c r="B1820">
        <v>15</v>
      </c>
      <c r="C1820">
        <v>42.67</v>
      </c>
      <c r="D1820">
        <v>7</v>
      </c>
      <c r="E1820" s="4" t="str">
        <f t="shared" si="168"/>
        <v>low sales</v>
      </c>
      <c r="F1820">
        <v>640.04999999999995</v>
      </c>
      <c r="G1820" t="s">
        <v>2492</v>
      </c>
      <c r="H1820" s="1" t="str">
        <f t="shared" si="169"/>
        <v>Shipped</v>
      </c>
      <c r="I1820" s="4" t="str">
        <f t="shared" si="170"/>
        <v>completed</v>
      </c>
      <c r="J1820" t="s">
        <v>25</v>
      </c>
      <c r="K1820">
        <v>2</v>
      </c>
      <c r="L1820">
        <v>5</v>
      </c>
      <c r="M1820">
        <v>2005</v>
      </c>
      <c r="N1820" t="s">
        <v>181</v>
      </c>
      <c r="O1820">
        <v>37</v>
      </c>
      <c r="P1820" t="s">
        <v>635</v>
      </c>
      <c r="Q1820" t="s">
        <v>144</v>
      </c>
      <c r="R1820" t="s">
        <v>145</v>
      </c>
      <c r="S1820" t="s">
        <v>146</v>
      </c>
      <c r="U1820" s="1" t="str">
        <f t="shared" si="171"/>
        <v>Salzburg</v>
      </c>
      <c r="V1820" t="s">
        <v>147</v>
      </c>
      <c r="X1820">
        <v>5020</v>
      </c>
      <c r="Y1820" s="1" t="str">
        <f t="shared" si="172"/>
        <v>AUSTRIA</v>
      </c>
      <c r="Z1820" s="4" t="str">
        <f t="shared" si="173"/>
        <v>Austria</v>
      </c>
      <c r="AA1820" t="s">
        <v>148</v>
      </c>
      <c r="AB1820" t="s">
        <v>42</v>
      </c>
      <c r="AC1820" t="s">
        <v>149</v>
      </c>
      <c r="AD1820" t="s">
        <v>150</v>
      </c>
      <c r="AE1820" t="s">
        <v>36</v>
      </c>
    </row>
    <row r="1821" spans="1:31" x14ac:dyDescent="0.3">
      <c r="A1821">
        <v>10105</v>
      </c>
      <c r="B1821">
        <v>44</v>
      </c>
      <c r="C1821">
        <v>72.58</v>
      </c>
      <c r="D1821">
        <v>4</v>
      </c>
      <c r="E1821" s="4" t="str">
        <f t="shared" si="168"/>
        <v>low sales</v>
      </c>
      <c r="F1821">
        <v>3193.52</v>
      </c>
      <c r="G1821" t="s">
        <v>2493</v>
      </c>
      <c r="H1821" s="1" t="str">
        <f t="shared" si="169"/>
        <v>Shipped</v>
      </c>
      <c r="I1821" s="4" t="str">
        <f t="shared" si="170"/>
        <v>completed</v>
      </c>
      <c r="J1821" t="s">
        <v>25</v>
      </c>
      <c r="K1821">
        <v>1</v>
      </c>
      <c r="L1821">
        <v>2</v>
      </c>
      <c r="M1821">
        <v>2003</v>
      </c>
      <c r="N1821" t="s">
        <v>550</v>
      </c>
      <c r="O1821">
        <v>88</v>
      </c>
      <c r="P1821" t="s">
        <v>636</v>
      </c>
      <c r="Q1821" t="s">
        <v>322</v>
      </c>
      <c r="R1821" t="s">
        <v>323</v>
      </c>
      <c r="S1821" t="s">
        <v>324</v>
      </c>
      <c r="U1821" s="1" t="str">
        <f t="shared" si="171"/>
        <v>Kobenhavn</v>
      </c>
      <c r="V1821" t="s">
        <v>325</v>
      </c>
      <c r="X1821">
        <v>1734</v>
      </c>
      <c r="Y1821" s="1" t="str">
        <f t="shared" si="172"/>
        <v>DENMARK</v>
      </c>
      <c r="Z1821" s="4" t="str">
        <f t="shared" si="173"/>
        <v>Denmark</v>
      </c>
      <c r="AA1821" t="s">
        <v>326</v>
      </c>
      <c r="AB1821" t="s">
        <v>42</v>
      </c>
      <c r="AC1821" t="s">
        <v>327</v>
      </c>
      <c r="AD1821" t="s">
        <v>328</v>
      </c>
      <c r="AE1821" t="s">
        <v>51</v>
      </c>
    </row>
    <row r="1822" spans="1:31" x14ac:dyDescent="0.3">
      <c r="A1822">
        <v>10119</v>
      </c>
      <c r="B1822">
        <v>35</v>
      </c>
      <c r="C1822">
        <v>87.62</v>
      </c>
      <c r="D1822">
        <v>13</v>
      </c>
      <c r="E1822" s="4" t="str">
        <f t="shared" si="168"/>
        <v>low sales</v>
      </c>
      <c r="F1822">
        <v>3066.7</v>
      </c>
      <c r="G1822" t="s">
        <v>2494</v>
      </c>
      <c r="H1822" s="1" t="str">
        <f t="shared" si="169"/>
        <v>Shipped</v>
      </c>
      <c r="I1822" s="4" t="str">
        <f t="shared" si="170"/>
        <v>completed</v>
      </c>
      <c r="J1822" t="s">
        <v>25</v>
      </c>
      <c r="K1822">
        <v>2</v>
      </c>
      <c r="L1822">
        <v>4</v>
      </c>
      <c r="M1822">
        <v>2003</v>
      </c>
      <c r="N1822" t="s">
        <v>550</v>
      </c>
      <c r="O1822">
        <v>88</v>
      </c>
      <c r="P1822" t="s">
        <v>636</v>
      </c>
      <c r="Q1822" t="s">
        <v>144</v>
      </c>
      <c r="R1822" t="s">
        <v>145</v>
      </c>
      <c r="S1822" t="s">
        <v>146</v>
      </c>
      <c r="U1822" s="1" t="str">
        <f t="shared" si="171"/>
        <v>Salzburg</v>
      </c>
      <c r="V1822" t="s">
        <v>147</v>
      </c>
      <c r="X1822">
        <v>5020</v>
      </c>
      <c r="Y1822" s="1" t="str">
        <f t="shared" si="172"/>
        <v>AUSTRIA</v>
      </c>
      <c r="Z1822" s="4" t="str">
        <f t="shared" si="173"/>
        <v>Austria</v>
      </c>
      <c r="AA1822" t="s">
        <v>148</v>
      </c>
      <c r="AB1822" t="s">
        <v>42</v>
      </c>
      <c r="AC1822" t="s">
        <v>149</v>
      </c>
      <c r="AD1822" t="s">
        <v>150</v>
      </c>
      <c r="AE1822" t="s">
        <v>51</v>
      </c>
    </row>
    <row r="1823" spans="1:31" x14ac:dyDescent="0.3">
      <c r="A1823">
        <v>10129</v>
      </c>
      <c r="B1823">
        <v>41</v>
      </c>
      <c r="C1823">
        <v>94.71</v>
      </c>
      <c r="D1823">
        <v>4</v>
      </c>
      <c r="E1823" s="4" t="str">
        <f t="shared" si="168"/>
        <v>low sales</v>
      </c>
      <c r="F1823">
        <v>3883.11</v>
      </c>
      <c r="G1823" t="s">
        <v>2495</v>
      </c>
      <c r="H1823" s="1" t="str">
        <f t="shared" si="169"/>
        <v>Shipped</v>
      </c>
      <c r="I1823" s="4" t="str">
        <f t="shared" si="170"/>
        <v>completed</v>
      </c>
      <c r="J1823" t="s">
        <v>25</v>
      </c>
      <c r="K1823">
        <v>2</v>
      </c>
      <c r="L1823">
        <v>6</v>
      </c>
      <c r="M1823">
        <v>2003</v>
      </c>
      <c r="N1823" t="s">
        <v>550</v>
      </c>
      <c r="O1823">
        <v>88</v>
      </c>
      <c r="P1823" t="s">
        <v>636</v>
      </c>
      <c r="Q1823" t="s">
        <v>329</v>
      </c>
      <c r="R1823" t="s">
        <v>330</v>
      </c>
      <c r="S1823" t="s">
        <v>331</v>
      </c>
      <c r="U1823" s="1" t="str">
        <f t="shared" si="171"/>
        <v>London</v>
      </c>
      <c r="V1823" t="s">
        <v>332</v>
      </c>
      <c r="X1823" t="s">
        <v>333</v>
      </c>
      <c r="Y1823" s="1" t="str">
        <f t="shared" si="172"/>
        <v>UK</v>
      </c>
      <c r="Z1823" s="4" t="str">
        <f t="shared" si="173"/>
        <v>Uk</v>
      </c>
      <c r="AA1823" t="s">
        <v>170</v>
      </c>
      <c r="AB1823" t="s">
        <v>42</v>
      </c>
      <c r="AC1823" t="s">
        <v>61</v>
      </c>
      <c r="AD1823" t="s">
        <v>334</v>
      </c>
      <c r="AE1823" t="s">
        <v>51</v>
      </c>
    </row>
    <row r="1824" spans="1:31" x14ac:dyDescent="0.3">
      <c r="A1824">
        <v>10142</v>
      </c>
      <c r="B1824">
        <v>49</v>
      </c>
      <c r="C1824">
        <v>98.25</v>
      </c>
      <c r="D1824">
        <v>1</v>
      </c>
      <c r="E1824" s="4" t="str">
        <f t="shared" si="168"/>
        <v>high sales</v>
      </c>
      <c r="F1824">
        <v>4814.25</v>
      </c>
      <c r="G1824" t="s">
        <v>2496</v>
      </c>
      <c r="H1824" s="1" t="str">
        <f t="shared" si="169"/>
        <v>Shipped</v>
      </c>
      <c r="I1824" s="4" t="str">
        <f t="shared" si="170"/>
        <v>completed</v>
      </c>
      <c r="J1824" t="s">
        <v>25</v>
      </c>
      <c r="K1824">
        <v>3</v>
      </c>
      <c r="L1824">
        <v>8</v>
      </c>
      <c r="M1824">
        <v>2003</v>
      </c>
      <c r="N1824" t="s">
        <v>550</v>
      </c>
      <c r="O1824">
        <v>88</v>
      </c>
      <c r="P1824" t="s">
        <v>636</v>
      </c>
      <c r="Q1824" t="s">
        <v>272</v>
      </c>
      <c r="R1824">
        <v>4155551450</v>
      </c>
      <c r="S1824" t="s">
        <v>273</v>
      </c>
      <c r="U1824" s="1" t="str">
        <f t="shared" si="171"/>
        <v>San Rafael</v>
      </c>
      <c r="V1824" t="s">
        <v>274</v>
      </c>
      <c r="W1824" t="s">
        <v>55</v>
      </c>
      <c r="X1824">
        <v>97562</v>
      </c>
      <c r="Y1824" s="1" t="str">
        <f t="shared" si="172"/>
        <v>USA</v>
      </c>
      <c r="Z1824" s="4" t="str">
        <f t="shared" si="173"/>
        <v>Usa</v>
      </c>
      <c r="AA1824" t="s">
        <v>32</v>
      </c>
      <c r="AB1824" t="s">
        <v>33</v>
      </c>
      <c r="AC1824" t="s">
        <v>275</v>
      </c>
      <c r="AD1824" t="s">
        <v>276</v>
      </c>
      <c r="AE1824" t="s">
        <v>51</v>
      </c>
    </row>
    <row r="1825" spans="1:31" x14ac:dyDescent="0.3">
      <c r="A1825">
        <v>10154</v>
      </c>
      <c r="B1825">
        <v>31</v>
      </c>
      <c r="C1825">
        <v>91.17</v>
      </c>
      <c r="D1825">
        <v>2</v>
      </c>
      <c r="E1825" s="4" t="str">
        <f t="shared" si="168"/>
        <v>low sales</v>
      </c>
      <c r="F1825">
        <v>2826.27</v>
      </c>
      <c r="G1825" t="s">
        <v>2497</v>
      </c>
      <c r="H1825" s="1" t="str">
        <f t="shared" si="169"/>
        <v>Shipped</v>
      </c>
      <c r="I1825" s="4" t="str">
        <f t="shared" si="170"/>
        <v>completed</v>
      </c>
      <c r="J1825" t="s">
        <v>25</v>
      </c>
      <c r="K1825">
        <v>4</v>
      </c>
      <c r="L1825">
        <v>10</v>
      </c>
      <c r="M1825">
        <v>2003</v>
      </c>
      <c r="N1825" t="s">
        <v>550</v>
      </c>
      <c r="O1825">
        <v>88</v>
      </c>
      <c r="P1825" t="s">
        <v>636</v>
      </c>
      <c r="Q1825" t="s">
        <v>514</v>
      </c>
      <c r="R1825">
        <v>3105552373</v>
      </c>
      <c r="S1825" t="s">
        <v>515</v>
      </c>
      <c r="U1825" s="1" t="str">
        <f t="shared" si="171"/>
        <v>Glendale</v>
      </c>
      <c r="V1825" t="s">
        <v>516</v>
      </c>
      <c r="W1825" t="s">
        <v>55</v>
      </c>
      <c r="X1825">
        <v>92561</v>
      </c>
      <c r="Y1825" s="1" t="str">
        <f t="shared" si="172"/>
        <v>USA</v>
      </c>
      <c r="Z1825" s="4" t="str">
        <f t="shared" si="173"/>
        <v>Usa</v>
      </c>
      <c r="AA1825" t="s">
        <v>32</v>
      </c>
      <c r="AB1825" t="s">
        <v>33</v>
      </c>
      <c r="AC1825" t="s">
        <v>56</v>
      </c>
      <c r="AD1825" t="s">
        <v>245</v>
      </c>
      <c r="AE1825" t="s">
        <v>36</v>
      </c>
    </row>
    <row r="1826" spans="1:31" x14ac:dyDescent="0.3">
      <c r="A1826">
        <v>10167</v>
      </c>
      <c r="B1826">
        <v>20</v>
      </c>
      <c r="C1826">
        <v>79.66</v>
      </c>
      <c r="D1826">
        <v>11</v>
      </c>
      <c r="E1826" s="4" t="str">
        <f t="shared" si="168"/>
        <v>low sales</v>
      </c>
      <c r="F1826">
        <v>1593.2</v>
      </c>
      <c r="G1826" t="s">
        <v>2498</v>
      </c>
      <c r="H1826" s="1" t="str">
        <f t="shared" si="169"/>
        <v>Cancelled</v>
      </c>
      <c r="I1826" s="4" t="str">
        <f t="shared" si="170"/>
        <v>not completed</v>
      </c>
      <c r="J1826" t="s">
        <v>339</v>
      </c>
      <c r="K1826">
        <v>4</v>
      </c>
      <c r="L1826">
        <v>10</v>
      </c>
      <c r="M1826">
        <v>2003</v>
      </c>
      <c r="N1826" t="s">
        <v>550</v>
      </c>
      <c r="O1826">
        <v>88</v>
      </c>
      <c r="P1826" t="s">
        <v>636</v>
      </c>
      <c r="Q1826" t="s">
        <v>261</v>
      </c>
      <c r="R1826" t="s">
        <v>262</v>
      </c>
      <c r="S1826" t="s">
        <v>263</v>
      </c>
      <c r="U1826" s="1" t="str">
        <f t="shared" si="171"/>
        <v>Boras</v>
      </c>
      <c r="V1826" t="s">
        <v>264</v>
      </c>
      <c r="X1826" t="s">
        <v>265</v>
      </c>
      <c r="Y1826" s="1" t="str">
        <f t="shared" si="172"/>
        <v>SWEDEN</v>
      </c>
      <c r="Z1826" s="4" t="str">
        <f t="shared" si="173"/>
        <v>Sweden</v>
      </c>
      <c r="AA1826" t="s">
        <v>188</v>
      </c>
      <c r="AB1826" t="s">
        <v>42</v>
      </c>
      <c r="AC1826" t="s">
        <v>266</v>
      </c>
      <c r="AD1826" t="s">
        <v>206</v>
      </c>
      <c r="AE1826" t="s">
        <v>36</v>
      </c>
    </row>
    <row r="1827" spans="1:31" x14ac:dyDescent="0.3">
      <c r="A1827">
        <v>10177</v>
      </c>
      <c r="B1827">
        <v>45</v>
      </c>
      <c r="C1827">
        <v>72.58</v>
      </c>
      <c r="D1827">
        <v>2</v>
      </c>
      <c r="E1827" s="4" t="str">
        <f t="shared" si="168"/>
        <v>low sales</v>
      </c>
      <c r="F1827">
        <v>3266.1</v>
      </c>
      <c r="G1827" t="s">
        <v>2499</v>
      </c>
      <c r="H1827" s="1" t="str">
        <f t="shared" si="169"/>
        <v>Shipped</v>
      </c>
      <c r="I1827" s="4" t="str">
        <f t="shared" si="170"/>
        <v>completed</v>
      </c>
      <c r="J1827" t="s">
        <v>25</v>
      </c>
      <c r="K1827">
        <v>4</v>
      </c>
      <c r="L1827">
        <v>11</v>
      </c>
      <c r="M1827">
        <v>2003</v>
      </c>
      <c r="N1827" t="s">
        <v>550</v>
      </c>
      <c r="O1827">
        <v>88</v>
      </c>
      <c r="P1827" t="s">
        <v>636</v>
      </c>
      <c r="Q1827" t="s">
        <v>487</v>
      </c>
      <c r="R1827" t="s">
        <v>488</v>
      </c>
      <c r="S1827" t="s">
        <v>489</v>
      </c>
      <c r="U1827" s="1" t="str">
        <f t="shared" si="171"/>
        <v>Madrid</v>
      </c>
      <c r="V1827" t="s">
        <v>177</v>
      </c>
      <c r="X1827">
        <v>28023</v>
      </c>
      <c r="Y1827" s="1" t="str">
        <f t="shared" si="172"/>
        <v>SPAIN</v>
      </c>
      <c r="Z1827" s="4" t="str">
        <f t="shared" si="173"/>
        <v>Spain</v>
      </c>
      <c r="AA1827" t="s">
        <v>178</v>
      </c>
      <c r="AB1827" t="s">
        <v>42</v>
      </c>
      <c r="AC1827" t="s">
        <v>490</v>
      </c>
      <c r="AD1827" t="s">
        <v>491</v>
      </c>
      <c r="AE1827" t="s">
        <v>51</v>
      </c>
    </row>
    <row r="1828" spans="1:31" x14ac:dyDescent="0.3">
      <c r="A1828">
        <v>10185</v>
      </c>
      <c r="B1828">
        <v>33</v>
      </c>
      <c r="C1828">
        <v>74.349999999999994</v>
      </c>
      <c r="D1828">
        <v>2</v>
      </c>
      <c r="E1828" s="4" t="str">
        <f t="shared" si="168"/>
        <v>low sales</v>
      </c>
      <c r="F1828">
        <v>2453.5500000000002</v>
      </c>
      <c r="G1828" t="s">
        <v>2500</v>
      </c>
      <c r="H1828" s="1" t="str">
        <f t="shared" si="169"/>
        <v>Shipped</v>
      </c>
      <c r="I1828" s="4" t="str">
        <f t="shared" si="170"/>
        <v>completed</v>
      </c>
      <c r="J1828" t="s">
        <v>25</v>
      </c>
      <c r="K1828">
        <v>4</v>
      </c>
      <c r="L1828">
        <v>11</v>
      </c>
      <c r="M1828">
        <v>2003</v>
      </c>
      <c r="N1828" t="s">
        <v>550</v>
      </c>
      <c r="O1828">
        <v>88</v>
      </c>
      <c r="P1828" t="s">
        <v>636</v>
      </c>
      <c r="Q1828" t="s">
        <v>335</v>
      </c>
      <c r="R1828">
        <v>5085559555</v>
      </c>
      <c r="S1828" t="s">
        <v>336</v>
      </c>
      <c r="U1828" s="1" t="str">
        <f t="shared" si="171"/>
        <v>New Bedford</v>
      </c>
      <c r="V1828" t="s">
        <v>162</v>
      </c>
      <c r="W1828" t="s">
        <v>123</v>
      </c>
      <c r="X1828">
        <v>50553</v>
      </c>
      <c r="Y1828" s="1" t="str">
        <f t="shared" si="172"/>
        <v>USA</v>
      </c>
      <c r="Z1828" s="4" t="str">
        <f t="shared" si="173"/>
        <v>Usa</v>
      </c>
      <c r="AA1828" t="s">
        <v>32</v>
      </c>
      <c r="AB1828" t="s">
        <v>33</v>
      </c>
      <c r="AC1828" t="s">
        <v>337</v>
      </c>
      <c r="AD1828" t="s">
        <v>338</v>
      </c>
      <c r="AE1828" t="s">
        <v>36</v>
      </c>
    </row>
    <row r="1829" spans="1:31" x14ac:dyDescent="0.3">
      <c r="A1829">
        <v>10197</v>
      </c>
      <c r="B1829">
        <v>47</v>
      </c>
      <c r="C1829">
        <v>83.2</v>
      </c>
      <c r="D1829">
        <v>8</v>
      </c>
      <c r="E1829" s="4" t="str">
        <f t="shared" si="168"/>
        <v>low sales</v>
      </c>
      <c r="F1829">
        <v>3910.4</v>
      </c>
      <c r="G1829" t="s">
        <v>2501</v>
      </c>
      <c r="H1829" s="1" t="str">
        <f t="shared" si="169"/>
        <v>Shipped</v>
      </c>
      <c r="I1829" s="4" t="str">
        <f t="shared" si="170"/>
        <v>completed</v>
      </c>
      <c r="J1829" t="s">
        <v>25</v>
      </c>
      <c r="K1829">
        <v>4</v>
      </c>
      <c r="L1829">
        <v>11</v>
      </c>
      <c r="M1829">
        <v>2003</v>
      </c>
      <c r="N1829" t="s">
        <v>550</v>
      </c>
      <c r="O1829">
        <v>88</v>
      </c>
      <c r="P1829" t="s">
        <v>636</v>
      </c>
      <c r="Q1829" t="s">
        <v>352</v>
      </c>
      <c r="R1829" t="s">
        <v>353</v>
      </c>
      <c r="S1829" t="s">
        <v>354</v>
      </c>
      <c r="U1829" s="1" t="str">
        <f t="shared" si="171"/>
        <v>Barcelona</v>
      </c>
      <c r="V1829" t="s">
        <v>355</v>
      </c>
      <c r="X1829">
        <v>8022</v>
      </c>
      <c r="Y1829" s="1" t="str">
        <f t="shared" si="172"/>
        <v>SPAIN</v>
      </c>
      <c r="Z1829" s="4" t="str">
        <f t="shared" si="173"/>
        <v>Spain</v>
      </c>
      <c r="AA1829" t="s">
        <v>178</v>
      </c>
      <c r="AB1829" t="s">
        <v>42</v>
      </c>
      <c r="AC1829" t="s">
        <v>356</v>
      </c>
      <c r="AD1829" t="s">
        <v>357</v>
      </c>
      <c r="AE1829" t="s">
        <v>51</v>
      </c>
    </row>
    <row r="1830" spans="1:31" x14ac:dyDescent="0.3">
      <c r="A1830">
        <v>10208</v>
      </c>
      <c r="B1830">
        <v>20</v>
      </c>
      <c r="C1830">
        <v>89.4</v>
      </c>
      <c r="D1830">
        <v>2</v>
      </c>
      <c r="E1830" s="4" t="str">
        <f t="shared" si="168"/>
        <v>low sales</v>
      </c>
      <c r="F1830">
        <v>1788</v>
      </c>
      <c r="G1830" t="s">
        <v>2502</v>
      </c>
      <c r="H1830" s="1" t="str">
        <f t="shared" si="169"/>
        <v>Shipped</v>
      </c>
      <c r="I1830" s="4" t="str">
        <f t="shared" si="170"/>
        <v>completed</v>
      </c>
      <c r="J1830" t="s">
        <v>25</v>
      </c>
      <c r="K1830">
        <v>1</v>
      </c>
      <c r="L1830">
        <v>1</v>
      </c>
      <c r="M1830">
        <v>2004</v>
      </c>
      <c r="N1830" t="s">
        <v>550</v>
      </c>
      <c r="O1830">
        <v>88</v>
      </c>
      <c r="P1830" t="s">
        <v>636</v>
      </c>
      <c r="Q1830" t="s">
        <v>219</v>
      </c>
      <c r="R1830" t="s">
        <v>220</v>
      </c>
      <c r="S1830" t="s">
        <v>221</v>
      </c>
      <c r="U1830" s="1" t="str">
        <f t="shared" si="171"/>
        <v>Lyon</v>
      </c>
      <c r="V1830" t="s">
        <v>222</v>
      </c>
      <c r="X1830">
        <v>69004</v>
      </c>
      <c r="Y1830" s="1" t="str">
        <f t="shared" si="172"/>
        <v>FRANCE</v>
      </c>
      <c r="Z1830" s="4" t="str">
        <f t="shared" si="173"/>
        <v>France</v>
      </c>
      <c r="AA1830" t="s">
        <v>41</v>
      </c>
      <c r="AB1830" t="s">
        <v>42</v>
      </c>
      <c r="AC1830" t="s">
        <v>223</v>
      </c>
      <c r="AD1830" t="s">
        <v>224</v>
      </c>
      <c r="AE1830" t="s">
        <v>36</v>
      </c>
    </row>
    <row r="1831" spans="1:31" x14ac:dyDescent="0.3">
      <c r="A1831">
        <v>10222</v>
      </c>
      <c r="B1831">
        <v>47</v>
      </c>
      <c r="C1831">
        <v>70.81</v>
      </c>
      <c r="D1831">
        <v>14</v>
      </c>
      <c r="E1831" s="4" t="str">
        <f t="shared" si="168"/>
        <v>low sales</v>
      </c>
      <c r="F1831">
        <v>3328.07</v>
      </c>
      <c r="G1831" t="s">
        <v>2503</v>
      </c>
      <c r="H1831" s="1" t="str">
        <f t="shared" si="169"/>
        <v>Shipped</v>
      </c>
      <c r="I1831" s="4" t="str">
        <f t="shared" si="170"/>
        <v>completed</v>
      </c>
      <c r="J1831" t="s">
        <v>25</v>
      </c>
      <c r="K1831">
        <v>1</v>
      </c>
      <c r="L1831">
        <v>2</v>
      </c>
      <c r="M1831">
        <v>2004</v>
      </c>
      <c r="N1831" t="s">
        <v>550</v>
      </c>
      <c r="O1831">
        <v>88</v>
      </c>
      <c r="P1831" t="s">
        <v>636</v>
      </c>
      <c r="Q1831" t="s">
        <v>362</v>
      </c>
      <c r="R1831">
        <v>7605558146</v>
      </c>
      <c r="S1831" t="s">
        <v>363</v>
      </c>
      <c r="U1831" s="1" t="str">
        <f t="shared" si="171"/>
        <v>San Diego</v>
      </c>
      <c r="V1831" t="s">
        <v>364</v>
      </c>
      <c r="W1831" t="s">
        <v>55</v>
      </c>
      <c r="X1831">
        <v>91217</v>
      </c>
      <c r="Y1831" s="1" t="str">
        <f t="shared" si="172"/>
        <v>USA</v>
      </c>
      <c r="Z1831" s="4" t="str">
        <f t="shared" si="173"/>
        <v>Usa</v>
      </c>
      <c r="AA1831" t="s">
        <v>32</v>
      </c>
      <c r="AB1831" t="s">
        <v>33</v>
      </c>
      <c r="AC1831" t="s">
        <v>237</v>
      </c>
      <c r="AD1831" t="s">
        <v>276</v>
      </c>
      <c r="AE1831" t="s">
        <v>51</v>
      </c>
    </row>
    <row r="1832" spans="1:31" x14ac:dyDescent="0.3">
      <c r="A1832">
        <v>10233</v>
      </c>
      <c r="B1832">
        <v>40</v>
      </c>
      <c r="C1832">
        <v>94.71</v>
      </c>
      <c r="D1832">
        <v>2</v>
      </c>
      <c r="E1832" s="4" t="str">
        <f t="shared" si="168"/>
        <v>low sales</v>
      </c>
      <c r="F1832">
        <v>3788.4</v>
      </c>
      <c r="G1832" t="s">
        <v>2504</v>
      </c>
      <c r="H1832" s="1" t="str">
        <f t="shared" si="169"/>
        <v>Shipped</v>
      </c>
      <c r="I1832" s="4" t="str">
        <f t="shared" si="170"/>
        <v>completed</v>
      </c>
      <c r="J1832" t="s">
        <v>25</v>
      </c>
      <c r="K1832">
        <v>1</v>
      </c>
      <c r="L1832">
        <v>3</v>
      </c>
      <c r="M1832">
        <v>2004</v>
      </c>
      <c r="N1832" t="s">
        <v>550</v>
      </c>
      <c r="O1832">
        <v>88</v>
      </c>
      <c r="P1832" t="s">
        <v>636</v>
      </c>
      <c r="Q1832" t="s">
        <v>104</v>
      </c>
      <c r="R1832">
        <v>2015559350</v>
      </c>
      <c r="S1832" t="s">
        <v>105</v>
      </c>
      <c r="U1832" s="1" t="str">
        <f t="shared" si="171"/>
        <v>Newark</v>
      </c>
      <c r="V1832" t="s">
        <v>106</v>
      </c>
      <c r="W1832" t="s">
        <v>107</v>
      </c>
      <c r="X1832">
        <v>94019</v>
      </c>
      <c r="Y1832" s="1" t="str">
        <f t="shared" si="172"/>
        <v>USA</v>
      </c>
      <c r="Z1832" s="4" t="str">
        <f t="shared" si="173"/>
        <v>Usa</v>
      </c>
      <c r="AA1832" t="s">
        <v>32</v>
      </c>
      <c r="AB1832" t="s">
        <v>33</v>
      </c>
      <c r="AC1832" t="s">
        <v>61</v>
      </c>
      <c r="AD1832" t="s">
        <v>108</v>
      </c>
      <c r="AE1832" t="s">
        <v>51</v>
      </c>
    </row>
    <row r="1833" spans="1:31" x14ac:dyDescent="0.3">
      <c r="A1833">
        <v>10248</v>
      </c>
      <c r="B1833">
        <v>30</v>
      </c>
      <c r="C1833">
        <v>100</v>
      </c>
      <c r="D1833">
        <v>5</v>
      </c>
      <c r="E1833" s="4" t="str">
        <f t="shared" si="168"/>
        <v>low sales</v>
      </c>
      <c r="F1833">
        <v>3053.7</v>
      </c>
      <c r="G1833" t="s">
        <v>2505</v>
      </c>
      <c r="H1833" s="1" t="str">
        <f t="shared" si="169"/>
        <v>Cancelled</v>
      </c>
      <c r="I1833" s="4" t="str">
        <f t="shared" si="170"/>
        <v>not completed</v>
      </c>
      <c r="J1833" t="s">
        <v>339</v>
      </c>
      <c r="K1833">
        <v>2</v>
      </c>
      <c r="L1833">
        <v>5</v>
      </c>
      <c r="M1833">
        <v>2004</v>
      </c>
      <c r="N1833" t="s">
        <v>550</v>
      </c>
      <c r="O1833">
        <v>88</v>
      </c>
      <c r="P1833" t="s">
        <v>636</v>
      </c>
      <c r="Q1833" t="s">
        <v>28</v>
      </c>
      <c r="R1833">
        <v>2125557818</v>
      </c>
      <c r="S1833" t="s">
        <v>29</v>
      </c>
      <c r="U1833" s="1" t="str">
        <f t="shared" si="171"/>
        <v>Nyc</v>
      </c>
      <c r="V1833" t="s">
        <v>30</v>
      </c>
      <c r="W1833" t="s">
        <v>31</v>
      </c>
      <c r="X1833">
        <v>10022</v>
      </c>
      <c r="Y1833" s="1" t="str">
        <f t="shared" si="172"/>
        <v>USA</v>
      </c>
      <c r="Z1833" s="4" t="str">
        <f t="shared" si="173"/>
        <v>Usa</v>
      </c>
      <c r="AA1833" t="s">
        <v>32</v>
      </c>
      <c r="AB1833" t="s">
        <v>33</v>
      </c>
      <c r="AC1833" t="s">
        <v>34</v>
      </c>
      <c r="AD1833" t="s">
        <v>35</v>
      </c>
      <c r="AE1833" t="s">
        <v>51</v>
      </c>
    </row>
    <row r="1834" spans="1:31" x14ac:dyDescent="0.3">
      <c r="A1834">
        <v>10261</v>
      </c>
      <c r="B1834">
        <v>22</v>
      </c>
      <c r="C1834">
        <v>91.17</v>
      </c>
      <c r="D1834">
        <v>3</v>
      </c>
      <c r="E1834" s="4" t="str">
        <f t="shared" si="168"/>
        <v>low sales</v>
      </c>
      <c r="F1834">
        <v>2005.74</v>
      </c>
      <c r="G1834" t="s">
        <v>2506</v>
      </c>
      <c r="H1834" s="1" t="str">
        <f t="shared" si="169"/>
        <v>Shipped</v>
      </c>
      <c r="I1834" s="4" t="str">
        <f t="shared" si="170"/>
        <v>completed</v>
      </c>
      <c r="J1834" t="s">
        <v>25</v>
      </c>
      <c r="K1834">
        <v>2</v>
      </c>
      <c r="L1834">
        <v>6</v>
      </c>
      <c r="M1834">
        <v>2004</v>
      </c>
      <c r="N1834" t="s">
        <v>550</v>
      </c>
      <c r="O1834">
        <v>88</v>
      </c>
      <c r="P1834" t="s">
        <v>636</v>
      </c>
      <c r="Q1834" t="s">
        <v>292</v>
      </c>
      <c r="R1834" t="s">
        <v>293</v>
      </c>
      <c r="S1834" t="s">
        <v>294</v>
      </c>
      <c r="U1834" s="1" t="str">
        <f t="shared" si="171"/>
        <v>Montreal</v>
      </c>
      <c r="V1834" t="s">
        <v>295</v>
      </c>
      <c r="W1834" t="s">
        <v>296</v>
      </c>
      <c r="X1834" t="s">
        <v>297</v>
      </c>
      <c r="Y1834" s="1" t="str">
        <f t="shared" si="172"/>
        <v>CANADA</v>
      </c>
      <c r="Z1834" s="4" t="str">
        <f t="shared" si="173"/>
        <v>Canada</v>
      </c>
      <c r="AA1834" t="s">
        <v>231</v>
      </c>
      <c r="AB1834" t="s">
        <v>33</v>
      </c>
      <c r="AC1834" t="s">
        <v>298</v>
      </c>
      <c r="AD1834" t="s">
        <v>299</v>
      </c>
      <c r="AE1834" t="s">
        <v>36</v>
      </c>
    </row>
    <row r="1835" spans="1:31" x14ac:dyDescent="0.3">
      <c r="A1835">
        <v>10273</v>
      </c>
      <c r="B1835">
        <v>27</v>
      </c>
      <c r="C1835">
        <v>100</v>
      </c>
      <c r="D1835">
        <v>6</v>
      </c>
      <c r="E1835" s="4" t="str">
        <f t="shared" si="168"/>
        <v>low sales</v>
      </c>
      <c r="F1835">
        <v>2796.12</v>
      </c>
      <c r="G1835" t="s">
        <v>2507</v>
      </c>
      <c r="H1835" s="1" t="str">
        <f t="shared" si="169"/>
        <v>Shipped</v>
      </c>
      <c r="I1835" s="4" t="str">
        <f t="shared" si="170"/>
        <v>completed</v>
      </c>
      <c r="J1835" t="s">
        <v>25</v>
      </c>
      <c r="K1835">
        <v>3</v>
      </c>
      <c r="L1835">
        <v>7</v>
      </c>
      <c r="M1835">
        <v>2004</v>
      </c>
      <c r="N1835" t="s">
        <v>550</v>
      </c>
      <c r="O1835">
        <v>88</v>
      </c>
      <c r="P1835" t="s">
        <v>636</v>
      </c>
      <c r="Q1835" t="s">
        <v>365</v>
      </c>
      <c r="R1835" t="s">
        <v>366</v>
      </c>
      <c r="S1835" t="s">
        <v>367</v>
      </c>
      <c r="U1835" s="1" t="str">
        <f t="shared" si="171"/>
        <v>Bruxelles</v>
      </c>
      <c r="V1835" t="s">
        <v>368</v>
      </c>
      <c r="X1835" t="s">
        <v>369</v>
      </c>
      <c r="Y1835" s="1" t="str">
        <f t="shared" si="172"/>
        <v>BELGIUM</v>
      </c>
      <c r="Z1835" s="4" t="str">
        <f t="shared" si="173"/>
        <v>Belgium</v>
      </c>
      <c r="AA1835" t="s">
        <v>370</v>
      </c>
      <c r="AB1835" t="s">
        <v>42</v>
      </c>
      <c r="AC1835" t="s">
        <v>371</v>
      </c>
      <c r="AD1835" t="s">
        <v>372</v>
      </c>
      <c r="AE1835" t="s">
        <v>36</v>
      </c>
    </row>
    <row r="1836" spans="1:31" x14ac:dyDescent="0.3">
      <c r="A1836">
        <v>10283</v>
      </c>
      <c r="B1836">
        <v>34</v>
      </c>
      <c r="C1836">
        <v>92.94</v>
      </c>
      <c r="D1836">
        <v>8</v>
      </c>
      <c r="E1836" s="4" t="str">
        <f t="shared" si="168"/>
        <v>low sales</v>
      </c>
      <c r="F1836">
        <v>3159.96</v>
      </c>
      <c r="G1836" t="s">
        <v>2508</v>
      </c>
      <c r="H1836" s="1" t="str">
        <f t="shared" si="169"/>
        <v>Shipped</v>
      </c>
      <c r="I1836" s="4" t="str">
        <f t="shared" si="170"/>
        <v>completed</v>
      </c>
      <c r="J1836" t="s">
        <v>25</v>
      </c>
      <c r="K1836">
        <v>3</v>
      </c>
      <c r="L1836">
        <v>8</v>
      </c>
      <c r="M1836">
        <v>2004</v>
      </c>
      <c r="N1836" t="s">
        <v>550</v>
      </c>
      <c r="O1836">
        <v>88</v>
      </c>
      <c r="P1836" t="s">
        <v>636</v>
      </c>
      <c r="Q1836" t="s">
        <v>373</v>
      </c>
      <c r="R1836" t="s">
        <v>374</v>
      </c>
      <c r="S1836" t="s">
        <v>375</v>
      </c>
      <c r="U1836" s="1" t="str">
        <f t="shared" si="171"/>
        <v>Tsawassen</v>
      </c>
      <c r="V1836" t="s">
        <v>376</v>
      </c>
      <c r="W1836" t="s">
        <v>229</v>
      </c>
      <c r="X1836" t="s">
        <v>377</v>
      </c>
      <c r="Y1836" s="1" t="str">
        <f t="shared" si="172"/>
        <v>CANADA</v>
      </c>
      <c r="Z1836" s="4" t="str">
        <f t="shared" si="173"/>
        <v>Canada</v>
      </c>
      <c r="AA1836" t="s">
        <v>231</v>
      </c>
      <c r="AB1836" t="s">
        <v>33</v>
      </c>
      <c r="AC1836" t="s">
        <v>378</v>
      </c>
      <c r="AD1836" t="s">
        <v>172</v>
      </c>
      <c r="AE1836" t="s">
        <v>51</v>
      </c>
    </row>
    <row r="1837" spans="1:31" x14ac:dyDescent="0.3">
      <c r="A1837">
        <v>10295</v>
      </c>
      <c r="B1837">
        <v>46</v>
      </c>
      <c r="C1837">
        <v>84.97</v>
      </c>
      <c r="D1837">
        <v>3</v>
      </c>
      <c r="E1837" s="4" t="str">
        <f t="shared" si="168"/>
        <v>low sales</v>
      </c>
      <c r="F1837">
        <v>3908.62</v>
      </c>
      <c r="G1837" t="s">
        <v>2509</v>
      </c>
      <c r="H1837" s="1" t="str">
        <f t="shared" si="169"/>
        <v>Shipped</v>
      </c>
      <c r="I1837" s="4" t="str">
        <f t="shared" si="170"/>
        <v>completed</v>
      </c>
      <c r="J1837" t="s">
        <v>25</v>
      </c>
      <c r="K1837">
        <v>3</v>
      </c>
      <c r="L1837">
        <v>9</v>
      </c>
      <c r="M1837">
        <v>2004</v>
      </c>
      <c r="N1837" t="s">
        <v>550</v>
      </c>
      <c r="O1837">
        <v>88</v>
      </c>
      <c r="P1837" t="s">
        <v>636</v>
      </c>
      <c r="Q1837" t="s">
        <v>379</v>
      </c>
      <c r="R1837">
        <v>6175559555</v>
      </c>
      <c r="S1837" t="s">
        <v>380</v>
      </c>
      <c r="U1837" s="1" t="str">
        <f t="shared" si="171"/>
        <v>Boston</v>
      </c>
      <c r="V1837" t="s">
        <v>381</v>
      </c>
      <c r="W1837" t="s">
        <v>123</v>
      </c>
      <c r="X1837">
        <v>51003</v>
      </c>
      <c r="Y1837" s="1" t="str">
        <f t="shared" si="172"/>
        <v>USA</v>
      </c>
      <c r="Z1837" s="4" t="str">
        <f t="shared" si="173"/>
        <v>Usa</v>
      </c>
      <c r="AA1837" t="s">
        <v>32</v>
      </c>
      <c r="AB1837" t="s">
        <v>33</v>
      </c>
      <c r="AC1837" t="s">
        <v>382</v>
      </c>
      <c r="AD1837" t="s">
        <v>66</v>
      </c>
      <c r="AE1837" t="s">
        <v>51</v>
      </c>
    </row>
    <row r="1838" spans="1:31" x14ac:dyDescent="0.3">
      <c r="A1838">
        <v>10306</v>
      </c>
      <c r="B1838">
        <v>31</v>
      </c>
      <c r="C1838">
        <v>84.08</v>
      </c>
      <c r="D1838">
        <v>2</v>
      </c>
      <c r="E1838" s="4" t="str">
        <f t="shared" si="168"/>
        <v>low sales</v>
      </c>
      <c r="F1838">
        <v>2606.48</v>
      </c>
      <c r="G1838" t="s">
        <v>2510</v>
      </c>
      <c r="H1838" s="1" t="str">
        <f t="shared" si="169"/>
        <v>Shipped</v>
      </c>
      <c r="I1838" s="4" t="str">
        <f t="shared" si="170"/>
        <v>completed</v>
      </c>
      <c r="J1838" t="s">
        <v>25</v>
      </c>
      <c r="K1838">
        <v>4</v>
      </c>
      <c r="L1838">
        <v>10</v>
      </c>
      <c r="M1838">
        <v>2004</v>
      </c>
      <c r="N1838" t="s">
        <v>550</v>
      </c>
      <c r="O1838">
        <v>88</v>
      </c>
      <c r="P1838" t="s">
        <v>636</v>
      </c>
      <c r="Q1838" t="s">
        <v>492</v>
      </c>
      <c r="R1838" t="s">
        <v>493</v>
      </c>
      <c r="S1838" t="s">
        <v>494</v>
      </c>
      <c r="U1838" s="1" t="str">
        <f t="shared" si="171"/>
        <v>Manchester</v>
      </c>
      <c r="V1838" t="s">
        <v>495</v>
      </c>
      <c r="X1838" t="s">
        <v>496</v>
      </c>
      <c r="Y1838" s="1" t="str">
        <f t="shared" si="172"/>
        <v>UK</v>
      </c>
      <c r="Z1838" s="4" t="str">
        <f t="shared" si="173"/>
        <v>Uk</v>
      </c>
      <c r="AA1838" t="s">
        <v>170</v>
      </c>
      <c r="AB1838" t="s">
        <v>42</v>
      </c>
      <c r="AC1838" t="s">
        <v>497</v>
      </c>
      <c r="AD1838" t="s">
        <v>94</v>
      </c>
      <c r="AE1838" t="s">
        <v>36</v>
      </c>
    </row>
    <row r="1839" spans="1:31" x14ac:dyDescent="0.3">
      <c r="A1839">
        <v>10315</v>
      </c>
      <c r="B1839">
        <v>24</v>
      </c>
      <c r="C1839">
        <v>86.74</v>
      </c>
      <c r="D1839">
        <v>1</v>
      </c>
      <c r="E1839" s="4" t="str">
        <f t="shared" si="168"/>
        <v>low sales</v>
      </c>
      <c r="F1839">
        <v>2081.7600000000002</v>
      </c>
      <c r="G1839" t="s">
        <v>2511</v>
      </c>
      <c r="H1839" s="1" t="str">
        <f t="shared" si="169"/>
        <v>Shipped</v>
      </c>
      <c r="I1839" s="4" t="str">
        <f t="shared" si="170"/>
        <v>completed</v>
      </c>
      <c r="J1839" t="s">
        <v>25</v>
      </c>
      <c r="K1839">
        <v>4</v>
      </c>
      <c r="L1839">
        <v>10</v>
      </c>
      <c r="M1839">
        <v>2004</v>
      </c>
      <c r="N1839" t="s">
        <v>550</v>
      </c>
      <c r="O1839">
        <v>88</v>
      </c>
      <c r="P1839" t="s">
        <v>636</v>
      </c>
      <c r="Q1839" t="s">
        <v>114</v>
      </c>
      <c r="R1839" t="s">
        <v>115</v>
      </c>
      <c r="S1839" t="s">
        <v>116</v>
      </c>
      <c r="U1839" s="1" t="str">
        <f t="shared" si="171"/>
        <v>Nantes</v>
      </c>
      <c r="V1839" t="s">
        <v>117</v>
      </c>
      <c r="X1839">
        <v>44000</v>
      </c>
      <c r="Y1839" s="1" t="str">
        <f t="shared" si="172"/>
        <v>FRANCE</v>
      </c>
      <c r="Z1839" s="4" t="str">
        <f t="shared" si="173"/>
        <v>France</v>
      </c>
      <c r="AA1839" t="s">
        <v>41</v>
      </c>
      <c r="AB1839" t="s">
        <v>42</v>
      </c>
      <c r="AC1839" t="s">
        <v>118</v>
      </c>
      <c r="AD1839" t="s">
        <v>119</v>
      </c>
      <c r="AE1839" t="s">
        <v>36</v>
      </c>
    </row>
    <row r="1840" spans="1:31" x14ac:dyDescent="0.3">
      <c r="A1840">
        <v>10326</v>
      </c>
      <c r="B1840">
        <v>41</v>
      </c>
      <c r="C1840">
        <v>85.85</v>
      </c>
      <c r="D1840">
        <v>3</v>
      </c>
      <c r="E1840" s="4" t="str">
        <f t="shared" si="168"/>
        <v>low sales</v>
      </c>
      <c r="F1840">
        <v>3519.85</v>
      </c>
      <c r="G1840" t="s">
        <v>2512</v>
      </c>
      <c r="H1840" s="1" t="str">
        <f t="shared" si="169"/>
        <v>Shipped</v>
      </c>
      <c r="I1840" s="4" t="str">
        <f t="shared" si="170"/>
        <v>completed</v>
      </c>
      <c r="J1840" t="s">
        <v>25</v>
      </c>
      <c r="K1840">
        <v>4</v>
      </c>
      <c r="L1840">
        <v>11</v>
      </c>
      <c r="M1840">
        <v>2004</v>
      </c>
      <c r="N1840" t="s">
        <v>550</v>
      </c>
      <c r="O1840">
        <v>88</v>
      </c>
      <c r="P1840" t="s">
        <v>636</v>
      </c>
      <c r="Q1840" t="s">
        <v>183</v>
      </c>
      <c r="R1840" t="s">
        <v>184</v>
      </c>
      <c r="S1840" t="s">
        <v>185</v>
      </c>
      <c r="U1840" s="1" t="str">
        <f t="shared" si="171"/>
        <v>Lule</v>
      </c>
      <c r="V1840" t="s">
        <v>186</v>
      </c>
      <c r="X1840" t="s">
        <v>187</v>
      </c>
      <c r="Y1840" s="1" t="str">
        <f t="shared" si="172"/>
        <v>SWEDEN</v>
      </c>
      <c r="Z1840" s="4" t="str">
        <f t="shared" si="173"/>
        <v>Sweden</v>
      </c>
      <c r="AA1840" t="s">
        <v>188</v>
      </c>
      <c r="AB1840" t="s">
        <v>42</v>
      </c>
      <c r="AC1840" t="s">
        <v>189</v>
      </c>
      <c r="AD1840" t="s">
        <v>190</v>
      </c>
      <c r="AE1840" t="s">
        <v>51</v>
      </c>
    </row>
    <row r="1841" spans="1:31" x14ac:dyDescent="0.3">
      <c r="A1841">
        <v>10339</v>
      </c>
      <c r="B1841">
        <v>55</v>
      </c>
      <c r="C1841">
        <v>100</v>
      </c>
      <c r="D1841">
        <v>13</v>
      </c>
      <c r="E1841" s="4" t="str">
        <f t="shared" si="168"/>
        <v>high sales</v>
      </c>
      <c r="F1841">
        <v>10758</v>
      </c>
      <c r="G1841" t="s">
        <v>2513</v>
      </c>
      <c r="H1841" s="1" t="str">
        <f t="shared" si="169"/>
        <v>Shipped</v>
      </c>
      <c r="I1841" s="4" t="str">
        <f t="shared" si="170"/>
        <v>completed</v>
      </c>
      <c r="J1841" t="s">
        <v>25</v>
      </c>
      <c r="K1841">
        <v>4</v>
      </c>
      <c r="L1841">
        <v>11</v>
      </c>
      <c r="M1841">
        <v>2004</v>
      </c>
      <c r="N1841" t="s">
        <v>550</v>
      </c>
      <c r="O1841">
        <v>88</v>
      </c>
      <c r="P1841" t="s">
        <v>636</v>
      </c>
      <c r="Q1841" t="s">
        <v>246</v>
      </c>
      <c r="R1841" t="s">
        <v>247</v>
      </c>
      <c r="S1841" t="s">
        <v>248</v>
      </c>
      <c r="U1841" s="1" t="str">
        <f t="shared" si="171"/>
        <v>Minato-Ku</v>
      </c>
      <c r="V1841" t="s">
        <v>249</v>
      </c>
      <c r="W1841" t="s">
        <v>250</v>
      </c>
      <c r="X1841" t="s">
        <v>251</v>
      </c>
      <c r="Y1841" s="1" t="str">
        <f t="shared" si="172"/>
        <v>JAPAN</v>
      </c>
      <c r="Z1841" s="4" t="str">
        <f t="shared" si="173"/>
        <v>Japan</v>
      </c>
      <c r="AA1841" t="s">
        <v>200</v>
      </c>
      <c r="AB1841" t="s">
        <v>200</v>
      </c>
      <c r="AC1841" t="s">
        <v>252</v>
      </c>
      <c r="AD1841" t="s">
        <v>253</v>
      </c>
      <c r="AE1841" t="s">
        <v>151</v>
      </c>
    </row>
    <row r="1842" spans="1:31" x14ac:dyDescent="0.3">
      <c r="A1842">
        <v>10350</v>
      </c>
      <c r="B1842">
        <v>30</v>
      </c>
      <c r="C1842">
        <v>100</v>
      </c>
      <c r="D1842">
        <v>9</v>
      </c>
      <c r="E1842" s="4" t="str">
        <f t="shared" si="168"/>
        <v>low sales</v>
      </c>
      <c r="F1842">
        <v>3021</v>
      </c>
      <c r="G1842" t="s">
        <v>2514</v>
      </c>
      <c r="H1842" s="1" t="str">
        <f t="shared" si="169"/>
        <v>Shipped</v>
      </c>
      <c r="I1842" s="4" t="str">
        <f t="shared" si="170"/>
        <v>completed</v>
      </c>
      <c r="J1842" t="s">
        <v>25</v>
      </c>
      <c r="K1842">
        <v>4</v>
      </c>
      <c r="L1842">
        <v>12</v>
      </c>
      <c r="M1842">
        <v>2004</v>
      </c>
      <c r="N1842" t="s">
        <v>550</v>
      </c>
      <c r="O1842">
        <v>88</v>
      </c>
      <c r="P1842" t="s">
        <v>636</v>
      </c>
      <c r="Q1842" t="s">
        <v>174</v>
      </c>
      <c r="R1842" t="s">
        <v>175</v>
      </c>
      <c r="S1842" t="s">
        <v>176</v>
      </c>
      <c r="U1842" s="1" t="str">
        <f t="shared" si="171"/>
        <v>Madrid</v>
      </c>
      <c r="V1842" t="s">
        <v>177</v>
      </c>
      <c r="X1842">
        <v>28034</v>
      </c>
      <c r="Y1842" s="1" t="str">
        <f t="shared" si="172"/>
        <v>SPAIN</v>
      </c>
      <c r="Z1842" s="4" t="str">
        <f t="shared" si="173"/>
        <v>Spain</v>
      </c>
      <c r="AA1842" t="s">
        <v>178</v>
      </c>
      <c r="AB1842" t="s">
        <v>42</v>
      </c>
      <c r="AC1842" t="s">
        <v>179</v>
      </c>
      <c r="AD1842" t="s">
        <v>180</v>
      </c>
      <c r="AE1842" t="s">
        <v>51</v>
      </c>
    </row>
    <row r="1843" spans="1:31" x14ac:dyDescent="0.3">
      <c r="A1843">
        <v>10373</v>
      </c>
      <c r="B1843">
        <v>33</v>
      </c>
      <c r="C1843">
        <v>57.32</v>
      </c>
      <c r="D1843">
        <v>12</v>
      </c>
      <c r="E1843" s="4" t="str">
        <f t="shared" si="168"/>
        <v>low sales</v>
      </c>
      <c r="F1843">
        <v>1891.56</v>
      </c>
      <c r="G1843" t="s">
        <v>2515</v>
      </c>
      <c r="H1843" s="1" t="str">
        <f t="shared" si="169"/>
        <v>Shipped</v>
      </c>
      <c r="I1843" s="4" t="str">
        <f t="shared" si="170"/>
        <v>completed</v>
      </c>
      <c r="J1843" t="s">
        <v>25</v>
      </c>
      <c r="K1843">
        <v>1</v>
      </c>
      <c r="L1843">
        <v>1</v>
      </c>
      <c r="M1843">
        <v>2005</v>
      </c>
      <c r="N1843" t="s">
        <v>550</v>
      </c>
      <c r="O1843">
        <v>88</v>
      </c>
      <c r="P1843" t="s">
        <v>636</v>
      </c>
      <c r="Q1843" t="s">
        <v>391</v>
      </c>
      <c r="R1843" t="s">
        <v>392</v>
      </c>
      <c r="S1843" t="s">
        <v>393</v>
      </c>
      <c r="U1843" s="1" t="str">
        <f t="shared" si="171"/>
        <v>Oulu</v>
      </c>
      <c r="V1843" t="s">
        <v>394</v>
      </c>
      <c r="X1843">
        <v>90110</v>
      </c>
      <c r="Y1843" s="1" t="str">
        <f t="shared" si="172"/>
        <v>FINLAND</v>
      </c>
      <c r="Z1843" s="4" t="str">
        <f t="shared" si="173"/>
        <v>Finland</v>
      </c>
      <c r="AA1843" t="s">
        <v>130</v>
      </c>
      <c r="AB1843" t="s">
        <v>42</v>
      </c>
      <c r="AC1843" t="s">
        <v>395</v>
      </c>
      <c r="AD1843" t="s">
        <v>396</v>
      </c>
      <c r="AE1843" t="s">
        <v>36</v>
      </c>
    </row>
    <row r="1844" spans="1:31" x14ac:dyDescent="0.3">
      <c r="A1844">
        <v>10384</v>
      </c>
      <c r="B1844">
        <v>43</v>
      </c>
      <c r="C1844">
        <v>97.87</v>
      </c>
      <c r="D1844">
        <v>2</v>
      </c>
      <c r="E1844" s="4" t="str">
        <f t="shared" si="168"/>
        <v>high sales</v>
      </c>
      <c r="F1844">
        <v>4208.41</v>
      </c>
      <c r="G1844" t="s">
        <v>2516</v>
      </c>
      <c r="H1844" s="1" t="str">
        <f t="shared" si="169"/>
        <v>Shipped</v>
      </c>
      <c r="I1844" s="4" t="str">
        <f t="shared" si="170"/>
        <v>completed</v>
      </c>
      <c r="J1844" t="s">
        <v>25</v>
      </c>
      <c r="K1844">
        <v>1</v>
      </c>
      <c r="L1844">
        <v>2</v>
      </c>
      <c r="M1844">
        <v>2005</v>
      </c>
      <c r="N1844" t="s">
        <v>550</v>
      </c>
      <c r="O1844">
        <v>88</v>
      </c>
      <c r="P1844" t="s">
        <v>636</v>
      </c>
      <c r="Q1844" t="s">
        <v>58</v>
      </c>
      <c r="R1844">
        <v>6505551386</v>
      </c>
      <c r="S1844" t="s">
        <v>59</v>
      </c>
      <c r="U1844" s="1" t="str">
        <f t="shared" si="171"/>
        <v>San Francisco</v>
      </c>
      <c r="V1844" t="s">
        <v>60</v>
      </c>
      <c r="W1844" t="s">
        <v>55</v>
      </c>
      <c r="Y1844" s="1" t="str">
        <f t="shared" si="172"/>
        <v>USA</v>
      </c>
      <c r="Z1844" s="4" t="str">
        <f t="shared" si="173"/>
        <v>Usa</v>
      </c>
      <c r="AA1844" t="s">
        <v>32</v>
      </c>
      <c r="AB1844" t="s">
        <v>33</v>
      </c>
      <c r="AC1844" t="s">
        <v>61</v>
      </c>
      <c r="AD1844" t="s">
        <v>57</v>
      </c>
      <c r="AE1844" t="s">
        <v>51</v>
      </c>
    </row>
    <row r="1845" spans="1:31" x14ac:dyDescent="0.3">
      <c r="A1845">
        <v>10396</v>
      </c>
      <c r="B1845">
        <v>27</v>
      </c>
      <c r="C1845">
        <v>83.2</v>
      </c>
      <c r="D1845">
        <v>7</v>
      </c>
      <c r="E1845" s="4" t="str">
        <f t="shared" si="168"/>
        <v>low sales</v>
      </c>
      <c r="F1845">
        <v>2246.4</v>
      </c>
      <c r="G1845" t="s">
        <v>2517</v>
      </c>
      <c r="H1845" s="1" t="str">
        <f t="shared" si="169"/>
        <v>Shipped</v>
      </c>
      <c r="I1845" s="4" t="str">
        <f t="shared" si="170"/>
        <v>completed</v>
      </c>
      <c r="J1845" t="s">
        <v>25</v>
      </c>
      <c r="K1845">
        <v>1</v>
      </c>
      <c r="L1845">
        <v>3</v>
      </c>
      <c r="M1845">
        <v>2005</v>
      </c>
      <c r="N1845" t="s">
        <v>550</v>
      </c>
      <c r="O1845">
        <v>88</v>
      </c>
      <c r="P1845" t="s">
        <v>636</v>
      </c>
      <c r="Q1845" t="s">
        <v>272</v>
      </c>
      <c r="R1845">
        <v>4155551450</v>
      </c>
      <c r="S1845" t="s">
        <v>273</v>
      </c>
      <c r="U1845" s="1" t="str">
        <f t="shared" si="171"/>
        <v>San Rafael</v>
      </c>
      <c r="V1845" t="s">
        <v>274</v>
      </c>
      <c r="W1845" t="s">
        <v>55</v>
      </c>
      <c r="X1845">
        <v>97562</v>
      </c>
      <c r="Y1845" s="1" t="str">
        <f t="shared" si="172"/>
        <v>USA</v>
      </c>
      <c r="Z1845" s="4" t="str">
        <f t="shared" si="173"/>
        <v>Usa</v>
      </c>
      <c r="AA1845" t="s">
        <v>32</v>
      </c>
      <c r="AB1845" t="s">
        <v>33</v>
      </c>
      <c r="AC1845" t="s">
        <v>275</v>
      </c>
      <c r="AD1845" t="s">
        <v>276</v>
      </c>
      <c r="AE1845" t="s">
        <v>36</v>
      </c>
    </row>
    <row r="1846" spans="1:31" x14ac:dyDescent="0.3">
      <c r="A1846">
        <v>10414</v>
      </c>
      <c r="B1846">
        <v>60</v>
      </c>
      <c r="C1846">
        <v>100</v>
      </c>
      <c r="D1846">
        <v>5</v>
      </c>
      <c r="E1846" s="4" t="str">
        <f t="shared" si="168"/>
        <v>high sales</v>
      </c>
      <c r="F1846">
        <v>6107.4</v>
      </c>
      <c r="G1846" t="s">
        <v>2518</v>
      </c>
      <c r="H1846" s="1" t="str">
        <f t="shared" si="169"/>
        <v>On Hold</v>
      </c>
      <c r="I1846" s="4" t="str">
        <f t="shared" si="170"/>
        <v>not completed</v>
      </c>
      <c r="J1846" t="s">
        <v>401</v>
      </c>
      <c r="K1846">
        <v>2</v>
      </c>
      <c r="L1846">
        <v>5</v>
      </c>
      <c r="M1846">
        <v>2005</v>
      </c>
      <c r="N1846" t="s">
        <v>550</v>
      </c>
      <c r="O1846">
        <v>88</v>
      </c>
      <c r="P1846" t="s">
        <v>636</v>
      </c>
      <c r="Q1846" t="s">
        <v>379</v>
      </c>
      <c r="R1846">
        <v>6175559555</v>
      </c>
      <c r="S1846" t="s">
        <v>380</v>
      </c>
      <c r="U1846" s="1" t="str">
        <f t="shared" si="171"/>
        <v>Boston</v>
      </c>
      <c r="V1846" t="s">
        <v>381</v>
      </c>
      <c r="W1846" t="s">
        <v>123</v>
      </c>
      <c r="X1846">
        <v>51003</v>
      </c>
      <c r="Y1846" s="1" t="str">
        <f t="shared" si="172"/>
        <v>USA</v>
      </c>
      <c r="Z1846" s="4" t="str">
        <f t="shared" si="173"/>
        <v>Usa</v>
      </c>
      <c r="AA1846" t="s">
        <v>32</v>
      </c>
      <c r="AB1846" t="s">
        <v>33</v>
      </c>
      <c r="AC1846" t="s">
        <v>382</v>
      </c>
      <c r="AD1846" t="s">
        <v>66</v>
      </c>
      <c r="AE1846" t="s">
        <v>51</v>
      </c>
    </row>
    <row r="1847" spans="1:31" x14ac:dyDescent="0.3">
      <c r="A1847">
        <v>10110</v>
      </c>
      <c r="B1847">
        <v>27</v>
      </c>
      <c r="C1847">
        <v>73.62</v>
      </c>
      <c r="D1847">
        <v>12</v>
      </c>
      <c r="E1847" s="4" t="str">
        <f t="shared" si="168"/>
        <v>low sales</v>
      </c>
      <c r="F1847">
        <v>1987.74</v>
      </c>
      <c r="G1847" t="s">
        <v>2519</v>
      </c>
      <c r="H1847" s="1" t="str">
        <f t="shared" si="169"/>
        <v>Shipped</v>
      </c>
      <c r="I1847" s="4" t="str">
        <f t="shared" si="170"/>
        <v>completed</v>
      </c>
      <c r="J1847" t="s">
        <v>25</v>
      </c>
      <c r="K1847">
        <v>1</v>
      </c>
      <c r="L1847">
        <v>3</v>
      </c>
      <c r="M1847">
        <v>2003</v>
      </c>
      <c r="N1847" t="s">
        <v>181</v>
      </c>
      <c r="O1847">
        <v>85</v>
      </c>
      <c r="P1847" t="s">
        <v>637</v>
      </c>
      <c r="Q1847" t="s">
        <v>492</v>
      </c>
      <c r="R1847" t="s">
        <v>493</v>
      </c>
      <c r="S1847" t="s">
        <v>494</v>
      </c>
      <c r="U1847" s="1" t="str">
        <f t="shared" si="171"/>
        <v>Manchester</v>
      </c>
      <c r="V1847" t="s">
        <v>495</v>
      </c>
      <c r="X1847" t="s">
        <v>496</v>
      </c>
      <c r="Y1847" s="1" t="str">
        <f t="shared" si="172"/>
        <v>UK</v>
      </c>
      <c r="Z1847" s="4" t="str">
        <f t="shared" si="173"/>
        <v>Uk</v>
      </c>
      <c r="AA1847" t="s">
        <v>170</v>
      </c>
      <c r="AB1847" t="s">
        <v>42</v>
      </c>
      <c r="AC1847" t="s">
        <v>497</v>
      </c>
      <c r="AD1847" t="s">
        <v>94</v>
      </c>
      <c r="AE1847" t="s">
        <v>36</v>
      </c>
    </row>
    <row r="1848" spans="1:31" x14ac:dyDescent="0.3">
      <c r="A1848">
        <v>10124</v>
      </c>
      <c r="B1848">
        <v>49</v>
      </c>
      <c r="C1848">
        <v>83.04</v>
      </c>
      <c r="D1848">
        <v>11</v>
      </c>
      <c r="E1848" s="4" t="str">
        <f t="shared" si="168"/>
        <v>high sales</v>
      </c>
      <c r="F1848">
        <v>4068.96</v>
      </c>
      <c r="G1848" t="s">
        <v>2520</v>
      </c>
      <c r="H1848" s="1" t="str">
        <f t="shared" si="169"/>
        <v>Shipped</v>
      </c>
      <c r="I1848" s="4" t="str">
        <f t="shared" si="170"/>
        <v>completed</v>
      </c>
      <c r="J1848" t="s">
        <v>25</v>
      </c>
      <c r="K1848">
        <v>2</v>
      </c>
      <c r="L1848">
        <v>5</v>
      </c>
      <c r="M1848">
        <v>2003</v>
      </c>
      <c r="N1848" t="s">
        <v>181</v>
      </c>
      <c r="O1848">
        <v>85</v>
      </c>
      <c r="P1848" t="s">
        <v>637</v>
      </c>
      <c r="Q1848" t="s">
        <v>539</v>
      </c>
      <c r="R1848">
        <v>7025551838</v>
      </c>
      <c r="S1848" t="s">
        <v>540</v>
      </c>
      <c r="U1848" s="1" t="str">
        <f t="shared" si="171"/>
        <v>Las Vegas</v>
      </c>
      <c r="V1848" t="s">
        <v>541</v>
      </c>
      <c r="W1848" t="s">
        <v>542</v>
      </c>
      <c r="X1848">
        <v>83030</v>
      </c>
      <c r="Y1848" s="1" t="str">
        <f t="shared" si="172"/>
        <v>USA</v>
      </c>
      <c r="Z1848" s="4" t="str">
        <f t="shared" si="173"/>
        <v>Usa</v>
      </c>
      <c r="AA1848" t="s">
        <v>32</v>
      </c>
      <c r="AB1848" t="s">
        <v>33</v>
      </c>
      <c r="AC1848" t="s">
        <v>113</v>
      </c>
      <c r="AD1848" t="s">
        <v>400</v>
      </c>
      <c r="AE1848" t="s">
        <v>51</v>
      </c>
    </row>
    <row r="1849" spans="1:31" x14ac:dyDescent="0.3">
      <c r="A1849">
        <v>10148</v>
      </c>
      <c r="B1849">
        <v>31</v>
      </c>
      <c r="C1849">
        <v>73.62</v>
      </c>
      <c r="D1849">
        <v>5</v>
      </c>
      <c r="E1849" s="4" t="str">
        <f t="shared" si="168"/>
        <v>low sales</v>
      </c>
      <c r="F1849">
        <v>2282.2199999999998</v>
      </c>
      <c r="G1849" t="s">
        <v>2521</v>
      </c>
      <c r="H1849" s="1" t="str">
        <f t="shared" si="169"/>
        <v>Shipped</v>
      </c>
      <c r="I1849" s="4" t="str">
        <f t="shared" si="170"/>
        <v>completed</v>
      </c>
      <c r="J1849" t="s">
        <v>25</v>
      </c>
      <c r="K1849">
        <v>3</v>
      </c>
      <c r="L1849">
        <v>9</v>
      </c>
      <c r="M1849">
        <v>2003</v>
      </c>
      <c r="N1849" t="s">
        <v>181</v>
      </c>
      <c r="O1849">
        <v>85</v>
      </c>
      <c r="P1849" t="s">
        <v>637</v>
      </c>
      <c r="Q1849" t="s">
        <v>285</v>
      </c>
      <c r="R1849" t="s">
        <v>286</v>
      </c>
      <c r="S1849" t="s">
        <v>287</v>
      </c>
      <c r="T1849" t="s">
        <v>288</v>
      </c>
      <c r="U1849" s="1" t="str">
        <f t="shared" si="171"/>
        <v>North Sydney</v>
      </c>
      <c r="V1849" t="s">
        <v>289</v>
      </c>
      <c r="W1849" t="s">
        <v>157</v>
      </c>
      <c r="X1849">
        <v>2060</v>
      </c>
      <c r="Y1849" s="1" t="str">
        <f t="shared" si="172"/>
        <v>AUSTRALIA</v>
      </c>
      <c r="Z1849" s="4" t="str">
        <f t="shared" si="173"/>
        <v>Australia</v>
      </c>
      <c r="AA1849" t="s">
        <v>95</v>
      </c>
      <c r="AB1849" t="s">
        <v>96</v>
      </c>
      <c r="AC1849" t="s">
        <v>290</v>
      </c>
      <c r="AD1849" t="s">
        <v>291</v>
      </c>
      <c r="AE1849" t="s">
        <v>36</v>
      </c>
    </row>
    <row r="1850" spans="1:31" x14ac:dyDescent="0.3">
      <c r="A1850">
        <v>10161</v>
      </c>
      <c r="B1850">
        <v>20</v>
      </c>
      <c r="C1850">
        <v>77.05</v>
      </c>
      <c r="D1850">
        <v>4</v>
      </c>
      <c r="E1850" s="4" t="str">
        <f t="shared" si="168"/>
        <v>low sales</v>
      </c>
      <c r="F1850">
        <v>1541</v>
      </c>
      <c r="G1850" t="s">
        <v>2522</v>
      </c>
      <c r="H1850" s="1" t="str">
        <f t="shared" si="169"/>
        <v>Shipped</v>
      </c>
      <c r="I1850" s="4" t="str">
        <f t="shared" si="170"/>
        <v>completed</v>
      </c>
      <c r="J1850" t="s">
        <v>25</v>
      </c>
      <c r="K1850">
        <v>4</v>
      </c>
      <c r="L1850">
        <v>10</v>
      </c>
      <c r="M1850">
        <v>2003</v>
      </c>
      <c r="N1850" t="s">
        <v>181</v>
      </c>
      <c r="O1850">
        <v>85</v>
      </c>
      <c r="P1850" t="s">
        <v>637</v>
      </c>
      <c r="Q1850" t="s">
        <v>498</v>
      </c>
      <c r="R1850" t="s">
        <v>499</v>
      </c>
      <c r="S1850" t="s">
        <v>500</v>
      </c>
      <c r="U1850" s="1" t="str">
        <f t="shared" si="171"/>
        <v>Aaarhus</v>
      </c>
      <c r="V1850" t="s">
        <v>501</v>
      </c>
      <c r="X1850">
        <v>8200</v>
      </c>
      <c r="Y1850" s="1" t="str">
        <f t="shared" si="172"/>
        <v>DENMARK</v>
      </c>
      <c r="Z1850" s="4" t="str">
        <f t="shared" si="173"/>
        <v>Denmark</v>
      </c>
      <c r="AA1850" t="s">
        <v>326</v>
      </c>
      <c r="AB1850" t="s">
        <v>42</v>
      </c>
      <c r="AC1850" t="s">
        <v>502</v>
      </c>
      <c r="AD1850" t="s">
        <v>503</v>
      </c>
      <c r="AE1850" t="s">
        <v>36</v>
      </c>
    </row>
    <row r="1851" spans="1:31" x14ac:dyDescent="0.3">
      <c r="A1851">
        <v>10172</v>
      </c>
      <c r="B1851">
        <v>24</v>
      </c>
      <c r="C1851">
        <v>81.33</v>
      </c>
      <c r="D1851">
        <v>2</v>
      </c>
      <c r="E1851" s="4" t="str">
        <f t="shared" si="168"/>
        <v>low sales</v>
      </c>
      <c r="F1851">
        <v>1951.92</v>
      </c>
      <c r="G1851" t="s">
        <v>2523</v>
      </c>
      <c r="H1851" s="1" t="str">
        <f t="shared" si="169"/>
        <v>Shipped</v>
      </c>
      <c r="I1851" s="4" t="str">
        <f t="shared" si="170"/>
        <v>completed</v>
      </c>
      <c r="J1851" t="s">
        <v>25</v>
      </c>
      <c r="K1851">
        <v>4</v>
      </c>
      <c r="L1851">
        <v>11</v>
      </c>
      <c r="M1851">
        <v>2003</v>
      </c>
      <c r="N1851" t="s">
        <v>181</v>
      </c>
      <c r="O1851">
        <v>85</v>
      </c>
      <c r="P1851" t="s">
        <v>637</v>
      </c>
      <c r="Q1851" t="s">
        <v>109</v>
      </c>
      <c r="R1851">
        <v>2035552570</v>
      </c>
      <c r="S1851" t="s">
        <v>110</v>
      </c>
      <c r="U1851" s="1" t="str">
        <f t="shared" si="171"/>
        <v>Bridgewater</v>
      </c>
      <c r="V1851" t="s">
        <v>111</v>
      </c>
      <c r="W1851" t="s">
        <v>112</v>
      </c>
      <c r="X1851">
        <v>97562</v>
      </c>
      <c r="Y1851" s="1" t="str">
        <f t="shared" si="172"/>
        <v>USA</v>
      </c>
      <c r="Z1851" s="4" t="str">
        <f t="shared" si="173"/>
        <v>Usa</v>
      </c>
      <c r="AA1851" t="s">
        <v>32</v>
      </c>
      <c r="AB1851" t="s">
        <v>33</v>
      </c>
      <c r="AC1851" t="s">
        <v>113</v>
      </c>
      <c r="AD1851" t="s">
        <v>57</v>
      </c>
      <c r="AE1851" t="s">
        <v>36</v>
      </c>
    </row>
    <row r="1852" spans="1:31" x14ac:dyDescent="0.3">
      <c r="A1852">
        <v>10182</v>
      </c>
      <c r="B1852">
        <v>33</v>
      </c>
      <c r="C1852">
        <v>94.17</v>
      </c>
      <c r="D1852">
        <v>15</v>
      </c>
      <c r="E1852" s="4" t="str">
        <f t="shared" si="168"/>
        <v>low sales</v>
      </c>
      <c r="F1852">
        <v>3107.61</v>
      </c>
      <c r="G1852" t="s">
        <v>2524</v>
      </c>
      <c r="H1852" s="1" t="str">
        <f t="shared" si="169"/>
        <v>Shipped</v>
      </c>
      <c r="I1852" s="4" t="str">
        <f t="shared" si="170"/>
        <v>completed</v>
      </c>
      <c r="J1852" t="s">
        <v>25</v>
      </c>
      <c r="K1852">
        <v>4</v>
      </c>
      <c r="L1852">
        <v>11</v>
      </c>
      <c r="M1852">
        <v>2003</v>
      </c>
      <c r="N1852" t="s">
        <v>181</v>
      </c>
      <c r="O1852">
        <v>85</v>
      </c>
      <c r="P1852" t="s">
        <v>637</v>
      </c>
      <c r="Q1852" t="s">
        <v>272</v>
      </c>
      <c r="R1852">
        <v>4155551450</v>
      </c>
      <c r="S1852" t="s">
        <v>273</v>
      </c>
      <c r="U1852" s="1" t="str">
        <f t="shared" si="171"/>
        <v>San Rafael</v>
      </c>
      <c r="V1852" t="s">
        <v>274</v>
      </c>
      <c r="W1852" t="s">
        <v>55</v>
      </c>
      <c r="X1852">
        <v>97562</v>
      </c>
      <c r="Y1852" s="1" t="str">
        <f t="shared" si="172"/>
        <v>USA</v>
      </c>
      <c r="Z1852" s="4" t="str">
        <f t="shared" si="173"/>
        <v>Usa</v>
      </c>
      <c r="AA1852" t="s">
        <v>32</v>
      </c>
      <c r="AB1852" t="s">
        <v>33</v>
      </c>
      <c r="AC1852" t="s">
        <v>275</v>
      </c>
      <c r="AD1852" t="s">
        <v>276</v>
      </c>
      <c r="AE1852" t="s">
        <v>51</v>
      </c>
    </row>
    <row r="1853" spans="1:31" x14ac:dyDescent="0.3">
      <c r="A1853">
        <v>10192</v>
      </c>
      <c r="B1853">
        <v>32</v>
      </c>
      <c r="C1853">
        <v>72.77</v>
      </c>
      <c r="D1853">
        <v>3</v>
      </c>
      <c r="E1853" s="4" t="str">
        <f t="shared" si="168"/>
        <v>low sales</v>
      </c>
      <c r="F1853">
        <v>2328.64</v>
      </c>
      <c r="G1853" t="s">
        <v>2525</v>
      </c>
      <c r="H1853" s="1" t="str">
        <f t="shared" si="169"/>
        <v>Shipped</v>
      </c>
      <c r="I1853" s="4" t="str">
        <f t="shared" si="170"/>
        <v>completed</v>
      </c>
      <c r="J1853" t="s">
        <v>25</v>
      </c>
      <c r="K1853">
        <v>4</v>
      </c>
      <c r="L1853">
        <v>11</v>
      </c>
      <c r="M1853">
        <v>2003</v>
      </c>
      <c r="N1853" t="s">
        <v>181</v>
      </c>
      <c r="O1853">
        <v>85</v>
      </c>
      <c r="P1853" t="s">
        <v>637</v>
      </c>
      <c r="Q1853" t="s">
        <v>277</v>
      </c>
      <c r="R1853">
        <v>6035558647</v>
      </c>
      <c r="S1853" t="s">
        <v>278</v>
      </c>
      <c r="U1853" s="1" t="str">
        <f t="shared" si="171"/>
        <v>Nashua</v>
      </c>
      <c r="V1853" t="s">
        <v>279</v>
      </c>
      <c r="W1853" t="s">
        <v>280</v>
      </c>
      <c r="X1853">
        <v>62005</v>
      </c>
      <c r="Y1853" s="1" t="str">
        <f t="shared" si="172"/>
        <v>USA</v>
      </c>
      <c r="Z1853" s="4" t="str">
        <f t="shared" si="173"/>
        <v>Usa</v>
      </c>
      <c r="AA1853" t="s">
        <v>32</v>
      </c>
      <c r="AB1853" t="s">
        <v>33</v>
      </c>
      <c r="AC1853" t="s">
        <v>56</v>
      </c>
      <c r="AD1853" t="s">
        <v>276</v>
      </c>
      <c r="AE1853" t="s">
        <v>36</v>
      </c>
    </row>
    <row r="1854" spans="1:31" x14ac:dyDescent="0.3">
      <c r="A1854">
        <v>10204</v>
      </c>
      <c r="B1854">
        <v>40</v>
      </c>
      <c r="C1854">
        <v>79.62</v>
      </c>
      <c r="D1854">
        <v>9</v>
      </c>
      <c r="E1854" s="4" t="str">
        <f t="shared" si="168"/>
        <v>low sales</v>
      </c>
      <c r="F1854">
        <v>3184.8</v>
      </c>
      <c r="G1854" t="s">
        <v>2526</v>
      </c>
      <c r="H1854" s="1" t="str">
        <f t="shared" si="169"/>
        <v>Shipped</v>
      </c>
      <c r="I1854" s="4" t="str">
        <f t="shared" si="170"/>
        <v>completed</v>
      </c>
      <c r="J1854" t="s">
        <v>25</v>
      </c>
      <c r="K1854">
        <v>4</v>
      </c>
      <c r="L1854">
        <v>12</v>
      </c>
      <c r="M1854">
        <v>2003</v>
      </c>
      <c r="N1854" t="s">
        <v>181</v>
      </c>
      <c r="O1854">
        <v>85</v>
      </c>
      <c r="P1854" t="s">
        <v>637</v>
      </c>
      <c r="Q1854" t="s">
        <v>475</v>
      </c>
      <c r="R1854">
        <v>2125557413</v>
      </c>
      <c r="S1854" t="s">
        <v>476</v>
      </c>
      <c r="T1854" t="s">
        <v>477</v>
      </c>
      <c r="U1854" s="1" t="str">
        <f t="shared" si="171"/>
        <v>Nyc</v>
      </c>
      <c r="V1854" t="s">
        <v>30</v>
      </c>
      <c r="W1854" t="s">
        <v>31</v>
      </c>
      <c r="X1854">
        <v>10022</v>
      </c>
      <c r="Y1854" s="1" t="str">
        <f t="shared" si="172"/>
        <v>USA</v>
      </c>
      <c r="Z1854" s="4" t="str">
        <f t="shared" si="173"/>
        <v>Usa</v>
      </c>
      <c r="AA1854" t="s">
        <v>32</v>
      </c>
      <c r="AB1854" t="s">
        <v>33</v>
      </c>
      <c r="AC1854" t="s">
        <v>56</v>
      </c>
      <c r="AD1854" t="s">
        <v>478</v>
      </c>
      <c r="AE1854" t="s">
        <v>51</v>
      </c>
    </row>
    <row r="1855" spans="1:31" x14ac:dyDescent="0.3">
      <c r="A1855">
        <v>10212</v>
      </c>
      <c r="B1855">
        <v>27</v>
      </c>
      <c r="C1855">
        <v>79.62</v>
      </c>
      <c r="D1855">
        <v>2</v>
      </c>
      <c r="E1855" s="4" t="str">
        <f t="shared" si="168"/>
        <v>low sales</v>
      </c>
      <c r="F1855">
        <v>2149.7399999999998</v>
      </c>
      <c r="G1855" t="s">
        <v>2527</v>
      </c>
      <c r="H1855" s="1" t="str">
        <f t="shared" si="169"/>
        <v>Shipped</v>
      </c>
      <c r="I1855" s="4" t="str">
        <f t="shared" si="170"/>
        <v>completed</v>
      </c>
      <c r="J1855" t="s">
        <v>25</v>
      </c>
      <c r="K1855">
        <v>1</v>
      </c>
      <c r="L1855">
        <v>1</v>
      </c>
      <c r="M1855">
        <v>2004</v>
      </c>
      <c r="N1855" t="s">
        <v>181</v>
      </c>
      <c r="O1855">
        <v>85</v>
      </c>
      <c r="P1855" t="s">
        <v>637</v>
      </c>
      <c r="Q1855" t="s">
        <v>174</v>
      </c>
      <c r="R1855" t="s">
        <v>175</v>
      </c>
      <c r="S1855" t="s">
        <v>176</v>
      </c>
      <c r="U1855" s="1" t="str">
        <f t="shared" si="171"/>
        <v>Madrid</v>
      </c>
      <c r="V1855" t="s">
        <v>177</v>
      </c>
      <c r="X1855">
        <v>28034</v>
      </c>
      <c r="Y1855" s="1" t="str">
        <f t="shared" si="172"/>
        <v>SPAIN</v>
      </c>
      <c r="Z1855" s="4" t="str">
        <f t="shared" si="173"/>
        <v>Spain</v>
      </c>
      <c r="AA1855" t="s">
        <v>178</v>
      </c>
      <c r="AB1855" t="s">
        <v>42</v>
      </c>
      <c r="AC1855" t="s">
        <v>179</v>
      </c>
      <c r="AD1855" t="s">
        <v>180</v>
      </c>
      <c r="AE1855" t="s">
        <v>36</v>
      </c>
    </row>
    <row r="1856" spans="1:31" x14ac:dyDescent="0.3">
      <c r="A1856">
        <v>10227</v>
      </c>
      <c r="B1856">
        <v>40</v>
      </c>
      <c r="C1856">
        <v>79.62</v>
      </c>
      <c r="D1856">
        <v>15</v>
      </c>
      <c r="E1856" s="4" t="str">
        <f t="shared" si="168"/>
        <v>low sales</v>
      </c>
      <c r="F1856">
        <v>3184.8</v>
      </c>
      <c r="G1856" t="s">
        <v>2528</v>
      </c>
      <c r="H1856" s="1" t="str">
        <f t="shared" si="169"/>
        <v>Shipped</v>
      </c>
      <c r="I1856" s="4" t="str">
        <f t="shared" si="170"/>
        <v>completed</v>
      </c>
      <c r="J1856" t="s">
        <v>25</v>
      </c>
      <c r="K1856">
        <v>1</v>
      </c>
      <c r="L1856">
        <v>3</v>
      </c>
      <c r="M1856">
        <v>2004</v>
      </c>
      <c r="N1856" t="s">
        <v>181</v>
      </c>
      <c r="O1856">
        <v>85</v>
      </c>
      <c r="P1856" t="s">
        <v>637</v>
      </c>
      <c r="Q1856" t="s">
        <v>219</v>
      </c>
      <c r="R1856" t="s">
        <v>220</v>
      </c>
      <c r="S1856" t="s">
        <v>221</v>
      </c>
      <c r="U1856" s="1" t="str">
        <f t="shared" si="171"/>
        <v>Lyon</v>
      </c>
      <c r="V1856" t="s">
        <v>222</v>
      </c>
      <c r="X1856">
        <v>69004</v>
      </c>
      <c r="Y1856" s="1" t="str">
        <f t="shared" si="172"/>
        <v>FRANCE</v>
      </c>
      <c r="Z1856" s="4" t="str">
        <f t="shared" si="173"/>
        <v>France</v>
      </c>
      <c r="AA1856" t="s">
        <v>41</v>
      </c>
      <c r="AB1856" t="s">
        <v>42</v>
      </c>
      <c r="AC1856" t="s">
        <v>223</v>
      </c>
      <c r="AD1856" t="s">
        <v>224</v>
      </c>
      <c r="AE1856" t="s">
        <v>51</v>
      </c>
    </row>
    <row r="1857" spans="1:31" x14ac:dyDescent="0.3">
      <c r="A1857">
        <v>10241</v>
      </c>
      <c r="B1857">
        <v>26</v>
      </c>
      <c r="C1857">
        <v>81.33</v>
      </c>
      <c r="D1857">
        <v>7</v>
      </c>
      <c r="E1857" s="4" t="str">
        <f t="shared" si="168"/>
        <v>low sales</v>
      </c>
      <c r="F1857">
        <v>2114.58</v>
      </c>
      <c r="G1857" t="s">
        <v>2529</v>
      </c>
      <c r="H1857" s="1" t="str">
        <f t="shared" si="169"/>
        <v>Shipped</v>
      </c>
      <c r="I1857" s="4" t="str">
        <f t="shared" si="170"/>
        <v>completed</v>
      </c>
      <c r="J1857" t="s">
        <v>25</v>
      </c>
      <c r="K1857">
        <v>2</v>
      </c>
      <c r="L1857">
        <v>4</v>
      </c>
      <c r="M1857">
        <v>2004</v>
      </c>
      <c r="N1857" t="s">
        <v>181</v>
      </c>
      <c r="O1857">
        <v>85</v>
      </c>
      <c r="P1857" t="s">
        <v>637</v>
      </c>
      <c r="Q1857" t="s">
        <v>531</v>
      </c>
      <c r="R1857" t="s">
        <v>532</v>
      </c>
      <c r="S1857" t="s">
        <v>533</v>
      </c>
      <c r="U1857" s="1" t="str">
        <f t="shared" si="171"/>
        <v>Strasbourg</v>
      </c>
      <c r="V1857" t="s">
        <v>534</v>
      </c>
      <c r="X1857">
        <v>67000</v>
      </c>
      <c r="Y1857" s="1" t="str">
        <f t="shared" si="172"/>
        <v>FRANCE</v>
      </c>
      <c r="Z1857" s="4" t="str">
        <f t="shared" si="173"/>
        <v>France</v>
      </c>
      <c r="AA1857" t="s">
        <v>41</v>
      </c>
      <c r="AB1857" t="s">
        <v>42</v>
      </c>
      <c r="AC1857" t="s">
        <v>535</v>
      </c>
      <c r="AD1857" t="s">
        <v>536</v>
      </c>
      <c r="AE1857" t="s">
        <v>36</v>
      </c>
    </row>
    <row r="1858" spans="1:31" x14ac:dyDescent="0.3">
      <c r="A1858">
        <v>10267</v>
      </c>
      <c r="B1858">
        <v>44</v>
      </c>
      <c r="C1858">
        <v>96.74</v>
      </c>
      <c r="D1858">
        <v>4</v>
      </c>
      <c r="E1858" s="4" t="str">
        <f t="shared" si="168"/>
        <v>high sales</v>
      </c>
      <c r="F1858">
        <v>4256.5600000000004</v>
      </c>
      <c r="G1858" t="s">
        <v>2530</v>
      </c>
      <c r="H1858" s="1" t="str">
        <f t="shared" si="169"/>
        <v>Shipped</v>
      </c>
      <c r="I1858" s="4" t="str">
        <f t="shared" si="170"/>
        <v>completed</v>
      </c>
      <c r="J1858" t="s">
        <v>25</v>
      </c>
      <c r="K1858">
        <v>3</v>
      </c>
      <c r="L1858">
        <v>7</v>
      </c>
      <c r="M1858">
        <v>2004</v>
      </c>
      <c r="N1858" t="s">
        <v>181</v>
      </c>
      <c r="O1858">
        <v>85</v>
      </c>
      <c r="P1858" t="s">
        <v>637</v>
      </c>
      <c r="Q1858" t="s">
        <v>475</v>
      </c>
      <c r="R1858">
        <v>2125557413</v>
      </c>
      <c r="S1858" t="s">
        <v>476</v>
      </c>
      <c r="T1858" t="s">
        <v>477</v>
      </c>
      <c r="U1858" s="1" t="str">
        <f t="shared" si="171"/>
        <v>Nyc</v>
      </c>
      <c r="V1858" t="s">
        <v>30</v>
      </c>
      <c r="W1858" t="s">
        <v>31</v>
      </c>
      <c r="X1858">
        <v>10022</v>
      </c>
      <c r="Y1858" s="1" t="str">
        <f t="shared" si="172"/>
        <v>USA</v>
      </c>
      <c r="Z1858" s="4" t="str">
        <f t="shared" si="173"/>
        <v>Usa</v>
      </c>
      <c r="AA1858" t="s">
        <v>32</v>
      </c>
      <c r="AB1858" t="s">
        <v>33</v>
      </c>
      <c r="AC1858" t="s">
        <v>56</v>
      </c>
      <c r="AD1858" t="s">
        <v>478</v>
      </c>
      <c r="AE1858" t="s">
        <v>51</v>
      </c>
    </row>
    <row r="1859" spans="1:31" x14ac:dyDescent="0.3">
      <c r="A1859">
        <v>10279</v>
      </c>
      <c r="B1859">
        <v>33</v>
      </c>
      <c r="C1859">
        <v>71.06</v>
      </c>
      <c r="D1859">
        <v>4</v>
      </c>
      <c r="E1859" s="4" t="str">
        <f t="shared" ref="E1859:E1922" si="174">IF(F1859&gt;4000,"high sales","low sales")</f>
        <v>low sales</v>
      </c>
      <c r="F1859">
        <v>2344.98</v>
      </c>
      <c r="G1859" t="s">
        <v>2531</v>
      </c>
      <c r="H1859" s="1" t="str">
        <f t="shared" ref="H1859:H1922" si="175">PROPER(TRIM(J1859))</f>
        <v>Shipped</v>
      </c>
      <c r="I1859" s="4" t="str">
        <f t="shared" ref="I1859:I1922" si="176">IF(J1859="shipped","completed","not completed")</f>
        <v>completed</v>
      </c>
      <c r="J1859" t="s">
        <v>25</v>
      </c>
      <c r="K1859">
        <v>3</v>
      </c>
      <c r="L1859">
        <v>8</v>
      </c>
      <c r="M1859">
        <v>2004</v>
      </c>
      <c r="N1859" t="s">
        <v>181</v>
      </c>
      <c r="O1859">
        <v>85</v>
      </c>
      <c r="P1859" t="s">
        <v>637</v>
      </c>
      <c r="Q1859" t="s">
        <v>174</v>
      </c>
      <c r="R1859" t="s">
        <v>175</v>
      </c>
      <c r="S1859" t="s">
        <v>176</v>
      </c>
      <c r="U1859" s="1" t="str">
        <f t="shared" ref="U1859:U1922" si="177">PROPER(TRIM(V1859))</f>
        <v>Madrid</v>
      </c>
      <c r="V1859" t="s">
        <v>177</v>
      </c>
      <c r="X1859">
        <v>28034</v>
      </c>
      <c r="Y1859" s="1" t="str">
        <f t="shared" ref="Y1859:Y1922" si="178">UPPER(TRIM(AA1859))</f>
        <v>SPAIN</v>
      </c>
      <c r="Z1859" s="4" t="str">
        <f t="shared" ref="Z1859:Z1922" si="179">PROPER(TRIM(AA1859))</f>
        <v>Spain</v>
      </c>
      <c r="AA1859" t="s">
        <v>178</v>
      </c>
      <c r="AB1859" t="s">
        <v>42</v>
      </c>
      <c r="AC1859" t="s">
        <v>179</v>
      </c>
      <c r="AD1859" t="s">
        <v>180</v>
      </c>
      <c r="AE1859" t="s">
        <v>36</v>
      </c>
    </row>
    <row r="1860" spans="1:31" x14ac:dyDescent="0.3">
      <c r="A1860">
        <v>10288</v>
      </c>
      <c r="B1860">
        <v>34</v>
      </c>
      <c r="C1860">
        <v>68.489999999999995</v>
      </c>
      <c r="D1860">
        <v>10</v>
      </c>
      <c r="E1860" s="4" t="str">
        <f t="shared" si="174"/>
        <v>low sales</v>
      </c>
      <c r="F1860">
        <v>2328.66</v>
      </c>
      <c r="G1860" t="s">
        <v>2532</v>
      </c>
      <c r="H1860" s="1" t="str">
        <f t="shared" si="175"/>
        <v>Shipped</v>
      </c>
      <c r="I1860" s="4" t="str">
        <f t="shared" si="176"/>
        <v>completed</v>
      </c>
      <c r="J1860" t="s">
        <v>25</v>
      </c>
      <c r="K1860">
        <v>3</v>
      </c>
      <c r="L1860">
        <v>9</v>
      </c>
      <c r="M1860">
        <v>2004</v>
      </c>
      <c r="N1860" t="s">
        <v>181</v>
      </c>
      <c r="O1860">
        <v>85</v>
      </c>
      <c r="P1860" t="s">
        <v>637</v>
      </c>
      <c r="Q1860" t="s">
        <v>418</v>
      </c>
      <c r="R1860" t="s">
        <v>419</v>
      </c>
      <c r="S1860" t="s">
        <v>420</v>
      </c>
      <c r="T1860" t="s">
        <v>421</v>
      </c>
      <c r="U1860" s="1" t="str">
        <f t="shared" si="177"/>
        <v>Singapore</v>
      </c>
      <c r="V1860" t="s">
        <v>199</v>
      </c>
      <c r="X1860">
        <v>69045</v>
      </c>
      <c r="Y1860" s="1" t="str">
        <f t="shared" si="178"/>
        <v>SINGAPORE</v>
      </c>
      <c r="Z1860" s="4" t="str">
        <f t="shared" si="179"/>
        <v>Singapore</v>
      </c>
      <c r="AA1860" t="s">
        <v>199</v>
      </c>
      <c r="AB1860" t="s">
        <v>96</v>
      </c>
      <c r="AC1860" t="s">
        <v>422</v>
      </c>
      <c r="AD1860" t="s">
        <v>423</v>
      </c>
      <c r="AE1860" t="s">
        <v>36</v>
      </c>
    </row>
    <row r="1861" spans="1:31" x14ac:dyDescent="0.3">
      <c r="A1861">
        <v>10302</v>
      </c>
      <c r="B1861">
        <v>48</v>
      </c>
      <c r="C1861">
        <v>74.48</v>
      </c>
      <c r="D1861">
        <v>6</v>
      </c>
      <c r="E1861" s="4" t="str">
        <f t="shared" si="174"/>
        <v>low sales</v>
      </c>
      <c r="F1861">
        <v>3575.04</v>
      </c>
      <c r="G1861" t="s">
        <v>2533</v>
      </c>
      <c r="H1861" s="1" t="str">
        <f t="shared" si="175"/>
        <v>Shipped</v>
      </c>
      <c r="I1861" s="4" t="str">
        <f t="shared" si="176"/>
        <v>completed</v>
      </c>
      <c r="J1861" t="s">
        <v>25</v>
      </c>
      <c r="K1861">
        <v>4</v>
      </c>
      <c r="L1861">
        <v>10</v>
      </c>
      <c r="M1861">
        <v>2003</v>
      </c>
      <c r="N1861" t="s">
        <v>181</v>
      </c>
      <c r="O1861">
        <v>85</v>
      </c>
      <c r="P1861" t="s">
        <v>637</v>
      </c>
      <c r="Q1861" t="s">
        <v>165</v>
      </c>
      <c r="R1861" t="s">
        <v>166</v>
      </c>
      <c r="S1861" t="s">
        <v>167</v>
      </c>
      <c r="U1861" s="1" t="str">
        <f t="shared" si="177"/>
        <v>Liverpool</v>
      </c>
      <c r="V1861" t="s">
        <v>168</v>
      </c>
      <c r="X1861" t="s">
        <v>169</v>
      </c>
      <c r="Y1861" s="1" t="str">
        <f t="shared" si="178"/>
        <v>UK</v>
      </c>
      <c r="Z1861" s="4" t="str">
        <f t="shared" si="179"/>
        <v>Uk</v>
      </c>
      <c r="AA1861" t="s">
        <v>170</v>
      </c>
      <c r="AB1861" t="s">
        <v>42</v>
      </c>
      <c r="AC1861" t="s">
        <v>171</v>
      </c>
      <c r="AD1861" t="s">
        <v>172</v>
      </c>
      <c r="AE1861" t="s">
        <v>51</v>
      </c>
    </row>
    <row r="1862" spans="1:31" x14ac:dyDescent="0.3">
      <c r="A1862">
        <v>10311</v>
      </c>
      <c r="B1862">
        <v>25</v>
      </c>
      <c r="C1862">
        <v>83.04</v>
      </c>
      <c r="D1862">
        <v>5</v>
      </c>
      <c r="E1862" s="4" t="str">
        <f t="shared" si="174"/>
        <v>low sales</v>
      </c>
      <c r="F1862">
        <v>2076</v>
      </c>
      <c r="G1862" t="s">
        <v>2534</v>
      </c>
      <c r="H1862" s="1" t="str">
        <f t="shared" si="175"/>
        <v>Shipped</v>
      </c>
      <c r="I1862" s="4" t="str">
        <f t="shared" si="176"/>
        <v>completed</v>
      </c>
      <c r="J1862" t="s">
        <v>25</v>
      </c>
      <c r="K1862">
        <v>4</v>
      </c>
      <c r="L1862">
        <v>10</v>
      </c>
      <c r="M1862">
        <v>2004</v>
      </c>
      <c r="N1862" t="s">
        <v>181</v>
      </c>
      <c r="O1862">
        <v>85</v>
      </c>
      <c r="P1862" t="s">
        <v>637</v>
      </c>
      <c r="Q1862" t="s">
        <v>174</v>
      </c>
      <c r="R1862" t="s">
        <v>175</v>
      </c>
      <c r="S1862" t="s">
        <v>176</v>
      </c>
      <c r="U1862" s="1" t="str">
        <f t="shared" si="177"/>
        <v>Madrid</v>
      </c>
      <c r="V1862" t="s">
        <v>177</v>
      </c>
      <c r="X1862">
        <v>28034</v>
      </c>
      <c r="Y1862" s="1" t="str">
        <f t="shared" si="178"/>
        <v>SPAIN</v>
      </c>
      <c r="Z1862" s="4" t="str">
        <f t="shared" si="179"/>
        <v>Spain</v>
      </c>
      <c r="AA1862" t="s">
        <v>178</v>
      </c>
      <c r="AB1862" t="s">
        <v>42</v>
      </c>
      <c r="AC1862" t="s">
        <v>179</v>
      </c>
      <c r="AD1862" t="s">
        <v>180</v>
      </c>
      <c r="AE1862" t="s">
        <v>36</v>
      </c>
    </row>
    <row r="1863" spans="1:31" x14ac:dyDescent="0.3">
      <c r="A1863">
        <v>10321</v>
      </c>
      <c r="B1863">
        <v>39</v>
      </c>
      <c r="C1863">
        <v>84.75</v>
      </c>
      <c r="D1863">
        <v>2</v>
      </c>
      <c r="E1863" s="4" t="str">
        <f t="shared" si="174"/>
        <v>low sales</v>
      </c>
      <c r="F1863">
        <v>3305.25</v>
      </c>
      <c r="G1863" t="s">
        <v>2535</v>
      </c>
      <c r="H1863" s="1" t="str">
        <f t="shared" si="175"/>
        <v>Shipped</v>
      </c>
      <c r="I1863" s="4" t="str">
        <f t="shared" si="176"/>
        <v>completed</v>
      </c>
      <c r="J1863" t="s">
        <v>25</v>
      </c>
      <c r="K1863">
        <v>4</v>
      </c>
      <c r="L1863">
        <v>11</v>
      </c>
      <c r="M1863">
        <v>2004</v>
      </c>
      <c r="N1863" t="s">
        <v>181</v>
      </c>
      <c r="O1863">
        <v>85</v>
      </c>
      <c r="P1863" t="s">
        <v>637</v>
      </c>
      <c r="Q1863" t="s">
        <v>160</v>
      </c>
      <c r="R1863">
        <v>5085552555</v>
      </c>
      <c r="S1863" t="s">
        <v>161</v>
      </c>
      <c r="U1863" s="1" t="str">
        <f t="shared" si="177"/>
        <v>New Bedford</v>
      </c>
      <c r="V1863" t="s">
        <v>162</v>
      </c>
      <c r="W1863" t="s">
        <v>123</v>
      </c>
      <c r="X1863">
        <v>50553</v>
      </c>
      <c r="Y1863" s="1" t="str">
        <f t="shared" si="178"/>
        <v>USA</v>
      </c>
      <c r="Z1863" s="4" t="str">
        <f t="shared" si="179"/>
        <v>Usa</v>
      </c>
      <c r="AA1863" t="s">
        <v>32</v>
      </c>
      <c r="AB1863" t="s">
        <v>33</v>
      </c>
      <c r="AC1863" t="s">
        <v>163</v>
      </c>
      <c r="AD1863" t="s">
        <v>164</v>
      </c>
      <c r="AE1863" t="s">
        <v>51</v>
      </c>
    </row>
    <row r="1864" spans="1:31" x14ac:dyDescent="0.3">
      <c r="A1864">
        <v>10332</v>
      </c>
      <c r="B1864">
        <v>45</v>
      </c>
      <c r="C1864">
        <v>34.19</v>
      </c>
      <c r="D1864">
        <v>12</v>
      </c>
      <c r="E1864" s="4" t="str">
        <f t="shared" si="174"/>
        <v>low sales</v>
      </c>
      <c r="F1864">
        <v>1538.55</v>
      </c>
      <c r="G1864" t="s">
        <v>2536</v>
      </c>
      <c r="H1864" s="1" t="str">
        <f t="shared" si="175"/>
        <v>Shipped</v>
      </c>
      <c r="I1864" s="4" t="str">
        <f t="shared" si="176"/>
        <v>completed</v>
      </c>
      <c r="J1864" t="s">
        <v>25</v>
      </c>
      <c r="K1864">
        <v>4</v>
      </c>
      <c r="L1864">
        <v>11</v>
      </c>
      <c r="M1864">
        <v>2004</v>
      </c>
      <c r="N1864" t="s">
        <v>181</v>
      </c>
      <c r="O1864">
        <v>85</v>
      </c>
      <c r="P1864" t="s">
        <v>637</v>
      </c>
      <c r="Q1864" t="s">
        <v>492</v>
      </c>
      <c r="R1864" t="s">
        <v>493</v>
      </c>
      <c r="S1864" t="s">
        <v>494</v>
      </c>
      <c r="U1864" s="1" t="str">
        <f t="shared" si="177"/>
        <v>Manchester</v>
      </c>
      <c r="V1864" t="s">
        <v>495</v>
      </c>
      <c r="X1864" t="s">
        <v>496</v>
      </c>
      <c r="Y1864" s="1" t="str">
        <f t="shared" si="178"/>
        <v>UK</v>
      </c>
      <c r="Z1864" s="4" t="str">
        <f t="shared" si="179"/>
        <v>Uk</v>
      </c>
      <c r="AA1864" t="s">
        <v>170</v>
      </c>
      <c r="AB1864" t="s">
        <v>42</v>
      </c>
      <c r="AC1864" t="s">
        <v>497</v>
      </c>
      <c r="AD1864" t="s">
        <v>94</v>
      </c>
      <c r="AE1864" t="s">
        <v>36</v>
      </c>
    </row>
    <row r="1865" spans="1:31" x14ac:dyDescent="0.3">
      <c r="A1865">
        <v>10346</v>
      </c>
      <c r="B1865">
        <v>24</v>
      </c>
      <c r="C1865">
        <v>100</v>
      </c>
      <c r="D1865">
        <v>2</v>
      </c>
      <c r="E1865" s="4" t="str">
        <f t="shared" si="174"/>
        <v>low sales</v>
      </c>
      <c r="F1865">
        <v>3325.92</v>
      </c>
      <c r="G1865" t="s">
        <v>2537</v>
      </c>
      <c r="H1865" s="1" t="str">
        <f t="shared" si="175"/>
        <v>Shipped</v>
      </c>
      <c r="I1865" s="4" t="str">
        <f t="shared" si="176"/>
        <v>completed</v>
      </c>
      <c r="J1865" t="s">
        <v>25</v>
      </c>
      <c r="K1865">
        <v>4</v>
      </c>
      <c r="L1865">
        <v>11</v>
      </c>
      <c r="M1865">
        <v>2004</v>
      </c>
      <c r="N1865" t="s">
        <v>181</v>
      </c>
      <c r="O1865">
        <v>85</v>
      </c>
      <c r="P1865" t="s">
        <v>637</v>
      </c>
      <c r="Q1865" t="s">
        <v>539</v>
      </c>
      <c r="R1865">
        <v>7025551838</v>
      </c>
      <c r="S1865" t="s">
        <v>540</v>
      </c>
      <c r="U1865" s="1" t="str">
        <f t="shared" si="177"/>
        <v>Las Vegas</v>
      </c>
      <c r="V1865" t="s">
        <v>541</v>
      </c>
      <c r="W1865" t="s">
        <v>542</v>
      </c>
      <c r="X1865">
        <v>83030</v>
      </c>
      <c r="Y1865" s="1" t="str">
        <f t="shared" si="178"/>
        <v>USA</v>
      </c>
      <c r="Z1865" s="4" t="str">
        <f t="shared" si="179"/>
        <v>Usa</v>
      </c>
      <c r="AA1865" t="s">
        <v>32</v>
      </c>
      <c r="AB1865" t="s">
        <v>33</v>
      </c>
      <c r="AC1865" t="s">
        <v>113</v>
      </c>
      <c r="AD1865" t="s">
        <v>400</v>
      </c>
      <c r="AE1865" t="s">
        <v>51</v>
      </c>
    </row>
    <row r="1866" spans="1:31" x14ac:dyDescent="0.3">
      <c r="A1866">
        <v>10368</v>
      </c>
      <c r="B1866">
        <v>46</v>
      </c>
      <c r="C1866">
        <v>79.62</v>
      </c>
      <c r="D1866">
        <v>1</v>
      </c>
      <c r="E1866" s="4" t="str">
        <f t="shared" si="174"/>
        <v>low sales</v>
      </c>
      <c r="F1866">
        <v>3662.52</v>
      </c>
      <c r="G1866" t="s">
        <v>2538</v>
      </c>
      <c r="H1866" s="1" t="str">
        <f t="shared" si="175"/>
        <v>Shipped</v>
      </c>
      <c r="I1866" s="4" t="str">
        <f t="shared" si="176"/>
        <v>completed</v>
      </c>
      <c r="J1866" t="s">
        <v>25</v>
      </c>
      <c r="K1866">
        <v>1</v>
      </c>
      <c r="L1866">
        <v>1</v>
      </c>
      <c r="M1866">
        <v>2005</v>
      </c>
      <c r="N1866" t="s">
        <v>181</v>
      </c>
      <c r="O1866">
        <v>85</v>
      </c>
      <c r="P1866" t="s">
        <v>637</v>
      </c>
      <c r="Q1866" t="s">
        <v>272</v>
      </c>
      <c r="R1866">
        <v>4155551450</v>
      </c>
      <c r="S1866" t="s">
        <v>273</v>
      </c>
      <c r="U1866" s="1" t="str">
        <f t="shared" si="177"/>
        <v>San Rafael</v>
      </c>
      <c r="V1866" t="s">
        <v>274</v>
      </c>
      <c r="W1866" t="s">
        <v>55</v>
      </c>
      <c r="X1866">
        <v>97562</v>
      </c>
      <c r="Y1866" s="1" t="str">
        <f t="shared" si="178"/>
        <v>USA</v>
      </c>
      <c r="Z1866" s="4" t="str">
        <f t="shared" si="179"/>
        <v>Usa</v>
      </c>
      <c r="AA1866" t="s">
        <v>32</v>
      </c>
      <c r="AB1866" t="s">
        <v>33</v>
      </c>
      <c r="AC1866" t="s">
        <v>275</v>
      </c>
      <c r="AD1866" t="s">
        <v>276</v>
      </c>
      <c r="AE1866" t="s">
        <v>51</v>
      </c>
    </row>
    <row r="1867" spans="1:31" x14ac:dyDescent="0.3">
      <c r="A1867">
        <v>10380</v>
      </c>
      <c r="B1867">
        <v>44</v>
      </c>
      <c r="C1867">
        <v>79.06</v>
      </c>
      <c r="D1867">
        <v>9</v>
      </c>
      <c r="E1867" s="4" t="str">
        <f t="shared" si="174"/>
        <v>low sales</v>
      </c>
      <c r="F1867">
        <v>3478.64</v>
      </c>
      <c r="G1867" t="s">
        <v>2539</v>
      </c>
      <c r="H1867" s="1" t="str">
        <f t="shared" si="175"/>
        <v>Shipped</v>
      </c>
      <c r="I1867" s="4" t="str">
        <f t="shared" si="176"/>
        <v>completed</v>
      </c>
      <c r="J1867" t="s">
        <v>25</v>
      </c>
      <c r="K1867">
        <v>1</v>
      </c>
      <c r="L1867">
        <v>2</v>
      </c>
      <c r="M1867">
        <v>2005</v>
      </c>
      <c r="N1867" t="s">
        <v>181</v>
      </c>
      <c r="O1867">
        <v>85</v>
      </c>
      <c r="P1867" t="s">
        <v>637</v>
      </c>
      <c r="Q1867" t="s">
        <v>174</v>
      </c>
      <c r="R1867" t="s">
        <v>175</v>
      </c>
      <c r="S1867" t="s">
        <v>176</v>
      </c>
      <c r="U1867" s="1" t="str">
        <f t="shared" si="177"/>
        <v>Madrid</v>
      </c>
      <c r="V1867" t="s">
        <v>177</v>
      </c>
      <c r="X1867">
        <v>28034</v>
      </c>
      <c r="Y1867" s="1" t="str">
        <f t="shared" si="178"/>
        <v>SPAIN</v>
      </c>
      <c r="Z1867" s="4" t="str">
        <f t="shared" si="179"/>
        <v>Spain</v>
      </c>
      <c r="AA1867" t="s">
        <v>178</v>
      </c>
      <c r="AB1867" t="s">
        <v>42</v>
      </c>
      <c r="AC1867" t="s">
        <v>179</v>
      </c>
      <c r="AD1867" t="s">
        <v>180</v>
      </c>
      <c r="AE1867" t="s">
        <v>51</v>
      </c>
    </row>
    <row r="1868" spans="1:31" x14ac:dyDescent="0.3">
      <c r="A1868">
        <v>10407</v>
      </c>
      <c r="B1868">
        <v>13</v>
      </c>
      <c r="C1868">
        <v>81.33</v>
      </c>
      <c r="D1868">
        <v>7</v>
      </c>
      <c r="E1868" s="4" t="str">
        <f t="shared" si="174"/>
        <v>low sales</v>
      </c>
      <c r="F1868">
        <v>1057.29</v>
      </c>
      <c r="G1868" t="s">
        <v>2540</v>
      </c>
      <c r="H1868" s="1" t="str">
        <f t="shared" si="175"/>
        <v>On Hold</v>
      </c>
      <c r="I1868" s="4" t="str">
        <f t="shared" si="176"/>
        <v>not completed</v>
      </c>
      <c r="J1868" t="s">
        <v>401</v>
      </c>
      <c r="K1868">
        <v>2</v>
      </c>
      <c r="L1868">
        <v>4</v>
      </c>
      <c r="M1868">
        <v>2005</v>
      </c>
      <c r="N1868" t="s">
        <v>181</v>
      </c>
      <c r="O1868">
        <v>85</v>
      </c>
      <c r="P1868" t="s">
        <v>637</v>
      </c>
      <c r="Q1868" t="s">
        <v>397</v>
      </c>
      <c r="R1868">
        <v>4085553659</v>
      </c>
      <c r="S1868" t="s">
        <v>398</v>
      </c>
      <c r="U1868" s="1" t="str">
        <f t="shared" si="177"/>
        <v>San Jose</v>
      </c>
      <c r="V1868" t="s">
        <v>399</v>
      </c>
      <c r="W1868" t="s">
        <v>55</v>
      </c>
      <c r="X1868">
        <v>94217</v>
      </c>
      <c r="Y1868" s="1" t="str">
        <f t="shared" si="178"/>
        <v>USA</v>
      </c>
      <c r="Z1868" s="4" t="str">
        <f t="shared" si="179"/>
        <v>Usa</v>
      </c>
      <c r="AA1868" t="s">
        <v>32</v>
      </c>
      <c r="AB1868" t="s">
        <v>33</v>
      </c>
      <c r="AC1868" t="s">
        <v>102</v>
      </c>
      <c r="AD1868" t="s">
        <v>400</v>
      </c>
      <c r="AE1868" t="s">
        <v>36</v>
      </c>
    </row>
    <row r="1869" spans="1:31" x14ac:dyDescent="0.3">
      <c r="A1869">
        <v>10420</v>
      </c>
      <c r="B1869">
        <v>35</v>
      </c>
      <c r="C1869">
        <v>96.74</v>
      </c>
      <c r="D1869">
        <v>10</v>
      </c>
      <c r="E1869" s="4" t="str">
        <f t="shared" si="174"/>
        <v>low sales</v>
      </c>
      <c r="F1869">
        <v>3385.9</v>
      </c>
      <c r="G1869" t="s">
        <v>2541</v>
      </c>
      <c r="H1869" s="1" t="str">
        <f t="shared" si="175"/>
        <v>In Process</v>
      </c>
      <c r="I1869" s="4" t="str">
        <f t="shared" si="176"/>
        <v>not completed</v>
      </c>
      <c r="J1869" t="s">
        <v>300</v>
      </c>
      <c r="K1869">
        <v>2</v>
      </c>
      <c r="L1869">
        <v>5</v>
      </c>
      <c r="M1869">
        <v>2005</v>
      </c>
      <c r="N1869" t="s">
        <v>181</v>
      </c>
      <c r="O1869">
        <v>85</v>
      </c>
      <c r="P1869" t="s">
        <v>637</v>
      </c>
      <c r="Q1869" t="s">
        <v>152</v>
      </c>
      <c r="R1869" t="s">
        <v>153</v>
      </c>
      <c r="S1869" t="s">
        <v>154</v>
      </c>
      <c r="T1869" t="s">
        <v>155</v>
      </c>
      <c r="U1869" s="1" t="str">
        <f t="shared" si="177"/>
        <v>Chatswood</v>
      </c>
      <c r="V1869" t="s">
        <v>156</v>
      </c>
      <c r="W1869" t="s">
        <v>157</v>
      </c>
      <c r="X1869">
        <v>2067</v>
      </c>
      <c r="Y1869" s="1" t="str">
        <f t="shared" si="178"/>
        <v>AUSTRALIA</v>
      </c>
      <c r="Z1869" s="4" t="str">
        <f t="shared" si="179"/>
        <v>Australia</v>
      </c>
      <c r="AA1869" t="s">
        <v>95</v>
      </c>
      <c r="AB1869" t="s">
        <v>96</v>
      </c>
      <c r="AC1869" t="s">
        <v>158</v>
      </c>
      <c r="AD1869" t="s">
        <v>159</v>
      </c>
      <c r="AE1869" t="s">
        <v>51</v>
      </c>
    </row>
    <row r="1870" spans="1:31" x14ac:dyDescent="0.3">
      <c r="A1870">
        <v>10108</v>
      </c>
      <c r="B1870">
        <v>30</v>
      </c>
      <c r="C1870">
        <v>63.07</v>
      </c>
      <c r="D1870">
        <v>5</v>
      </c>
      <c r="E1870" s="4" t="str">
        <f t="shared" si="174"/>
        <v>low sales</v>
      </c>
      <c r="F1870">
        <v>1892.1</v>
      </c>
      <c r="G1870" t="s">
        <v>2542</v>
      </c>
      <c r="H1870" s="1" t="str">
        <f t="shared" si="175"/>
        <v>Shipped</v>
      </c>
      <c r="I1870" s="4" t="str">
        <f t="shared" si="176"/>
        <v>completed</v>
      </c>
      <c r="J1870" t="s">
        <v>25</v>
      </c>
      <c r="K1870">
        <v>1</v>
      </c>
      <c r="L1870">
        <v>3</v>
      </c>
      <c r="M1870">
        <v>2003</v>
      </c>
      <c r="N1870" t="s">
        <v>181</v>
      </c>
      <c r="O1870">
        <v>61</v>
      </c>
      <c r="P1870" t="s">
        <v>638</v>
      </c>
      <c r="Q1870" t="s">
        <v>425</v>
      </c>
      <c r="R1870" t="s">
        <v>426</v>
      </c>
      <c r="S1870" t="s">
        <v>427</v>
      </c>
      <c r="U1870" s="1" t="str">
        <f t="shared" si="177"/>
        <v>Makati City</v>
      </c>
      <c r="V1870" t="s">
        <v>428</v>
      </c>
      <c r="X1870" t="s">
        <v>429</v>
      </c>
      <c r="Y1870" s="1" t="str">
        <f t="shared" si="178"/>
        <v>PHILIPPINES</v>
      </c>
      <c r="Z1870" s="4" t="str">
        <f t="shared" si="179"/>
        <v>Philippines</v>
      </c>
      <c r="AA1870" t="s">
        <v>430</v>
      </c>
      <c r="AB1870" t="s">
        <v>200</v>
      </c>
      <c r="AC1870" t="s">
        <v>431</v>
      </c>
      <c r="AD1870" t="s">
        <v>432</v>
      </c>
      <c r="AE1870" t="s">
        <v>36</v>
      </c>
    </row>
    <row r="1871" spans="1:31" x14ac:dyDescent="0.3">
      <c r="A1871">
        <v>10122</v>
      </c>
      <c r="B1871">
        <v>34</v>
      </c>
      <c r="C1871">
        <v>50.21</v>
      </c>
      <c r="D1871">
        <v>9</v>
      </c>
      <c r="E1871" s="4" t="str">
        <f t="shared" si="174"/>
        <v>low sales</v>
      </c>
      <c r="F1871">
        <v>1707.14</v>
      </c>
      <c r="G1871" t="s">
        <v>2543</v>
      </c>
      <c r="H1871" s="1" t="str">
        <f t="shared" si="175"/>
        <v>Shipped</v>
      </c>
      <c r="I1871" s="4" t="str">
        <f t="shared" si="176"/>
        <v>completed</v>
      </c>
      <c r="J1871" t="s">
        <v>25</v>
      </c>
      <c r="K1871">
        <v>2</v>
      </c>
      <c r="L1871">
        <v>5</v>
      </c>
      <c r="M1871">
        <v>2003</v>
      </c>
      <c r="N1871" t="s">
        <v>181</v>
      </c>
      <c r="O1871">
        <v>61</v>
      </c>
      <c r="P1871" t="s">
        <v>638</v>
      </c>
      <c r="Q1871" t="s">
        <v>433</v>
      </c>
      <c r="R1871" t="s">
        <v>434</v>
      </c>
      <c r="S1871" t="s">
        <v>435</v>
      </c>
      <c r="U1871" s="1" t="str">
        <f t="shared" si="177"/>
        <v>Marseille</v>
      </c>
      <c r="V1871" t="s">
        <v>436</v>
      </c>
      <c r="X1871">
        <v>13008</v>
      </c>
      <c r="Y1871" s="1" t="str">
        <f t="shared" si="178"/>
        <v>FRANCE</v>
      </c>
      <c r="Z1871" s="4" t="str">
        <f t="shared" si="179"/>
        <v>France</v>
      </c>
      <c r="AA1871" t="s">
        <v>41</v>
      </c>
      <c r="AB1871" t="s">
        <v>42</v>
      </c>
      <c r="AC1871" t="s">
        <v>437</v>
      </c>
      <c r="AD1871" t="s">
        <v>438</v>
      </c>
      <c r="AE1871" t="s">
        <v>36</v>
      </c>
    </row>
    <row r="1872" spans="1:31" x14ac:dyDescent="0.3">
      <c r="A1872">
        <v>10135</v>
      </c>
      <c r="B1872">
        <v>27</v>
      </c>
      <c r="C1872">
        <v>66.13</v>
      </c>
      <c r="D1872">
        <v>6</v>
      </c>
      <c r="E1872" s="4" t="str">
        <f t="shared" si="174"/>
        <v>low sales</v>
      </c>
      <c r="F1872">
        <v>1785.51</v>
      </c>
      <c r="G1872" t="s">
        <v>2544</v>
      </c>
      <c r="H1872" s="1" t="str">
        <f t="shared" si="175"/>
        <v>Shipped</v>
      </c>
      <c r="I1872" s="4" t="str">
        <f t="shared" si="176"/>
        <v>completed</v>
      </c>
      <c r="J1872" t="s">
        <v>25</v>
      </c>
      <c r="K1872">
        <v>3</v>
      </c>
      <c r="L1872">
        <v>7</v>
      </c>
      <c r="M1872">
        <v>2003</v>
      </c>
      <c r="N1872" t="s">
        <v>181</v>
      </c>
      <c r="O1872">
        <v>61</v>
      </c>
      <c r="P1872" t="s">
        <v>638</v>
      </c>
      <c r="Q1872" t="s">
        <v>272</v>
      </c>
      <c r="R1872">
        <v>4155551450</v>
      </c>
      <c r="S1872" t="s">
        <v>273</v>
      </c>
      <c r="U1872" s="1" t="str">
        <f t="shared" si="177"/>
        <v>San Rafael</v>
      </c>
      <c r="V1872" t="s">
        <v>274</v>
      </c>
      <c r="W1872" t="s">
        <v>55</v>
      </c>
      <c r="X1872">
        <v>97562</v>
      </c>
      <c r="Y1872" s="1" t="str">
        <f t="shared" si="178"/>
        <v>USA</v>
      </c>
      <c r="Z1872" s="4" t="str">
        <f t="shared" si="179"/>
        <v>Usa</v>
      </c>
      <c r="AA1872" t="s">
        <v>32</v>
      </c>
      <c r="AB1872" t="s">
        <v>33</v>
      </c>
      <c r="AC1872" t="s">
        <v>275</v>
      </c>
      <c r="AD1872" t="s">
        <v>276</v>
      </c>
      <c r="AE1872" t="s">
        <v>36</v>
      </c>
    </row>
    <row r="1873" spans="1:31" x14ac:dyDescent="0.3">
      <c r="A1873">
        <v>10147</v>
      </c>
      <c r="B1873">
        <v>30</v>
      </c>
      <c r="C1873">
        <v>68.58</v>
      </c>
      <c r="D1873">
        <v>6</v>
      </c>
      <c r="E1873" s="4" t="str">
        <f t="shared" si="174"/>
        <v>low sales</v>
      </c>
      <c r="F1873">
        <v>2057.4</v>
      </c>
      <c r="G1873" t="s">
        <v>2545</v>
      </c>
      <c r="H1873" s="1" t="str">
        <f t="shared" si="175"/>
        <v>Shipped</v>
      </c>
      <c r="I1873" s="4" t="str">
        <f t="shared" si="176"/>
        <v>completed</v>
      </c>
      <c r="J1873" t="s">
        <v>25</v>
      </c>
      <c r="K1873">
        <v>3</v>
      </c>
      <c r="L1873">
        <v>9</v>
      </c>
      <c r="M1873">
        <v>2003</v>
      </c>
      <c r="N1873" t="s">
        <v>181</v>
      </c>
      <c r="O1873">
        <v>61</v>
      </c>
      <c r="P1873" t="s">
        <v>638</v>
      </c>
      <c r="Q1873" t="s">
        <v>281</v>
      </c>
      <c r="R1873">
        <v>6175558555</v>
      </c>
      <c r="S1873" t="s">
        <v>282</v>
      </c>
      <c r="U1873" s="1" t="str">
        <f t="shared" si="177"/>
        <v>Brickhaven</v>
      </c>
      <c r="V1873" t="s">
        <v>283</v>
      </c>
      <c r="W1873" t="s">
        <v>123</v>
      </c>
      <c r="X1873">
        <v>58339</v>
      </c>
      <c r="Y1873" s="1" t="str">
        <f t="shared" si="178"/>
        <v>USA</v>
      </c>
      <c r="Z1873" s="4" t="str">
        <f t="shared" si="179"/>
        <v>Usa</v>
      </c>
      <c r="AA1873" t="s">
        <v>32</v>
      </c>
      <c r="AB1873" t="s">
        <v>33</v>
      </c>
      <c r="AC1873" t="s">
        <v>275</v>
      </c>
      <c r="AD1873" t="s">
        <v>284</v>
      </c>
      <c r="AE1873" t="s">
        <v>36</v>
      </c>
    </row>
    <row r="1874" spans="1:31" x14ac:dyDescent="0.3">
      <c r="A1874">
        <v>10159</v>
      </c>
      <c r="B1874">
        <v>50</v>
      </c>
      <c r="C1874">
        <v>69.8</v>
      </c>
      <c r="D1874">
        <v>1</v>
      </c>
      <c r="E1874" s="4" t="str">
        <f t="shared" si="174"/>
        <v>low sales</v>
      </c>
      <c r="F1874">
        <v>3490</v>
      </c>
      <c r="G1874" t="s">
        <v>2546</v>
      </c>
      <c r="H1874" s="1" t="str">
        <f t="shared" si="175"/>
        <v>Shipped</v>
      </c>
      <c r="I1874" s="4" t="str">
        <f t="shared" si="176"/>
        <v>completed</v>
      </c>
      <c r="J1874" t="s">
        <v>25</v>
      </c>
      <c r="K1874">
        <v>4</v>
      </c>
      <c r="L1874">
        <v>10</v>
      </c>
      <c r="M1874">
        <v>2003</v>
      </c>
      <c r="N1874" t="s">
        <v>181</v>
      </c>
      <c r="O1874">
        <v>61</v>
      </c>
      <c r="P1874" t="s">
        <v>638</v>
      </c>
      <c r="Q1874" t="s">
        <v>58</v>
      </c>
      <c r="R1874">
        <v>6505551386</v>
      </c>
      <c r="S1874" t="s">
        <v>59</v>
      </c>
      <c r="U1874" s="1" t="str">
        <f t="shared" si="177"/>
        <v>San Francisco</v>
      </c>
      <c r="V1874" t="s">
        <v>60</v>
      </c>
      <c r="W1874" t="s">
        <v>55</v>
      </c>
      <c r="Y1874" s="1" t="str">
        <f t="shared" si="178"/>
        <v>USA</v>
      </c>
      <c r="Z1874" s="4" t="str">
        <f t="shared" si="179"/>
        <v>Usa</v>
      </c>
      <c r="AA1874" t="s">
        <v>32</v>
      </c>
      <c r="AB1874" t="s">
        <v>33</v>
      </c>
      <c r="AC1874" t="s">
        <v>61</v>
      </c>
      <c r="AD1874" t="s">
        <v>57</v>
      </c>
      <c r="AE1874" t="s">
        <v>51</v>
      </c>
    </row>
    <row r="1875" spans="1:31" x14ac:dyDescent="0.3">
      <c r="A1875">
        <v>10169</v>
      </c>
      <c r="B1875">
        <v>34</v>
      </c>
      <c r="C1875">
        <v>50.21</v>
      </c>
      <c r="D1875">
        <v>1</v>
      </c>
      <c r="E1875" s="4" t="str">
        <f t="shared" si="174"/>
        <v>low sales</v>
      </c>
      <c r="F1875">
        <v>1707.14</v>
      </c>
      <c r="G1875" t="s">
        <v>2547</v>
      </c>
      <c r="H1875" s="1" t="str">
        <f t="shared" si="175"/>
        <v>Shipped</v>
      </c>
      <c r="I1875" s="4" t="str">
        <f t="shared" si="176"/>
        <v>completed</v>
      </c>
      <c r="J1875" t="s">
        <v>25</v>
      </c>
      <c r="K1875">
        <v>4</v>
      </c>
      <c r="L1875">
        <v>11</v>
      </c>
      <c r="M1875">
        <v>2003</v>
      </c>
      <c r="N1875" t="s">
        <v>181</v>
      </c>
      <c r="O1875">
        <v>61</v>
      </c>
      <c r="P1875" t="s">
        <v>638</v>
      </c>
      <c r="Q1875" t="s">
        <v>285</v>
      </c>
      <c r="R1875" t="s">
        <v>286</v>
      </c>
      <c r="S1875" t="s">
        <v>287</v>
      </c>
      <c r="T1875" t="s">
        <v>288</v>
      </c>
      <c r="U1875" s="1" t="str">
        <f t="shared" si="177"/>
        <v>North Sydney</v>
      </c>
      <c r="V1875" t="s">
        <v>289</v>
      </c>
      <c r="W1875" t="s">
        <v>157</v>
      </c>
      <c r="X1875">
        <v>2060</v>
      </c>
      <c r="Y1875" s="1" t="str">
        <f t="shared" si="178"/>
        <v>AUSTRALIA</v>
      </c>
      <c r="Z1875" s="4" t="str">
        <f t="shared" si="179"/>
        <v>Australia</v>
      </c>
      <c r="AA1875" t="s">
        <v>95</v>
      </c>
      <c r="AB1875" t="s">
        <v>96</v>
      </c>
      <c r="AC1875" t="s">
        <v>290</v>
      </c>
      <c r="AD1875" t="s">
        <v>291</v>
      </c>
      <c r="AE1875" t="s">
        <v>36</v>
      </c>
    </row>
    <row r="1876" spans="1:31" x14ac:dyDescent="0.3">
      <c r="A1876">
        <v>10181</v>
      </c>
      <c r="B1876">
        <v>23</v>
      </c>
      <c r="C1876">
        <v>65.52</v>
      </c>
      <c r="D1876">
        <v>13</v>
      </c>
      <c r="E1876" s="4" t="str">
        <f t="shared" si="174"/>
        <v>low sales</v>
      </c>
      <c r="F1876">
        <v>1506.96</v>
      </c>
      <c r="G1876" t="s">
        <v>2548</v>
      </c>
      <c r="H1876" s="1" t="str">
        <f t="shared" si="175"/>
        <v>Shipped</v>
      </c>
      <c r="I1876" s="4" t="str">
        <f t="shared" si="176"/>
        <v>completed</v>
      </c>
      <c r="J1876" t="s">
        <v>25</v>
      </c>
      <c r="K1876">
        <v>4</v>
      </c>
      <c r="L1876">
        <v>11</v>
      </c>
      <c r="M1876">
        <v>2003</v>
      </c>
      <c r="N1876" t="s">
        <v>181</v>
      </c>
      <c r="O1876">
        <v>61</v>
      </c>
      <c r="P1876" t="s">
        <v>638</v>
      </c>
      <c r="Q1876" t="s">
        <v>73</v>
      </c>
      <c r="R1876" t="s">
        <v>74</v>
      </c>
      <c r="S1876" t="s">
        <v>75</v>
      </c>
      <c r="U1876" s="1" t="str">
        <f t="shared" si="177"/>
        <v>Bergen</v>
      </c>
      <c r="V1876" t="s">
        <v>76</v>
      </c>
      <c r="X1876" t="s">
        <v>77</v>
      </c>
      <c r="Y1876" s="1" t="str">
        <f t="shared" si="178"/>
        <v>NORWAY</v>
      </c>
      <c r="Z1876" s="4" t="str">
        <f t="shared" si="179"/>
        <v>Norway</v>
      </c>
      <c r="AA1876" t="s">
        <v>78</v>
      </c>
      <c r="AB1876" t="s">
        <v>42</v>
      </c>
      <c r="AC1876" t="s">
        <v>79</v>
      </c>
      <c r="AD1876" t="s">
        <v>80</v>
      </c>
      <c r="AE1876" t="s">
        <v>36</v>
      </c>
    </row>
    <row r="1877" spans="1:31" x14ac:dyDescent="0.3">
      <c r="A1877">
        <v>10191</v>
      </c>
      <c r="B1877">
        <v>48</v>
      </c>
      <c r="C1877">
        <v>60.01</v>
      </c>
      <c r="D1877">
        <v>2</v>
      </c>
      <c r="E1877" s="4" t="str">
        <f t="shared" si="174"/>
        <v>low sales</v>
      </c>
      <c r="F1877">
        <v>2880.48</v>
      </c>
      <c r="G1877" t="s">
        <v>2549</v>
      </c>
      <c r="H1877" s="1" t="str">
        <f t="shared" si="175"/>
        <v>Shipped</v>
      </c>
      <c r="I1877" s="4" t="str">
        <f t="shared" si="176"/>
        <v>completed</v>
      </c>
      <c r="J1877" t="s">
        <v>25</v>
      </c>
      <c r="K1877">
        <v>4</v>
      </c>
      <c r="L1877">
        <v>11</v>
      </c>
      <c r="M1877">
        <v>2003</v>
      </c>
      <c r="N1877" t="s">
        <v>181</v>
      </c>
      <c r="O1877">
        <v>61</v>
      </c>
      <c r="P1877" t="s">
        <v>638</v>
      </c>
      <c r="Q1877" t="s">
        <v>439</v>
      </c>
      <c r="R1877" t="s">
        <v>440</v>
      </c>
      <c r="S1877" t="s">
        <v>441</v>
      </c>
      <c r="U1877" s="1" t="str">
        <f t="shared" si="177"/>
        <v>Koln</v>
      </c>
      <c r="V1877" t="s">
        <v>442</v>
      </c>
      <c r="X1877">
        <v>50739</v>
      </c>
      <c r="Y1877" s="1" t="str">
        <f t="shared" si="178"/>
        <v>GERMANY</v>
      </c>
      <c r="Z1877" s="4" t="str">
        <f t="shared" si="179"/>
        <v>Germany</v>
      </c>
      <c r="AA1877" t="s">
        <v>443</v>
      </c>
      <c r="AB1877" t="s">
        <v>42</v>
      </c>
      <c r="AC1877" t="s">
        <v>444</v>
      </c>
      <c r="AD1877" t="s">
        <v>445</v>
      </c>
      <c r="AE1877" t="s">
        <v>36</v>
      </c>
    </row>
    <row r="1878" spans="1:31" x14ac:dyDescent="0.3">
      <c r="A1878">
        <v>10203</v>
      </c>
      <c r="B1878">
        <v>34</v>
      </c>
      <c r="C1878">
        <v>64.900000000000006</v>
      </c>
      <c r="D1878">
        <v>7</v>
      </c>
      <c r="E1878" s="4" t="str">
        <f t="shared" si="174"/>
        <v>low sales</v>
      </c>
      <c r="F1878">
        <v>2206.6</v>
      </c>
      <c r="G1878" t="s">
        <v>2550</v>
      </c>
      <c r="H1878" s="1" t="str">
        <f t="shared" si="175"/>
        <v>Shipped</v>
      </c>
      <c r="I1878" s="4" t="str">
        <f t="shared" si="176"/>
        <v>completed</v>
      </c>
      <c r="J1878" t="s">
        <v>25</v>
      </c>
      <c r="K1878">
        <v>4</v>
      </c>
      <c r="L1878">
        <v>12</v>
      </c>
      <c r="M1878">
        <v>2003</v>
      </c>
      <c r="N1878" t="s">
        <v>181</v>
      </c>
      <c r="O1878">
        <v>61</v>
      </c>
      <c r="P1878" t="s">
        <v>638</v>
      </c>
      <c r="Q1878" t="s">
        <v>174</v>
      </c>
      <c r="R1878" t="s">
        <v>175</v>
      </c>
      <c r="S1878" t="s">
        <v>176</v>
      </c>
      <c r="U1878" s="1" t="str">
        <f t="shared" si="177"/>
        <v>Madrid</v>
      </c>
      <c r="V1878" t="s">
        <v>177</v>
      </c>
      <c r="X1878">
        <v>28034</v>
      </c>
      <c r="Y1878" s="1" t="str">
        <f t="shared" si="178"/>
        <v>SPAIN</v>
      </c>
      <c r="Z1878" s="4" t="str">
        <f t="shared" si="179"/>
        <v>Spain</v>
      </c>
      <c r="AA1878" t="s">
        <v>178</v>
      </c>
      <c r="AB1878" t="s">
        <v>42</v>
      </c>
      <c r="AC1878" t="s">
        <v>179</v>
      </c>
      <c r="AD1878" t="s">
        <v>180</v>
      </c>
      <c r="AE1878" t="s">
        <v>36</v>
      </c>
    </row>
    <row r="1879" spans="1:31" x14ac:dyDescent="0.3">
      <c r="A1879">
        <v>10211</v>
      </c>
      <c r="B1879">
        <v>48</v>
      </c>
      <c r="C1879">
        <v>48.98</v>
      </c>
      <c r="D1879">
        <v>1</v>
      </c>
      <c r="E1879" s="4" t="str">
        <f t="shared" si="174"/>
        <v>low sales</v>
      </c>
      <c r="F1879">
        <v>2351.04</v>
      </c>
      <c r="G1879" t="s">
        <v>2551</v>
      </c>
      <c r="H1879" s="1" t="str">
        <f t="shared" si="175"/>
        <v>Shipped</v>
      </c>
      <c r="I1879" s="4" t="str">
        <f t="shared" si="176"/>
        <v>completed</v>
      </c>
      <c r="J1879" t="s">
        <v>25</v>
      </c>
      <c r="K1879">
        <v>1</v>
      </c>
      <c r="L1879">
        <v>1</v>
      </c>
      <c r="M1879">
        <v>2004</v>
      </c>
      <c r="N1879" t="s">
        <v>181</v>
      </c>
      <c r="O1879">
        <v>61</v>
      </c>
      <c r="P1879" t="s">
        <v>638</v>
      </c>
      <c r="Q1879" t="s">
        <v>84</v>
      </c>
      <c r="R1879" t="s">
        <v>85</v>
      </c>
      <c r="S1879" t="s">
        <v>86</v>
      </c>
      <c r="U1879" s="1" t="str">
        <f t="shared" si="177"/>
        <v>Paris</v>
      </c>
      <c r="V1879" t="s">
        <v>48</v>
      </c>
      <c r="X1879">
        <v>75016</v>
      </c>
      <c r="Y1879" s="1" t="str">
        <f t="shared" si="178"/>
        <v>FRANCE</v>
      </c>
      <c r="Z1879" s="4" t="str">
        <f t="shared" si="179"/>
        <v>France</v>
      </c>
      <c r="AA1879" t="s">
        <v>41</v>
      </c>
      <c r="AB1879" t="s">
        <v>42</v>
      </c>
      <c r="AC1879" t="s">
        <v>87</v>
      </c>
      <c r="AD1879" t="s">
        <v>88</v>
      </c>
      <c r="AE1879" t="s">
        <v>36</v>
      </c>
    </row>
    <row r="1880" spans="1:31" x14ac:dyDescent="0.3">
      <c r="A1880">
        <v>10225</v>
      </c>
      <c r="B1880">
        <v>24</v>
      </c>
      <c r="C1880">
        <v>50.21</v>
      </c>
      <c r="D1880">
        <v>8</v>
      </c>
      <c r="E1880" s="4" t="str">
        <f t="shared" si="174"/>
        <v>low sales</v>
      </c>
      <c r="F1880">
        <v>1205.04</v>
      </c>
      <c r="G1880" t="s">
        <v>2552</v>
      </c>
      <c r="H1880" s="1" t="str">
        <f t="shared" si="175"/>
        <v>Shipped</v>
      </c>
      <c r="I1880" s="4" t="str">
        <f t="shared" si="176"/>
        <v>completed</v>
      </c>
      <c r="J1880" t="s">
        <v>25</v>
      </c>
      <c r="K1880">
        <v>1</v>
      </c>
      <c r="L1880">
        <v>2</v>
      </c>
      <c r="M1880">
        <v>2004</v>
      </c>
      <c r="N1880" t="s">
        <v>181</v>
      </c>
      <c r="O1880">
        <v>61</v>
      </c>
      <c r="P1880" t="s">
        <v>638</v>
      </c>
      <c r="Q1880" t="s">
        <v>446</v>
      </c>
      <c r="R1880" t="s">
        <v>447</v>
      </c>
      <c r="S1880" t="s">
        <v>448</v>
      </c>
      <c r="U1880" s="1" t="str">
        <f t="shared" si="177"/>
        <v>Gensve</v>
      </c>
      <c r="V1880" t="s">
        <v>449</v>
      </c>
      <c r="X1880">
        <v>1203</v>
      </c>
      <c r="Y1880" s="1" t="str">
        <f t="shared" si="178"/>
        <v>SWITZERLAND</v>
      </c>
      <c r="Z1880" s="4" t="str">
        <f t="shared" si="179"/>
        <v>Switzerland</v>
      </c>
      <c r="AA1880" t="s">
        <v>450</v>
      </c>
      <c r="AB1880" t="s">
        <v>42</v>
      </c>
      <c r="AC1880" t="s">
        <v>451</v>
      </c>
      <c r="AD1880" t="s">
        <v>103</v>
      </c>
      <c r="AE1880" t="s">
        <v>36</v>
      </c>
    </row>
    <row r="1881" spans="1:31" x14ac:dyDescent="0.3">
      <c r="A1881">
        <v>10238</v>
      </c>
      <c r="B1881">
        <v>47</v>
      </c>
      <c r="C1881">
        <v>62.45</v>
      </c>
      <c r="D1881">
        <v>2</v>
      </c>
      <c r="E1881" s="4" t="str">
        <f t="shared" si="174"/>
        <v>low sales</v>
      </c>
      <c r="F1881">
        <v>2935.15</v>
      </c>
      <c r="G1881" t="s">
        <v>2553</v>
      </c>
      <c r="H1881" s="1" t="str">
        <f t="shared" si="175"/>
        <v>Shipped</v>
      </c>
      <c r="I1881" s="4" t="str">
        <f t="shared" si="176"/>
        <v>completed</v>
      </c>
      <c r="J1881" t="s">
        <v>25</v>
      </c>
      <c r="K1881">
        <v>2</v>
      </c>
      <c r="L1881">
        <v>4</v>
      </c>
      <c r="M1881">
        <v>2004</v>
      </c>
      <c r="N1881" t="s">
        <v>181</v>
      </c>
      <c r="O1881">
        <v>61</v>
      </c>
      <c r="P1881" t="s">
        <v>638</v>
      </c>
      <c r="Q1881" t="s">
        <v>322</v>
      </c>
      <c r="R1881" t="s">
        <v>323</v>
      </c>
      <c r="S1881" t="s">
        <v>324</v>
      </c>
      <c r="U1881" s="1" t="str">
        <f t="shared" si="177"/>
        <v>Kobenhavn</v>
      </c>
      <c r="V1881" t="s">
        <v>325</v>
      </c>
      <c r="X1881">
        <v>1734</v>
      </c>
      <c r="Y1881" s="1" t="str">
        <f t="shared" si="178"/>
        <v>DENMARK</v>
      </c>
      <c r="Z1881" s="4" t="str">
        <f t="shared" si="179"/>
        <v>Denmark</v>
      </c>
      <c r="AA1881" t="s">
        <v>326</v>
      </c>
      <c r="AB1881" t="s">
        <v>42</v>
      </c>
      <c r="AC1881" t="s">
        <v>327</v>
      </c>
      <c r="AD1881" t="s">
        <v>328</v>
      </c>
      <c r="AE1881" t="s">
        <v>36</v>
      </c>
    </row>
    <row r="1882" spans="1:31" x14ac:dyDescent="0.3">
      <c r="A1882">
        <v>10253</v>
      </c>
      <c r="B1882">
        <v>24</v>
      </c>
      <c r="C1882">
        <v>52.66</v>
      </c>
      <c r="D1882">
        <v>12</v>
      </c>
      <c r="E1882" s="4" t="str">
        <f t="shared" si="174"/>
        <v>low sales</v>
      </c>
      <c r="F1882">
        <v>1263.8399999999999</v>
      </c>
      <c r="G1882" t="s">
        <v>2554</v>
      </c>
      <c r="H1882" s="1" t="str">
        <f t="shared" si="175"/>
        <v>Cancelled</v>
      </c>
      <c r="I1882" s="4" t="str">
        <f t="shared" si="176"/>
        <v>not completed</v>
      </c>
      <c r="J1882" t="s">
        <v>339</v>
      </c>
      <c r="K1882">
        <v>2</v>
      </c>
      <c r="L1882">
        <v>6</v>
      </c>
      <c r="M1882">
        <v>2004</v>
      </c>
      <c r="N1882" t="s">
        <v>181</v>
      </c>
      <c r="O1882">
        <v>61</v>
      </c>
      <c r="P1882" t="s">
        <v>638</v>
      </c>
      <c r="Q1882" t="s">
        <v>165</v>
      </c>
      <c r="R1882" t="s">
        <v>166</v>
      </c>
      <c r="S1882" t="s">
        <v>167</v>
      </c>
      <c r="U1882" s="1" t="str">
        <f t="shared" si="177"/>
        <v>Liverpool</v>
      </c>
      <c r="V1882" t="s">
        <v>168</v>
      </c>
      <c r="X1882" t="s">
        <v>169</v>
      </c>
      <c r="Y1882" s="1" t="str">
        <f t="shared" si="178"/>
        <v>UK</v>
      </c>
      <c r="Z1882" s="4" t="str">
        <f t="shared" si="179"/>
        <v>Uk</v>
      </c>
      <c r="AA1882" t="s">
        <v>170</v>
      </c>
      <c r="AB1882" t="s">
        <v>42</v>
      </c>
      <c r="AC1882" t="s">
        <v>171</v>
      </c>
      <c r="AD1882" t="s">
        <v>172</v>
      </c>
      <c r="AE1882" t="s">
        <v>36</v>
      </c>
    </row>
    <row r="1883" spans="1:31" x14ac:dyDescent="0.3">
      <c r="A1883">
        <v>10266</v>
      </c>
      <c r="B1883">
        <v>47</v>
      </c>
      <c r="C1883">
        <v>62.45</v>
      </c>
      <c r="D1883">
        <v>13</v>
      </c>
      <c r="E1883" s="4" t="str">
        <f t="shared" si="174"/>
        <v>low sales</v>
      </c>
      <c r="F1883">
        <v>2935.15</v>
      </c>
      <c r="G1883" t="s">
        <v>2555</v>
      </c>
      <c r="H1883" s="1" t="str">
        <f t="shared" si="175"/>
        <v>Shipped</v>
      </c>
      <c r="I1883" s="4" t="str">
        <f t="shared" si="176"/>
        <v>completed</v>
      </c>
      <c r="J1883" t="s">
        <v>25</v>
      </c>
      <c r="K1883">
        <v>3</v>
      </c>
      <c r="L1883">
        <v>7</v>
      </c>
      <c r="M1883">
        <v>2004</v>
      </c>
      <c r="N1883" t="s">
        <v>181</v>
      </c>
      <c r="O1883">
        <v>61</v>
      </c>
      <c r="P1883" t="s">
        <v>638</v>
      </c>
      <c r="Q1883" t="s">
        <v>452</v>
      </c>
      <c r="R1883" t="s">
        <v>453</v>
      </c>
      <c r="S1883" t="s">
        <v>454</v>
      </c>
      <c r="U1883" s="1" t="str">
        <f t="shared" si="177"/>
        <v>Reggio Emilia</v>
      </c>
      <c r="V1883" t="s">
        <v>455</v>
      </c>
      <c r="X1883">
        <v>42100</v>
      </c>
      <c r="Y1883" s="1" t="str">
        <f t="shared" si="178"/>
        <v>ITALY</v>
      </c>
      <c r="Z1883" s="4" t="str">
        <f t="shared" si="179"/>
        <v>Italy</v>
      </c>
      <c r="AA1883" t="s">
        <v>258</v>
      </c>
      <c r="AB1883" t="s">
        <v>42</v>
      </c>
      <c r="AC1883" t="s">
        <v>456</v>
      </c>
      <c r="AD1883" t="s">
        <v>457</v>
      </c>
      <c r="AE1883" t="s">
        <v>36</v>
      </c>
    </row>
    <row r="1884" spans="1:31" x14ac:dyDescent="0.3">
      <c r="A1884">
        <v>10276</v>
      </c>
      <c r="B1884">
        <v>20</v>
      </c>
      <c r="C1884">
        <v>61.23</v>
      </c>
      <c r="D1884">
        <v>2</v>
      </c>
      <c r="E1884" s="4" t="str">
        <f t="shared" si="174"/>
        <v>low sales</v>
      </c>
      <c r="F1884">
        <v>1224.5999999999999</v>
      </c>
      <c r="G1884" t="s">
        <v>2556</v>
      </c>
      <c r="H1884" s="1" t="str">
        <f t="shared" si="175"/>
        <v>Shipped</v>
      </c>
      <c r="I1884" s="4" t="str">
        <f t="shared" si="176"/>
        <v>completed</v>
      </c>
      <c r="J1884" t="s">
        <v>25</v>
      </c>
      <c r="K1884">
        <v>3</v>
      </c>
      <c r="L1884">
        <v>8</v>
      </c>
      <c r="M1884">
        <v>2004</v>
      </c>
      <c r="N1884" t="s">
        <v>181</v>
      </c>
      <c r="O1884">
        <v>61</v>
      </c>
      <c r="P1884" t="s">
        <v>638</v>
      </c>
      <c r="Q1884" t="s">
        <v>458</v>
      </c>
      <c r="R1884">
        <v>6175557555</v>
      </c>
      <c r="S1884" t="s">
        <v>459</v>
      </c>
      <c r="U1884" s="1" t="str">
        <f t="shared" si="177"/>
        <v>Brickhaven</v>
      </c>
      <c r="V1884" t="s">
        <v>283</v>
      </c>
      <c r="W1884" t="s">
        <v>123</v>
      </c>
      <c r="X1884">
        <v>58339</v>
      </c>
      <c r="Y1884" s="1" t="str">
        <f t="shared" si="178"/>
        <v>USA</v>
      </c>
      <c r="Z1884" s="4" t="str">
        <f t="shared" si="179"/>
        <v>Usa</v>
      </c>
      <c r="AA1884" t="s">
        <v>32</v>
      </c>
      <c r="AB1884" t="s">
        <v>33</v>
      </c>
      <c r="AC1884" t="s">
        <v>460</v>
      </c>
      <c r="AD1884" t="s">
        <v>461</v>
      </c>
      <c r="AE1884" t="s">
        <v>36</v>
      </c>
    </row>
    <row r="1885" spans="1:31" x14ac:dyDescent="0.3">
      <c r="A1885">
        <v>10287</v>
      </c>
      <c r="B1885">
        <v>20</v>
      </c>
      <c r="C1885">
        <v>67.97</v>
      </c>
      <c r="D1885">
        <v>11</v>
      </c>
      <c r="E1885" s="4" t="str">
        <f t="shared" si="174"/>
        <v>low sales</v>
      </c>
      <c r="F1885">
        <v>1359.4</v>
      </c>
      <c r="G1885" t="s">
        <v>2557</v>
      </c>
      <c r="H1885" s="1" t="str">
        <f t="shared" si="175"/>
        <v>Shipped</v>
      </c>
      <c r="I1885" s="4" t="str">
        <f t="shared" si="176"/>
        <v>completed</v>
      </c>
      <c r="J1885" t="s">
        <v>25</v>
      </c>
      <c r="K1885">
        <v>3</v>
      </c>
      <c r="L1885">
        <v>8</v>
      </c>
      <c r="M1885">
        <v>2004</v>
      </c>
      <c r="N1885" t="s">
        <v>181</v>
      </c>
      <c r="O1885">
        <v>61</v>
      </c>
      <c r="P1885" t="s">
        <v>638</v>
      </c>
      <c r="Q1885" t="s">
        <v>446</v>
      </c>
      <c r="R1885" t="s">
        <v>447</v>
      </c>
      <c r="S1885" t="s">
        <v>448</v>
      </c>
      <c r="U1885" s="1" t="str">
        <f t="shared" si="177"/>
        <v>Gensve</v>
      </c>
      <c r="V1885" t="s">
        <v>449</v>
      </c>
      <c r="X1885">
        <v>1203</v>
      </c>
      <c r="Y1885" s="1" t="str">
        <f t="shared" si="178"/>
        <v>SWITZERLAND</v>
      </c>
      <c r="Z1885" s="4" t="str">
        <f t="shared" si="179"/>
        <v>Switzerland</v>
      </c>
      <c r="AA1885" t="s">
        <v>450</v>
      </c>
      <c r="AB1885" t="s">
        <v>42</v>
      </c>
      <c r="AC1885" t="s">
        <v>451</v>
      </c>
      <c r="AD1885" t="s">
        <v>103</v>
      </c>
      <c r="AE1885" t="s">
        <v>36</v>
      </c>
    </row>
    <row r="1886" spans="1:31" x14ac:dyDescent="0.3">
      <c r="A1886">
        <v>10300</v>
      </c>
      <c r="B1886">
        <v>31</v>
      </c>
      <c r="C1886">
        <v>58.78</v>
      </c>
      <c r="D1886">
        <v>4</v>
      </c>
      <c r="E1886" s="4" t="str">
        <f t="shared" si="174"/>
        <v>low sales</v>
      </c>
      <c r="F1886">
        <v>1822.18</v>
      </c>
      <c r="G1886" t="s">
        <v>2558</v>
      </c>
      <c r="H1886" s="1" t="str">
        <f t="shared" si="175"/>
        <v>Shipped</v>
      </c>
      <c r="I1886" s="4" t="str">
        <f t="shared" si="176"/>
        <v>completed</v>
      </c>
      <c r="J1886" t="s">
        <v>25</v>
      </c>
      <c r="K1886">
        <v>4</v>
      </c>
      <c r="L1886">
        <v>10</v>
      </c>
      <c r="M1886">
        <v>2003</v>
      </c>
      <c r="N1886" t="s">
        <v>181</v>
      </c>
      <c r="O1886">
        <v>61</v>
      </c>
      <c r="P1886" t="s">
        <v>638</v>
      </c>
      <c r="Q1886" t="s">
        <v>462</v>
      </c>
      <c r="R1886" t="s">
        <v>463</v>
      </c>
      <c r="S1886" t="s">
        <v>464</v>
      </c>
      <c r="U1886" s="1" t="str">
        <f t="shared" si="177"/>
        <v>Frankfurt</v>
      </c>
      <c r="V1886" t="s">
        <v>465</v>
      </c>
      <c r="X1886">
        <v>60528</v>
      </c>
      <c r="Y1886" s="1" t="str">
        <f t="shared" si="178"/>
        <v>GERMANY</v>
      </c>
      <c r="Z1886" s="4" t="str">
        <f t="shared" si="179"/>
        <v>Germany</v>
      </c>
      <c r="AA1886" t="s">
        <v>443</v>
      </c>
      <c r="AB1886" t="s">
        <v>42</v>
      </c>
      <c r="AC1886" t="s">
        <v>466</v>
      </c>
      <c r="AD1886" t="s">
        <v>414</v>
      </c>
      <c r="AE1886" t="s">
        <v>36</v>
      </c>
    </row>
    <row r="1887" spans="1:31" x14ac:dyDescent="0.3">
      <c r="A1887">
        <v>10310</v>
      </c>
      <c r="B1887">
        <v>38</v>
      </c>
      <c r="C1887">
        <v>56.94</v>
      </c>
      <c r="D1887">
        <v>9</v>
      </c>
      <c r="E1887" s="4" t="str">
        <f t="shared" si="174"/>
        <v>low sales</v>
      </c>
      <c r="F1887">
        <v>2163.7199999999998</v>
      </c>
      <c r="G1887" t="s">
        <v>2559</v>
      </c>
      <c r="H1887" s="1" t="str">
        <f t="shared" si="175"/>
        <v>Shipped</v>
      </c>
      <c r="I1887" s="4" t="str">
        <f t="shared" si="176"/>
        <v>completed</v>
      </c>
      <c r="J1887" t="s">
        <v>25</v>
      </c>
      <c r="K1887">
        <v>4</v>
      </c>
      <c r="L1887">
        <v>10</v>
      </c>
      <c r="M1887">
        <v>2004</v>
      </c>
      <c r="N1887" t="s">
        <v>181</v>
      </c>
      <c r="O1887">
        <v>61</v>
      </c>
      <c r="P1887" t="s">
        <v>638</v>
      </c>
      <c r="Q1887" t="s">
        <v>439</v>
      </c>
      <c r="R1887" t="s">
        <v>440</v>
      </c>
      <c r="S1887" t="s">
        <v>441</v>
      </c>
      <c r="U1887" s="1" t="str">
        <f t="shared" si="177"/>
        <v>Koln</v>
      </c>
      <c r="V1887" t="s">
        <v>442</v>
      </c>
      <c r="X1887">
        <v>50739</v>
      </c>
      <c r="Y1887" s="1" t="str">
        <f t="shared" si="178"/>
        <v>GERMANY</v>
      </c>
      <c r="Z1887" s="4" t="str">
        <f t="shared" si="179"/>
        <v>Germany</v>
      </c>
      <c r="AA1887" t="s">
        <v>443</v>
      </c>
      <c r="AB1887" t="s">
        <v>42</v>
      </c>
      <c r="AC1887" t="s">
        <v>444</v>
      </c>
      <c r="AD1887" t="s">
        <v>445</v>
      </c>
      <c r="AE1887" t="s">
        <v>36</v>
      </c>
    </row>
    <row r="1888" spans="1:31" x14ac:dyDescent="0.3">
      <c r="A1888">
        <v>10320</v>
      </c>
      <c r="B1888">
        <v>26</v>
      </c>
      <c r="C1888">
        <v>61.23</v>
      </c>
      <c r="D1888">
        <v>2</v>
      </c>
      <c r="E1888" s="4" t="str">
        <f t="shared" si="174"/>
        <v>low sales</v>
      </c>
      <c r="F1888">
        <v>1591.98</v>
      </c>
      <c r="G1888" t="s">
        <v>2560</v>
      </c>
      <c r="H1888" s="1" t="str">
        <f t="shared" si="175"/>
        <v>Shipped</v>
      </c>
      <c r="I1888" s="4" t="str">
        <f t="shared" si="176"/>
        <v>completed</v>
      </c>
      <c r="J1888" t="s">
        <v>25</v>
      </c>
      <c r="K1888">
        <v>4</v>
      </c>
      <c r="L1888">
        <v>11</v>
      </c>
      <c r="M1888">
        <v>2004</v>
      </c>
      <c r="N1888" t="s">
        <v>181</v>
      </c>
      <c r="O1888">
        <v>61</v>
      </c>
      <c r="P1888" t="s">
        <v>638</v>
      </c>
      <c r="Q1888" t="s">
        <v>183</v>
      </c>
      <c r="R1888" t="s">
        <v>184</v>
      </c>
      <c r="S1888" t="s">
        <v>185</v>
      </c>
      <c r="U1888" s="1" t="str">
        <f t="shared" si="177"/>
        <v>Lule</v>
      </c>
      <c r="V1888" t="s">
        <v>186</v>
      </c>
      <c r="X1888" t="s">
        <v>187</v>
      </c>
      <c r="Y1888" s="1" t="str">
        <f t="shared" si="178"/>
        <v>SWEDEN</v>
      </c>
      <c r="Z1888" s="4" t="str">
        <f t="shared" si="179"/>
        <v>Sweden</v>
      </c>
      <c r="AA1888" t="s">
        <v>188</v>
      </c>
      <c r="AB1888" t="s">
        <v>42</v>
      </c>
      <c r="AC1888" t="s">
        <v>189</v>
      </c>
      <c r="AD1888" t="s">
        <v>190</v>
      </c>
      <c r="AE1888" t="s">
        <v>36</v>
      </c>
    </row>
    <row r="1889" spans="1:31" x14ac:dyDescent="0.3">
      <c r="A1889">
        <v>10331</v>
      </c>
      <c r="B1889">
        <v>25</v>
      </c>
      <c r="C1889">
        <v>100</v>
      </c>
      <c r="D1889">
        <v>9</v>
      </c>
      <c r="E1889" s="4" t="str">
        <f t="shared" si="174"/>
        <v>low sales</v>
      </c>
      <c r="F1889">
        <v>3078.5</v>
      </c>
      <c r="G1889" t="s">
        <v>2561</v>
      </c>
      <c r="H1889" s="1" t="str">
        <f t="shared" si="175"/>
        <v>Shipped</v>
      </c>
      <c r="I1889" s="4" t="str">
        <f t="shared" si="176"/>
        <v>completed</v>
      </c>
      <c r="J1889" t="s">
        <v>25</v>
      </c>
      <c r="K1889">
        <v>4</v>
      </c>
      <c r="L1889">
        <v>11</v>
      </c>
      <c r="M1889">
        <v>2004</v>
      </c>
      <c r="N1889" t="s">
        <v>181</v>
      </c>
      <c r="O1889">
        <v>61</v>
      </c>
      <c r="P1889" t="s">
        <v>638</v>
      </c>
      <c r="Q1889" t="s">
        <v>309</v>
      </c>
      <c r="R1889">
        <v>2155559857</v>
      </c>
      <c r="S1889" t="s">
        <v>310</v>
      </c>
      <c r="U1889" s="1" t="str">
        <f t="shared" si="177"/>
        <v>Philadelphia</v>
      </c>
      <c r="V1889" t="s">
        <v>216</v>
      </c>
      <c r="W1889" t="s">
        <v>142</v>
      </c>
      <c r="X1889">
        <v>71270</v>
      </c>
      <c r="Y1889" s="1" t="str">
        <f t="shared" si="178"/>
        <v>USA</v>
      </c>
      <c r="Z1889" s="4" t="str">
        <f t="shared" si="179"/>
        <v>Usa</v>
      </c>
      <c r="AA1889" t="s">
        <v>32</v>
      </c>
      <c r="AB1889" t="s">
        <v>33</v>
      </c>
      <c r="AC1889" t="s">
        <v>124</v>
      </c>
      <c r="AD1889" t="s">
        <v>311</v>
      </c>
      <c r="AE1889" t="s">
        <v>51</v>
      </c>
    </row>
    <row r="1890" spans="1:31" x14ac:dyDescent="0.3">
      <c r="A1890">
        <v>10342</v>
      </c>
      <c r="B1890">
        <v>48</v>
      </c>
      <c r="C1890">
        <v>62.45</v>
      </c>
      <c r="D1890">
        <v>10</v>
      </c>
      <c r="E1890" s="4" t="str">
        <f t="shared" si="174"/>
        <v>low sales</v>
      </c>
      <c r="F1890">
        <v>2997.6</v>
      </c>
      <c r="G1890" t="s">
        <v>2562</v>
      </c>
      <c r="H1890" s="1" t="str">
        <f t="shared" si="175"/>
        <v>Shipped</v>
      </c>
      <c r="I1890" s="4" t="str">
        <f t="shared" si="176"/>
        <v>completed</v>
      </c>
      <c r="J1890" t="s">
        <v>25</v>
      </c>
      <c r="K1890">
        <v>4</v>
      </c>
      <c r="L1890">
        <v>11</v>
      </c>
      <c r="M1890">
        <v>2004</v>
      </c>
      <c r="N1890" t="s">
        <v>181</v>
      </c>
      <c r="O1890">
        <v>61</v>
      </c>
      <c r="P1890" t="s">
        <v>638</v>
      </c>
      <c r="Q1890" t="s">
        <v>89</v>
      </c>
      <c r="R1890" t="s">
        <v>90</v>
      </c>
      <c r="S1890" t="s">
        <v>91</v>
      </c>
      <c r="T1890" t="s">
        <v>92</v>
      </c>
      <c r="U1890" s="1" t="str">
        <f t="shared" si="177"/>
        <v>Melbourne</v>
      </c>
      <c r="V1890" t="s">
        <v>93</v>
      </c>
      <c r="W1890" t="s">
        <v>94</v>
      </c>
      <c r="X1890">
        <v>3004</v>
      </c>
      <c r="Y1890" s="1" t="str">
        <f t="shared" si="178"/>
        <v>AUSTRALIA</v>
      </c>
      <c r="Z1890" s="4" t="str">
        <f t="shared" si="179"/>
        <v>Australia</v>
      </c>
      <c r="AA1890" t="s">
        <v>95</v>
      </c>
      <c r="AB1890" t="s">
        <v>96</v>
      </c>
      <c r="AC1890" t="s">
        <v>97</v>
      </c>
      <c r="AD1890" t="s">
        <v>98</v>
      </c>
      <c r="AE1890" t="s">
        <v>36</v>
      </c>
    </row>
    <row r="1891" spans="1:31" x14ac:dyDescent="0.3">
      <c r="A1891">
        <v>10355</v>
      </c>
      <c r="B1891">
        <v>44</v>
      </c>
      <c r="C1891">
        <v>62.45</v>
      </c>
      <c r="D1891">
        <v>6</v>
      </c>
      <c r="E1891" s="4" t="str">
        <f t="shared" si="174"/>
        <v>low sales</v>
      </c>
      <c r="F1891">
        <v>2747.8</v>
      </c>
      <c r="G1891" t="s">
        <v>2563</v>
      </c>
      <c r="H1891" s="1" t="str">
        <f t="shared" si="175"/>
        <v>Shipped</v>
      </c>
      <c r="I1891" s="4" t="str">
        <f t="shared" si="176"/>
        <v>completed</v>
      </c>
      <c r="J1891" t="s">
        <v>25</v>
      </c>
      <c r="K1891">
        <v>4</v>
      </c>
      <c r="L1891">
        <v>12</v>
      </c>
      <c r="M1891">
        <v>2004</v>
      </c>
      <c r="N1891" t="s">
        <v>181</v>
      </c>
      <c r="O1891">
        <v>61</v>
      </c>
      <c r="P1891" t="s">
        <v>638</v>
      </c>
      <c r="Q1891" t="s">
        <v>174</v>
      </c>
      <c r="R1891" t="s">
        <v>175</v>
      </c>
      <c r="S1891" t="s">
        <v>176</v>
      </c>
      <c r="U1891" s="1" t="str">
        <f t="shared" si="177"/>
        <v>Madrid</v>
      </c>
      <c r="V1891" t="s">
        <v>177</v>
      </c>
      <c r="X1891">
        <v>28034</v>
      </c>
      <c r="Y1891" s="1" t="str">
        <f t="shared" si="178"/>
        <v>SPAIN</v>
      </c>
      <c r="Z1891" s="4" t="str">
        <f t="shared" si="179"/>
        <v>Spain</v>
      </c>
      <c r="AA1891" t="s">
        <v>178</v>
      </c>
      <c r="AB1891" t="s">
        <v>42</v>
      </c>
      <c r="AC1891" t="s">
        <v>179</v>
      </c>
      <c r="AD1891" t="s">
        <v>180</v>
      </c>
      <c r="AE1891" t="s">
        <v>36</v>
      </c>
    </row>
    <row r="1892" spans="1:31" x14ac:dyDescent="0.3">
      <c r="A1892">
        <v>10363</v>
      </c>
      <c r="B1892">
        <v>21</v>
      </c>
      <c r="C1892">
        <v>100</v>
      </c>
      <c r="D1892">
        <v>15</v>
      </c>
      <c r="E1892" s="4" t="str">
        <f t="shared" si="174"/>
        <v>low sales</v>
      </c>
      <c r="F1892">
        <v>2447.7600000000002</v>
      </c>
      <c r="G1892" t="s">
        <v>2564</v>
      </c>
      <c r="H1892" s="1" t="str">
        <f t="shared" si="175"/>
        <v>Shipped</v>
      </c>
      <c r="I1892" s="4" t="str">
        <f t="shared" si="176"/>
        <v>completed</v>
      </c>
      <c r="J1892" t="s">
        <v>25</v>
      </c>
      <c r="K1892">
        <v>1</v>
      </c>
      <c r="L1892">
        <v>1</v>
      </c>
      <c r="M1892">
        <v>2005</v>
      </c>
      <c r="N1892" t="s">
        <v>181</v>
      </c>
      <c r="O1892">
        <v>61</v>
      </c>
      <c r="P1892" t="s">
        <v>638</v>
      </c>
      <c r="Q1892" t="s">
        <v>467</v>
      </c>
      <c r="R1892" t="s">
        <v>468</v>
      </c>
      <c r="S1892" t="s">
        <v>469</v>
      </c>
      <c r="U1892" s="1" t="str">
        <f t="shared" si="177"/>
        <v>Espoo</v>
      </c>
      <c r="V1892" t="s">
        <v>470</v>
      </c>
      <c r="X1892" t="s">
        <v>471</v>
      </c>
      <c r="Y1892" s="1" t="str">
        <f t="shared" si="178"/>
        <v>FINLAND</v>
      </c>
      <c r="Z1892" s="4" t="str">
        <f t="shared" si="179"/>
        <v>Finland</v>
      </c>
      <c r="AA1892" t="s">
        <v>130</v>
      </c>
      <c r="AB1892" t="s">
        <v>42</v>
      </c>
      <c r="AC1892" t="s">
        <v>472</v>
      </c>
      <c r="AD1892" t="s">
        <v>473</v>
      </c>
      <c r="AE1892" t="s">
        <v>36</v>
      </c>
    </row>
    <row r="1893" spans="1:31" x14ac:dyDescent="0.3">
      <c r="A1893">
        <v>10378</v>
      </c>
      <c r="B1893">
        <v>46</v>
      </c>
      <c r="C1893">
        <v>41.54</v>
      </c>
      <c r="D1893">
        <v>6</v>
      </c>
      <c r="E1893" s="4" t="str">
        <f t="shared" si="174"/>
        <v>low sales</v>
      </c>
      <c r="F1893">
        <v>1910.84</v>
      </c>
      <c r="G1893" t="s">
        <v>2565</v>
      </c>
      <c r="H1893" s="1" t="str">
        <f t="shared" si="175"/>
        <v>Shipped</v>
      </c>
      <c r="I1893" s="4" t="str">
        <f t="shared" si="176"/>
        <v>completed</v>
      </c>
      <c r="J1893" t="s">
        <v>25</v>
      </c>
      <c r="K1893">
        <v>1</v>
      </c>
      <c r="L1893">
        <v>2</v>
      </c>
      <c r="M1893">
        <v>2005</v>
      </c>
      <c r="N1893" t="s">
        <v>181</v>
      </c>
      <c r="O1893">
        <v>61</v>
      </c>
      <c r="P1893" t="s">
        <v>638</v>
      </c>
      <c r="Q1893" t="s">
        <v>174</v>
      </c>
      <c r="R1893" t="s">
        <v>175</v>
      </c>
      <c r="S1893" t="s">
        <v>176</v>
      </c>
      <c r="U1893" s="1" t="str">
        <f t="shared" si="177"/>
        <v>Madrid</v>
      </c>
      <c r="V1893" t="s">
        <v>177</v>
      </c>
      <c r="X1893">
        <v>28034</v>
      </c>
      <c r="Y1893" s="1" t="str">
        <f t="shared" si="178"/>
        <v>SPAIN</v>
      </c>
      <c r="Z1893" s="4" t="str">
        <f t="shared" si="179"/>
        <v>Spain</v>
      </c>
      <c r="AA1893" t="s">
        <v>178</v>
      </c>
      <c r="AB1893" t="s">
        <v>42</v>
      </c>
      <c r="AC1893" t="s">
        <v>179</v>
      </c>
      <c r="AD1893" t="s">
        <v>180</v>
      </c>
      <c r="AE1893" t="s">
        <v>36</v>
      </c>
    </row>
    <row r="1894" spans="1:31" x14ac:dyDescent="0.3">
      <c r="A1894">
        <v>10390</v>
      </c>
      <c r="B1894">
        <v>46</v>
      </c>
      <c r="C1894">
        <v>52.84</v>
      </c>
      <c r="D1894">
        <v>6</v>
      </c>
      <c r="E1894" s="4" t="str">
        <f t="shared" si="174"/>
        <v>low sales</v>
      </c>
      <c r="F1894">
        <v>2430.64</v>
      </c>
      <c r="G1894" t="s">
        <v>2566</v>
      </c>
      <c r="H1894" s="1" t="str">
        <f t="shared" si="175"/>
        <v>Shipped</v>
      </c>
      <c r="I1894" s="4" t="str">
        <f t="shared" si="176"/>
        <v>completed</v>
      </c>
      <c r="J1894" t="s">
        <v>25</v>
      </c>
      <c r="K1894">
        <v>1</v>
      </c>
      <c r="L1894">
        <v>3</v>
      </c>
      <c r="M1894">
        <v>2005</v>
      </c>
      <c r="N1894" t="s">
        <v>181</v>
      </c>
      <c r="O1894">
        <v>61</v>
      </c>
      <c r="P1894" t="s">
        <v>638</v>
      </c>
      <c r="Q1894" t="s">
        <v>272</v>
      </c>
      <c r="R1894">
        <v>4155551450</v>
      </c>
      <c r="S1894" t="s">
        <v>273</v>
      </c>
      <c r="U1894" s="1" t="str">
        <f t="shared" si="177"/>
        <v>San Rafael</v>
      </c>
      <c r="V1894" t="s">
        <v>274</v>
      </c>
      <c r="W1894" t="s">
        <v>55</v>
      </c>
      <c r="X1894">
        <v>97562</v>
      </c>
      <c r="Y1894" s="1" t="str">
        <f t="shared" si="178"/>
        <v>USA</v>
      </c>
      <c r="Z1894" s="4" t="str">
        <f t="shared" si="179"/>
        <v>Usa</v>
      </c>
      <c r="AA1894" t="s">
        <v>32</v>
      </c>
      <c r="AB1894" t="s">
        <v>33</v>
      </c>
      <c r="AC1894" t="s">
        <v>275</v>
      </c>
      <c r="AD1894" t="s">
        <v>276</v>
      </c>
      <c r="AE1894" t="s">
        <v>36</v>
      </c>
    </row>
    <row r="1895" spans="1:31" x14ac:dyDescent="0.3">
      <c r="A1895">
        <v>10419</v>
      </c>
      <c r="B1895">
        <v>55</v>
      </c>
      <c r="C1895">
        <v>52.66</v>
      </c>
      <c r="D1895">
        <v>12</v>
      </c>
      <c r="E1895" s="4" t="str">
        <f t="shared" si="174"/>
        <v>low sales</v>
      </c>
      <c r="F1895">
        <v>2896.3</v>
      </c>
      <c r="G1895" t="s">
        <v>2567</v>
      </c>
      <c r="H1895" s="1" t="str">
        <f t="shared" si="175"/>
        <v>Shipped</v>
      </c>
      <c r="I1895" s="4" t="str">
        <f t="shared" si="176"/>
        <v>completed</v>
      </c>
      <c r="J1895" t="s">
        <v>25</v>
      </c>
      <c r="K1895">
        <v>2</v>
      </c>
      <c r="L1895">
        <v>5</v>
      </c>
      <c r="M1895">
        <v>2005</v>
      </c>
      <c r="N1895" t="s">
        <v>181</v>
      </c>
      <c r="O1895">
        <v>61</v>
      </c>
      <c r="P1895" t="s">
        <v>638</v>
      </c>
      <c r="Q1895" t="s">
        <v>144</v>
      </c>
      <c r="R1895" t="s">
        <v>145</v>
      </c>
      <c r="S1895" t="s">
        <v>146</v>
      </c>
      <c r="U1895" s="1" t="str">
        <f t="shared" si="177"/>
        <v>Salzburg</v>
      </c>
      <c r="V1895" t="s">
        <v>147</v>
      </c>
      <c r="X1895">
        <v>5020</v>
      </c>
      <c r="Y1895" s="1" t="str">
        <f t="shared" si="178"/>
        <v>AUSTRIA</v>
      </c>
      <c r="Z1895" s="4" t="str">
        <f t="shared" si="179"/>
        <v>Austria</v>
      </c>
      <c r="AA1895" t="s">
        <v>148</v>
      </c>
      <c r="AB1895" t="s">
        <v>42</v>
      </c>
      <c r="AC1895" t="s">
        <v>149</v>
      </c>
      <c r="AD1895" t="s">
        <v>150</v>
      </c>
      <c r="AE1895" t="s">
        <v>36</v>
      </c>
    </row>
    <row r="1896" spans="1:31" x14ac:dyDescent="0.3">
      <c r="A1896">
        <v>10106</v>
      </c>
      <c r="B1896">
        <v>31</v>
      </c>
      <c r="C1896">
        <v>52.6</v>
      </c>
      <c r="D1896">
        <v>14</v>
      </c>
      <c r="E1896" s="4" t="str">
        <f t="shared" si="174"/>
        <v>low sales</v>
      </c>
      <c r="F1896">
        <v>1630.6</v>
      </c>
      <c r="G1896" t="s">
        <v>2568</v>
      </c>
      <c r="H1896" s="1" t="str">
        <f t="shared" si="175"/>
        <v>Shipped</v>
      </c>
      <c r="I1896" s="4" t="str">
        <f t="shared" si="176"/>
        <v>completed</v>
      </c>
      <c r="J1896" t="s">
        <v>25</v>
      </c>
      <c r="K1896">
        <v>1</v>
      </c>
      <c r="L1896">
        <v>2</v>
      </c>
      <c r="M1896">
        <v>2003</v>
      </c>
      <c r="N1896" t="s">
        <v>550</v>
      </c>
      <c r="O1896">
        <v>65</v>
      </c>
      <c r="P1896" t="s">
        <v>639</v>
      </c>
      <c r="Q1896" t="s">
        <v>552</v>
      </c>
      <c r="R1896" t="s">
        <v>553</v>
      </c>
      <c r="S1896" t="s">
        <v>554</v>
      </c>
      <c r="U1896" s="1" t="str">
        <f t="shared" si="177"/>
        <v>Bergamo</v>
      </c>
      <c r="V1896" t="s">
        <v>555</v>
      </c>
      <c r="X1896">
        <v>24100</v>
      </c>
      <c r="Y1896" s="1" t="str">
        <f t="shared" si="178"/>
        <v>ITALY</v>
      </c>
      <c r="Z1896" s="4" t="str">
        <f t="shared" si="179"/>
        <v>Italy</v>
      </c>
      <c r="AA1896" t="s">
        <v>258</v>
      </c>
      <c r="AB1896" t="s">
        <v>42</v>
      </c>
      <c r="AC1896" t="s">
        <v>556</v>
      </c>
      <c r="AD1896" t="s">
        <v>557</v>
      </c>
      <c r="AE1896" t="s">
        <v>36</v>
      </c>
    </row>
    <row r="1897" spans="1:31" x14ac:dyDescent="0.3">
      <c r="A1897">
        <v>10119</v>
      </c>
      <c r="B1897">
        <v>20</v>
      </c>
      <c r="C1897">
        <v>72.98</v>
      </c>
      <c r="D1897">
        <v>5</v>
      </c>
      <c r="E1897" s="4" t="str">
        <f t="shared" si="174"/>
        <v>low sales</v>
      </c>
      <c r="F1897">
        <v>1459.6</v>
      </c>
      <c r="G1897" t="s">
        <v>2569</v>
      </c>
      <c r="H1897" s="1" t="str">
        <f t="shared" si="175"/>
        <v>Shipped</v>
      </c>
      <c r="I1897" s="4" t="str">
        <f t="shared" si="176"/>
        <v>completed</v>
      </c>
      <c r="J1897" t="s">
        <v>25</v>
      </c>
      <c r="K1897">
        <v>2</v>
      </c>
      <c r="L1897">
        <v>4</v>
      </c>
      <c r="M1897">
        <v>2003</v>
      </c>
      <c r="N1897" t="s">
        <v>550</v>
      </c>
      <c r="O1897">
        <v>65</v>
      </c>
      <c r="P1897" t="s">
        <v>639</v>
      </c>
      <c r="Q1897" t="s">
        <v>144</v>
      </c>
      <c r="R1897" t="s">
        <v>145</v>
      </c>
      <c r="S1897" t="s">
        <v>146</v>
      </c>
      <c r="U1897" s="1" t="str">
        <f t="shared" si="177"/>
        <v>Salzburg</v>
      </c>
      <c r="V1897" t="s">
        <v>147</v>
      </c>
      <c r="X1897">
        <v>5020</v>
      </c>
      <c r="Y1897" s="1" t="str">
        <f t="shared" si="178"/>
        <v>AUSTRIA</v>
      </c>
      <c r="Z1897" s="4" t="str">
        <f t="shared" si="179"/>
        <v>Austria</v>
      </c>
      <c r="AA1897" t="s">
        <v>148</v>
      </c>
      <c r="AB1897" t="s">
        <v>42</v>
      </c>
      <c r="AC1897" t="s">
        <v>149</v>
      </c>
      <c r="AD1897" t="s">
        <v>150</v>
      </c>
      <c r="AE1897" t="s">
        <v>36</v>
      </c>
    </row>
    <row r="1898" spans="1:31" x14ac:dyDescent="0.3">
      <c r="A1898">
        <v>10131</v>
      </c>
      <c r="B1898">
        <v>29</v>
      </c>
      <c r="C1898">
        <v>59.18</v>
      </c>
      <c r="D1898">
        <v>6</v>
      </c>
      <c r="E1898" s="4" t="str">
        <f t="shared" si="174"/>
        <v>low sales</v>
      </c>
      <c r="F1898">
        <v>1716.22</v>
      </c>
      <c r="G1898" t="s">
        <v>2570</v>
      </c>
      <c r="H1898" s="1" t="str">
        <f t="shared" si="175"/>
        <v>Shipped</v>
      </c>
      <c r="I1898" s="4" t="str">
        <f t="shared" si="176"/>
        <v>completed</v>
      </c>
      <c r="J1898" t="s">
        <v>25</v>
      </c>
      <c r="K1898">
        <v>2</v>
      </c>
      <c r="L1898">
        <v>6</v>
      </c>
      <c r="M1898">
        <v>2003</v>
      </c>
      <c r="N1898" t="s">
        <v>550</v>
      </c>
      <c r="O1898">
        <v>65</v>
      </c>
      <c r="P1898" t="s">
        <v>639</v>
      </c>
      <c r="Q1898" t="s">
        <v>568</v>
      </c>
      <c r="R1898">
        <v>2035554407</v>
      </c>
      <c r="S1898" t="s">
        <v>569</v>
      </c>
      <c r="U1898" s="1" t="str">
        <f t="shared" si="177"/>
        <v>Glendale</v>
      </c>
      <c r="V1898" t="s">
        <v>516</v>
      </c>
      <c r="W1898" t="s">
        <v>112</v>
      </c>
      <c r="X1898">
        <v>97561</v>
      </c>
      <c r="Y1898" s="1" t="str">
        <f t="shared" si="178"/>
        <v>USA</v>
      </c>
      <c r="Z1898" s="4" t="str">
        <f t="shared" si="179"/>
        <v>Usa</v>
      </c>
      <c r="AA1898" t="s">
        <v>32</v>
      </c>
      <c r="AB1898" t="s">
        <v>33</v>
      </c>
      <c r="AC1898" t="s">
        <v>570</v>
      </c>
      <c r="AD1898" t="s">
        <v>571</v>
      </c>
      <c r="AE1898" t="s">
        <v>36</v>
      </c>
    </row>
    <row r="1899" spans="1:31" x14ac:dyDescent="0.3">
      <c r="A1899">
        <v>10143</v>
      </c>
      <c r="B1899">
        <v>33</v>
      </c>
      <c r="C1899">
        <v>77.59</v>
      </c>
      <c r="D1899">
        <v>9</v>
      </c>
      <c r="E1899" s="4" t="str">
        <f t="shared" si="174"/>
        <v>low sales</v>
      </c>
      <c r="F1899">
        <v>2560.4699999999998</v>
      </c>
      <c r="G1899" t="s">
        <v>2571</v>
      </c>
      <c r="H1899" s="1" t="str">
        <f t="shared" si="175"/>
        <v>Shipped</v>
      </c>
      <c r="I1899" s="4" t="str">
        <f t="shared" si="176"/>
        <v>completed</v>
      </c>
      <c r="J1899" t="s">
        <v>25</v>
      </c>
      <c r="K1899">
        <v>3</v>
      </c>
      <c r="L1899">
        <v>8</v>
      </c>
      <c r="M1899">
        <v>2003</v>
      </c>
      <c r="N1899" t="s">
        <v>550</v>
      </c>
      <c r="O1899">
        <v>65</v>
      </c>
      <c r="P1899" t="s">
        <v>639</v>
      </c>
      <c r="Q1899" t="s">
        <v>335</v>
      </c>
      <c r="R1899">
        <v>5085559555</v>
      </c>
      <c r="S1899" t="s">
        <v>336</v>
      </c>
      <c r="U1899" s="1" t="str">
        <f t="shared" si="177"/>
        <v>New Bedford</v>
      </c>
      <c r="V1899" t="s">
        <v>162</v>
      </c>
      <c r="W1899" t="s">
        <v>123</v>
      </c>
      <c r="X1899">
        <v>50553</v>
      </c>
      <c r="Y1899" s="1" t="str">
        <f t="shared" si="178"/>
        <v>USA</v>
      </c>
      <c r="Z1899" s="4" t="str">
        <f t="shared" si="179"/>
        <v>Usa</v>
      </c>
      <c r="AA1899" t="s">
        <v>32</v>
      </c>
      <c r="AB1899" t="s">
        <v>33</v>
      </c>
      <c r="AC1899" t="s">
        <v>337</v>
      </c>
      <c r="AD1899" t="s">
        <v>338</v>
      </c>
      <c r="AE1899" t="s">
        <v>36</v>
      </c>
    </row>
    <row r="1900" spans="1:31" x14ac:dyDescent="0.3">
      <c r="A1900">
        <v>10155</v>
      </c>
      <c r="B1900">
        <v>34</v>
      </c>
      <c r="C1900">
        <v>55.89</v>
      </c>
      <c r="D1900">
        <v>7</v>
      </c>
      <c r="E1900" s="4" t="str">
        <f t="shared" si="174"/>
        <v>low sales</v>
      </c>
      <c r="F1900">
        <v>1900.26</v>
      </c>
      <c r="G1900" t="s">
        <v>2572</v>
      </c>
      <c r="H1900" s="1" t="str">
        <f t="shared" si="175"/>
        <v>Shipped</v>
      </c>
      <c r="I1900" s="4" t="str">
        <f t="shared" si="176"/>
        <v>completed</v>
      </c>
      <c r="J1900" t="s">
        <v>25</v>
      </c>
      <c r="K1900">
        <v>4</v>
      </c>
      <c r="L1900">
        <v>10</v>
      </c>
      <c r="M1900">
        <v>2003</v>
      </c>
      <c r="N1900" t="s">
        <v>550</v>
      </c>
      <c r="O1900">
        <v>65</v>
      </c>
      <c r="P1900" t="s">
        <v>639</v>
      </c>
      <c r="Q1900" t="s">
        <v>126</v>
      </c>
      <c r="R1900" t="s">
        <v>127</v>
      </c>
      <c r="S1900" t="s">
        <v>128</v>
      </c>
      <c r="U1900" s="1" t="str">
        <f t="shared" si="177"/>
        <v>Helsinki</v>
      </c>
      <c r="V1900" t="s">
        <v>129</v>
      </c>
      <c r="X1900">
        <v>21240</v>
      </c>
      <c r="Y1900" s="1" t="str">
        <f t="shared" si="178"/>
        <v>FINLAND</v>
      </c>
      <c r="Z1900" s="4" t="str">
        <f t="shared" si="179"/>
        <v>Finland</v>
      </c>
      <c r="AA1900" t="s">
        <v>130</v>
      </c>
      <c r="AB1900" t="s">
        <v>42</v>
      </c>
      <c r="AC1900" t="s">
        <v>131</v>
      </c>
      <c r="AD1900" t="s">
        <v>132</v>
      </c>
      <c r="AE1900" t="s">
        <v>36</v>
      </c>
    </row>
    <row r="1901" spans="1:31" x14ac:dyDescent="0.3">
      <c r="A1901">
        <v>10167</v>
      </c>
      <c r="B1901">
        <v>32</v>
      </c>
      <c r="C1901">
        <v>63.12</v>
      </c>
      <c r="D1901">
        <v>3</v>
      </c>
      <c r="E1901" s="4" t="str">
        <f t="shared" si="174"/>
        <v>low sales</v>
      </c>
      <c r="F1901">
        <v>2019.84</v>
      </c>
      <c r="G1901" t="s">
        <v>2573</v>
      </c>
      <c r="H1901" s="1" t="str">
        <f t="shared" si="175"/>
        <v>Cancelled</v>
      </c>
      <c r="I1901" s="4" t="str">
        <f t="shared" si="176"/>
        <v>not completed</v>
      </c>
      <c r="J1901" t="s">
        <v>339</v>
      </c>
      <c r="K1901">
        <v>4</v>
      </c>
      <c r="L1901">
        <v>10</v>
      </c>
      <c r="M1901">
        <v>2003</v>
      </c>
      <c r="N1901" t="s">
        <v>550</v>
      </c>
      <c r="O1901">
        <v>65</v>
      </c>
      <c r="P1901" t="s">
        <v>639</v>
      </c>
      <c r="Q1901" t="s">
        <v>261</v>
      </c>
      <c r="R1901" t="s">
        <v>262</v>
      </c>
      <c r="S1901" t="s">
        <v>263</v>
      </c>
      <c r="U1901" s="1" t="str">
        <f t="shared" si="177"/>
        <v>Boras</v>
      </c>
      <c r="V1901" t="s">
        <v>264</v>
      </c>
      <c r="X1901" t="s">
        <v>265</v>
      </c>
      <c r="Y1901" s="1" t="str">
        <f t="shared" si="178"/>
        <v>SWEDEN</v>
      </c>
      <c r="Z1901" s="4" t="str">
        <f t="shared" si="179"/>
        <v>Sweden</v>
      </c>
      <c r="AA1901" t="s">
        <v>188</v>
      </c>
      <c r="AB1901" t="s">
        <v>42</v>
      </c>
      <c r="AC1901" t="s">
        <v>266</v>
      </c>
      <c r="AD1901" t="s">
        <v>206</v>
      </c>
      <c r="AE1901" t="s">
        <v>36</v>
      </c>
    </row>
    <row r="1902" spans="1:31" x14ac:dyDescent="0.3">
      <c r="A1902">
        <v>10178</v>
      </c>
      <c r="B1902">
        <v>27</v>
      </c>
      <c r="C1902">
        <v>73.64</v>
      </c>
      <c r="D1902">
        <v>6</v>
      </c>
      <c r="E1902" s="4" t="str">
        <f t="shared" si="174"/>
        <v>low sales</v>
      </c>
      <c r="F1902">
        <v>1988.28</v>
      </c>
      <c r="G1902" t="s">
        <v>2574</v>
      </c>
      <c r="H1902" s="1" t="str">
        <f t="shared" si="175"/>
        <v>Shipped</v>
      </c>
      <c r="I1902" s="4" t="str">
        <f t="shared" si="176"/>
        <v>completed</v>
      </c>
      <c r="J1902" t="s">
        <v>25</v>
      </c>
      <c r="K1902">
        <v>4</v>
      </c>
      <c r="L1902">
        <v>11</v>
      </c>
      <c r="M1902">
        <v>2003</v>
      </c>
      <c r="N1902" t="s">
        <v>550</v>
      </c>
      <c r="O1902">
        <v>65</v>
      </c>
      <c r="P1902" t="s">
        <v>639</v>
      </c>
      <c r="Q1902" t="s">
        <v>340</v>
      </c>
      <c r="R1902" t="s">
        <v>341</v>
      </c>
      <c r="S1902" t="s">
        <v>342</v>
      </c>
      <c r="U1902" s="1" t="str">
        <f t="shared" si="177"/>
        <v>Toulouse</v>
      </c>
      <c r="V1902" t="s">
        <v>343</v>
      </c>
      <c r="X1902">
        <v>31000</v>
      </c>
      <c r="Y1902" s="1" t="str">
        <f t="shared" si="178"/>
        <v>FRANCE</v>
      </c>
      <c r="Z1902" s="4" t="str">
        <f t="shared" si="179"/>
        <v>France</v>
      </c>
      <c r="AA1902" t="s">
        <v>41</v>
      </c>
      <c r="AB1902" t="s">
        <v>42</v>
      </c>
      <c r="AC1902" t="s">
        <v>344</v>
      </c>
      <c r="AD1902" t="s">
        <v>345</v>
      </c>
      <c r="AE1902" t="s">
        <v>36</v>
      </c>
    </row>
    <row r="1903" spans="1:31" x14ac:dyDescent="0.3">
      <c r="A1903">
        <v>10186</v>
      </c>
      <c r="B1903">
        <v>21</v>
      </c>
      <c r="C1903">
        <v>69.040000000000006</v>
      </c>
      <c r="D1903">
        <v>3</v>
      </c>
      <c r="E1903" s="4" t="str">
        <f t="shared" si="174"/>
        <v>low sales</v>
      </c>
      <c r="F1903">
        <v>1449.84</v>
      </c>
      <c r="G1903" t="s">
        <v>2575</v>
      </c>
      <c r="H1903" s="1" t="str">
        <f t="shared" si="175"/>
        <v>Shipped</v>
      </c>
      <c r="I1903" s="4" t="str">
        <f t="shared" si="176"/>
        <v>completed</v>
      </c>
      <c r="J1903" t="s">
        <v>25</v>
      </c>
      <c r="K1903">
        <v>4</v>
      </c>
      <c r="L1903">
        <v>11</v>
      </c>
      <c r="M1903">
        <v>2003</v>
      </c>
      <c r="N1903" t="s">
        <v>550</v>
      </c>
      <c r="O1903">
        <v>65</v>
      </c>
      <c r="P1903" t="s">
        <v>639</v>
      </c>
      <c r="Q1903" t="s">
        <v>346</v>
      </c>
      <c r="R1903" t="s">
        <v>347</v>
      </c>
      <c r="S1903" t="s">
        <v>348</v>
      </c>
      <c r="U1903" s="1" t="str">
        <f t="shared" si="177"/>
        <v>London</v>
      </c>
      <c r="V1903" t="s">
        <v>332</v>
      </c>
      <c r="X1903" t="s">
        <v>349</v>
      </c>
      <c r="Y1903" s="1" t="str">
        <f t="shared" si="178"/>
        <v>UK</v>
      </c>
      <c r="Z1903" s="4" t="str">
        <f t="shared" si="179"/>
        <v>Uk</v>
      </c>
      <c r="AA1903" t="s">
        <v>170</v>
      </c>
      <c r="AB1903" t="s">
        <v>42</v>
      </c>
      <c r="AC1903" t="s">
        <v>350</v>
      </c>
      <c r="AD1903" t="s">
        <v>351</v>
      </c>
      <c r="AE1903" t="s">
        <v>36</v>
      </c>
    </row>
    <row r="1904" spans="1:31" x14ac:dyDescent="0.3">
      <c r="A1904">
        <v>10198</v>
      </c>
      <c r="B1904">
        <v>27</v>
      </c>
      <c r="C1904">
        <v>71.67</v>
      </c>
      <c r="D1904">
        <v>6</v>
      </c>
      <c r="E1904" s="4" t="str">
        <f t="shared" si="174"/>
        <v>low sales</v>
      </c>
      <c r="F1904">
        <v>1935.09</v>
      </c>
      <c r="G1904" t="s">
        <v>2576</v>
      </c>
      <c r="H1904" s="1" t="str">
        <f t="shared" si="175"/>
        <v>Shipped</v>
      </c>
      <c r="I1904" s="4" t="str">
        <f t="shared" si="176"/>
        <v>completed</v>
      </c>
      <c r="J1904" t="s">
        <v>25</v>
      </c>
      <c r="K1904">
        <v>4</v>
      </c>
      <c r="L1904">
        <v>11</v>
      </c>
      <c r="M1904">
        <v>2003</v>
      </c>
      <c r="N1904" t="s">
        <v>550</v>
      </c>
      <c r="O1904">
        <v>65</v>
      </c>
      <c r="P1904" t="s">
        <v>639</v>
      </c>
      <c r="Q1904" t="s">
        <v>425</v>
      </c>
      <c r="R1904" t="s">
        <v>426</v>
      </c>
      <c r="S1904" t="s">
        <v>427</v>
      </c>
      <c r="U1904" s="1" t="str">
        <f t="shared" si="177"/>
        <v>Makati City</v>
      </c>
      <c r="V1904" t="s">
        <v>428</v>
      </c>
      <c r="X1904" t="s">
        <v>429</v>
      </c>
      <c r="Y1904" s="1" t="str">
        <f t="shared" si="178"/>
        <v>PHILIPPINES</v>
      </c>
      <c r="Z1904" s="4" t="str">
        <f t="shared" si="179"/>
        <v>Philippines</v>
      </c>
      <c r="AA1904" t="s">
        <v>430</v>
      </c>
      <c r="AB1904" t="s">
        <v>200</v>
      </c>
      <c r="AC1904" t="s">
        <v>431</v>
      </c>
      <c r="AD1904" t="s">
        <v>432</v>
      </c>
      <c r="AE1904" t="s">
        <v>36</v>
      </c>
    </row>
    <row r="1905" spans="1:31" x14ac:dyDescent="0.3">
      <c r="A1905">
        <v>10209</v>
      </c>
      <c r="B1905">
        <v>36</v>
      </c>
      <c r="C1905">
        <v>77.59</v>
      </c>
      <c r="D1905">
        <v>2</v>
      </c>
      <c r="E1905" s="4" t="str">
        <f t="shared" si="174"/>
        <v>low sales</v>
      </c>
      <c r="F1905">
        <v>2793.24</v>
      </c>
      <c r="G1905" t="s">
        <v>2577</v>
      </c>
      <c r="H1905" s="1" t="str">
        <f t="shared" si="175"/>
        <v>Shipped</v>
      </c>
      <c r="I1905" s="4" t="str">
        <f t="shared" si="176"/>
        <v>completed</v>
      </c>
      <c r="J1905" t="s">
        <v>25</v>
      </c>
      <c r="K1905">
        <v>1</v>
      </c>
      <c r="L1905">
        <v>1</v>
      </c>
      <c r="M1905">
        <v>2004</v>
      </c>
      <c r="N1905" t="s">
        <v>550</v>
      </c>
      <c r="O1905">
        <v>65</v>
      </c>
      <c r="P1905" t="s">
        <v>639</v>
      </c>
      <c r="Q1905" t="s">
        <v>358</v>
      </c>
      <c r="R1905">
        <v>2155554369</v>
      </c>
      <c r="S1905" t="s">
        <v>359</v>
      </c>
      <c r="U1905" s="1" t="str">
        <f t="shared" si="177"/>
        <v>Los Angeles</v>
      </c>
      <c r="V1905" t="s">
        <v>360</v>
      </c>
      <c r="W1905" t="s">
        <v>55</v>
      </c>
      <c r="Y1905" s="1" t="str">
        <f t="shared" si="178"/>
        <v>USA</v>
      </c>
      <c r="Z1905" s="4" t="str">
        <f t="shared" si="179"/>
        <v>Usa</v>
      </c>
      <c r="AA1905" t="s">
        <v>32</v>
      </c>
      <c r="AB1905" t="s">
        <v>33</v>
      </c>
      <c r="AC1905" t="s">
        <v>361</v>
      </c>
      <c r="AD1905" t="s">
        <v>103</v>
      </c>
      <c r="AE1905" t="s">
        <v>36</v>
      </c>
    </row>
    <row r="1906" spans="1:31" x14ac:dyDescent="0.3">
      <c r="A1906">
        <v>10222</v>
      </c>
      <c r="B1906">
        <v>43</v>
      </c>
      <c r="C1906">
        <v>70.349999999999994</v>
      </c>
      <c r="D1906">
        <v>6</v>
      </c>
      <c r="E1906" s="4" t="str">
        <f t="shared" si="174"/>
        <v>low sales</v>
      </c>
      <c r="F1906">
        <v>3025.05</v>
      </c>
      <c r="G1906" t="s">
        <v>2578</v>
      </c>
      <c r="H1906" s="1" t="str">
        <f t="shared" si="175"/>
        <v>Shipped</v>
      </c>
      <c r="I1906" s="4" t="str">
        <f t="shared" si="176"/>
        <v>completed</v>
      </c>
      <c r="J1906" t="s">
        <v>25</v>
      </c>
      <c r="K1906">
        <v>1</v>
      </c>
      <c r="L1906">
        <v>2</v>
      </c>
      <c r="M1906">
        <v>2004</v>
      </c>
      <c r="N1906" t="s">
        <v>550</v>
      </c>
      <c r="O1906">
        <v>65</v>
      </c>
      <c r="P1906" t="s">
        <v>639</v>
      </c>
      <c r="Q1906" t="s">
        <v>362</v>
      </c>
      <c r="R1906">
        <v>7605558146</v>
      </c>
      <c r="S1906" t="s">
        <v>363</v>
      </c>
      <c r="U1906" s="1" t="str">
        <f t="shared" si="177"/>
        <v>San Diego</v>
      </c>
      <c r="V1906" t="s">
        <v>364</v>
      </c>
      <c r="W1906" t="s">
        <v>55</v>
      </c>
      <c r="X1906">
        <v>91217</v>
      </c>
      <c r="Y1906" s="1" t="str">
        <f t="shared" si="178"/>
        <v>USA</v>
      </c>
      <c r="Z1906" s="4" t="str">
        <f t="shared" si="179"/>
        <v>Usa</v>
      </c>
      <c r="AA1906" t="s">
        <v>32</v>
      </c>
      <c r="AB1906" t="s">
        <v>33</v>
      </c>
      <c r="AC1906" t="s">
        <v>237</v>
      </c>
      <c r="AD1906" t="s">
        <v>276</v>
      </c>
      <c r="AE1906" t="s">
        <v>51</v>
      </c>
    </row>
    <row r="1907" spans="1:31" x14ac:dyDescent="0.3">
      <c r="A1907">
        <v>10249</v>
      </c>
      <c r="B1907">
        <v>25</v>
      </c>
      <c r="C1907">
        <v>69.7</v>
      </c>
      <c r="D1907">
        <v>2</v>
      </c>
      <c r="E1907" s="4" t="str">
        <f t="shared" si="174"/>
        <v>low sales</v>
      </c>
      <c r="F1907">
        <v>1742.5</v>
      </c>
      <c r="G1907" t="s">
        <v>2579</v>
      </c>
      <c r="H1907" s="1" t="str">
        <f t="shared" si="175"/>
        <v>Shipped</v>
      </c>
      <c r="I1907" s="4" t="str">
        <f t="shared" si="176"/>
        <v>completed</v>
      </c>
      <c r="J1907" t="s">
        <v>25</v>
      </c>
      <c r="K1907">
        <v>2</v>
      </c>
      <c r="L1907">
        <v>5</v>
      </c>
      <c r="M1907">
        <v>2004</v>
      </c>
      <c r="N1907" t="s">
        <v>550</v>
      </c>
      <c r="O1907">
        <v>65</v>
      </c>
      <c r="P1907" t="s">
        <v>639</v>
      </c>
      <c r="Q1907" t="s">
        <v>239</v>
      </c>
      <c r="R1907">
        <v>6175555555</v>
      </c>
      <c r="S1907" t="s">
        <v>240</v>
      </c>
      <c r="U1907" s="1" t="str">
        <f t="shared" si="177"/>
        <v>Cambridge</v>
      </c>
      <c r="V1907" t="s">
        <v>122</v>
      </c>
      <c r="W1907" t="s">
        <v>123</v>
      </c>
      <c r="X1907">
        <v>51247</v>
      </c>
      <c r="Y1907" s="1" t="str">
        <f t="shared" si="178"/>
        <v>USA</v>
      </c>
      <c r="Z1907" s="4" t="str">
        <f t="shared" si="179"/>
        <v>Usa</v>
      </c>
      <c r="AA1907" t="s">
        <v>32</v>
      </c>
      <c r="AB1907" t="s">
        <v>33</v>
      </c>
      <c r="AC1907" t="s">
        <v>241</v>
      </c>
      <c r="AD1907" t="s">
        <v>143</v>
      </c>
      <c r="AE1907" t="s">
        <v>36</v>
      </c>
    </row>
    <row r="1908" spans="1:31" x14ac:dyDescent="0.3">
      <c r="A1908">
        <v>10262</v>
      </c>
      <c r="B1908">
        <v>46</v>
      </c>
      <c r="C1908">
        <v>70.349999999999994</v>
      </c>
      <c r="D1908">
        <v>11</v>
      </c>
      <c r="E1908" s="4" t="str">
        <f t="shared" si="174"/>
        <v>low sales</v>
      </c>
      <c r="F1908">
        <v>3236.1</v>
      </c>
      <c r="G1908" t="s">
        <v>2580</v>
      </c>
      <c r="H1908" s="1" t="str">
        <f t="shared" si="175"/>
        <v>Cancelled</v>
      </c>
      <c r="I1908" s="4" t="str">
        <f t="shared" si="176"/>
        <v>not completed</v>
      </c>
      <c r="J1908" t="s">
        <v>339</v>
      </c>
      <c r="K1908">
        <v>2</v>
      </c>
      <c r="L1908">
        <v>6</v>
      </c>
      <c r="M1908">
        <v>2004</v>
      </c>
      <c r="N1908" t="s">
        <v>550</v>
      </c>
      <c r="O1908">
        <v>65</v>
      </c>
      <c r="P1908" t="s">
        <v>639</v>
      </c>
      <c r="Q1908" t="s">
        <v>174</v>
      </c>
      <c r="R1908" t="s">
        <v>175</v>
      </c>
      <c r="S1908" t="s">
        <v>176</v>
      </c>
      <c r="U1908" s="1" t="str">
        <f t="shared" si="177"/>
        <v>Madrid</v>
      </c>
      <c r="V1908" t="s">
        <v>177</v>
      </c>
      <c r="X1908">
        <v>28034</v>
      </c>
      <c r="Y1908" s="1" t="str">
        <f t="shared" si="178"/>
        <v>SPAIN</v>
      </c>
      <c r="Z1908" s="4" t="str">
        <f t="shared" si="179"/>
        <v>Spain</v>
      </c>
      <c r="AA1908" t="s">
        <v>178</v>
      </c>
      <c r="AB1908" t="s">
        <v>42</v>
      </c>
      <c r="AC1908" t="s">
        <v>179</v>
      </c>
      <c r="AD1908" t="s">
        <v>180</v>
      </c>
      <c r="AE1908" t="s">
        <v>51</v>
      </c>
    </row>
    <row r="1909" spans="1:31" x14ac:dyDescent="0.3">
      <c r="A1909">
        <v>10274</v>
      </c>
      <c r="B1909">
        <v>24</v>
      </c>
      <c r="C1909">
        <v>72.33</v>
      </c>
      <c r="D1909">
        <v>3</v>
      </c>
      <c r="E1909" s="4" t="str">
        <f t="shared" si="174"/>
        <v>low sales</v>
      </c>
      <c r="F1909">
        <v>1735.92</v>
      </c>
      <c r="G1909" t="s">
        <v>2581</v>
      </c>
      <c r="H1909" s="1" t="str">
        <f t="shared" si="175"/>
        <v>Shipped</v>
      </c>
      <c r="I1909" s="4" t="str">
        <f t="shared" si="176"/>
        <v>completed</v>
      </c>
      <c r="J1909" t="s">
        <v>25</v>
      </c>
      <c r="K1909">
        <v>3</v>
      </c>
      <c r="L1909">
        <v>7</v>
      </c>
      <c r="M1909">
        <v>2004</v>
      </c>
      <c r="N1909" t="s">
        <v>550</v>
      </c>
      <c r="O1909">
        <v>65</v>
      </c>
      <c r="P1909" t="s">
        <v>639</v>
      </c>
      <c r="Q1909" t="s">
        <v>281</v>
      </c>
      <c r="R1909">
        <v>6175558555</v>
      </c>
      <c r="S1909" t="s">
        <v>282</v>
      </c>
      <c r="U1909" s="1" t="str">
        <f t="shared" si="177"/>
        <v>Brickhaven</v>
      </c>
      <c r="V1909" t="s">
        <v>283</v>
      </c>
      <c r="W1909" t="s">
        <v>123</v>
      </c>
      <c r="X1909">
        <v>58339</v>
      </c>
      <c r="Y1909" s="1" t="str">
        <f t="shared" si="178"/>
        <v>USA</v>
      </c>
      <c r="Z1909" s="4" t="str">
        <f t="shared" si="179"/>
        <v>Usa</v>
      </c>
      <c r="AA1909" t="s">
        <v>32</v>
      </c>
      <c r="AB1909" t="s">
        <v>33</v>
      </c>
      <c r="AC1909" t="s">
        <v>275</v>
      </c>
      <c r="AD1909" t="s">
        <v>284</v>
      </c>
      <c r="AE1909" t="s">
        <v>36</v>
      </c>
    </row>
    <row r="1910" spans="1:31" x14ac:dyDescent="0.3">
      <c r="A1910">
        <v>10284</v>
      </c>
      <c r="B1910">
        <v>39</v>
      </c>
      <c r="C1910">
        <v>71.67</v>
      </c>
      <c r="D1910">
        <v>13</v>
      </c>
      <c r="E1910" s="4" t="str">
        <f t="shared" si="174"/>
        <v>low sales</v>
      </c>
      <c r="F1910">
        <v>2795.13</v>
      </c>
      <c r="G1910" t="s">
        <v>2582</v>
      </c>
      <c r="H1910" s="1" t="str">
        <f t="shared" si="175"/>
        <v>Shipped</v>
      </c>
      <c r="I1910" s="4" t="str">
        <f t="shared" si="176"/>
        <v>completed</v>
      </c>
      <c r="J1910" t="s">
        <v>25</v>
      </c>
      <c r="K1910">
        <v>3</v>
      </c>
      <c r="L1910">
        <v>8</v>
      </c>
      <c r="M1910">
        <v>2004</v>
      </c>
      <c r="N1910" t="s">
        <v>550</v>
      </c>
      <c r="O1910">
        <v>65</v>
      </c>
      <c r="P1910" t="s">
        <v>639</v>
      </c>
      <c r="Q1910" t="s">
        <v>543</v>
      </c>
      <c r="R1910" t="s">
        <v>544</v>
      </c>
      <c r="S1910" t="s">
        <v>545</v>
      </c>
      <c r="U1910" s="1" t="str">
        <f t="shared" si="177"/>
        <v>Oslo</v>
      </c>
      <c r="V1910" t="s">
        <v>546</v>
      </c>
      <c r="X1910" t="s">
        <v>547</v>
      </c>
      <c r="Y1910" s="1" t="str">
        <f t="shared" si="178"/>
        <v>NORWAY</v>
      </c>
      <c r="Z1910" s="4" t="str">
        <f t="shared" si="179"/>
        <v>Norway</v>
      </c>
      <c r="AA1910" t="s">
        <v>78</v>
      </c>
      <c r="AB1910" t="s">
        <v>42</v>
      </c>
      <c r="AC1910" t="s">
        <v>548</v>
      </c>
      <c r="AD1910" t="s">
        <v>549</v>
      </c>
      <c r="AE1910" t="s">
        <v>36</v>
      </c>
    </row>
    <row r="1911" spans="1:31" x14ac:dyDescent="0.3">
      <c r="A1911">
        <v>10296</v>
      </c>
      <c r="B1911">
        <v>31</v>
      </c>
      <c r="C1911">
        <v>53.92</v>
      </c>
      <c r="D1911">
        <v>9</v>
      </c>
      <c r="E1911" s="4" t="str">
        <f t="shared" si="174"/>
        <v>low sales</v>
      </c>
      <c r="F1911">
        <v>1671.52</v>
      </c>
      <c r="G1911" t="s">
        <v>2583</v>
      </c>
      <c r="H1911" s="1" t="str">
        <f t="shared" si="175"/>
        <v>Shipped</v>
      </c>
      <c r="I1911" s="4" t="str">
        <f t="shared" si="176"/>
        <v>completed</v>
      </c>
      <c r="J1911" t="s">
        <v>25</v>
      </c>
      <c r="K1911">
        <v>3</v>
      </c>
      <c r="L1911">
        <v>9</v>
      </c>
      <c r="M1911">
        <v>2004</v>
      </c>
      <c r="N1911" t="s">
        <v>550</v>
      </c>
      <c r="O1911">
        <v>65</v>
      </c>
      <c r="P1911" t="s">
        <v>639</v>
      </c>
      <c r="Q1911" t="s">
        <v>572</v>
      </c>
      <c r="R1911" t="s">
        <v>573</v>
      </c>
      <c r="S1911" t="s">
        <v>574</v>
      </c>
      <c r="U1911" s="1" t="str">
        <f t="shared" si="177"/>
        <v>Munich</v>
      </c>
      <c r="V1911" t="s">
        <v>575</v>
      </c>
      <c r="X1911">
        <v>80686</v>
      </c>
      <c r="Y1911" s="1" t="str">
        <f t="shared" si="178"/>
        <v>GERMANY</v>
      </c>
      <c r="Z1911" s="4" t="str">
        <f t="shared" si="179"/>
        <v>Germany</v>
      </c>
      <c r="AA1911" t="s">
        <v>443</v>
      </c>
      <c r="AB1911" t="s">
        <v>42</v>
      </c>
      <c r="AC1911" t="s">
        <v>576</v>
      </c>
      <c r="AD1911" t="s">
        <v>103</v>
      </c>
      <c r="AE1911" t="s">
        <v>36</v>
      </c>
    </row>
    <row r="1912" spans="1:31" x14ac:dyDescent="0.3">
      <c r="A1912">
        <v>10307</v>
      </c>
      <c r="B1912">
        <v>22</v>
      </c>
      <c r="C1912">
        <v>71.67</v>
      </c>
      <c r="D1912">
        <v>3</v>
      </c>
      <c r="E1912" s="4" t="str">
        <f t="shared" si="174"/>
        <v>low sales</v>
      </c>
      <c r="F1912">
        <v>1576.74</v>
      </c>
      <c r="G1912" t="s">
        <v>2584</v>
      </c>
      <c r="H1912" s="1" t="str">
        <f t="shared" si="175"/>
        <v>Shipped</v>
      </c>
      <c r="I1912" s="4" t="str">
        <f t="shared" si="176"/>
        <v>completed</v>
      </c>
      <c r="J1912" t="s">
        <v>25</v>
      </c>
      <c r="K1912">
        <v>4</v>
      </c>
      <c r="L1912">
        <v>10</v>
      </c>
      <c r="M1912">
        <v>2004</v>
      </c>
      <c r="N1912" t="s">
        <v>550</v>
      </c>
      <c r="O1912">
        <v>65</v>
      </c>
      <c r="P1912" t="s">
        <v>639</v>
      </c>
      <c r="Q1912" t="s">
        <v>214</v>
      </c>
      <c r="R1912">
        <v>2155554695</v>
      </c>
      <c r="S1912" t="s">
        <v>215</v>
      </c>
      <c r="U1912" s="1" t="str">
        <f t="shared" si="177"/>
        <v>Philadelphia</v>
      </c>
      <c r="V1912" t="s">
        <v>216</v>
      </c>
      <c r="W1912" t="s">
        <v>142</v>
      </c>
      <c r="X1912">
        <v>71270</v>
      </c>
      <c r="Y1912" s="1" t="str">
        <f t="shared" si="178"/>
        <v>USA</v>
      </c>
      <c r="Z1912" s="4" t="str">
        <f t="shared" si="179"/>
        <v>Usa</v>
      </c>
      <c r="AA1912" t="s">
        <v>32</v>
      </c>
      <c r="AB1912" t="s">
        <v>33</v>
      </c>
      <c r="AC1912" t="s">
        <v>217</v>
      </c>
      <c r="AD1912" t="s">
        <v>218</v>
      </c>
      <c r="AE1912" t="s">
        <v>36</v>
      </c>
    </row>
    <row r="1913" spans="1:31" x14ac:dyDescent="0.3">
      <c r="A1913">
        <v>10316</v>
      </c>
      <c r="B1913">
        <v>47</v>
      </c>
      <c r="C1913">
        <v>76.930000000000007</v>
      </c>
      <c r="D1913">
        <v>11</v>
      </c>
      <c r="E1913" s="4" t="str">
        <f t="shared" si="174"/>
        <v>low sales</v>
      </c>
      <c r="F1913">
        <v>3615.71</v>
      </c>
      <c r="G1913" t="s">
        <v>2585</v>
      </c>
      <c r="H1913" s="1" t="str">
        <f t="shared" si="175"/>
        <v>Shipped</v>
      </c>
      <c r="I1913" s="4" t="str">
        <f t="shared" si="176"/>
        <v>completed</v>
      </c>
      <c r="J1913" t="s">
        <v>25</v>
      </c>
      <c r="K1913">
        <v>4</v>
      </c>
      <c r="L1913">
        <v>11</v>
      </c>
      <c r="M1913">
        <v>2004</v>
      </c>
      <c r="N1913" t="s">
        <v>550</v>
      </c>
      <c r="O1913">
        <v>65</v>
      </c>
      <c r="P1913" t="s">
        <v>639</v>
      </c>
      <c r="Q1913" t="s">
        <v>383</v>
      </c>
      <c r="R1913" t="s">
        <v>384</v>
      </c>
      <c r="S1913" t="s">
        <v>385</v>
      </c>
      <c r="U1913" s="1" t="str">
        <f t="shared" si="177"/>
        <v>Cowes</v>
      </c>
      <c r="V1913" t="s">
        <v>386</v>
      </c>
      <c r="W1913" t="s">
        <v>387</v>
      </c>
      <c r="X1913" t="s">
        <v>388</v>
      </c>
      <c r="Y1913" s="1" t="str">
        <f t="shared" si="178"/>
        <v>UK</v>
      </c>
      <c r="Z1913" s="4" t="str">
        <f t="shared" si="179"/>
        <v>Uk</v>
      </c>
      <c r="AA1913" t="s">
        <v>170</v>
      </c>
      <c r="AB1913" t="s">
        <v>42</v>
      </c>
      <c r="AC1913" t="s">
        <v>389</v>
      </c>
      <c r="AD1913" t="s">
        <v>390</v>
      </c>
      <c r="AE1913" t="s">
        <v>51</v>
      </c>
    </row>
    <row r="1914" spans="1:31" x14ac:dyDescent="0.3">
      <c r="A1914">
        <v>10328</v>
      </c>
      <c r="B1914">
        <v>20</v>
      </c>
      <c r="C1914">
        <v>72.98</v>
      </c>
      <c r="D1914">
        <v>2</v>
      </c>
      <c r="E1914" s="4" t="str">
        <f t="shared" si="174"/>
        <v>low sales</v>
      </c>
      <c r="F1914">
        <v>1459.6</v>
      </c>
      <c r="G1914" t="s">
        <v>2586</v>
      </c>
      <c r="H1914" s="1" t="str">
        <f t="shared" si="175"/>
        <v>Shipped</v>
      </c>
      <c r="I1914" s="4" t="str">
        <f t="shared" si="176"/>
        <v>completed</v>
      </c>
      <c r="J1914" t="s">
        <v>25</v>
      </c>
      <c r="K1914">
        <v>4</v>
      </c>
      <c r="L1914">
        <v>11</v>
      </c>
      <c r="M1914">
        <v>2004</v>
      </c>
      <c r="N1914" t="s">
        <v>550</v>
      </c>
      <c r="O1914">
        <v>65</v>
      </c>
      <c r="P1914" t="s">
        <v>639</v>
      </c>
      <c r="Q1914" t="s">
        <v>552</v>
      </c>
      <c r="R1914" t="s">
        <v>553</v>
      </c>
      <c r="S1914" t="s">
        <v>554</v>
      </c>
      <c r="U1914" s="1" t="str">
        <f t="shared" si="177"/>
        <v>Bergamo</v>
      </c>
      <c r="V1914" t="s">
        <v>555</v>
      </c>
      <c r="X1914">
        <v>24100</v>
      </c>
      <c r="Y1914" s="1" t="str">
        <f t="shared" si="178"/>
        <v>ITALY</v>
      </c>
      <c r="Z1914" s="4" t="str">
        <f t="shared" si="179"/>
        <v>Italy</v>
      </c>
      <c r="AA1914" t="s">
        <v>258</v>
      </c>
      <c r="AB1914" t="s">
        <v>42</v>
      </c>
      <c r="AC1914" t="s">
        <v>556</v>
      </c>
      <c r="AD1914" t="s">
        <v>557</v>
      </c>
      <c r="AE1914" t="s">
        <v>36</v>
      </c>
    </row>
    <row r="1915" spans="1:31" x14ac:dyDescent="0.3">
      <c r="A1915">
        <v>10339</v>
      </c>
      <c r="B1915">
        <v>29</v>
      </c>
      <c r="C1915">
        <v>99.69</v>
      </c>
      <c r="D1915">
        <v>14</v>
      </c>
      <c r="E1915" s="4" t="str">
        <f t="shared" si="174"/>
        <v>low sales</v>
      </c>
      <c r="F1915">
        <v>2891.01</v>
      </c>
      <c r="G1915" t="s">
        <v>2587</v>
      </c>
      <c r="H1915" s="1" t="str">
        <f t="shared" si="175"/>
        <v>Shipped</v>
      </c>
      <c r="I1915" s="4" t="str">
        <f t="shared" si="176"/>
        <v>completed</v>
      </c>
      <c r="J1915" t="s">
        <v>25</v>
      </c>
      <c r="K1915">
        <v>4</v>
      </c>
      <c r="L1915">
        <v>11</v>
      </c>
      <c r="M1915">
        <v>2004</v>
      </c>
      <c r="N1915" t="s">
        <v>550</v>
      </c>
      <c r="O1915">
        <v>65</v>
      </c>
      <c r="P1915" t="s">
        <v>639</v>
      </c>
      <c r="Q1915" t="s">
        <v>246</v>
      </c>
      <c r="R1915" t="s">
        <v>247</v>
      </c>
      <c r="S1915" t="s">
        <v>248</v>
      </c>
      <c r="U1915" s="1" t="str">
        <f t="shared" si="177"/>
        <v>Minato-Ku</v>
      </c>
      <c r="V1915" t="s">
        <v>249</v>
      </c>
      <c r="W1915" t="s">
        <v>250</v>
      </c>
      <c r="X1915" t="s">
        <v>251</v>
      </c>
      <c r="Y1915" s="1" t="str">
        <f t="shared" si="178"/>
        <v>JAPAN</v>
      </c>
      <c r="Z1915" s="4" t="str">
        <f t="shared" si="179"/>
        <v>Japan</v>
      </c>
      <c r="AA1915" t="s">
        <v>200</v>
      </c>
      <c r="AB1915" t="s">
        <v>200</v>
      </c>
      <c r="AC1915" t="s">
        <v>252</v>
      </c>
      <c r="AD1915" t="s">
        <v>253</v>
      </c>
      <c r="AE1915" t="s">
        <v>36</v>
      </c>
    </row>
    <row r="1916" spans="1:31" x14ac:dyDescent="0.3">
      <c r="A1916">
        <v>10351</v>
      </c>
      <c r="B1916">
        <v>38</v>
      </c>
      <c r="C1916">
        <v>68.38</v>
      </c>
      <c r="D1916">
        <v>4</v>
      </c>
      <c r="E1916" s="4" t="str">
        <f t="shared" si="174"/>
        <v>low sales</v>
      </c>
      <c r="F1916">
        <v>2598.44</v>
      </c>
      <c r="G1916" t="s">
        <v>2588</v>
      </c>
      <c r="H1916" s="1" t="str">
        <f t="shared" si="175"/>
        <v>Shipped</v>
      </c>
      <c r="I1916" s="4" t="str">
        <f t="shared" si="176"/>
        <v>completed</v>
      </c>
      <c r="J1916" t="s">
        <v>25</v>
      </c>
      <c r="K1916">
        <v>4</v>
      </c>
      <c r="L1916">
        <v>12</v>
      </c>
      <c r="M1916">
        <v>2004</v>
      </c>
      <c r="N1916" t="s">
        <v>550</v>
      </c>
      <c r="O1916">
        <v>65</v>
      </c>
      <c r="P1916" t="s">
        <v>639</v>
      </c>
      <c r="Q1916" t="s">
        <v>329</v>
      </c>
      <c r="R1916" t="s">
        <v>330</v>
      </c>
      <c r="S1916" t="s">
        <v>331</v>
      </c>
      <c r="U1916" s="1" t="str">
        <f t="shared" si="177"/>
        <v>London</v>
      </c>
      <c r="V1916" t="s">
        <v>332</v>
      </c>
      <c r="X1916" t="s">
        <v>333</v>
      </c>
      <c r="Y1916" s="1" t="str">
        <f t="shared" si="178"/>
        <v>UK</v>
      </c>
      <c r="Z1916" s="4" t="str">
        <f t="shared" si="179"/>
        <v>Uk</v>
      </c>
      <c r="AA1916" t="s">
        <v>170</v>
      </c>
      <c r="AB1916" t="s">
        <v>42</v>
      </c>
      <c r="AC1916" t="s">
        <v>61</v>
      </c>
      <c r="AD1916" t="s">
        <v>334</v>
      </c>
      <c r="AE1916" t="s">
        <v>36</v>
      </c>
    </row>
    <row r="1917" spans="1:31" x14ac:dyDescent="0.3">
      <c r="A1917">
        <v>10361</v>
      </c>
      <c r="B1917">
        <v>34</v>
      </c>
      <c r="C1917">
        <v>100</v>
      </c>
      <c r="D1917">
        <v>6</v>
      </c>
      <c r="E1917" s="4" t="str">
        <f t="shared" si="174"/>
        <v>low sales</v>
      </c>
      <c r="F1917">
        <v>3871.92</v>
      </c>
      <c r="G1917" t="s">
        <v>2589</v>
      </c>
      <c r="H1917" s="1" t="str">
        <f t="shared" si="175"/>
        <v>Shipped</v>
      </c>
      <c r="I1917" s="4" t="str">
        <f t="shared" si="176"/>
        <v>completed</v>
      </c>
      <c r="J1917" t="s">
        <v>25</v>
      </c>
      <c r="K1917">
        <v>4</v>
      </c>
      <c r="L1917">
        <v>12</v>
      </c>
      <c r="M1917">
        <v>2004</v>
      </c>
      <c r="N1917" t="s">
        <v>550</v>
      </c>
      <c r="O1917">
        <v>65</v>
      </c>
      <c r="P1917" t="s">
        <v>639</v>
      </c>
      <c r="Q1917" t="s">
        <v>152</v>
      </c>
      <c r="R1917" t="s">
        <v>153</v>
      </c>
      <c r="S1917" t="s">
        <v>154</v>
      </c>
      <c r="T1917" t="s">
        <v>155</v>
      </c>
      <c r="U1917" s="1" t="str">
        <f t="shared" si="177"/>
        <v>Chatswood</v>
      </c>
      <c r="V1917" t="s">
        <v>156</v>
      </c>
      <c r="W1917" t="s">
        <v>157</v>
      </c>
      <c r="X1917">
        <v>2067</v>
      </c>
      <c r="Y1917" s="1" t="str">
        <f t="shared" si="178"/>
        <v>AUSTRALIA</v>
      </c>
      <c r="Z1917" s="4" t="str">
        <f t="shared" si="179"/>
        <v>Australia</v>
      </c>
      <c r="AA1917" t="s">
        <v>95</v>
      </c>
      <c r="AB1917" t="s">
        <v>96</v>
      </c>
      <c r="AC1917" t="s">
        <v>158</v>
      </c>
      <c r="AD1917" t="s">
        <v>159</v>
      </c>
      <c r="AE1917" t="s">
        <v>51</v>
      </c>
    </row>
    <row r="1918" spans="1:31" x14ac:dyDescent="0.3">
      <c r="A1918">
        <v>10373</v>
      </c>
      <c r="B1918">
        <v>46</v>
      </c>
      <c r="C1918">
        <v>66</v>
      </c>
      <c r="D1918">
        <v>11</v>
      </c>
      <c r="E1918" s="4" t="str">
        <f t="shared" si="174"/>
        <v>low sales</v>
      </c>
      <c r="F1918">
        <v>3036</v>
      </c>
      <c r="G1918" t="s">
        <v>2590</v>
      </c>
      <c r="H1918" s="1" t="str">
        <f t="shared" si="175"/>
        <v>Shipped</v>
      </c>
      <c r="I1918" s="4" t="str">
        <f t="shared" si="176"/>
        <v>completed</v>
      </c>
      <c r="J1918" t="s">
        <v>25</v>
      </c>
      <c r="K1918">
        <v>1</v>
      </c>
      <c r="L1918">
        <v>1</v>
      </c>
      <c r="M1918">
        <v>2005</v>
      </c>
      <c r="N1918" t="s">
        <v>550</v>
      </c>
      <c r="O1918">
        <v>65</v>
      </c>
      <c r="P1918" t="s">
        <v>639</v>
      </c>
      <c r="Q1918" t="s">
        <v>391</v>
      </c>
      <c r="R1918" t="s">
        <v>392</v>
      </c>
      <c r="S1918" t="s">
        <v>393</v>
      </c>
      <c r="U1918" s="1" t="str">
        <f t="shared" si="177"/>
        <v>Oulu</v>
      </c>
      <c r="V1918" t="s">
        <v>394</v>
      </c>
      <c r="X1918">
        <v>90110</v>
      </c>
      <c r="Y1918" s="1" t="str">
        <f t="shared" si="178"/>
        <v>FINLAND</v>
      </c>
      <c r="Z1918" s="4" t="str">
        <f t="shared" si="179"/>
        <v>Finland</v>
      </c>
      <c r="AA1918" t="s">
        <v>130</v>
      </c>
      <c r="AB1918" t="s">
        <v>42</v>
      </c>
      <c r="AC1918" t="s">
        <v>395</v>
      </c>
      <c r="AD1918" t="s">
        <v>396</v>
      </c>
      <c r="AE1918" t="s">
        <v>51</v>
      </c>
    </row>
    <row r="1919" spans="1:31" x14ac:dyDescent="0.3">
      <c r="A1919">
        <v>10386</v>
      </c>
      <c r="B1919">
        <v>35</v>
      </c>
      <c r="C1919">
        <v>63.76</v>
      </c>
      <c r="D1919">
        <v>9</v>
      </c>
      <c r="E1919" s="4" t="str">
        <f t="shared" si="174"/>
        <v>low sales</v>
      </c>
      <c r="F1919">
        <v>2231.6</v>
      </c>
      <c r="G1919" t="s">
        <v>2591</v>
      </c>
      <c r="H1919" s="1" t="str">
        <f t="shared" si="175"/>
        <v>Resolved</v>
      </c>
      <c r="I1919" s="4" t="str">
        <f t="shared" si="176"/>
        <v>not completed</v>
      </c>
      <c r="J1919" t="s">
        <v>408</v>
      </c>
      <c r="K1919">
        <v>1</v>
      </c>
      <c r="L1919">
        <v>3</v>
      </c>
      <c r="M1919">
        <v>2005</v>
      </c>
      <c r="N1919" t="s">
        <v>550</v>
      </c>
      <c r="O1919">
        <v>65</v>
      </c>
      <c r="P1919" t="s">
        <v>639</v>
      </c>
      <c r="Q1919" t="s">
        <v>174</v>
      </c>
      <c r="R1919" t="s">
        <v>175</v>
      </c>
      <c r="S1919" t="s">
        <v>176</v>
      </c>
      <c r="U1919" s="1" t="str">
        <f t="shared" si="177"/>
        <v>Madrid</v>
      </c>
      <c r="V1919" t="s">
        <v>177</v>
      </c>
      <c r="X1919">
        <v>28034</v>
      </c>
      <c r="Y1919" s="1" t="str">
        <f t="shared" si="178"/>
        <v>SPAIN</v>
      </c>
      <c r="Z1919" s="4" t="str">
        <f t="shared" si="179"/>
        <v>Spain</v>
      </c>
      <c r="AA1919" t="s">
        <v>178</v>
      </c>
      <c r="AB1919" t="s">
        <v>42</v>
      </c>
      <c r="AC1919" t="s">
        <v>179</v>
      </c>
      <c r="AD1919" t="s">
        <v>180</v>
      </c>
      <c r="AE1919" t="s">
        <v>36</v>
      </c>
    </row>
    <row r="1920" spans="1:31" x14ac:dyDescent="0.3">
      <c r="A1920">
        <v>10398</v>
      </c>
      <c r="B1920">
        <v>34</v>
      </c>
      <c r="C1920">
        <v>71.67</v>
      </c>
      <c r="D1920">
        <v>13</v>
      </c>
      <c r="E1920" s="4" t="str">
        <f t="shared" si="174"/>
        <v>low sales</v>
      </c>
      <c r="F1920">
        <v>2436.7800000000002</v>
      </c>
      <c r="G1920" t="s">
        <v>2592</v>
      </c>
      <c r="H1920" s="1" t="str">
        <f t="shared" si="175"/>
        <v>Shipped</v>
      </c>
      <c r="I1920" s="4" t="str">
        <f t="shared" si="176"/>
        <v>completed</v>
      </c>
      <c r="J1920" t="s">
        <v>25</v>
      </c>
      <c r="K1920">
        <v>1</v>
      </c>
      <c r="L1920">
        <v>3</v>
      </c>
      <c r="M1920">
        <v>2005</v>
      </c>
      <c r="N1920" t="s">
        <v>550</v>
      </c>
      <c r="O1920">
        <v>65</v>
      </c>
      <c r="P1920" t="s">
        <v>639</v>
      </c>
      <c r="Q1920" t="s">
        <v>37</v>
      </c>
      <c r="R1920" t="s">
        <v>38</v>
      </c>
      <c r="S1920" t="s">
        <v>39</v>
      </c>
      <c r="U1920" s="1" t="str">
        <f t="shared" si="177"/>
        <v>Reims</v>
      </c>
      <c r="V1920" t="s">
        <v>40</v>
      </c>
      <c r="X1920">
        <v>51100</v>
      </c>
      <c r="Y1920" s="1" t="str">
        <f t="shared" si="178"/>
        <v>FRANCE</v>
      </c>
      <c r="Z1920" s="4" t="str">
        <f t="shared" si="179"/>
        <v>France</v>
      </c>
      <c r="AA1920" t="s">
        <v>41</v>
      </c>
      <c r="AB1920" t="s">
        <v>42</v>
      </c>
      <c r="AC1920" t="s">
        <v>43</v>
      </c>
      <c r="AD1920" t="s">
        <v>44</v>
      </c>
      <c r="AE1920" t="s">
        <v>36</v>
      </c>
    </row>
    <row r="1921" spans="1:31" x14ac:dyDescent="0.3">
      <c r="A1921">
        <v>10400</v>
      </c>
      <c r="B1921">
        <v>38</v>
      </c>
      <c r="C1921">
        <v>57.2</v>
      </c>
      <c r="D1921">
        <v>3</v>
      </c>
      <c r="E1921" s="4" t="str">
        <f t="shared" si="174"/>
        <v>low sales</v>
      </c>
      <c r="F1921">
        <v>2173.6</v>
      </c>
      <c r="G1921" t="s">
        <v>2593</v>
      </c>
      <c r="H1921" s="1" t="str">
        <f t="shared" si="175"/>
        <v>Shipped</v>
      </c>
      <c r="I1921" s="4" t="str">
        <f t="shared" si="176"/>
        <v>completed</v>
      </c>
      <c r="J1921" t="s">
        <v>25</v>
      </c>
      <c r="K1921">
        <v>2</v>
      </c>
      <c r="L1921">
        <v>4</v>
      </c>
      <c r="M1921">
        <v>2005</v>
      </c>
      <c r="N1921" t="s">
        <v>550</v>
      </c>
      <c r="O1921">
        <v>65</v>
      </c>
      <c r="P1921" t="s">
        <v>639</v>
      </c>
      <c r="Q1921" t="s">
        <v>397</v>
      </c>
      <c r="R1921">
        <v>4085553659</v>
      </c>
      <c r="S1921" t="s">
        <v>398</v>
      </c>
      <c r="U1921" s="1" t="str">
        <f t="shared" si="177"/>
        <v>San Jose</v>
      </c>
      <c r="V1921" t="s">
        <v>399</v>
      </c>
      <c r="W1921" t="s">
        <v>55</v>
      </c>
      <c r="X1921">
        <v>94217</v>
      </c>
      <c r="Y1921" s="1" t="str">
        <f t="shared" si="178"/>
        <v>USA</v>
      </c>
      <c r="Z1921" s="4" t="str">
        <f t="shared" si="179"/>
        <v>Usa</v>
      </c>
      <c r="AA1921" t="s">
        <v>32</v>
      </c>
      <c r="AB1921" t="s">
        <v>33</v>
      </c>
      <c r="AC1921" t="s">
        <v>102</v>
      </c>
      <c r="AD1921" t="s">
        <v>400</v>
      </c>
      <c r="AE1921" t="s">
        <v>36</v>
      </c>
    </row>
    <row r="1922" spans="1:31" x14ac:dyDescent="0.3">
      <c r="A1922">
        <v>10415</v>
      </c>
      <c r="B1922">
        <v>18</v>
      </c>
      <c r="C1922">
        <v>69.7</v>
      </c>
      <c r="D1922">
        <v>2</v>
      </c>
      <c r="E1922" s="4" t="str">
        <f t="shared" si="174"/>
        <v>low sales</v>
      </c>
      <c r="F1922">
        <v>1254.5999999999999</v>
      </c>
      <c r="G1922" t="s">
        <v>2594</v>
      </c>
      <c r="H1922" s="1" t="str">
        <f t="shared" si="175"/>
        <v>Disputed</v>
      </c>
      <c r="I1922" s="4" t="str">
        <f t="shared" si="176"/>
        <v>not completed</v>
      </c>
      <c r="J1922" t="s">
        <v>173</v>
      </c>
      <c r="K1922">
        <v>2</v>
      </c>
      <c r="L1922">
        <v>5</v>
      </c>
      <c r="M1922">
        <v>2005</v>
      </c>
      <c r="N1922" t="s">
        <v>550</v>
      </c>
      <c r="O1922">
        <v>65</v>
      </c>
      <c r="P1922" t="s">
        <v>639</v>
      </c>
      <c r="Q1922" t="s">
        <v>558</v>
      </c>
      <c r="R1922" t="s">
        <v>559</v>
      </c>
      <c r="S1922" t="s">
        <v>560</v>
      </c>
      <c r="U1922" s="1" t="str">
        <f t="shared" si="177"/>
        <v>Glen Waverly</v>
      </c>
      <c r="V1922" t="s">
        <v>561</v>
      </c>
      <c r="W1922" t="s">
        <v>94</v>
      </c>
      <c r="X1922">
        <v>3150</v>
      </c>
      <c r="Y1922" s="1" t="str">
        <f t="shared" si="178"/>
        <v>AUSTRALIA</v>
      </c>
      <c r="Z1922" s="4" t="str">
        <f t="shared" si="179"/>
        <v>Australia</v>
      </c>
      <c r="AA1922" t="s">
        <v>95</v>
      </c>
      <c r="AB1922" t="s">
        <v>96</v>
      </c>
      <c r="AC1922" t="s">
        <v>562</v>
      </c>
      <c r="AD1922" t="s">
        <v>563</v>
      </c>
      <c r="AE1922" t="s">
        <v>36</v>
      </c>
    </row>
    <row r="1923" spans="1:31" x14ac:dyDescent="0.3">
      <c r="A1923">
        <v>10110</v>
      </c>
      <c r="B1923">
        <v>37</v>
      </c>
      <c r="C1923">
        <v>100</v>
      </c>
      <c r="D1923">
        <v>14</v>
      </c>
      <c r="E1923" s="4" t="str">
        <f t="shared" ref="E1923:E1986" si="180">IF(F1923&gt;4000,"high sales","low sales")</f>
        <v>low sales</v>
      </c>
      <c r="F1923">
        <v>3724.42</v>
      </c>
      <c r="G1923" t="s">
        <v>2595</v>
      </c>
      <c r="H1923" s="1" t="str">
        <f t="shared" ref="H1923:H1986" si="181">PROPER(TRIM(J1923))</f>
        <v>Shipped</v>
      </c>
      <c r="I1923" s="4" t="str">
        <f t="shared" ref="I1923:I1986" si="182">IF(J1923="shipped","completed","not completed")</f>
        <v>completed</v>
      </c>
      <c r="J1923" t="s">
        <v>25</v>
      </c>
      <c r="K1923">
        <v>1</v>
      </c>
      <c r="L1923">
        <v>3</v>
      </c>
      <c r="M1923">
        <v>2003</v>
      </c>
      <c r="N1923" t="s">
        <v>181</v>
      </c>
      <c r="O1923">
        <v>107</v>
      </c>
      <c r="P1923" t="s">
        <v>640</v>
      </c>
      <c r="Q1923" t="s">
        <v>492</v>
      </c>
      <c r="R1923" t="s">
        <v>493</v>
      </c>
      <c r="S1923" t="s">
        <v>494</v>
      </c>
      <c r="U1923" s="1" t="str">
        <f t="shared" ref="U1923:U1986" si="183">PROPER(TRIM(V1923))</f>
        <v>Manchester</v>
      </c>
      <c r="V1923" t="s">
        <v>495</v>
      </c>
      <c r="X1923" t="s">
        <v>496</v>
      </c>
      <c r="Y1923" s="1" t="str">
        <f t="shared" ref="Y1923:Y1986" si="184">UPPER(TRIM(AA1923))</f>
        <v>UK</v>
      </c>
      <c r="Z1923" s="4" t="str">
        <f t="shared" ref="Z1923:Z1986" si="185">PROPER(TRIM(AA1923))</f>
        <v>Uk</v>
      </c>
      <c r="AA1923" t="s">
        <v>170</v>
      </c>
      <c r="AB1923" t="s">
        <v>42</v>
      </c>
      <c r="AC1923" t="s">
        <v>497</v>
      </c>
      <c r="AD1923" t="s">
        <v>94</v>
      </c>
      <c r="AE1923" t="s">
        <v>51</v>
      </c>
    </row>
    <row r="1924" spans="1:31" x14ac:dyDescent="0.3">
      <c r="A1924">
        <v>10124</v>
      </c>
      <c r="B1924">
        <v>43</v>
      </c>
      <c r="C1924">
        <v>100</v>
      </c>
      <c r="D1924">
        <v>13</v>
      </c>
      <c r="E1924" s="4" t="str">
        <f t="shared" si="180"/>
        <v>high sales</v>
      </c>
      <c r="F1924">
        <v>5203</v>
      </c>
      <c r="G1924" t="s">
        <v>2596</v>
      </c>
      <c r="H1924" s="1" t="str">
        <f t="shared" si="181"/>
        <v>Shipped</v>
      </c>
      <c r="I1924" s="4" t="str">
        <f t="shared" si="182"/>
        <v>completed</v>
      </c>
      <c r="J1924" t="s">
        <v>25</v>
      </c>
      <c r="K1924">
        <v>2</v>
      </c>
      <c r="L1924">
        <v>5</v>
      </c>
      <c r="M1924">
        <v>2003</v>
      </c>
      <c r="N1924" t="s">
        <v>181</v>
      </c>
      <c r="O1924">
        <v>107</v>
      </c>
      <c r="P1924" t="s">
        <v>640</v>
      </c>
      <c r="Q1924" t="s">
        <v>539</v>
      </c>
      <c r="R1924">
        <v>7025551838</v>
      </c>
      <c r="S1924" t="s">
        <v>540</v>
      </c>
      <c r="U1924" s="1" t="str">
        <f t="shared" si="183"/>
        <v>Las Vegas</v>
      </c>
      <c r="V1924" t="s">
        <v>541</v>
      </c>
      <c r="W1924" t="s">
        <v>542</v>
      </c>
      <c r="X1924">
        <v>83030</v>
      </c>
      <c r="Y1924" s="1" t="str">
        <f t="shared" si="184"/>
        <v>USA</v>
      </c>
      <c r="Z1924" s="4" t="str">
        <f t="shared" si="185"/>
        <v>Usa</v>
      </c>
      <c r="AA1924" t="s">
        <v>32</v>
      </c>
      <c r="AB1924" t="s">
        <v>33</v>
      </c>
      <c r="AC1924" t="s">
        <v>113</v>
      </c>
      <c r="AD1924" t="s">
        <v>400</v>
      </c>
      <c r="AE1924" t="s">
        <v>51</v>
      </c>
    </row>
    <row r="1925" spans="1:31" x14ac:dyDescent="0.3">
      <c r="A1925">
        <v>10148</v>
      </c>
      <c r="B1925">
        <v>27</v>
      </c>
      <c r="C1925">
        <v>100</v>
      </c>
      <c r="D1925">
        <v>7</v>
      </c>
      <c r="E1925" s="4" t="str">
        <f t="shared" si="180"/>
        <v>low sales</v>
      </c>
      <c r="F1925">
        <v>3469.5</v>
      </c>
      <c r="G1925" t="s">
        <v>2597</v>
      </c>
      <c r="H1925" s="1" t="str">
        <f t="shared" si="181"/>
        <v>Shipped</v>
      </c>
      <c r="I1925" s="4" t="str">
        <f t="shared" si="182"/>
        <v>completed</v>
      </c>
      <c r="J1925" t="s">
        <v>25</v>
      </c>
      <c r="K1925">
        <v>3</v>
      </c>
      <c r="L1925">
        <v>9</v>
      </c>
      <c r="M1925">
        <v>2003</v>
      </c>
      <c r="N1925" t="s">
        <v>181</v>
      </c>
      <c r="O1925">
        <v>107</v>
      </c>
      <c r="P1925" t="s">
        <v>640</v>
      </c>
      <c r="Q1925" t="s">
        <v>285</v>
      </c>
      <c r="R1925" t="s">
        <v>286</v>
      </c>
      <c r="S1925" t="s">
        <v>287</v>
      </c>
      <c r="T1925" t="s">
        <v>288</v>
      </c>
      <c r="U1925" s="1" t="str">
        <f t="shared" si="183"/>
        <v>North Sydney</v>
      </c>
      <c r="V1925" t="s">
        <v>289</v>
      </c>
      <c r="W1925" t="s">
        <v>157</v>
      </c>
      <c r="X1925">
        <v>2060</v>
      </c>
      <c r="Y1925" s="1" t="str">
        <f t="shared" si="184"/>
        <v>AUSTRALIA</v>
      </c>
      <c r="Z1925" s="4" t="str">
        <f t="shared" si="185"/>
        <v>Australia</v>
      </c>
      <c r="AA1925" t="s">
        <v>95</v>
      </c>
      <c r="AB1925" t="s">
        <v>96</v>
      </c>
      <c r="AC1925" t="s">
        <v>290</v>
      </c>
      <c r="AD1925" t="s">
        <v>291</v>
      </c>
      <c r="AE1925" t="s">
        <v>51</v>
      </c>
    </row>
    <row r="1926" spans="1:31" x14ac:dyDescent="0.3">
      <c r="A1926">
        <v>10161</v>
      </c>
      <c r="B1926">
        <v>30</v>
      </c>
      <c r="C1926">
        <v>100</v>
      </c>
      <c r="D1926">
        <v>6</v>
      </c>
      <c r="E1926" s="4" t="str">
        <f t="shared" si="180"/>
        <v>low sales</v>
      </c>
      <c r="F1926">
        <v>3148.2</v>
      </c>
      <c r="G1926" t="s">
        <v>2598</v>
      </c>
      <c r="H1926" s="1" t="str">
        <f t="shared" si="181"/>
        <v>Shipped</v>
      </c>
      <c r="I1926" s="4" t="str">
        <f t="shared" si="182"/>
        <v>completed</v>
      </c>
      <c r="J1926" t="s">
        <v>25</v>
      </c>
      <c r="K1926">
        <v>4</v>
      </c>
      <c r="L1926">
        <v>10</v>
      </c>
      <c r="M1926">
        <v>2003</v>
      </c>
      <c r="N1926" t="s">
        <v>181</v>
      </c>
      <c r="O1926">
        <v>107</v>
      </c>
      <c r="P1926" t="s">
        <v>640</v>
      </c>
      <c r="Q1926" t="s">
        <v>498</v>
      </c>
      <c r="R1926" t="s">
        <v>499</v>
      </c>
      <c r="S1926" t="s">
        <v>500</v>
      </c>
      <c r="U1926" s="1" t="str">
        <f t="shared" si="183"/>
        <v>Aaarhus</v>
      </c>
      <c r="V1926" t="s">
        <v>501</v>
      </c>
      <c r="X1926">
        <v>8200</v>
      </c>
      <c r="Y1926" s="1" t="str">
        <f t="shared" si="184"/>
        <v>DENMARK</v>
      </c>
      <c r="Z1926" s="4" t="str">
        <f t="shared" si="185"/>
        <v>Denmark</v>
      </c>
      <c r="AA1926" t="s">
        <v>326</v>
      </c>
      <c r="AB1926" t="s">
        <v>42</v>
      </c>
      <c r="AC1926" t="s">
        <v>502</v>
      </c>
      <c r="AD1926" t="s">
        <v>503</v>
      </c>
      <c r="AE1926" t="s">
        <v>51</v>
      </c>
    </row>
    <row r="1927" spans="1:31" x14ac:dyDescent="0.3">
      <c r="A1927">
        <v>10172</v>
      </c>
      <c r="B1927">
        <v>22</v>
      </c>
      <c r="C1927">
        <v>98.51</v>
      </c>
      <c r="D1927">
        <v>4</v>
      </c>
      <c r="E1927" s="4" t="str">
        <f t="shared" si="180"/>
        <v>low sales</v>
      </c>
      <c r="F1927">
        <v>2167.2199999999998</v>
      </c>
      <c r="G1927" t="s">
        <v>2599</v>
      </c>
      <c r="H1927" s="1" t="str">
        <f t="shared" si="181"/>
        <v>Shipped</v>
      </c>
      <c r="I1927" s="4" t="str">
        <f t="shared" si="182"/>
        <v>completed</v>
      </c>
      <c r="J1927" t="s">
        <v>25</v>
      </c>
      <c r="K1927">
        <v>4</v>
      </c>
      <c r="L1927">
        <v>11</v>
      </c>
      <c r="M1927">
        <v>2003</v>
      </c>
      <c r="N1927" t="s">
        <v>181</v>
      </c>
      <c r="O1927">
        <v>107</v>
      </c>
      <c r="P1927" t="s">
        <v>640</v>
      </c>
      <c r="Q1927" t="s">
        <v>109</v>
      </c>
      <c r="R1927">
        <v>2035552570</v>
      </c>
      <c r="S1927" t="s">
        <v>110</v>
      </c>
      <c r="U1927" s="1" t="str">
        <f t="shared" si="183"/>
        <v>Bridgewater</v>
      </c>
      <c r="V1927" t="s">
        <v>111</v>
      </c>
      <c r="W1927" t="s">
        <v>112</v>
      </c>
      <c r="X1927">
        <v>97562</v>
      </c>
      <c r="Y1927" s="1" t="str">
        <f t="shared" si="184"/>
        <v>USA</v>
      </c>
      <c r="Z1927" s="4" t="str">
        <f t="shared" si="185"/>
        <v>Usa</v>
      </c>
      <c r="AA1927" t="s">
        <v>32</v>
      </c>
      <c r="AB1927" t="s">
        <v>33</v>
      </c>
      <c r="AC1927" t="s">
        <v>113</v>
      </c>
      <c r="AD1927" t="s">
        <v>57</v>
      </c>
      <c r="AE1927" t="s">
        <v>36</v>
      </c>
    </row>
    <row r="1928" spans="1:31" x14ac:dyDescent="0.3">
      <c r="A1928">
        <v>10182</v>
      </c>
      <c r="B1928">
        <v>49</v>
      </c>
      <c r="C1928">
        <v>100</v>
      </c>
      <c r="D1928">
        <v>17</v>
      </c>
      <c r="E1928" s="4" t="str">
        <f t="shared" si="180"/>
        <v>high sales</v>
      </c>
      <c r="F1928">
        <v>6244.07</v>
      </c>
      <c r="G1928" t="s">
        <v>2600</v>
      </c>
      <c r="H1928" s="1" t="str">
        <f t="shared" si="181"/>
        <v>Shipped</v>
      </c>
      <c r="I1928" s="4" t="str">
        <f t="shared" si="182"/>
        <v>completed</v>
      </c>
      <c r="J1928" t="s">
        <v>25</v>
      </c>
      <c r="K1928">
        <v>4</v>
      </c>
      <c r="L1928">
        <v>11</v>
      </c>
      <c r="M1928">
        <v>2003</v>
      </c>
      <c r="N1928" t="s">
        <v>181</v>
      </c>
      <c r="O1928">
        <v>107</v>
      </c>
      <c r="P1928" t="s">
        <v>640</v>
      </c>
      <c r="Q1928" t="s">
        <v>272</v>
      </c>
      <c r="R1928">
        <v>4155551450</v>
      </c>
      <c r="S1928" t="s">
        <v>273</v>
      </c>
      <c r="U1928" s="1" t="str">
        <f t="shared" si="183"/>
        <v>San Rafael</v>
      </c>
      <c r="V1928" t="s">
        <v>274</v>
      </c>
      <c r="W1928" t="s">
        <v>55</v>
      </c>
      <c r="X1928">
        <v>97562</v>
      </c>
      <c r="Y1928" s="1" t="str">
        <f t="shared" si="184"/>
        <v>USA</v>
      </c>
      <c r="Z1928" s="4" t="str">
        <f t="shared" si="185"/>
        <v>Usa</v>
      </c>
      <c r="AA1928" t="s">
        <v>32</v>
      </c>
      <c r="AB1928" t="s">
        <v>33</v>
      </c>
      <c r="AC1928" t="s">
        <v>275</v>
      </c>
      <c r="AD1928" t="s">
        <v>276</v>
      </c>
      <c r="AE1928" t="s">
        <v>51</v>
      </c>
    </row>
    <row r="1929" spans="1:31" x14ac:dyDescent="0.3">
      <c r="A1929">
        <v>10192</v>
      </c>
      <c r="B1929">
        <v>46</v>
      </c>
      <c r="C1929">
        <v>100</v>
      </c>
      <c r="D1929">
        <v>5</v>
      </c>
      <c r="E1929" s="4" t="str">
        <f t="shared" si="180"/>
        <v>high sales</v>
      </c>
      <c r="F1929">
        <v>5566</v>
      </c>
      <c r="G1929" t="s">
        <v>2601</v>
      </c>
      <c r="H1929" s="1" t="str">
        <f t="shared" si="181"/>
        <v>Shipped</v>
      </c>
      <c r="I1929" s="4" t="str">
        <f t="shared" si="182"/>
        <v>completed</v>
      </c>
      <c r="J1929" t="s">
        <v>25</v>
      </c>
      <c r="K1929">
        <v>4</v>
      </c>
      <c r="L1929">
        <v>11</v>
      </c>
      <c r="M1929">
        <v>2003</v>
      </c>
      <c r="N1929" t="s">
        <v>181</v>
      </c>
      <c r="O1929">
        <v>107</v>
      </c>
      <c r="P1929" t="s">
        <v>640</v>
      </c>
      <c r="Q1929" t="s">
        <v>277</v>
      </c>
      <c r="R1929">
        <v>6035558647</v>
      </c>
      <c r="S1929" t="s">
        <v>278</v>
      </c>
      <c r="U1929" s="1" t="str">
        <f t="shared" si="183"/>
        <v>Nashua</v>
      </c>
      <c r="V1929" t="s">
        <v>279</v>
      </c>
      <c r="W1929" t="s">
        <v>280</v>
      </c>
      <c r="X1929">
        <v>62005</v>
      </c>
      <c r="Y1929" s="1" t="str">
        <f t="shared" si="184"/>
        <v>USA</v>
      </c>
      <c r="Z1929" s="4" t="str">
        <f t="shared" si="185"/>
        <v>Usa</v>
      </c>
      <c r="AA1929" t="s">
        <v>32</v>
      </c>
      <c r="AB1929" t="s">
        <v>33</v>
      </c>
      <c r="AC1929" t="s">
        <v>56</v>
      </c>
      <c r="AD1929" t="s">
        <v>276</v>
      </c>
      <c r="AE1929" t="s">
        <v>51</v>
      </c>
    </row>
    <row r="1930" spans="1:31" x14ac:dyDescent="0.3">
      <c r="A1930">
        <v>10204</v>
      </c>
      <c r="B1930">
        <v>48</v>
      </c>
      <c r="C1930">
        <v>91.02</v>
      </c>
      <c r="D1930">
        <v>11</v>
      </c>
      <c r="E1930" s="4" t="str">
        <f t="shared" si="180"/>
        <v>high sales</v>
      </c>
      <c r="F1930">
        <v>4368.96</v>
      </c>
      <c r="G1930" t="s">
        <v>2602</v>
      </c>
      <c r="H1930" s="1" t="str">
        <f t="shared" si="181"/>
        <v>Shipped</v>
      </c>
      <c r="I1930" s="4" t="str">
        <f t="shared" si="182"/>
        <v>completed</v>
      </c>
      <c r="J1930" t="s">
        <v>25</v>
      </c>
      <c r="K1930">
        <v>4</v>
      </c>
      <c r="L1930">
        <v>12</v>
      </c>
      <c r="M1930">
        <v>2003</v>
      </c>
      <c r="N1930" t="s">
        <v>181</v>
      </c>
      <c r="O1930">
        <v>107</v>
      </c>
      <c r="P1930" t="s">
        <v>640</v>
      </c>
      <c r="Q1930" t="s">
        <v>475</v>
      </c>
      <c r="R1930">
        <v>2125557413</v>
      </c>
      <c r="S1930" t="s">
        <v>476</v>
      </c>
      <c r="T1930" t="s">
        <v>477</v>
      </c>
      <c r="U1930" s="1" t="str">
        <f t="shared" si="183"/>
        <v>Nyc</v>
      </c>
      <c r="V1930" t="s">
        <v>30</v>
      </c>
      <c r="W1930" t="s">
        <v>31</v>
      </c>
      <c r="X1930">
        <v>10022</v>
      </c>
      <c r="Y1930" s="1" t="str">
        <f t="shared" si="184"/>
        <v>USA</v>
      </c>
      <c r="Z1930" s="4" t="str">
        <f t="shared" si="185"/>
        <v>Usa</v>
      </c>
      <c r="AA1930" t="s">
        <v>32</v>
      </c>
      <c r="AB1930" t="s">
        <v>33</v>
      </c>
      <c r="AC1930" t="s">
        <v>56</v>
      </c>
      <c r="AD1930" t="s">
        <v>478</v>
      </c>
      <c r="AE1930" t="s">
        <v>51</v>
      </c>
    </row>
    <row r="1931" spans="1:31" x14ac:dyDescent="0.3">
      <c r="A1931">
        <v>10212</v>
      </c>
      <c r="B1931">
        <v>46</v>
      </c>
      <c r="C1931">
        <v>87.81</v>
      </c>
      <c r="D1931">
        <v>4</v>
      </c>
      <c r="E1931" s="4" t="str">
        <f t="shared" si="180"/>
        <v>high sales</v>
      </c>
      <c r="F1931">
        <v>4039.26</v>
      </c>
      <c r="G1931" t="s">
        <v>2603</v>
      </c>
      <c r="H1931" s="1" t="str">
        <f t="shared" si="181"/>
        <v>Shipped</v>
      </c>
      <c r="I1931" s="4" t="str">
        <f t="shared" si="182"/>
        <v>completed</v>
      </c>
      <c r="J1931" t="s">
        <v>25</v>
      </c>
      <c r="K1931">
        <v>1</v>
      </c>
      <c r="L1931">
        <v>1</v>
      </c>
      <c r="M1931">
        <v>2004</v>
      </c>
      <c r="N1931" t="s">
        <v>181</v>
      </c>
      <c r="O1931">
        <v>107</v>
      </c>
      <c r="P1931" t="s">
        <v>640</v>
      </c>
      <c r="Q1931" t="s">
        <v>174</v>
      </c>
      <c r="R1931" t="s">
        <v>175</v>
      </c>
      <c r="S1931" t="s">
        <v>176</v>
      </c>
      <c r="U1931" s="1" t="str">
        <f t="shared" si="183"/>
        <v>Madrid</v>
      </c>
      <c r="V1931" t="s">
        <v>177</v>
      </c>
      <c r="X1931">
        <v>28034</v>
      </c>
      <c r="Y1931" s="1" t="str">
        <f t="shared" si="184"/>
        <v>SPAIN</v>
      </c>
      <c r="Z1931" s="4" t="str">
        <f t="shared" si="185"/>
        <v>Spain</v>
      </c>
      <c r="AA1931" t="s">
        <v>178</v>
      </c>
      <c r="AB1931" t="s">
        <v>42</v>
      </c>
      <c r="AC1931" t="s">
        <v>179</v>
      </c>
      <c r="AD1931" t="s">
        <v>180</v>
      </c>
      <c r="AE1931" t="s">
        <v>51</v>
      </c>
    </row>
    <row r="1932" spans="1:31" x14ac:dyDescent="0.3">
      <c r="A1932">
        <v>10226</v>
      </c>
      <c r="B1932">
        <v>48</v>
      </c>
      <c r="C1932">
        <v>92.09</v>
      </c>
      <c r="D1932">
        <v>2</v>
      </c>
      <c r="E1932" s="4" t="str">
        <f t="shared" si="180"/>
        <v>high sales</v>
      </c>
      <c r="F1932">
        <v>4420.32</v>
      </c>
      <c r="G1932" t="s">
        <v>2604</v>
      </c>
      <c r="H1932" s="1" t="str">
        <f t="shared" si="181"/>
        <v>Shipped</v>
      </c>
      <c r="I1932" s="4" t="str">
        <f t="shared" si="182"/>
        <v>completed</v>
      </c>
      <c r="J1932" t="s">
        <v>25</v>
      </c>
      <c r="K1932">
        <v>1</v>
      </c>
      <c r="L1932">
        <v>2</v>
      </c>
      <c r="M1932">
        <v>2004</v>
      </c>
      <c r="N1932" t="s">
        <v>181</v>
      </c>
      <c r="O1932">
        <v>107</v>
      </c>
      <c r="P1932" t="s">
        <v>640</v>
      </c>
      <c r="Q1932" t="s">
        <v>362</v>
      </c>
      <c r="R1932">
        <v>7605558146</v>
      </c>
      <c r="S1932" t="s">
        <v>363</v>
      </c>
      <c r="U1932" s="1" t="str">
        <f t="shared" si="183"/>
        <v>San Diego</v>
      </c>
      <c r="V1932" t="s">
        <v>364</v>
      </c>
      <c r="W1932" t="s">
        <v>55</v>
      </c>
      <c r="X1932">
        <v>91217</v>
      </c>
      <c r="Y1932" s="1" t="str">
        <f t="shared" si="184"/>
        <v>USA</v>
      </c>
      <c r="Z1932" s="4" t="str">
        <f t="shared" si="185"/>
        <v>Usa</v>
      </c>
      <c r="AA1932" t="s">
        <v>32</v>
      </c>
      <c r="AB1932" t="s">
        <v>33</v>
      </c>
      <c r="AC1932" t="s">
        <v>237</v>
      </c>
      <c r="AD1932" t="s">
        <v>276</v>
      </c>
      <c r="AE1932" t="s">
        <v>51</v>
      </c>
    </row>
    <row r="1933" spans="1:31" x14ac:dyDescent="0.3">
      <c r="A1933">
        <v>10241</v>
      </c>
      <c r="B1933">
        <v>27</v>
      </c>
      <c r="C1933">
        <v>86.73</v>
      </c>
      <c r="D1933">
        <v>9</v>
      </c>
      <c r="E1933" s="4" t="str">
        <f t="shared" si="180"/>
        <v>low sales</v>
      </c>
      <c r="F1933">
        <v>2341.71</v>
      </c>
      <c r="G1933" t="s">
        <v>2605</v>
      </c>
      <c r="H1933" s="1" t="str">
        <f t="shared" si="181"/>
        <v>Shipped</v>
      </c>
      <c r="I1933" s="4" t="str">
        <f t="shared" si="182"/>
        <v>completed</v>
      </c>
      <c r="J1933" t="s">
        <v>25</v>
      </c>
      <c r="K1933">
        <v>2</v>
      </c>
      <c r="L1933">
        <v>4</v>
      </c>
      <c r="M1933">
        <v>2004</v>
      </c>
      <c r="N1933" t="s">
        <v>181</v>
      </c>
      <c r="O1933">
        <v>107</v>
      </c>
      <c r="P1933" t="s">
        <v>640</v>
      </c>
      <c r="Q1933" t="s">
        <v>531</v>
      </c>
      <c r="R1933" t="s">
        <v>532</v>
      </c>
      <c r="S1933" t="s">
        <v>533</v>
      </c>
      <c r="U1933" s="1" t="str">
        <f t="shared" si="183"/>
        <v>Strasbourg</v>
      </c>
      <c r="V1933" t="s">
        <v>534</v>
      </c>
      <c r="X1933">
        <v>67000</v>
      </c>
      <c r="Y1933" s="1" t="str">
        <f t="shared" si="184"/>
        <v>FRANCE</v>
      </c>
      <c r="Z1933" s="4" t="str">
        <f t="shared" si="185"/>
        <v>France</v>
      </c>
      <c r="AA1933" t="s">
        <v>41</v>
      </c>
      <c r="AB1933" t="s">
        <v>42</v>
      </c>
      <c r="AC1933" t="s">
        <v>535</v>
      </c>
      <c r="AD1933" t="s">
        <v>536</v>
      </c>
      <c r="AE1933" t="s">
        <v>36</v>
      </c>
    </row>
    <row r="1934" spans="1:31" x14ac:dyDescent="0.3">
      <c r="A1934">
        <v>10267</v>
      </c>
      <c r="B1934">
        <v>43</v>
      </c>
      <c r="C1934">
        <v>100</v>
      </c>
      <c r="D1934">
        <v>6</v>
      </c>
      <c r="E1934" s="4" t="str">
        <f t="shared" si="180"/>
        <v>high sales</v>
      </c>
      <c r="F1934">
        <v>5110.9799999999996</v>
      </c>
      <c r="G1934" t="s">
        <v>2606</v>
      </c>
      <c r="H1934" s="1" t="str">
        <f t="shared" si="181"/>
        <v>Shipped</v>
      </c>
      <c r="I1934" s="4" t="str">
        <f t="shared" si="182"/>
        <v>completed</v>
      </c>
      <c r="J1934" t="s">
        <v>25</v>
      </c>
      <c r="K1934">
        <v>3</v>
      </c>
      <c r="L1934">
        <v>7</v>
      </c>
      <c r="M1934">
        <v>2004</v>
      </c>
      <c r="N1934" t="s">
        <v>181</v>
      </c>
      <c r="O1934">
        <v>107</v>
      </c>
      <c r="P1934" t="s">
        <v>640</v>
      </c>
      <c r="Q1934" t="s">
        <v>475</v>
      </c>
      <c r="R1934">
        <v>2125557413</v>
      </c>
      <c r="S1934" t="s">
        <v>476</v>
      </c>
      <c r="T1934" t="s">
        <v>477</v>
      </c>
      <c r="U1934" s="1" t="str">
        <f t="shared" si="183"/>
        <v>Nyc</v>
      </c>
      <c r="V1934" t="s">
        <v>30</v>
      </c>
      <c r="W1934" t="s">
        <v>31</v>
      </c>
      <c r="X1934">
        <v>10022</v>
      </c>
      <c r="Y1934" s="1" t="str">
        <f t="shared" si="184"/>
        <v>USA</v>
      </c>
      <c r="Z1934" s="4" t="str">
        <f t="shared" si="185"/>
        <v>Usa</v>
      </c>
      <c r="AA1934" t="s">
        <v>32</v>
      </c>
      <c r="AB1934" t="s">
        <v>33</v>
      </c>
      <c r="AC1934" t="s">
        <v>56</v>
      </c>
      <c r="AD1934" t="s">
        <v>478</v>
      </c>
      <c r="AE1934" t="s">
        <v>51</v>
      </c>
    </row>
    <row r="1935" spans="1:31" x14ac:dyDescent="0.3">
      <c r="A1935">
        <v>10279</v>
      </c>
      <c r="B1935">
        <v>48</v>
      </c>
      <c r="C1935">
        <v>100</v>
      </c>
      <c r="D1935">
        <v>6</v>
      </c>
      <c r="E1935" s="4" t="str">
        <f t="shared" si="180"/>
        <v>high sales</v>
      </c>
      <c r="F1935">
        <v>6168</v>
      </c>
      <c r="G1935" t="s">
        <v>2607</v>
      </c>
      <c r="H1935" s="1" t="str">
        <f t="shared" si="181"/>
        <v>Shipped</v>
      </c>
      <c r="I1935" s="4" t="str">
        <f t="shared" si="182"/>
        <v>completed</v>
      </c>
      <c r="J1935" t="s">
        <v>25</v>
      </c>
      <c r="K1935">
        <v>3</v>
      </c>
      <c r="L1935">
        <v>8</v>
      </c>
      <c r="M1935">
        <v>2004</v>
      </c>
      <c r="N1935" t="s">
        <v>181</v>
      </c>
      <c r="O1935">
        <v>107</v>
      </c>
      <c r="P1935" t="s">
        <v>640</v>
      </c>
      <c r="Q1935" t="s">
        <v>174</v>
      </c>
      <c r="R1935" t="s">
        <v>175</v>
      </c>
      <c r="S1935" t="s">
        <v>176</v>
      </c>
      <c r="U1935" s="1" t="str">
        <f t="shared" si="183"/>
        <v>Madrid</v>
      </c>
      <c r="V1935" t="s">
        <v>177</v>
      </c>
      <c r="X1935">
        <v>28034</v>
      </c>
      <c r="Y1935" s="1" t="str">
        <f t="shared" si="184"/>
        <v>SPAIN</v>
      </c>
      <c r="Z1935" s="4" t="str">
        <f t="shared" si="185"/>
        <v>Spain</v>
      </c>
      <c r="AA1935" t="s">
        <v>178</v>
      </c>
      <c r="AB1935" t="s">
        <v>42</v>
      </c>
      <c r="AC1935" t="s">
        <v>179</v>
      </c>
      <c r="AD1935" t="s">
        <v>180</v>
      </c>
      <c r="AE1935" t="s">
        <v>51</v>
      </c>
    </row>
    <row r="1936" spans="1:31" x14ac:dyDescent="0.3">
      <c r="A1936">
        <v>10288</v>
      </c>
      <c r="B1936">
        <v>41</v>
      </c>
      <c r="C1936">
        <v>100</v>
      </c>
      <c r="D1936">
        <v>12</v>
      </c>
      <c r="E1936" s="4" t="str">
        <f t="shared" si="180"/>
        <v>high sales</v>
      </c>
      <c r="F1936">
        <v>4873.26</v>
      </c>
      <c r="G1936" t="s">
        <v>2608</v>
      </c>
      <c r="H1936" s="1" t="str">
        <f t="shared" si="181"/>
        <v>Shipped</v>
      </c>
      <c r="I1936" s="4" t="str">
        <f t="shared" si="182"/>
        <v>completed</v>
      </c>
      <c r="J1936" t="s">
        <v>25</v>
      </c>
      <c r="K1936">
        <v>3</v>
      </c>
      <c r="L1936">
        <v>9</v>
      </c>
      <c r="M1936">
        <v>2004</v>
      </c>
      <c r="N1936" t="s">
        <v>181</v>
      </c>
      <c r="O1936">
        <v>107</v>
      </c>
      <c r="P1936" t="s">
        <v>640</v>
      </c>
      <c r="Q1936" t="s">
        <v>418</v>
      </c>
      <c r="R1936" t="s">
        <v>419</v>
      </c>
      <c r="S1936" t="s">
        <v>420</v>
      </c>
      <c r="T1936" t="s">
        <v>421</v>
      </c>
      <c r="U1936" s="1" t="str">
        <f t="shared" si="183"/>
        <v>Singapore</v>
      </c>
      <c r="V1936" t="s">
        <v>199</v>
      </c>
      <c r="X1936">
        <v>69045</v>
      </c>
      <c r="Y1936" s="1" t="str">
        <f t="shared" si="184"/>
        <v>SINGAPORE</v>
      </c>
      <c r="Z1936" s="4" t="str">
        <f t="shared" si="185"/>
        <v>Singapore</v>
      </c>
      <c r="AA1936" t="s">
        <v>199</v>
      </c>
      <c r="AB1936" t="s">
        <v>96</v>
      </c>
      <c r="AC1936" t="s">
        <v>422</v>
      </c>
      <c r="AD1936" t="s">
        <v>423</v>
      </c>
      <c r="AE1936" t="s">
        <v>51</v>
      </c>
    </row>
    <row r="1937" spans="1:31" x14ac:dyDescent="0.3">
      <c r="A1937">
        <v>10301</v>
      </c>
      <c r="B1937">
        <v>22</v>
      </c>
      <c r="C1937">
        <v>96.37</v>
      </c>
      <c r="D1937">
        <v>2</v>
      </c>
      <c r="E1937" s="4" t="str">
        <f t="shared" si="180"/>
        <v>low sales</v>
      </c>
      <c r="F1937">
        <v>2120.14</v>
      </c>
      <c r="G1937" t="s">
        <v>2609</v>
      </c>
      <c r="H1937" s="1" t="str">
        <f t="shared" si="181"/>
        <v>Shipped</v>
      </c>
      <c r="I1937" s="4" t="str">
        <f t="shared" si="182"/>
        <v>completed</v>
      </c>
      <c r="J1937" t="s">
        <v>25</v>
      </c>
      <c r="K1937">
        <v>4</v>
      </c>
      <c r="L1937">
        <v>10</v>
      </c>
      <c r="M1937">
        <v>2003</v>
      </c>
      <c r="N1937" t="s">
        <v>181</v>
      </c>
      <c r="O1937">
        <v>107</v>
      </c>
      <c r="P1937" t="s">
        <v>640</v>
      </c>
      <c r="Q1937" t="s">
        <v>543</v>
      </c>
      <c r="R1937" t="s">
        <v>544</v>
      </c>
      <c r="S1937" t="s">
        <v>545</v>
      </c>
      <c r="U1937" s="1" t="str">
        <f t="shared" si="183"/>
        <v>Oslo</v>
      </c>
      <c r="V1937" t="s">
        <v>546</v>
      </c>
      <c r="X1937" t="s">
        <v>547</v>
      </c>
      <c r="Y1937" s="1" t="str">
        <f t="shared" si="184"/>
        <v>NORWAY</v>
      </c>
      <c r="Z1937" s="4" t="str">
        <f t="shared" si="185"/>
        <v>Norway</v>
      </c>
      <c r="AA1937" t="s">
        <v>78</v>
      </c>
      <c r="AB1937" t="s">
        <v>42</v>
      </c>
      <c r="AC1937" t="s">
        <v>548</v>
      </c>
      <c r="AD1937" t="s">
        <v>549</v>
      </c>
      <c r="AE1937" t="s">
        <v>36</v>
      </c>
    </row>
    <row r="1938" spans="1:31" x14ac:dyDescent="0.3">
      <c r="A1938">
        <v>10311</v>
      </c>
      <c r="B1938">
        <v>46</v>
      </c>
      <c r="C1938">
        <v>92.09</v>
      </c>
      <c r="D1938">
        <v>7</v>
      </c>
      <c r="E1938" s="4" t="str">
        <f t="shared" si="180"/>
        <v>high sales</v>
      </c>
      <c r="F1938">
        <v>4236.1400000000003</v>
      </c>
      <c r="G1938" t="s">
        <v>2610</v>
      </c>
      <c r="H1938" s="1" t="str">
        <f t="shared" si="181"/>
        <v>Shipped</v>
      </c>
      <c r="I1938" s="4" t="str">
        <f t="shared" si="182"/>
        <v>completed</v>
      </c>
      <c r="J1938" t="s">
        <v>25</v>
      </c>
      <c r="K1938">
        <v>4</v>
      </c>
      <c r="L1938">
        <v>10</v>
      </c>
      <c r="M1938">
        <v>2004</v>
      </c>
      <c r="N1938" t="s">
        <v>181</v>
      </c>
      <c r="O1938">
        <v>107</v>
      </c>
      <c r="P1938" t="s">
        <v>640</v>
      </c>
      <c r="Q1938" t="s">
        <v>174</v>
      </c>
      <c r="R1938" t="s">
        <v>175</v>
      </c>
      <c r="S1938" t="s">
        <v>176</v>
      </c>
      <c r="U1938" s="1" t="str">
        <f t="shared" si="183"/>
        <v>Madrid</v>
      </c>
      <c r="V1938" t="s">
        <v>177</v>
      </c>
      <c r="X1938">
        <v>28034</v>
      </c>
      <c r="Y1938" s="1" t="str">
        <f t="shared" si="184"/>
        <v>SPAIN</v>
      </c>
      <c r="Z1938" s="4" t="str">
        <f t="shared" si="185"/>
        <v>Spain</v>
      </c>
      <c r="AA1938" t="s">
        <v>178</v>
      </c>
      <c r="AB1938" t="s">
        <v>42</v>
      </c>
      <c r="AC1938" t="s">
        <v>179</v>
      </c>
      <c r="AD1938" t="s">
        <v>180</v>
      </c>
      <c r="AE1938" t="s">
        <v>51</v>
      </c>
    </row>
    <row r="1939" spans="1:31" x14ac:dyDescent="0.3">
      <c r="A1939">
        <v>10321</v>
      </c>
      <c r="B1939">
        <v>21</v>
      </c>
      <c r="C1939">
        <v>89.95</v>
      </c>
      <c r="D1939">
        <v>4</v>
      </c>
      <c r="E1939" s="4" t="str">
        <f t="shared" si="180"/>
        <v>low sales</v>
      </c>
      <c r="F1939">
        <v>1888.95</v>
      </c>
      <c r="G1939" t="s">
        <v>2611</v>
      </c>
      <c r="H1939" s="1" t="str">
        <f t="shared" si="181"/>
        <v>Shipped</v>
      </c>
      <c r="I1939" s="4" t="str">
        <f t="shared" si="182"/>
        <v>completed</v>
      </c>
      <c r="J1939" t="s">
        <v>25</v>
      </c>
      <c r="K1939">
        <v>4</v>
      </c>
      <c r="L1939">
        <v>11</v>
      </c>
      <c r="M1939">
        <v>2004</v>
      </c>
      <c r="N1939" t="s">
        <v>181</v>
      </c>
      <c r="O1939">
        <v>107</v>
      </c>
      <c r="P1939" t="s">
        <v>640</v>
      </c>
      <c r="Q1939" t="s">
        <v>160</v>
      </c>
      <c r="R1939">
        <v>5085552555</v>
      </c>
      <c r="S1939" t="s">
        <v>161</v>
      </c>
      <c r="U1939" s="1" t="str">
        <f t="shared" si="183"/>
        <v>New Bedford</v>
      </c>
      <c r="V1939" t="s">
        <v>162</v>
      </c>
      <c r="W1939" t="s">
        <v>123</v>
      </c>
      <c r="X1939">
        <v>50553</v>
      </c>
      <c r="Y1939" s="1" t="str">
        <f t="shared" si="184"/>
        <v>USA</v>
      </c>
      <c r="Z1939" s="4" t="str">
        <f t="shared" si="185"/>
        <v>Usa</v>
      </c>
      <c r="AA1939" t="s">
        <v>32</v>
      </c>
      <c r="AB1939" t="s">
        <v>33</v>
      </c>
      <c r="AC1939" t="s">
        <v>163</v>
      </c>
      <c r="AD1939" t="s">
        <v>164</v>
      </c>
      <c r="AE1939" t="s">
        <v>36</v>
      </c>
    </row>
    <row r="1940" spans="1:31" x14ac:dyDescent="0.3">
      <c r="A1940">
        <v>10332</v>
      </c>
      <c r="B1940">
        <v>31</v>
      </c>
      <c r="C1940">
        <v>37.18</v>
      </c>
      <c r="D1940">
        <v>13</v>
      </c>
      <c r="E1940" s="4" t="str">
        <f t="shared" si="180"/>
        <v>low sales</v>
      </c>
      <c r="F1940">
        <v>1152.58</v>
      </c>
      <c r="G1940" t="s">
        <v>2612</v>
      </c>
      <c r="H1940" s="1" t="str">
        <f t="shared" si="181"/>
        <v>Shipped</v>
      </c>
      <c r="I1940" s="4" t="str">
        <f t="shared" si="182"/>
        <v>completed</v>
      </c>
      <c r="J1940" t="s">
        <v>25</v>
      </c>
      <c r="K1940">
        <v>4</v>
      </c>
      <c r="L1940">
        <v>11</v>
      </c>
      <c r="M1940">
        <v>2004</v>
      </c>
      <c r="N1940" t="s">
        <v>181</v>
      </c>
      <c r="O1940">
        <v>107</v>
      </c>
      <c r="P1940" t="s">
        <v>640</v>
      </c>
      <c r="Q1940" t="s">
        <v>492</v>
      </c>
      <c r="R1940" t="s">
        <v>493</v>
      </c>
      <c r="S1940" t="s">
        <v>494</v>
      </c>
      <c r="U1940" s="1" t="str">
        <f t="shared" si="183"/>
        <v>Manchester</v>
      </c>
      <c r="V1940" t="s">
        <v>495</v>
      </c>
      <c r="X1940" t="s">
        <v>496</v>
      </c>
      <c r="Y1940" s="1" t="str">
        <f t="shared" si="184"/>
        <v>UK</v>
      </c>
      <c r="Z1940" s="4" t="str">
        <f t="shared" si="185"/>
        <v>Uk</v>
      </c>
      <c r="AA1940" t="s">
        <v>170</v>
      </c>
      <c r="AB1940" t="s">
        <v>42</v>
      </c>
      <c r="AC1940" t="s">
        <v>497</v>
      </c>
      <c r="AD1940" t="s">
        <v>94</v>
      </c>
      <c r="AE1940" t="s">
        <v>36</v>
      </c>
    </row>
    <row r="1941" spans="1:31" x14ac:dyDescent="0.3">
      <c r="A1941">
        <v>10346</v>
      </c>
      <c r="B1941">
        <v>26</v>
      </c>
      <c r="C1941">
        <v>95.88</v>
      </c>
      <c r="D1941">
        <v>6</v>
      </c>
      <c r="E1941" s="4" t="str">
        <f t="shared" si="180"/>
        <v>low sales</v>
      </c>
      <c r="F1941">
        <v>2492.88</v>
      </c>
      <c r="G1941" t="s">
        <v>2613</v>
      </c>
      <c r="H1941" s="1" t="str">
        <f t="shared" si="181"/>
        <v>Shipped</v>
      </c>
      <c r="I1941" s="4" t="str">
        <f t="shared" si="182"/>
        <v>completed</v>
      </c>
      <c r="J1941" t="s">
        <v>25</v>
      </c>
      <c r="K1941">
        <v>4</v>
      </c>
      <c r="L1941">
        <v>11</v>
      </c>
      <c r="M1941">
        <v>2004</v>
      </c>
      <c r="N1941" t="s">
        <v>181</v>
      </c>
      <c r="O1941">
        <v>107</v>
      </c>
      <c r="P1941" t="s">
        <v>640</v>
      </c>
      <c r="Q1941" t="s">
        <v>539</v>
      </c>
      <c r="R1941">
        <v>7025551838</v>
      </c>
      <c r="S1941" t="s">
        <v>540</v>
      </c>
      <c r="U1941" s="1" t="str">
        <f t="shared" si="183"/>
        <v>Las Vegas</v>
      </c>
      <c r="V1941" t="s">
        <v>541</v>
      </c>
      <c r="W1941" t="s">
        <v>542</v>
      </c>
      <c r="X1941">
        <v>83030</v>
      </c>
      <c r="Y1941" s="1" t="str">
        <f t="shared" si="184"/>
        <v>USA</v>
      </c>
      <c r="Z1941" s="4" t="str">
        <f t="shared" si="185"/>
        <v>Usa</v>
      </c>
      <c r="AA1941" t="s">
        <v>32</v>
      </c>
      <c r="AB1941" t="s">
        <v>33</v>
      </c>
      <c r="AC1941" t="s">
        <v>113</v>
      </c>
      <c r="AD1941" t="s">
        <v>400</v>
      </c>
      <c r="AE1941" t="s">
        <v>36</v>
      </c>
    </row>
    <row r="1942" spans="1:31" x14ac:dyDescent="0.3">
      <c r="A1942">
        <v>10368</v>
      </c>
      <c r="B1942">
        <v>20</v>
      </c>
      <c r="C1942">
        <v>99.58</v>
      </c>
      <c r="D1942">
        <v>4</v>
      </c>
      <c r="E1942" s="4" t="str">
        <f t="shared" si="180"/>
        <v>low sales</v>
      </c>
      <c r="F1942">
        <v>1991.6</v>
      </c>
      <c r="G1942" t="s">
        <v>2614</v>
      </c>
      <c r="H1942" s="1" t="str">
        <f t="shared" si="181"/>
        <v>Shipped</v>
      </c>
      <c r="I1942" s="4" t="str">
        <f t="shared" si="182"/>
        <v>completed</v>
      </c>
      <c r="J1942" t="s">
        <v>25</v>
      </c>
      <c r="K1942">
        <v>1</v>
      </c>
      <c r="L1942">
        <v>1</v>
      </c>
      <c r="M1942">
        <v>2005</v>
      </c>
      <c r="N1942" t="s">
        <v>181</v>
      </c>
      <c r="O1942">
        <v>107</v>
      </c>
      <c r="P1942" t="s">
        <v>640</v>
      </c>
      <c r="Q1942" t="s">
        <v>272</v>
      </c>
      <c r="R1942">
        <v>4155551450</v>
      </c>
      <c r="S1942" t="s">
        <v>273</v>
      </c>
      <c r="U1942" s="1" t="str">
        <f t="shared" si="183"/>
        <v>San Rafael</v>
      </c>
      <c r="V1942" t="s">
        <v>274</v>
      </c>
      <c r="W1942" t="s">
        <v>55</v>
      </c>
      <c r="X1942">
        <v>97562</v>
      </c>
      <c r="Y1942" s="1" t="str">
        <f t="shared" si="184"/>
        <v>USA</v>
      </c>
      <c r="Z1942" s="4" t="str">
        <f t="shared" si="185"/>
        <v>Usa</v>
      </c>
      <c r="AA1942" t="s">
        <v>32</v>
      </c>
      <c r="AB1942" t="s">
        <v>33</v>
      </c>
      <c r="AC1942" t="s">
        <v>275</v>
      </c>
      <c r="AD1942" t="s">
        <v>276</v>
      </c>
      <c r="AE1942" t="s">
        <v>36</v>
      </c>
    </row>
    <row r="1943" spans="1:31" x14ac:dyDescent="0.3">
      <c r="A1943">
        <v>10380</v>
      </c>
      <c r="B1943">
        <v>34</v>
      </c>
      <c r="C1943">
        <v>100</v>
      </c>
      <c r="D1943">
        <v>11</v>
      </c>
      <c r="E1943" s="4" t="str">
        <f t="shared" si="180"/>
        <v>low sales</v>
      </c>
      <c r="F1943">
        <v>3953.18</v>
      </c>
      <c r="G1943" t="s">
        <v>2615</v>
      </c>
      <c r="H1943" s="1" t="str">
        <f t="shared" si="181"/>
        <v>Shipped</v>
      </c>
      <c r="I1943" s="4" t="str">
        <f t="shared" si="182"/>
        <v>completed</v>
      </c>
      <c r="J1943" t="s">
        <v>25</v>
      </c>
      <c r="K1943">
        <v>1</v>
      </c>
      <c r="L1943">
        <v>2</v>
      </c>
      <c r="M1943">
        <v>2005</v>
      </c>
      <c r="N1943" t="s">
        <v>181</v>
      </c>
      <c r="O1943">
        <v>107</v>
      </c>
      <c r="P1943" t="s">
        <v>640</v>
      </c>
      <c r="Q1943" t="s">
        <v>174</v>
      </c>
      <c r="R1943" t="s">
        <v>175</v>
      </c>
      <c r="S1943" t="s">
        <v>176</v>
      </c>
      <c r="U1943" s="1" t="str">
        <f t="shared" si="183"/>
        <v>Madrid</v>
      </c>
      <c r="V1943" t="s">
        <v>177</v>
      </c>
      <c r="X1943">
        <v>28034</v>
      </c>
      <c r="Y1943" s="1" t="str">
        <f t="shared" si="184"/>
        <v>SPAIN</v>
      </c>
      <c r="Z1943" s="4" t="str">
        <f t="shared" si="185"/>
        <v>Spain</v>
      </c>
      <c r="AA1943" t="s">
        <v>178</v>
      </c>
      <c r="AB1943" t="s">
        <v>42</v>
      </c>
      <c r="AC1943" t="s">
        <v>179</v>
      </c>
      <c r="AD1943" t="s">
        <v>180</v>
      </c>
      <c r="AE1943" t="s">
        <v>51</v>
      </c>
    </row>
    <row r="1944" spans="1:31" x14ac:dyDescent="0.3">
      <c r="A1944">
        <v>10407</v>
      </c>
      <c r="B1944">
        <v>43</v>
      </c>
      <c r="C1944">
        <v>86.73</v>
      </c>
      <c r="D1944">
        <v>9</v>
      </c>
      <c r="E1944" s="4" t="str">
        <f t="shared" si="180"/>
        <v>low sales</v>
      </c>
      <c r="F1944">
        <v>3729.39</v>
      </c>
      <c r="G1944" t="s">
        <v>2616</v>
      </c>
      <c r="H1944" s="1" t="str">
        <f t="shared" si="181"/>
        <v>On Hold</v>
      </c>
      <c r="I1944" s="4" t="str">
        <f t="shared" si="182"/>
        <v>not completed</v>
      </c>
      <c r="J1944" t="s">
        <v>401</v>
      </c>
      <c r="K1944">
        <v>2</v>
      </c>
      <c r="L1944">
        <v>4</v>
      </c>
      <c r="M1944">
        <v>2005</v>
      </c>
      <c r="N1944" t="s">
        <v>181</v>
      </c>
      <c r="O1944">
        <v>107</v>
      </c>
      <c r="P1944" t="s">
        <v>640</v>
      </c>
      <c r="Q1944" t="s">
        <v>397</v>
      </c>
      <c r="R1944">
        <v>4085553659</v>
      </c>
      <c r="S1944" t="s">
        <v>398</v>
      </c>
      <c r="U1944" s="1" t="str">
        <f t="shared" si="183"/>
        <v>San Jose</v>
      </c>
      <c r="V1944" t="s">
        <v>399</v>
      </c>
      <c r="W1944" t="s">
        <v>55</v>
      </c>
      <c r="X1944">
        <v>94217</v>
      </c>
      <c r="Y1944" s="1" t="str">
        <f t="shared" si="184"/>
        <v>USA</v>
      </c>
      <c r="Z1944" s="4" t="str">
        <f t="shared" si="185"/>
        <v>Usa</v>
      </c>
      <c r="AA1944" t="s">
        <v>32</v>
      </c>
      <c r="AB1944" t="s">
        <v>33</v>
      </c>
      <c r="AC1944" t="s">
        <v>102</v>
      </c>
      <c r="AD1944" t="s">
        <v>400</v>
      </c>
      <c r="AE1944" t="s">
        <v>51</v>
      </c>
    </row>
    <row r="1945" spans="1:31" x14ac:dyDescent="0.3">
      <c r="A1945">
        <v>10420</v>
      </c>
      <c r="B1945">
        <v>26</v>
      </c>
      <c r="C1945">
        <v>100</v>
      </c>
      <c r="D1945">
        <v>12</v>
      </c>
      <c r="E1945" s="4" t="str">
        <f t="shared" si="180"/>
        <v>low sales</v>
      </c>
      <c r="F1945">
        <v>2617.16</v>
      </c>
      <c r="G1945" t="s">
        <v>2617</v>
      </c>
      <c r="H1945" s="1" t="str">
        <f t="shared" si="181"/>
        <v>In Process</v>
      </c>
      <c r="I1945" s="4" t="str">
        <f t="shared" si="182"/>
        <v>not completed</v>
      </c>
      <c r="J1945" t="s">
        <v>300</v>
      </c>
      <c r="K1945">
        <v>2</v>
      </c>
      <c r="L1945">
        <v>5</v>
      </c>
      <c r="M1945">
        <v>2005</v>
      </c>
      <c r="N1945" t="s">
        <v>181</v>
      </c>
      <c r="O1945">
        <v>107</v>
      </c>
      <c r="P1945" t="s">
        <v>640</v>
      </c>
      <c r="Q1945" t="s">
        <v>152</v>
      </c>
      <c r="R1945" t="s">
        <v>153</v>
      </c>
      <c r="S1945" t="s">
        <v>154</v>
      </c>
      <c r="T1945" t="s">
        <v>155</v>
      </c>
      <c r="U1945" s="1" t="str">
        <f t="shared" si="183"/>
        <v>Chatswood</v>
      </c>
      <c r="V1945" t="s">
        <v>156</v>
      </c>
      <c r="W1945" t="s">
        <v>157</v>
      </c>
      <c r="X1945">
        <v>2067</v>
      </c>
      <c r="Y1945" s="1" t="str">
        <f t="shared" si="184"/>
        <v>AUSTRALIA</v>
      </c>
      <c r="Z1945" s="4" t="str">
        <f t="shared" si="185"/>
        <v>Australia</v>
      </c>
      <c r="AA1945" t="s">
        <v>95</v>
      </c>
      <c r="AB1945" t="s">
        <v>96</v>
      </c>
      <c r="AC1945" t="s">
        <v>158</v>
      </c>
      <c r="AD1945" t="s">
        <v>159</v>
      </c>
      <c r="AE1945" t="s">
        <v>36</v>
      </c>
    </row>
    <row r="1946" spans="1:31" x14ac:dyDescent="0.3">
      <c r="A1946">
        <v>10105</v>
      </c>
      <c r="B1946">
        <v>50</v>
      </c>
      <c r="C1946">
        <v>79.67</v>
      </c>
      <c r="D1946">
        <v>1</v>
      </c>
      <c r="E1946" s="4" t="str">
        <f t="shared" si="180"/>
        <v>low sales</v>
      </c>
      <c r="F1946">
        <v>3983.5</v>
      </c>
      <c r="G1946" t="s">
        <v>2618</v>
      </c>
      <c r="H1946" s="1" t="str">
        <f t="shared" si="181"/>
        <v>Shipped</v>
      </c>
      <c r="I1946" s="4" t="str">
        <f t="shared" si="182"/>
        <v>completed</v>
      </c>
      <c r="J1946" t="s">
        <v>25</v>
      </c>
      <c r="K1946">
        <v>1</v>
      </c>
      <c r="L1946">
        <v>2</v>
      </c>
      <c r="M1946">
        <v>2003</v>
      </c>
      <c r="N1946" t="s">
        <v>550</v>
      </c>
      <c r="O1946">
        <v>83</v>
      </c>
      <c r="P1946" t="s">
        <v>641</v>
      </c>
      <c r="Q1946" t="s">
        <v>322</v>
      </c>
      <c r="R1946" t="s">
        <v>323</v>
      </c>
      <c r="S1946" t="s">
        <v>324</v>
      </c>
      <c r="U1946" s="1" t="str">
        <f t="shared" si="183"/>
        <v>Kobenhavn</v>
      </c>
      <c r="V1946" t="s">
        <v>325</v>
      </c>
      <c r="X1946">
        <v>1734</v>
      </c>
      <c r="Y1946" s="1" t="str">
        <f t="shared" si="184"/>
        <v>DENMARK</v>
      </c>
      <c r="Z1946" s="4" t="str">
        <f t="shared" si="185"/>
        <v>Denmark</v>
      </c>
      <c r="AA1946" t="s">
        <v>326</v>
      </c>
      <c r="AB1946" t="s">
        <v>42</v>
      </c>
      <c r="AC1946" t="s">
        <v>327</v>
      </c>
      <c r="AD1946" t="s">
        <v>328</v>
      </c>
      <c r="AE1946" t="s">
        <v>51</v>
      </c>
    </row>
    <row r="1947" spans="1:31" x14ac:dyDescent="0.3">
      <c r="A1947">
        <v>10119</v>
      </c>
      <c r="B1947">
        <v>35</v>
      </c>
      <c r="C1947">
        <v>90.57</v>
      </c>
      <c r="D1947">
        <v>10</v>
      </c>
      <c r="E1947" s="4" t="str">
        <f t="shared" si="180"/>
        <v>low sales</v>
      </c>
      <c r="F1947">
        <v>3169.95</v>
      </c>
      <c r="G1947" t="s">
        <v>2619</v>
      </c>
      <c r="H1947" s="1" t="str">
        <f t="shared" si="181"/>
        <v>Shipped</v>
      </c>
      <c r="I1947" s="4" t="str">
        <f t="shared" si="182"/>
        <v>completed</v>
      </c>
      <c r="J1947" t="s">
        <v>25</v>
      </c>
      <c r="K1947">
        <v>2</v>
      </c>
      <c r="L1947">
        <v>4</v>
      </c>
      <c r="M1947">
        <v>2003</v>
      </c>
      <c r="N1947" t="s">
        <v>550</v>
      </c>
      <c r="O1947">
        <v>83</v>
      </c>
      <c r="P1947" t="s">
        <v>641</v>
      </c>
      <c r="Q1947" t="s">
        <v>144</v>
      </c>
      <c r="R1947" t="s">
        <v>145</v>
      </c>
      <c r="S1947" t="s">
        <v>146</v>
      </c>
      <c r="U1947" s="1" t="str">
        <f t="shared" si="183"/>
        <v>Salzburg</v>
      </c>
      <c r="V1947" t="s">
        <v>147</v>
      </c>
      <c r="X1947">
        <v>5020</v>
      </c>
      <c r="Y1947" s="1" t="str">
        <f t="shared" si="184"/>
        <v>AUSTRIA</v>
      </c>
      <c r="Z1947" s="4" t="str">
        <f t="shared" si="185"/>
        <v>Austria</v>
      </c>
      <c r="AA1947" t="s">
        <v>148</v>
      </c>
      <c r="AB1947" t="s">
        <v>42</v>
      </c>
      <c r="AC1947" t="s">
        <v>149</v>
      </c>
      <c r="AD1947" t="s">
        <v>150</v>
      </c>
      <c r="AE1947" t="s">
        <v>51</v>
      </c>
    </row>
    <row r="1948" spans="1:31" x14ac:dyDescent="0.3">
      <c r="A1948">
        <v>10129</v>
      </c>
      <c r="B1948">
        <v>50</v>
      </c>
      <c r="C1948">
        <v>77.989999999999995</v>
      </c>
      <c r="D1948">
        <v>1</v>
      </c>
      <c r="E1948" s="4" t="str">
        <f t="shared" si="180"/>
        <v>low sales</v>
      </c>
      <c r="F1948">
        <v>3899.5</v>
      </c>
      <c r="G1948" t="s">
        <v>2620</v>
      </c>
      <c r="H1948" s="1" t="str">
        <f t="shared" si="181"/>
        <v>Shipped</v>
      </c>
      <c r="I1948" s="4" t="str">
        <f t="shared" si="182"/>
        <v>completed</v>
      </c>
      <c r="J1948" t="s">
        <v>25</v>
      </c>
      <c r="K1948">
        <v>2</v>
      </c>
      <c r="L1948">
        <v>6</v>
      </c>
      <c r="M1948">
        <v>2003</v>
      </c>
      <c r="N1948" t="s">
        <v>550</v>
      </c>
      <c r="O1948">
        <v>83</v>
      </c>
      <c r="P1948" t="s">
        <v>641</v>
      </c>
      <c r="Q1948" t="s">
        <v>329</v>
      </c>
      <c r="R1948" t="s">
        <v>330</v>
      </c>
      <c r="S1948" t="s">
        <v>331</v>
      </c>
      <c r="U1948" s="1" t="str">
        <f t="shared" si="183"/>
        <v>London</v>
      </c>
      <c r="V1948" t="s">
        <v>332</v>
      </c>
      <c r="X1948" t="s">
        <v>333</v>
      </c>
      <c r="Y1948" s="1" t="str">
        <f t="shared" si="184"/>
        <v>UK</v>
      </c>
      <c r="Z1948" s="4" t="str">
        <f t="shared" si="185"/>
        <v>Uk</v>
      </c>
      <c r="AA1948" t="s">
        <v>170</v>
      </c>
      <c r="AB1948" t="s">
        <v>42</v>
      </c>
      <c r="AC1948" t="s">
        <v>61</v>
      </c>
      <c r="AD1948" t="s">
        <v>334</v>
      </c>
      <c r="AE1948" t="s">
        <v>51</v>
      </c>
    </row>
    <row r="1949" spans="1:31" x14ac:dyDescent="0.3">
      <c r="A1949">
        <v>10143</v>
      </c>
      <c r="B1949">
        <v>23</v>
      </c>
      <c r="C1949">
        <v>80.510000000000005</v>
      </c>
      <c r="D1949">
        <v>14</v>
      </c>
      <c r="E1949" s="4" t="str">
        <f t="shared" si="180"/>
        <v>low sales</v>
      </c>
      <c r="F1949">
        <v>1851.73</v>
      </c>
      <c r="G1949" t="s">
        <v>2621</v>
      </c>
      <c r="H1949" s="1" t="str">
        <f t="shared" si="181"/>
        <v>Shipped</v>
      </c>
      <c r="I1949" s="4" t="str">
        <f t="shared" si="182"/>
        <v>completed</v>
      </c>
      <c r="J1949" t="s">
        <v>25</v>
      </c>
      <c r="K1949">
        <v>3</v>
      </c>
      <c r="L1949">
        <v>8</v>
      </c>
      <c r="M1949">
        <v>2003</v>
      </c>
      <c r="N1949" t="s">
        <v>550</v>
      </c>
      <c r="O1949">
        <v>83</v>
      </c>
      <c r="P1949" t="s">
        <v>641</v>
      </c>
      <c r="Q1949" t="s">
        <v>335</v>
      </c>
      <c r="R1949">
        <v>5085559555</v>
      </c>
      <c r="S1949" t="s">
        <v>336</v>
      </c>
      <c r="U1949" s="1" t="str">
        <f t="shared" si="183"/>
        <v>New Bedford</v>
      </c>
      <c r="V1949" t="s">
        <v>162</v>
      </c>
      <c r="W1949" t="s">
        <v>123</v>
      </c>
      <c r="X1949">
        <v>50553</v>
      </c>
      <c r="Y1949" s="1" t="str">
        <f t="shared" si="184"/>
        <v>USA</v>
      </c>
      <c r="Z1949" s="4" t="str">
        <f t="shared" si="185"/>
        <v>Usa</v>
      </c>
      <c r="AA1949" t="s">
        <v>32</v>
      </c>
      <c r="AB1949" t="s">
        <v>33</v>
      </c>
      <c r="AC1949" t="s">
        <v>337</v>
      </c>
      <c r="AD1949" t="s">
        <v>338</v>
      </c>
      <c r="AE1949" t="s">
        <v>36</v>
      </c>
    </row>
    <row r="1950" spans="1:31" x14ac:dyDescent="0.3">
      <c r="A1950">
        <v>10155</v>
      </c>
      <c r="B1950">
        <v>37</v>
      </c>
      <c r="C1950">
        <v>67.930000000000007</v>
      </c>
      <c r="D1950">
        <v>12</v>
      </c>
      <c r="E1950" s="4" t="str">
        <f t="shared" si="180"/>
        <v>low sales</v>
      </c>
      <c r="F1950">
        <v>2513.41</v>
      </c>
      <c r="G1950" t="s">
        <v>2622</v>
      </c>
      <c r="H1950" s="1" t="str">
        <f t="shared" si="181"/>
        <v>Shipped</v>
      </c>
      <c r="I1950" s="4" t="str">
        <f t="shared" si="182"/>
        <v>completed</v>
      </c>
      <c r="J1950" t="s">
        <v>25</v>
      </c>
      <c r="K1950">
        <v>4</v>
      </c>
      <c r="L1950">
        <v>10</v>
      </c>
      <c r="M1950">
        <v>2003</v>
      </c>
      <c r="N1950" t="s">
        <v>550</v>
      </c>
      <c r="O1950">
        <v>83</v>
      </c>
      <c r="P1950" t="s">
        <v>641</v>
      </c>
      <c r="Q1950" t="s">
        <v>126</v>
      </c>
      <c r="R1950" t="s">
        <v>127</v>
      </c>
      <c r="S1950" t="s">
        <v>128</v>
      </c>
      <c r="U1950" s="1" t="str">
        <f t="shared" si="183"/>
        <v>Helsinki</v>
      </c>
      <c r="V1950" t="s">
        <v>129</v>
      </c>
      <c r="X1950">
        <v>21240</v>
      </c>
      <c r="Y1950" s="1" t="str">
        <f t="shared" si="184"/>
        <v>FINLAND</v>
      </c>
      <c r="Z1950" s="4" t="str">
        <f t="shared" si="185"/>
        <v>Finland</v>
      </c>
      <c r="AA1950" t="s">
        <v>130</v>
      </c>
      <c r="AB1950" t="s">
        <v>42</v>
      </c>
      <c r="AC1950" t="s">
        <v>131</v>
      </c>
      <c r="AD1950" t="s">
        <v>132</v>
      </c>
      <c r="AE1950" t="s">
        <v>36</v>
      </c>
    </row>
    <row r="1951" spans="1:31" x14ac:dyDescent="0.3">
      <c r="A1951">
        <v>10167</v>
      </c>
      <c r="B1951">
        <v>29</v>
      </c>
      <c r="C1951">
        <v>83.86</v>
      </c>
      <c r="D1951">
        <v>8</v>
      </c>
      <c r="E1951" s="4" t="str">
        <f t="shared" si="180"/>
        <v>low sales</v>
      </c>
      <c r="F1951">
        <v>2431.94</v>
      </c>
      <c r="G1951" t="s">
        <v>2623</v>
      </c>
      <c r="H1951" s="1" t="str">
        <f t="shared" si="181"/>
        <v>Cancelled</v>
      </c>
      <c r="I1951" s="4" t="str">
        <f t="shared" si="182"/>
        <v>not completed</v>
      </c>
      <c r="J1951" t="s">
        <v>339</v>
      </c>
      <c r="K1951">
        <v>4</v>
      </c>
      <c r="L1951">
        <v>10</v>
      </c>
      <c r="M1951">
        <v>2003</v>
      </c>
      <c r="N1951" t="s">
        <v>550</v>
      </c>
      <c r="O1951">
        <v>83</v>
      </c>
      <c r="P1951" t="s">
        <v>641</v>
      </c>
      <c r="Q1951" t="s">
        <v>261</v>
      </c>
      <c r="R1951" t="s">
        <v>262</v>
      </c>
      <c r="S1951" t="s">
        <v>263</v>
      </c>
      <c r="U1951" s="1" t="str">
        <f t="shared" si="183"/>
        <v>Boras</v>
      </c>
      <c r="V1951" t="s">
        <v>264</v>
      </c>
      <c r="X1951" t="s">
        <v>265</v>
      </c>
      <c r="Y1951" s="1" t="str">
        <f t="shared" si="184"/>
        <v>SWEDEN</v>
      </c>
      <c r="Z1951" s="4" t="str">
        <f t="shared" si="185"/>
        <v>Sweden</v>
      </c>
      <c r="AA1951" t="s">
        <v>188</v>
      </c>
      <c r="AB1951" t="s">
        <v>42</v>
      </c>
      <c r="AC1951" t="s">
        <v>266</v>
      </c>
      <c r="AD1951" t="s">
        <v>206</v>
      </c>
      <c r="AE1951" t="s">
        <v>36</v>
      </c>
    </row>
    <row r="1952" spans="1:31" x14ac:dyDescent="0.3">
      <c r="A1952">
        <v>10178</v>
      </c>
      <c r="B1952">
        <v>21</v>
      </c>
      <c r="C1952">
        <v>72.12</v>
      </c>
      <c r="D1952">
        <v>11</v>
      </c>
      <c r="E1952" s="4" t="str">
        <f t="shared" si="180"/>
        <v>low sales</v>
      </c>
      <c r="F1952">
        <v>1514.52</v>
      </c>
      <c r="G1952" t="s">
        <v>2624</v>
      </c>
      <c r="H1952" s="1" t="str">
        <f t="shared" si="181"/>
        <v>Shipped</v>
      </c>
      <c r="I1952" s="4" t="str">
        <f t="shared" si="182"/>
        <v>completed</v>
      </c>
      <c r="J1952" t="s">
        <v>25</v>
      </c>
      <c r="K1952">
        <v>4</v>
      </c>
      <c r="L1952">
        <v>11</v>
      </c>
      <c r="M1952">
        <v>2003</v>
      </c>
      <c r="N1952" t="s">
        <v>550</v>
      </c>
      <c r="O1952">
        <v>83</v>
      </c>
      <c r="P1952" t="s">
        <v>641</v>
      </c>
      <c r="Q1952" t="s">
        <v>340</v>
      </c>
      <c r="R1952" t="s">
        <v>341</v>
      </c>
      <c r="S1952" t="s">
        <v>342</v>
      </c>
      <c r="U1952" s="1" t="str">
        <f t="shared" si="183"/>
        <v>Toulouse</v>
      </c>
      <c r="V1952" t="s">
        <v>343</v>
      </c>
      <c r="X1952">
        <v>31000</v>
      </c>
      <c r="Y1952" s="1" t="str">
        <f t="shared" si="184"/>
        <v>FRANCE</v>
      </c>
      <c r="Z1952" s="4" t="str">
        <f t="shared" si="185"/>
        <v>France</v>
      </c>
      <c r="AA1952" t="s">
        <v>41</v>
      </c>
      <c r="AB1952" t="s">
        <v>42</v>
      </c>
      <c r="AC1952" t="s">
        <v>344</v>
      </c>
      <c r="AD1952" t="s">
        <v>345</v>
      </c>
      <c r="AE1952" t="s">
        <v>36</v>
      </c>
    </row>
    <row r="1953" spans="1:31" x14ac:dyDescent="0.3">
      <c r="A1953">
        <v>10186</v>
      </c>
      <c r="B1953">
        <v>36</v>
      </c>
      <c r="C1953">
        <v>85.54</v>
      </c>
      <c r="D1953">
        <v>8</v>
      </c>
      <c r="E1953" s="4" t="str">
        <f t="shared" si="180"/>
        <v>low sales</v>
      </c>
      <c r="F1953">
        <v>3079.44</v>
      </c>
      <c r="G1953" t="s">
        <v>2625</v>
      </c>
      <c r="H1953" s="1" t="str">
        <f t="shared" si="181"/>
        <v>Shipped</v>
      </c>
      <c r="I1953" s="4" t="str">
        <f t="shared" si="182"/>
        <v>completed</v>
      </c>
      <c r="J1953" t="s">
        <v>25</v>
      </c>
      <c r="K1953">
        <v>4</v>
      </c>
      <c r="L1953">
        <v>11</v>
      </c>
      <c r="M1953">
        <v>2003</v>
      </c>
      <c r="N1953" t="s">
        <v>550</v>
      </c>
      <c r="O1953">
        <v>83</v>
      </c>
      <c r="P1953" t="s">
        <v>641</v>
      </c>
      <c r="Q1953" t="s">
        <v>346</v>
      </c>
      <c r="R1953" t="s">
        <v>347</v>
      </c>
      <c r="S1953" t="s">
        <v>348</v>
      </c>
      <c r="U1953" s="1" t="str">
        <f t="shared" si="183"/>
        <v>London</v>
      </c>
      <c r="V1953" t="s">
        <v>332</v>
      </c>
      <c r="X1953" t="s">
        <v>349</v>
      </c>
      <c r="Y1953" s="1" t="str">
        <f t="shared" si="184"/>
        <v>UK</v>
      </c>
      <c r="Z1953" s="4" t="str">
        <f t="shared" si="185"/>
        <v>Uk</v>
      </c>
      <c r="AA1953" t="s">
        <v>170</v>
      </c>
      <c r="AB1953" t="s">
        <v>42</v>
      </c>
      <c r="AC1953" t="s">
        <v>350</v>
      </c>
      <c r="AD1953" t="s">
        <v>351</v>
      </c>
      <c r="AE1953" t="s">
        <v>51</v>
      </c>
    </row>
    <row r="1954" spans="1:31" x14ac:dyDescent="0.3">
      <c r="A1954">
        <v>10197</v>
      </c>
      <c r="B1954">
        <v>22</v>
      </c>
      <c r="C1954">
        <v>86.38</v>
      </c>
      <c r="D1954">
        <v>5</v>
      </c>
      <c r="E1954" s="4" t="str">
        <f t="shared" si="180"/>
        <v>low sales</v>
      </c>
      <c r="F1954">
        <v>1900.36</v>
      </c>
      <c r="G1954" t="s">
        <v>2626</v>
      </c>
      <c r="H1954" s="1" t="str">
        <f t="shared" si="181"/>
        <v>Shipped</v>
      </c>
      <c r="I1954" s="4" t="str">
        <f t="shared" si="182"/>
        <v>completed</v>
      </c>
      <c r="J1954" t="s">
        <v>25</v>
      </c>
      <c r="K1954">
        <v>4</v>
      </c>
      <c r="L1954">
        <v>11</v>
      </c>
      <c r="M1954">
        <v>2003</v>
      </c>
      <c r="N1954" t="s">
        <v>550</v>
      </c>
      <c r="O1954">
        <v>83</v>
      </c>
      <c r="P1954" t="s">
        <v>641</v>
      </c>
      <c r="Q1954" t="s">
        <v>352</v>
      </c>
      <c r="R1954" t="s">
        <v>353</v>
      </c>
      <c r="S1954" t="s">
        <v>354</v>
      </c>
      <c r="U1954" s="1" t="str">
        <f t="shared" si="183"/>
        <v>Barcelona</v>
      </c>
      <c r="V1954" t="s">
        <v>355</v>
      </c>
      <c r="X1954">
        <v>8022</v>
      </c>
      <c r="Y1954" s="1" t="str">
        <f t="shared" si="184"/>
        <v>SPAIN</v>
      </c>
      <c r="Z1954" s="4" t="str">
        <f t="shared" si="185"/>
        <v>Spain</v>
      </c>
      <c r="AA1954" t="s">
        <v>178</v>
      </c>
      <c r="AB1954" t="s">
        <v>42</v>
      </c>
      <c r="AC1954" t="s">
        <v>356</v>
      </c>
      <c r="AD1954" t="s">
        <v>357</v>
      </c>
      <c r="AE1954" t="s">
        <v>36</v>
      </c>
    </row>
    <row r="1955" spans="1:31" x14ac:dyDescent="0.3">
      <c r="A1955">
        <v>10209</v>
      </c>
      <c r="B1955">
        <v>22</v>
      </c>
      <c r="C1955">
        <v>89.73</v>
      </c>
      <c r="D1955">
        <v>7</v>
      </c>
      <c r="E1955" s="4" t="str">
        <f t="shared" si="180"/>
        <v>low sales</v>
      </c>
      <c r="F1955">
        <v>1974.06</v>
      </c>
      <c r="G1955" t="s">
        <v>2627</v>
      </c>
      <c r="H1955" s="1" t="str">
        <f t="shared" si="181"/>
        <v>Shipped</v>
      </c>
      <c r="I1955" s="4" t="str">
        <f t="shared" si="182"/>
        <v>completed</v>
      </c>
      <c r="J1955" t="s">
        <v>25</v>
      </c>
      <c r="K1955">
        <v>1</v>
      </c>
      <c r="L1955">
        <v>1</v>
      </c>
      <c r="M1955">
        <v>2004</v>
      </c>
      <c r="N1955" t="s">
        <v>550</v>
      </c>
      <c r="O1955">
        <v>83</v>
      </c>
      <c r="P1955" t="s">
        <v>641</v>
      </c>
      <c r="Q1955" t="s">
        <v>358</v>
      </c>
      <c r="R1955">
        <v>2155554369</v>
      </c>
      <c r="S1955" t="s">
        <v>359</v>
      </c>
      <c r="U1955" s="1" t="str">
        <f t="shared" si="183"/>
        <v>Los Angeles</v>
      </c>
      <c r="V1955" t="s">
        <v>360</v>
      </c>
      <c r="W1955" t="s">
        <v>55</v>
      </c>
      <c r="Y1955" s="1" t="str">
        <f t="shared" si="184"/>
        <v>USA</v>
      </c>
      <c r="Z1955" s="4" t="str">
        <f t="shared" si="185"/>
        <v>Usa</v>
      </c>
      <c r="AA1955" t="s">
        <v>32</v>
      </c>
      <c r="AB1955" t="s">
        <v>33</v>
      </c>
      <c r="AC1955" t="s">
        <v>361</v>
      </c>
      <c r="AD1955" t="s">
        <v>103</v>
      </c>
      <c r="AE1955" t="s">
        <v>36</v>
      </c>
    </row>
    <row r="1956" spans="1:31" x14ac:dyDescent="0.3">
      <c r="A1956">
        <v>10222</v>
      </c>
      <c r="B1956">
        <v>46</v>
      </c>
      <c r="C1956">
        <v>80.510000000000005</v>
      </c>
      <c r="D1956">
        <v>11</v>
      </c>
      <c r="E1956" s="4" t="str">
        <f t="shared" si="180"/>
        <v>low sales</v>
      </c>
      <c r="F1956">
        <v>3703.46</v>
      </c>
      <c r="G1956" t="s">
        <v>2628</v>
      </c>
      <c r="H1956" s="1" t="str">
        <f t="shared" si="181"/>
        <v>Shipped</v>
      </c>
      <c r="I1956" s="4" t="str">
        <f t="shared" si="182"/>
        <v>completed</v>
      </c>
      <c r="J1956" t="s">
        <v>25</v>
      </c>
      <c r="K1956">
        <v>1</v>
      </c>
      <c r="L1956">
        <v>2</v>
      </c>
      <c r="M1956">
        <v>2004</v>
      </c>
      <c r="N1956" t="s">
        <v>550</v>
      </c>
      <c r="O1956">
        <v>83</v>
      </c>
      <c r="P1956" t="s">
        <v>641</v>
      </c>
      <c r="Q1956" t="s">
        <v>362</v>
      </c>
      <c r="R1956">
        <v>7605558146</v>
      </c>
      <c r="S1956" t="s">
        <v>363</v>
      </c>
      <c r="U1956" s="1" t="str">
        <f t="shared" si="183"/>
        <v>San Diego</v>
      </c>
      <c r="V1956" t="s">
        <v>364</v>
      </c>
      <c r="W1956" t="s">
        <v>55</v>
      </c>
      <c r="X1956">
        <v>91217</v>
      </c>
      <c r="Y1956" s="1" t="str">
        <f t="shared" si="184"/>
        <v>USA</v>
      </c>
      <c r="Z1956" s="4" t="str">
        <f t="shared" si="185"/>
        <v>Usa</v>
      </c>
      <c r="AA1956" t="s">
        <v>32</v>
      </c>
      <c r="AB1956" t="s">
        <v>33</v>
      </c>
      <c r="AC1956" t="s">
        <v>237</v>
      </c>
      <c r="AD1956" t="s">
        <v>276</v>
      </c>
      <c r="AE1956" t="s">
        <v>51</v>
      </c>
    </row>
    <row r="1957" spans="1:31" x14ac:dyDescent="0.3">
      <c r="A1957">
        <v>10248</v>
      </c>
      <c r="B1957">
        <v>23</v>
      </c>
      <c r="C1957">
        <v>76.31</v>
      </c>
      <c r="D1957">
        <v>2</v>
      </c>
      <c r="E1957" s="4" t="str">
        <f t="shared" si="180"/>
        <v>low sales</v>
      </c>
      <c r="F1957">
        <v>1755.13</v>
      </c>
      <c r="G1957" t="s">
        <v>2629</v>
      </c>
      <c r="H1957" s="1" t="str">
        <f t="shared" si="181"/>
        <v>Cancelled</v>
      </c>
      <c r="I1957" s="4" t="str">
        <f t="shared" si="182"/>
        <v>not completed</v>
      </c>
      <c r="J1957" t="s">
        <v>339</v>
      </c>
      <c r="K1957">
        <v>2</v>
      </c>
      <c r="L1957">
        <v>5</v>
      </c>
      <c r="M1957">
        <v>2004</v>
      </c>
      <c r="N1957" t="s">
        <v>550</v>
      </c>
      <c r="O1957">
        <v>83</v>
      </c>
      <c r="P1957" t="s">
        <v>641</v>
      </c>
      <c r="Q1957" t="s">
        <v>28</v>
      </c>
      <c r="R1957">
        <v>2125557818</v>
      </c>
      <c r="S1957" t="s">
        <v>29</v>
      </c>
      <c r="U1957" s="1" t="str">
        <f t="shared" si="183"/>
        <v>Nyc</v>
      </c>
      <c r="V1957" t="s">
        <v>30</v>
      </c>
      <c r="W1957" t="s">
        <v>31</v>
      </c>
      <c r="X1957">
        <v>10022</v>
      </c>
      <c r="Y1957" s="1" t="str">
        <f t="shared" si="184"/>
        <v>USA</v>
      </c>
      <c r="Z1957" s="4" t="str">
        <f t="shared" si="185"/>
        <v>Usa</v>
      </c>
      <c r="AA1957" t="s">
        <v>32</v>
      </c>
      <c r="AB1957" t="s">
        <v>33</v>
      </c>
      <c r="AC1957" t="s">
        <v>34</v>
      </c>
      <c r="AD1957" t="s">
        <v>35</v>
      </c>
      <c r="AE1957" t="s">
        <v>36</v>
      </c>
    </row>
    <row r="1958" spans="1:31" x14ac:dyDescent="0.3">
      <c r="A1958">
        <v>10262</v>
      </c>
      <c r="B1958">
        <v>49</v>
      </c>
      <c r="C1958">
        <v>87.21</v>
      </c>
      <c r="D1958">
        <v>16</v>
      </c>
      <c r="E1958" s="4" t="str">
        <f t="shared" si="180"/>
        <v>high sales</v>
      </c>
      <c r="F1958">
        <v>4273.29</v>
      </c>
      <c r="G1958" t="s">
        <v>2630</v>
      </c>
      <c r="H1958" s="1" t="str">
        <f t="shared" si="181"/>
        <v>Cancelled</v>
      </c>
      <c r="I1958" s="4" t="str">
        <f t="shared" si="182"/>
        <v>not completed</v>
      </c>
      <c r="J1958" t="s">
        <v>339</v>
      </c>
      <c r="K1958">
        <v>2</v>
      </c>
      <c r="L1958">
        <v>6</v>
      </c>
      <c r="M1958">
        <v>2004</v>
      </c>
      <c r="N1958" t="s">
        <v>550</v>
      </c>
      <c r="O1958">
        <v>83</v>
      </c>
      <c r="P1958" t="s">
        <v>641</v>
      </c>
      <c r="Q1958" t="s">
        <v>174</v>
      </c>
      <c r="R1958" t="s">
        <v>175</v>
      </c>
      <c r="S1958" t="s">
        <v>176</v>
      </c>
      <c r="U1958" s="1" t="str">
        <f t="shared" si="183"/>
        <v>Madrid</v>
      </c>
      <c r="V1958" t="s">
        <v>177</v>
      </c>
      <c r="X1958">
        <v>28034</v>
      </c>
      <c r="Y1958" s="1" t="str">
        <f t="shared" si="184"/>
        <v>SPAIN</v>
      </c>
      <c r="Z1958" s="4" t="str">
        <f t="shared" si="185"/>
        <v>Spain</v>
      </c>
      <c r="AA1958" t="s">
        <v>178</v>
      </c>
      <c r="AB1958" t="s">
        <v>42</v>
      </c>
      <c r="AC1958" t="s">
        <v>179</v>
      </c>
      <c r="AD1958" t="s">
        <v>180</v>
      </c>
      <c r="AE1958" t="s">
        <v>51</v>
      </c>
    </row>
    <row r="1959" spans="1:31" x14ac:dyDescent="0.3">
      <c r="A1959">
        <v>10273</v>
      </c>
      <c r="B1959">
        <v>48</v>
      </c>
      <c r="C1959">
        <v>83.02</v>
      </c>
      <c r="D1959">
        <v>3</v>
      </c>
      <c r="E1959" s="4" t="str">
        <f t="shared" si="180"/>
        <v>low sales</v>
      </c>
      <c r="F1959">
        <v>3984.96</v>
      </c>
      <c r="G1959" t="s">
        <v>2631</v>
      </c>
      <c r="H1959" s="1" t="str">
        <f t="shared" si="181"/>
        <v>Shipped</v>
      </c>
      <c r="I1959" s="4" t="str">
        <f t="shared" si="182"/>
        <v>completed</v>
      </c>
      <c r="J1959" t="s">
        <v>25</v>
      </c>
      <c r="K1959">
        <v>3</v>
      </c>
      <c r="L1959">
        <v>7</v>
      </c>
      <c r="M1959">
        <v>2004</v>
      </c>
      <c r="N1959" t="s">
        <v>550</v>
      </c>
      <c r="O1959">
        <v>83</v>
      </c>
      <c r="P1959" t="s">
        <v>641</v>
      </c>
      <c r="Q1959" t="s">
        <v>365</v>
      </c>
      <c r="R1959" t="s">
        <v>366</v>
      </c>
      <c r="S1959" t="s">
        <v>367</v>
      </c>
      <c r="U1959" s="1" t="str">
        <f t="shared" si="183"/>
        <v>Bruxelles</v>
      </c>
      <c r="V1959" t="s">
        <v>368</v>
      </c>
      <c r="X1959" t="s">
        <v>369</v>
      </c>
      <c r="Y1959" s="1" t="str">
        <f t="shared" si="184"/>
        <v>BELGIUM</v>
      </c>
      <c r="Z1959" s="4" t="str">
        <f t="shared" si="185"/>
        <v>Belgium</v>
      </c>
      <c r="AA1959" t="s">
        <v>370</v>
      </c>
      <c r="AB1959" t="s">
        <v>42</v>
      </c>
      <c r="AC1959" t="s">
        <v>371</v>
      </c>
      <c r="AD1959" t="s">
        <v>372</v>
      </c>
      <c r="AE1959" t="s">
        <v>51</v>
      </c>
    </row>
    <row r="1960" spans="1:31" x14ac:dyDescent="0.3">
      <c r="A1960">
        <v>10283</v>
      </c>
      <c r="B1960">
        <v>33</v>
      </c>
      <c r="C1960">
        <v>72.959999999999994</v>
      </c>
      <c r="D1960">
        <v>5</v>
      </c>
      <c r="E1960" s="4" t="str">
        <f t="shared" si="180"/>
        <v>low sales</v>
      </c>
      <c r="F1960">
        <v>2407.6799999999998</v>
      </c>
      <c r="G1960" t="s">
        <v>2632</v>
      </c>
      <c r="H1960" s="1" t="str">
        <f t="shared" si="181"/>
        <v>Shipped</v>
      </c>
      <c r="I1960" s="4" t="str">
        <f t="shared" si="182"/>
        <v>completed</v>
      </c>
      <c r="J1960" t="s">
        <v>25</v>
      </c>
      <c r="K1960">
        <v>3</v>
      </c>
      <c r="L1960">
        <v>8</v>
      </c>
      <c r="M1960">
        <v>2004</v>
      </c>
      <c r="N1960" t="s">
        <v>550</v>
      </c>
      <c r="O1960">
        <v>83</v>
      </c>
      <c r="P1960" t="s">
        <v>641</v>
      </c>
      <c r="Q1960" t="s">
        <v>373</v>
      </c>
      <c r="R1960" t="s">
        <v>374</v>
      </c>
      <c r="S1960" t="s">
        <v>375</v>
      </c>
      <c r="U1960" s="1" t="str">
        <f t="shared" si="183"/>
        <v>Tsawassen</v>
      </c>
      <c r="V1960" t="s">
        <v>376</v>
      </c>
      <c r="W1960" t="s">
        <v>229</v>
      </c>
      <c r="X1960" t="s">
        <v>377</v>
      </c>
      <c r="Y1960" s="1" t="str">
        <f t="shared" si="184"/>
        <v>CANADA</v>
      </c>
      <c r="Z1960" s="4" t="str">
        <f t="shared" si="185"/>
        <v>Canada</v>
      </c>
      <c r="AA1960" t="s">
        <v>231</v>
      </c>
      <c r="AB1960" t="s">
        <v>33</v>
      </c>
      <c r="AC1960" t="s">
        <v>378</v>
      </c>
      <c r="AD1960" t="s">
        <v>172</v>
      </c>
      <c r="AE1960" t="s">
        <v>36</v>
      </c>
    </row>
    <row r="1961" spans="1:31" x14ac:dyDescent="0.3">
      <c r="A1961">
        <v>10296</v>
      </c>
      <c r="B1961">
        <v>22</v>
      </c>
      <c r="C1961">
        <v>77.150000000000006</v>
      </c>
      <c r="D1961">
        <v>14</v>
      </c>
      <c r="E1961" s="4" t="str">
        <f t="shared" si="180"/>
        <v>low sales</v>
      </c>
      <c r="F1961">
        <v>1697.3</v>
      </c>
      <c r="G1961" t="s">
        <v>2633</v>
      </c>
      <c r="H1961" s="1" t="str">
        <f t="shared" si="181"/>
        <v>Shipped</v>
      </c>
      <c r="I1961" s="4" t="str">
        <f t="shared" si="182"/>
        <v>completed</v>
      </c>
      <c r="J1961" t="s">
        <v>25</v>
      </c>
      <c r="K1961">
        <v>3</v>
      </c>
      <c r="L1961">
        <v>9</v>
      </c>
      <c r="M1961">
        <v>2004</v>
      </c>
      <c r="N1961" t="s">
        <v>550</v>
      </c>
      <c r="O1961">
        <v>83</v>
      </c>
      <c r="P1961" t="s">
        <v>641</v>
      </c>
      <c r="Q1961" t="s">
        <v>572</v>
      </c>
      <c r="R1961" t="s">
        <v>573</v>
      </c>
      <c r="S1961" t="s">
        <v>574</v>
      </c>
      <c r="U1961" s="1" t="str">
        <f t="shared" si="183"/>
        <v>Munich</v>
      </c>
      <c r="V1961" t="s">
        <v>575</v>
      </c>
      <c r="X1961">
        <v>80686</v>
      </c>
      <c r="Y1961" s="1" t="str">
        <f t="shared" si="184"/>
        <v>GERMANY</v>
      </c>
      <c r="Z1961" s="4" t="str">
        <f t="shared" si="185"/>
        <v>Germany</v>
      </c>
      <c r="AA1961" t="s">
        <v>443</v>
      </c>
      <c r="AB1961" t="s">
        <v>42</v>
      </c>
      <c r="AC1961" t="s">
        <v>576</v>
      </c>
      <c r="AD1961" t="s">
        <v>103</v>
      </c>
      <c r="AE1961" t="s">
        <v>36</v>
      </c>
    </row>
    <row r="1962" spans="1:31" x14ac:dyDescent="0.3">
      <c r="A1962">
        <v>10307</v>
      </c>
      <c r="B1962">
        <v>22</v>
      </c>
      <c r="C1962">
        <v>91.41</v>
      </c>
      <c r="D1962">
        <v>8</v>
      </c>
      <c r="E1962" s="4" t="str">
        <f t="shared" si="180"/>
        <v>low sales</v>
      </c>
      <c r="F1962">
        <v>2011.02</v>
      </c>
      <c r="G1962" t="s">
        <v>2634</v>
      </c>
      <c r="H1962" s="1" t="str">
        <f t="shared" si="181"/>
        <v>Shipped</v>
      </c>
      <c r="I1962" s="4" t="str">
        <f t="shared" si="182"/>
        <v>completed</v>
      </c>
      <c r="J1962" t="s">
        <v>25</v>
      </c>
      <c r="K1962">
        <v>4</v>
      </c>
      <c r="L1962">
        <v>10</v>
      </c>
      <c r="M1962">
        <v>2004</v>
      </c>
      <c r="N1962" t="s">
        <v>550</v>
      </c>
      <c r="O1962">
        <v>83</v>
      </c>
      <c r="P1962" t="s">
        <v>641</v>
      </c>
      <c r="Q1962" t="s">
        <v>214</v>
      </c>
      <c r="R1962">
        <v>2155554695</v>
      </c>
      <c r="S1962" t="s">
        <v>215</v>
      </c>
      <c r="U1962" s="1" t="str">
        <f t="shared" si="183"/>
        <v>Philadelphia</v>
      </c>
      <c r="V1962" t="s">
        <v>216</v>
      </c>
      <c r="W1962" t="s">
        <v>142</v>
      </c>
      <c r="X1962">
        <v>71270</v>
      </c>
      <c r="Y1962" s="1" t="str">
        <f t="shared" si="184"/>
        <v>USA</v>
      </c>
      <c r="Z1962" s="4" t="str">
        <f t="shared" si="185"/>
        <v>Usa</v>
      </c>
      <c r="AA1962" t="s">
        <v>32</v>
      </c>
      <c r="AB1962" t="s">
        <v>33</v>
      </c>
      <c r="AC1962" t="s">
        <v>217</v>
      </c>
      <c r="AD1962" t="s">
        <v>218</v>
      </c>
      <c r="AE1962" t="s">
        <v>36</v>
      </c>
    </row>
    <row r="1963" spans="1:31" x14ac:dyDescent="0.3">
      <c r="A1963">
        <v>10316</v>
      </c>
      <c r="B1963">
        <v>25</v>
      </c>
      <c r="C1963">
        <v>92.25</v>
      </c>
      <c r="D1963">
        <v>16</v>
      </c>
      <c r="E1963" s="4" t="str">
        <f t="shared" si="180"/>
        <v>low sales</v>
      </c>
      <c r="F1963">
        <v>2306.25</v>
      </c>
      <c r="G1963" t="s">
        <v>2635</v>
      </c>
      <c r="H1963" s="1" t="str">
        <f t="shared" si="181"/>
        <v>Shipped</v>
      </c>
      <c r="I1963" s="4" t="str">
        <f t="shared" si="182"/>
        <v>completed</v>
      </c>
      <c r="J1963" t="s">
        <v>25</v>
      </c>
      <c r="K1963">
        <v>4</v>
      </c>
      <c r="L1963">
        <v>11</v>
      </c>
      <c r="M1963">
        <v>2004</v>
      </c>
      <c r="N1963" t="s">
        <v>550</v>
      </c>
      <c r="O1963">
        <v>83</v>
      </c>
      <c r="P1963" t="s">
        <v>641</v>
      </c>
      <c r="Q1963" t="s">
        <v>383</v>
      </c>
      <c r="R1963" t="s">
        <v>384</v>
      </c>
      <c r="S1963" t="s">
        <v>385</v>
      </c>
      <c r="U1963" s="1" t="str">
        <f t="shared" si="183"/>
        <v>Cowes</v>
      </c>
      <c r="V1963" t="s">
        <v>386</v>
      </c>
      <c r="W1963" t="s">
        <v>387</v>
      </c>
      <c r="X1963" t="s">
        <v>388</v>
      </c>
      <c r="Y1963" s="1" t="str">
        <f t="shared" si="184"/>
        <v>UK</v>
      </c>
      <c r="Z1963" s="4" t="str">
        <f t="shared" si="185"/>
        <v>Uk</v>
      </c>
      <c r="AA1963" t="s">
        <v>170</v>
      </c>
      <c r="AB1963" t="s">
        <v>42</v>
      </c>
      <c r="AC1963" t="s">
        <v>389</v>
      </c>
      <c r="AD1963" t="s">
        <v>390</v>
      </c>
      <c r="AE1963" t="s">
        <v>36</v>
      </c>
    </row>
    <row r="1964" spans="1:31" x14ac:dyDescent="0.3">
      <c r="A1964">
        <v>10326</v>
      </c>
      <c r="B1964">
        <v>20</v>
      </c>
      <c r="C1964">
        <v>92.25</v>
      </c>
      <c r="D1964">
        <v>2</v>
      </c>
      <c r="E1964" s="4" t="str">
        <f t="shared" si="180"/>
        <v>low sales</v>
      </c>
      <c r="F1964">
        <v>1845</v>
      </c>
      <c r="G1964" t="s">
        <v>2636</v>
      </c>
      <c r="H1964" s="1" t="str">
        <f t="shared" si="181"/>
        <v>Shipped</v>
      </c>
      <c r="I1964" s="4" t="str">
        <f t="shared" si="182"/>
        <v>completed</v>
      </c>
      <c r="J1964" t="s">
        <v>25</v>
      </c>
      <c r="K1964">
        <v>4</v>
      </c>
      <c r="L1964">
        <v>11</v>
      </c>
      <c r="M1964">
        <v>2004</v>
      </c>
      <c r="N1964" t="s">
        <v>550</v>
      </c>
      <c r="O1964">
        <v>83</v>
      </c>
      <c r="P1964" t="s">
        <v>641</v>
      </c>
      <c r="Q1964" t="s">
        <v>183</v>
      </c>
      <c r="R1964" t="s">
        <v>184</v>
      </c>
      <c r="S1964" t="s">
        <v>185</v>
      </c>
      <c r="U1964" s="1" t="str">
        <f t="shared" si="183"/>
        <v>Lule</v>
      </c>
      <c r="V1964" t="s">
        <v>186</v>
      </c>
      <c r="X1964" t="s">
        <v>187</v>
      </c>
      <c r="Y1964" s="1" t="str">
        <f t="shared" si="184"/>
        <v>SWEDEN</v>
      </c>
      <c r="Z1964" s="4" t="str">
        <f t="shared" si="185"/>
        <v>Sweden</v>
      </c>
      <c r="AA1964" t="s">
        <v>188</v>
      </c>
      <c r="AB1964" t="s">
        <v>42</v>
      </c>
      <c r="AC1964" t="s">
        <v>189</v>
      </c>
      <c r="AD1964" t="s">
        <v>190</v>
      </c>
      <c r="AE1964" t="s">
        <v>36</v>
      </c>
    </row>
    <row r="1965" spans="1:31" x14ac:dyDescent="0.3">
      <c r="A1965">
        <v>10339</v>
      </c>
      <c r="B1965">
        <v>42</v>
      </c>
      <c r="C1965">
        <v>59.36</v>
      </c>
      <c r="D1965">
        <v>16</v>
      </c>
      <c r="E1965" s="4" t="str">
        <f t="shared" si="180"/>
        <v>low sales</v>
      </c>
      <c r="F1965">
        <v>2493.12</v>
      </c>
      <c r="G1965" t="s">
        <v>2637</v>
      </c>
      <c r="H1965" s="1" t="str">
        <f t="shared" si="181"/>
        <v>Shipped</v>
      </c>
      <c r="I1965" s="4" t="str">
        <f t="shared" si="182"/>
        <v>completed</v>
      </c>
      <c r="J1965" t="s">
        <v>25</v>
      </c>
      <c r="K1965">
        <v>4</v>
      </c>
      <c r="L1965">
        <v>11</v>
      </c>
      <c r="M1965">
        <v>2004</v>
      </c>
      <c r="N1965" t="s">
        <v>550</v>
      </c>
      <c r="O1965">
        <v>83</v>
      </c>
      <c r="P1965" t="s">
        <v>641</v>
      </c>
      <c r="Q1965" t="s">
        <v>246</v>
      </c>
      <c r="R1965" t="s">
        <v>247</v>
      </c>
      <c r="S1965" t="s">
        <v>248</v>
      </c>
      <c r="U1965" s="1" t="str">
        <f t="shared" si="183"/>
        <v>Minato-Ku</v>
      </c>
      <c r="V1965" t="s">
        <v>249</v>
      </c>
      <c r="W1965" t="s">
        <v>250</v>
      </c>
      <c r="X1965" t="s">
        <v>251</v>
      </c>
      <c r="Y1965" s="1" t="str">
        <f t="shared" si="184"/>
        <v>JAPAN</v>
      </c>
      <c r="Z1965" s="4" t="str">
        <f t="shared" si="185"/>
        <v>Japan</v>
      </c>
      <c r="AA1965" t="s">
        <v>200</v>
      </c>
      <c r="AB1965" t="s">
        <v>200</v>
      </c>
      <c r="AC1965" t="s">
        <v>252</v>
      </c>
      <c r="AD1965" t="s">
        <v>253</v>
      </c>
      <c r="AE1965" t="s">
        <v>36</v>
      </c>
    </row>
    <row r="1966" spans="1:31" x14ac:dyDescent="0.3">
      <c r="A1966">
        <v>10350</v>
      </c>
      <c r="B1966">
        <v>25</v>
      </c>
      <c r="C1966">
        <v>60.34</v>
      </c>
      <c r="D1966">
        <v>10</v>
      </c>
      <c r="E1966" s="4" t="str">
        <f t="shared" si="180"/>
        <v>low sales</v>
      </c>
      <c r="F1966">
        <v>1508.5</v>
      </c>
      <c r="G1966" t="s">
        <v>2638</v>
      </c>
      <c r="H1966" s="1" t="str">
        <f t="shared" si="181"/>
        <v>Shipped</v>
      </c>
      <c r="I1966" s="4" t="str">
        <f t="shared" si="182"/>
        <v>completed</v>
      </c>
      <c r="J1966" t="s">
        <v>25</v>
      </c>
      <c r="K1966">
        <v>4</v>
      </c>
      <c r="L1966">
        <v>12</v>
      </c>
      <c r="M1966">
        <v>2004</v>
      </c>
      <c r="N1966" t="s">
        <v>550</v>
      </c>
      <c r="O1966">
        <v>83</v>
      </c>
      <c r="P1966" t="s">
        <v>641</v>
      </c>
      <c r="Q1966" t="s">
        <v>174</v>
      </c>
      <c r="R1966" t="s">
        <v>175</v>
      </c>
      <c r="S1966" t="s">
        <v>176</v>
      </c>
      <c r="U1966" s="1" t="str">
        <f t="shared" si="183"/>
        <v>Madrid</v>
      </c>
      <c r="V1966" t="s">
        <v>177</v>
      </c>
      <c r="X1966">
        <v>28034</v>
      </c>
      <c r="Y1966" s="1" t="str">
        <f t="shared" si="184"/>
        <v>SPAIN</v>
      </c>
      <c r="Z1966" s="4" t="str">
        <f t="shared" si="185"/>
        <v>Spain</v>
      </c>
      <c r="AA1966" t="s">
        <v>178</v>
      </c>
      <c r="AB1966" t="s">
        <v>42</v>
      </c>
      <c r="AC1966" t="s">
        <v>179</v>
      </c>
      <c r="AD1966" t="s">
        <v>180</v>
      </c>
      <c r="AE1966" t="s">
        <v>36</v>
      </c>
    </row>
    <row r="1967" spans="1:31" x14ac:dyDescent="0.3">
      <c r="A1967">
        <v>10373</v>
      </c>
      <c r="B1967">
        <v>23</v>
      </c>
      <c r="C1967">
        <v>100</v>
      </c>
      <c r="D1967">
        <v>10</v>
      </c>
      <c r="E1967" s="4" t="str">
        <f t="shared" si="180"/>
        <v>low sales</v>
      </c>
      <c r="F1967">
        <v>2394.3000000000002</v>
      </c>
      <c r="G1967" t="s">
        <v>2639</v>
      </c>
      <c r="H1967" s="1" t="str">
        <f t="shared" si="181"/>
        <v>Shipped</v>
      </c>
      <c r="I1967" s="4" t="str">
        <f t="shared" si="182"/>
        <v>completed</v>
      </c>
      <c r="J1967" t="s">
        <v>25</v>
      </c>
      <c r="K1967">
        <v>1</v>
      </c>
      <c r="L1967">
        <v>1</v>
      </c>
      <c r="M1967">
        <v>2005</v>
      </c>
      <c r="N1967" t="s">
        <v>550</v>
      </c>
      <c r="O1967">
        <v>83</v>
      </c>
      <c r="P1967" t="s">
        <v>641</v>
      </c>
      <c r="Q1967" t="s">
        <v>391</v>
      </c>
      <c r="R1967" t="s">
        <v>392</v>
      </c>
      <c r="S1967" t="s">
        <v>393</v>
      </c>
      <c r="U1967" s="1" t="str">
        <f t="shared" si="183"/>
        <v>Oulu</v>
      </c>
      <c r="V1967" t="s">
        <v>394</v>
      </c>
      <c r="X1967">
        <v>90110</v>
      </c>
      <c r="Y1967" s="1" t="str">
        <f t="shared" si="184"/>
        <v>FINLAND</v>
      </c>
      <c r="Z1967" s="4" t="str">
        <f t="shared" si="185"/>
        <v>Finland</v>
      </c>
      <c r="AA1967" t="s">
        <v>130</v>
      </c>
      <c r="AB1967" t="s">
        <v>42</v>
      </c>
      <c r="AC1967" t="s">
        <v>395</v>
      </c>
      <c r="AD1967" t="s">
        <v>396</v>
      </c>
      <c r="AE1967" t="s">
        <v>36</v>
      </c>
    </row>
    <row r="1968" spans="1:31" x14ac:dyDescent="0.3">
      <c r="A1968">
        <v>10385</v>
      </c>
      <c r="B1968">
        <v>37</v>
      </c>
      <c r="C1968">
        <v>85.54</v>
      </c>
      <c r="D1968">
        <v>2</v>
      </c>
      <c r="E1968" s="4" t="str">
        <f t="shared" si="180"/>
        <v>low sales</v>
      </c>
      <c r="F1968">
        <v>3164.98</v>
      </c>
      <c r="G1968" t="s">
        <v>2640</v>
      </c>
      <c r="H1968" s="1" t="str">
        <f t="shared" si="181"/>
        <v>Shipped</v>
      </c>
      <c r="I1968" s="4" t="str">
        <f t="shared" si="182"/>
        <v>completed</v>
      </c>
      <c r="J1968" t="s">
        <v>25</v>
      </c>
      <c r="K1968">
        <v>1</v>
      </c>
      <c r="L1968">
        <v>2</v>
      </c>
      <c r="M1968">
        <v>2005</v>
      </c>
      <c r="N1968" t="s">
        <v>550</v>
      </c>
      <c r="O1968">
        <v>83</v>
      </c>
      <c r="P1968" t="s">
        <v>641</v>
      </c>
      <c r="Q1968" t="s">
        <v>272</v>
      </c>
      <c r="R1968">
        <v>4155551450</v>
      </c>
      <c r="S1968" t="s">
        <v>273</v>
      </c>
      <c r="U1968" s="1" t="str">
        <f t="shared" si="183"/>
        <v>San Rafael</v>
      </c>
      <c r="V1968" t="s">
        <v>274</v>
      </c>
      <c r="W1968" t="s">
        <v>55</v>
      </c>
      <c r="X1968">
        <v>97562</v>
      </c>
      <c r="Y1968" s="1" t="str">
        <f t="shared" si="184"/>
        <v>USA</v>
      </c>
      <c r="Z1968" s="4" t="str">
        <f t="shared" si="185"/>
        <v>Usa</v>
      </c>
      <c r="AA1968" t="s">
        <v>32</v>
      </c>
      <c r="AB1968" t="s">
        <v>33</v>
      </c>
      <c r="AC1968" t="s">
        <v>275</v>
      </c>
      <c r="AD1968" t="s">
        <v>276</v>
      </c>
      <c r="AE1968" t="s">
        <v>51</v>
      </c>
    </row>
    <row r="1969" spans="1:31" x14ac:dyDescent="0.3">
      <c r="A1969">
        <v>10396</v>
      </c>
      <c r="B1969">
        <v>37</v>
      </c>
      <c r="C1969">
        <v>90.57</v>
      </c>
      <c r="D1969">
        <v>8</v>
      </c>
      <c r="E1969" s="4" t="str">
        <f t="shared" si="180"/>
        <v>low sales</v>
      </c>
      <c r="F1969">
        <v>3351.09</v>
      </c>
      <c r="G1969" t="s">
        <v>2641</v>
      </c>
      <c r="H1969" s="1" t="str">
        <f t="shared" si="181"/>
        <v>Shipped</v>
      </c>
      <c r="I1969" s="4" t="str">
        <f t="shared" si="182"/>
        <v>completed</v>
      </c>
      <c r="J1969" t="s">
        <v>25</v>
      </c>
      <c r="K1969">
        <v>1</v>
      </c>
      <c r="L1969">
        <v>3</v>
      </c>
      <c r="M1969">
        <v>2005</v>
      </c>
      <c r="N1969" t="s">
        <v>550</v>
      </c>
      <c r="O1969">
        <v>83</v>
      </c>
      <c r="P1969" t="s">
        <v>641</v>
      </c>
      <c r="Q1969" t="s">
        <v>272</v>
      </c>
      <c r="R1969">
        <v>4155551450</v>
      </c>
      <c r="S1969" t="s">
        <v>273</v>
      </c>
      <c r="U1969" s="1" t="str">
        <f t="shared" si="183"/>
        <v>San Rafael</v>
      </c>
      <c r="V1969" t="s">
        <v>274</v>
      </c>
      <c r="W1969" t="s">
        <v>55</v>
      </c>
      <c r="X1969">
        <v>97562</v>
      </c>
      <c r="Y1969" s="1" t="str">
        <f t="shared" si="184"/>
        <v>USA</v>
      </c>
      <c r="Z1969" s="4" t="str">
        <f t="shared" si="185"/>
        <v>Usa</v>
      </c>
      <c r="AA1969" t="s">
        <v>32</v>
      </c>
      <c r="AB1969" t="s">
        <v>33</v>
      </c>
      <c r="AC1969" t="s">
        <v>275</v>
      </c>
      <c r="AD1969" t="s">
        <v>276</v>
      </c>
      <c r="AE1969" t="s">
        <v>51</v>
      </c>
    </row>
    <row r="1970" spans="1:31" x14ac:dyDescent="0.3">
      <c r="A1970">
        <v>10400</v>
      </c>
      <c r="B1970">
        <v>42</v>
      </c>
      <c r="C1970">
        <v>72.959999999999994</v>
      </c>
      <c r="D1970">
        <v>8</v>
      </c>
      <c r="E1970" s="4" t="str">
        <f t="shared" si="180"/>
        <v>low sales</v>
      </c>
      <c r="F1970">
        <v>3064.32</v>
      </c>
      <c r="G1970" t="s">
        <v>2642</v>
      </c>
      <c r="H1970" s="1" t="str">
        <f t="shared" si="181"/>
        <v>Shipped</v>
      </c>
      <c r="I1970" s="4" t="str">
        <f t="shared" si="182"/>
        <v>completed</v>
      </c>
      <c r="J1970" t="s">
        <v>25</v>
      </c>
      <c r="K1970">
        <v>2</v>
      </c>
      <c r="L1970">
        <v>4</v>
      </c>
      <c r="M1970">
        <v>2005</v>
      </c>
      <c r="N1970" t="s">
        <v>550</v>
      </c>
      <c r="O1970">
        <v>83</v>
      </c>
      <c r="P1970" t="s">
        <v>641</v>
      </c>
      <c r="Q1970" t="s">
        <v>397</v>
      </c>
      <c r="R1970">
        <v>4085553659</v>
      </c>
      <c r="S1970" t="s">
        <v>398</v>
      </c>
      <c r="U1970" s="1" t="str">
        <f t="shared" si="183"/>
        <v>San Jose</v>
      </c>
      <c r="V1970" t="s">
        <v>399</v>
      </c>
      <c r="W1970" t="s">
        <v>55</v>
      </c>
      <c r="X1970">
        <v>94217</v>
      </c>
      <c r="Y1970" s="1" t="str">
        <f t="shared" si="184"/>
        <v>USA</v>
      </c>
      <c r="Z1970" s="4" t="str">
        <f t="shared" si="185"/>
        <v>Usa</v>
      </c>
      <c r="AA1970" t="s">
        <v>32</v>
      </c>
      <c r="AB1970" t="s">
        <v>33</v>
      </c>
      <c r="AC1970" t="s">
        <v>102</v>
      </c>
      <c r="AD1970" t="s">
        <v>400</v>
      </c>
      <c r="AE1970" t="s">
        <v>51</v>
      </c>
    </row>
    <row r="1971" spans="1:31" x14ac:dyDescent="0.3">
      <c r="A1971">
        <v>10414</v>
      </c>
      <c r="B1971">
        <v>51</v>
      </c>
      <c r="C1971">
        <v>76.31</v>
      </c>
      <c r="D1971">
        <v>2</v>
      </c>
      <c r="E1971" s="4" t="str">
        <f t="shared" si="180"/>
        <v>low sales</v>
      </c>
      <c r="F1971">
        <v>3891.81</v>
      </c>
      <c r="G1971" t="s">
        <v>2643</v>
      </c>
      <c r="H1971" s="1" t="str">
        <f t="shared" si="181"/>
        <v>On Hold</v>
      </c>
      <c r="I1971" s="4" t="str">
        <f t="shared" si="182"/>
        <v>not completed</v>
      </c>
      <c r="J1971" t="s">
        <v>401</v>
      </c>
      <c r="K1971">
        <v>2</v>
      </c>
      <c r="L1971">
        <v>5</v>
      </c>
      <c r="M1971">
        <v>2005</v>
      </c>
      <c r="N1971" t="s">
        <v>550</v>
      </c>
      <c r="O1971">
        <v>83</v>
      </c>
      <c r="P1971" t="s">
        <v>641</v>
      </c>
      <c r="Q1971" t="s">
        <v>379</v>
      </c>
      <c r="R1971">
        <v>6175559555</v>
      </c>
      <c r="S1971" t="s">
        <v>380</v>
      </c>
      <c r="U1971" s="1" t="str">
        <f t="shared" si="183"/>
        <v>Boston</v>
      </c>
      <c r="V1971" t="s">
        <v>381</v>
      </c>
      <c r="W1971" t="s">
        <v>123</v>
      </c>
      <c r="X1971">
        <v>51003</v>
      </c>
      <c r="Y1971" s="1" t="str">
        <f t="shared" si="184"/>
        <v>USA</v>
      </c>
      <c r="Z1971" s="4" t="str">
        <f t="shared" si="185"/>
        <v>Usa</v>
      </c>
      <c r="AA1971" t="s">
        <v>32</v>
      </c>
      <c r="AB1971" t="s">
        <v>33</v>
      </c>
      <c r="AC1971" t="s">
        <v>382</v>
      </c>
      <c r="AD1971" t="s">
        <v>66</v>
      </c>
      <c r="AE1971" t="s">
        <v>51</v>
      </c>
    </row>
    <row r="1972" spans="1:31" x14ac:dyDescent="0.3">
      <c r="A1972">
        <v>10108</v>
      </c>
      <c r="B1972">
        <v>40</v>
      </c>
      <c r="C1972">
        <v>100</v>
      </c>
      <c r="D1972">
        <v>1</v>
      </c>
      <c r="E1972" s="4" t="str">
        <f t="shared" si="180"/>
        <v>high sales</v>
      </c>
      <c r="F1972">
        <v>5448.8</v>
      </c>
      <c r="G1972" t="s">
        <v>2644</v>
      </c>
      <c r="H1972" s="1" t="str">
        <f t="shared" si="181"/>
        <v>Shipped</v>
      </c>
      <c r="I1972" s="4" t="str">
        <f t="shared" si="182"/>
        <v>completed</v>
      </c>
      <c r="J1972" t="s">
        <v>25</v>
      </c>
      <c r="K1972">
        <v>1</v>
      </c>
      <c r="L1972">
        <v>3</v>
      </c>
      <c r="M1972">
        <v>2003</v>
      </c>
      <c r="N1972" t="s">
        <v>181</v>
      </c>
      <c r="O1972">
        <v>140</v>
      </c>
      <c r="P1972" t="s">
        <v>642</v>
      </c>
      <c r="Q1972" t="s">
        <v>425</v>
      </c>
      <c r="R1972" t="s">
        <v>426</v>
      </c>
      <c r="S1972" t="s">
        <v>427</v>
      </c>
      <c r="U1972" s="1" t="str">
        <f t="shared" si="183"/>
        <v>Makati City</v>
      </c>
      <c r="V1972" t="s">
        <v>428</v>
      </c>
      <c r="X1972" t="s">
        <v>429</v>
      </c>
      <c r="Y1972" s="1" t="str">
        <f t="shared" si="184"/>
        <v>PHILIPPINES</v>
      </c>
      <c r="Z1972" s="4" t="str">
        <f t="shared" si="185"/>
        <v>Philippines</v>
      </c>
      <c r="AA1972" t="s">
        <v>430</v>
      </c>
      <c r="AB1972" t="s">
        <v>200</v>
      </c>
      <c r="AC1972" t="s">
        <v>431</v>
      </c>
      <c r="AD1972" t="s">
        <v>432</v>
      </c>
      <c r="AE1972" t="s">
        <v>51</v>
      </c>
    </row>
    <row r="1973" spans="1:31" x14ac:dyDescent="0.3">
      <c r="A1973">
        <v>10122</v>
      </c>
      <c r="B1973">
        <v>43</v>
      </c>
      <c r="C1973">
        <v>100</v>
      </c>
      <c r="D1973">
        <v>5</v>
      </c>
      <c r="E1973" s="4" t="str">
        <f t="shared" si="180"/>
        <v>high sales</v>
      </c>
      <c r="F1973">
        <v>5494.97</v>
      </c>
      <c r="G1973" t="s">
        <v>2645</v>
      </c>
      <c r="H1973" s="1" t="str">
        <f t="shared" si="181"/>
        <v>Shipped</v>
      </c>
      <c r="I1973" s="4" t="str">
        <f t="shared" si="182"/>
        <v>completed</v>
      </c>
      <c r="J1973" t="s">
        <v>25</v>
      </c>
      <c r="K1973">
        <v>2</v>
      </c>
      <c r="L1973">
        <v>5</v>
      </c>
      <c r="M1973">
        <v>2003</v>
      </c>
      <c r="N1973" t="s">
        <v>181</v>
      </c>
      <c r="O1973">
        <v>140</v>
      </c>
      <c r="P1973" t="s">
        <v>642</v>
      </c>
      <c r="Q1973" t="s">
        <v>433</v>
      </c>
      <c r="R1973" t="s">
        <v>434</v>
      </c>
      <c r="S1973" t="s">
        <v>435</v>
      </c>
      <c r="U1973" s="1" t="str">
        <f t="shared" si="183"/>
        <v>Marseille</v>
      </c>
      <c r="V1973" t="s">
        <v>436</v>
      </c>
      <c r="X1973">
        <v>13008</v>
      </c>
      <c r="Y1973" s="1" t="str">
        <f t="shared" si="184"/>
        <v>FRANCE</v>
      </c>
      <c r="Z1973" s="4" t="str">
        <f t="shared" si="185"/>
        <v>France</v>
      </c>
      <c r="AA1973" t="s">
        <v>41</v>
      </c>
      <c r="AB1973" t="s">
        <v>42</v>
      </c>
      <c r="AC1973" t="s">
        <v>437</v>
      </c>
      <c r="AD1973" t="s">
        <v>438</v>
      </c>
      <c r="AE1973" t="s">
        <v>51</v>
      </c>
    </row>
    <row r="1974" spans="1:31" x14ac:dyDescent="0.3">
      <c r="A1974">
        <v>10135</v>
      </c>
      <c r="B1974">
        <v>47</v>
      </c>
      <c r="C1974">
        <v>100</v>
      </c>
      <c r="D1974">
        <v>2</v>
      </c>
      <c r="E1974" s="4" t="str">
        <f t="shared" si="180"/>
        <v>high sales</v>
      </c>
      <c r="F1974">
        <v>6336.07</v>
      </c>
      <c r="G1974" t="s">
        <v>2646</v>
      </c>
      <c r="H1974" s="1" t="str">
        <f t="shared" si="181"/>
        <v>Shipped</v>
      </c>
      <c r="I1974" s="4" t="str">
        <f t="shared" si="182"/>
        <v>completed</v>
      </c>
      <c r="J1974" t="s">
        <v>25</v>
      </c>
      <c r="K1974">
        <v>3</v>
      </c>
      <c r="L1974">
        <v>7</v>
      </c>
      <c r="M1974">
        <v>2003</v>
      </c>
      <c r="N1974" t="s">
        <v>181</v>
      </c>
      <c r="O1974">
        <v>140</v>
      </c>
      <c r="P1974" t="s">
        <v>642</v>
      </c>
      <c r="Q1974" t="s">
        <v>272</v>
      </c>
      <c r="R1974">
        <v>4155551450</v>
      </c>
      <c r="S1974" t="s">
        <v>273</v>
      </c>
      <c r="U1974" s="1" t="str">
        <f t="shared" si="183"/>
        <v>San Rafael</v>
      </c>
      <c r="V1974" t="s">
        <v>274</v>
      </c>
      <c r="W1974" t="s">
        <v>55</v>
      </c>
      <c r="X1974">
        <v>97562</v>
      </c>
      <c r="Y1974" s="1" t="str">
        <f t="shared" si="184"/>
        <v>USA</v>
      </c>
      <c r="Z1974" s="4" t="str">
        <f t="shared" si="185"/>
        <v>Usa</v>
      </c>
      <c r="AA1974" t="s">
        <v>32</v>
      </c>
      <c r="AB1974" t="s">
        <v>33</v>
      </c>
      <c r="AC1974" t="s">
        <v>275</v>
      </c>
      <c r="AD1974" t="s">
        <v>276</v>
      </c>
      <c r="AE1974" t="s">
        <v>51</v>
      </c>
    </row>
    <row r="1975" spans="1:31" x14ac:dyDescent="0.3">
      <c r="A1975">
        <v>10147</v>
      </c>
      <c r="B1975">
        <v>23</v>
      </c>
      <c r="C1975">
        <v>100</v>
      </c>
      <c r="D1975">
        <v>2</v>
      </c>
      <c r="E1975" s="4" t="str">
        <f t="shared" si="180"/>
        <v>low sales</v>
      </c>
      <c r="F1975">
        <v>2906.97</v>
      </c>
      <c r="G1975" t="s">
        <v>2647</v>
      </c>
      <c r="H1975" s="1" t="str">
        <f t="shared" si="181"/>
        <v>Shipped</v>
      </c>
      <c r="I1975" s="4" t="str">
        <f t="shared" si="182"/>
        <v>completed</v>
      </c>
      <c r="J1975" t="s">
        <v>25</v>
      </c>
      <c r="K1975">
        <v>3</v>
      </c>
      <c r="L1975">
        <v>9</v>
      </c>
      <c r="M1975">
        <v>2003</v>
      </c>
      <c r="N1975" t="s">
        <v>181</v>
      </c>
      <c r="O1975">
        <v>140</v>
      </c>
      <c r="P1975" t="s">
        <v>642</v>
      </c>
      <c r="Q1975" t="s">
        <v>281</v>
      </c>
      <c r="R1975">
        <v>6175558555</v>
      </c>
      <c r="S1975" t="s">
        <v>282</v>
      </c>
      <c r="U1975" s="1" t="str">
        <f t="shared" si="183"/>
        <v>Brickhaven</v>
      </c>
      <c r="V1975" t="s">
        <v>283</v>
      </c>
      <c r="W1975" t="s">
        <v>123</v>
      </c>
      <c r="X1975">
        <v>58339</v>
      </c>
      <c r="Y1975" s="1" t="str">
        <f t="shared" si="184"/>
        <v>USA</v>
      </c>
      <c r="Z1975" s="4" t="str">
        <f t="shared" si="185"/>
        <v>Usa</v>
      </c>
      <c r="AA1975" t="s">
        <v>32</v>
      </c>
      <c r="AB1975" t="s">
        <v>33</v>
      </c>
      <c r="AC1975" t="s">
        <v>275</v>
      </c>
      <c r="AD1975" t="s">
        <v>284</v>
      </c>
      <c r="AE1975" t="s">
        <v>36</v>
      </c>
    </row>
    <row r="1976" spans="1:31" x14ac:dyDescent="0.3">
      <c r="A1976">
        <v>10160</v>
      </c>
      <c r="B1976">
        <v>35</v>
      </c>
      <c r="C1976">
        <v>100</v>
      </c>
      <c r="D1976">
        <v>3</v>
      </c>
      <c r="E1976" s="4" t="str">
        <f t="shared" si="180"/>
        <v>high sales</v>
      </c>
      <c r="F1976">
        <v>4767.7</v>
      </c>
      <c r="G1976" t="s">
        <v>2648</v>
      </c>
      <c r="H1976" s="1" t="str">
        <f t="shared" si="181"/>
        <v>Shipped</v>
      </c>
      <c r="I1976" s="4" t="str">
        <f t="shared" si="182"/>
        <v>completed</v>
      </c>
      <c r="J1976" t="s">
        <v>25</v>
      </c>
      <c r="K1976">
        <v>4</v>
      </c>
      <c r="L1976">
        <v>10</v>
      </c>
      <c r="M1976">
        <v>2003</v>
      </c>
      <c r="N1976" t="s">
        <v>181</v>
      </c>
      <c r="O1976">
        <v>140</v>
      </c>
      <c r="P1976" t="s">
        <v>642</v>
      </c>
      <c r="Q1976" t="s">
        <v>358</v>
      </c>
      <c r="R1976">
        <v>2155554369</v>
      </c>
      <c r="S1976" t="s">
        <v>359</v>
      </c>
      <c r="U1976" s="1" t="str">
        <f t="shared" si="183"/>
        <v>Los Angeles</v>
      </c>
      <c r="V1976" t="s">
        <v>360</v>
      </c>
      <c r="W1976" t="s">
        <v>55</v>
      </c>
      <c r="Y1976" s="1" t="str">
        <f t="shared" si="184"/>
        <v>USA</v>
      </c>
      <c r="Z1976" s="4" t="str">
        <f t="shared" si="185"/>
        <v>Usa</v>
      </c>
      <c r="AA1976" t="s">
        <v>32</v>
      </c>
      <c r="AB1976" t="s">
        <v>33</v>
      </c>
      <c r="AC1976" t="s">
        <v>361</v>
      </c>
      <c r="AD1976" t="s">
        <v>103</v>
      </c>
      <c r="AE1976" t="s">
        <v>51</v>
      </c>
    </row>
    <row r="1977" spans="1:31" x14ac:dyDescent="0.3">
      <c r="A1977">
        <v>10170</v>
      </c>
      <c r="B1977">
        <v>34</v>
      </c>
      <c r="C1977">
        <v>100</v>
      </c>
      <c r="D1977">
        <v>1</v>
      </c>
      <c r="E1977" s="4" t="str">
        <f t="shared" si="180"/>
        <v>low sales</v>
      </c>
      <c r="F1977">
        <v>3819.56</v>
      </c>
      <c r="G1977" t="s">
        <v>2649</v>
      </c>
      <c r="H1977" s="1" t="str">
        <f t="shared" si="181"/>
        <v>Shipped</v>
      </c>
      <c r="I1977" s="4" t="str">
        <f t="shared" si="182"/>
        <v>completed</v>
      </c>
      <c r="J1977" t="s">
        <v>25</v>
      </c>
      <c r="K1977">
        <v>4</v>
      </c>
      <c r="L1977">
        <v>11</v>
      </c>
      <c r="M1977">
        <v>2003</v>
      </c>
      <c r="N1977" t="s">
        <v>181</v>
      </c>
      <c r="O1977">
        <v>140</v>
      </c>
      <c r="P1977" t="s">
        <v>642</v>
      </c>
      <c r="Q1977" t="s">
        <v>409</v>
      </c>
      <c r="R1977" t="s">
        <v>410</v>
      </c>
      <c r="S1977" t="s">
        <v>411</v>
      </c>
      <c r="U1977" s="1" t="str">
        <f t="shared" si="183"/>
        <v>Graz</v>
      </c>
      <c r="V1977" t="s">
        <v>412</v>
      </c>
      <c r="X1977">
        <v>8010</v>
      </c>
      <c r="Y1977" s="1" t="str">
        <f t="shared" si="184"/>
        <v>AUSTRIA</v>
      </c>
      <c r="Z1977" s="4" t="str">
        <f t="shared" si="185"/>
        <v>Austria</v>
      </c>
      <c r="AA1977" t="s">
        <v>148</v>
      </c>
      <c r="AB1977" t="s">
        <v>42</v>
      </c>
      <c r="AC1977" t="s">
        <v>413</v>
      </c>
      <c r="AD1977" t="s">
        <v>414</v>
      </c>
      <c r="AE1977" t="s">
        <v>51</v>
      </c>
    </row>
    <row r="1978" spans="1:31" x14ac:dyDescent="0.3">
      <c r="A1978">
        <v>10181</v>
      </c>
      <c r="B1978">
        <v>25</v>
      </c>
      <c r="C1978">
        <v>100</v>
      </c>
      <c r="D1978">
        <v>9</v>
      </c>
      <c r="E1978" s="4" t="str">
        <f t="shared" si="180"/>
        <v>low sales</v>
      </c>
      <c r="F1978">
        <v>3861.75</v>
      </c>
      <c r="G1978" t="s">
        <v>2650</v>
      </c>
      <c r="H1978" s="1" t="str">
        <f t="shared" si="181"/>
        <v>Shipped</v>
      </c>
      <c r="I1978" s="4" t="str">
        <f t="shared" si="182"/>
        <v>completed</v>
      </c>
      <c r="J1978" t="s">
        <v>25</v>
      </c>
      <c r="K1978">
        <v>4</v>
      </c>
      <c r="L1978">
        <v>11</v>
      </c>
      <c r="M1978">
        <v>2003</v>
      </c>
      <c r="N1978" t="s">
        <v>181</v>
      </c>
      <c r="O1978">
        <v>140</v>
      </c>
      <c r="P1978" t="s">
        <v>642</v>
      </c>
      <c r="Q1978" t="s">
        <v>73</v>
      </c>
      <c r="R1978" t="s">
        <v>74</v>
      </c>
      <c r="S1978" t="s">
        <v>75</v>
      </c>
      <c r="U1978" s="1" t="str">
        <f t="shared" si="183"/>
        <v>Bergen</v>
      </c>
      <c r="V1978" t="s">
        <v>76</v>
      </c>
      <c r="X1978" t="s">
        <v>77</v>
      </c>
      <c r="Y1978" s="1" t="str">
        <f t="shared" si="184"/>
        <v>NORWAY</v>
      </c>
      <c r="Z1978" s="4" t="str">
        <f t="shared" si="185"/>
        <v>Norway</v>
      </c>
      <c r="AA1978" t="s">
        <v>78</v>
      </c>
      <c r="AB1978" t="s">
        <v>42</v>
      </c>
      <c r="AC1978" t="s">
        <v>79</v>
      </c>
      <c r="AD1978" t="s">
        <v>80</v>
      </c>
      <c r="AE1978" t="s">
        <v>51</v>
      </c>
    </row>
    <row r="1979" spans="1:31" x14ac:dyDescent="0.3">
      <c r="A1979">
        <v>10192</v>
      </c>
      <c r="B1979">
        <v>45</v>
      </c>
      <c r="C1979">
        <v>100</v>
      </c>
      <c r="D1979">
        <v>14</v>
      </c>
      <c r="E1979" s="4" t="str">
        <f t="shared" si="180"/>
        <v>high sales</v>
      </c>
      <c r="F1979">
        <v>6319.35</v>
      </c>
      <c r="G1979" t="s">
        <v>2651</v>
      </c>
      <c r="H1979" s="1" t="str">
        <f t="shared" si="181"/>
        <v>Shipped</v>
      </c>
      <c r="I1979" s="4" t="str">
        <f t="shared" si="182"/>
        <v>completed</v>
      </c>
      <c r="J1979" t="s">
        <v>25</v>
      </c>
      <c r="K1979">
        <v>4</v>
      </c>
      <c r="L1979">
        <v>11</v>
      </c>
      <c r="M1979">
        <v>2003</v>
      </c>
      <c r="N1979" t="s">
        <v>181</v>
      </c>
      <c r="O1979">
        <v>140</v>
      </c>
      <c r="P1979" t="s">
        <v>642</v>
      </c>
      <c r="Q1979" t="s">
        <v>277</v>
      </c>
      <c r="R1979">
        <v>6035558647</v>
      </c>
      <c r="S1979" t="s">
        <v>278</v>
      </c>
      <c r="U1979" s="1" t="str">
        <f t="shared" si="183"/>
        <v>Nashua</v>
      </c>
      <c r="V1979" t="s">
        <v>279</v>
      </c>
      <c r="W1979" t="s">
        <v>280</v>
      </c>
      <c r="X1979">
        <v>62005</v>
      </c>
      <c r="Y1979" s="1" t="str">
        <f t="shared" si="184"/>
        <v>USA</v>
      </c>
      <c r="Z1979" s="4" t="str">
        <f t="shared" si="185"/>
        <v>Usa</v>
      </c>
      <c r="AA1979" t="s">
        <v>32</v>
      </c>
      <c r="AB1979" t="s">
        <v>33</v>
      </c>
      <c r="AC1979" t="s">
        <v>56</v>
      </c>
      <c r="AD1979" t="s">
        <v>276</v>
      </c>
      <c r="AE1979" t="s">
        <v>51</v>
      </c>
    </row>
    <row r="1980" spans="1:31" x14ac:dyDescent="0.3">
      <c r="A1980">
        <v>10203</v>
      </c>
      <c r="B1980">
        <v>47</v>
      </c>
      <c r="C1980">
        <v>100</v>
      </c>
      <c r="D1980">
        <v>3</v>
      </c>
      <c r="E1980" s="4" t="str">
        <f t="shared" si="180"/>
        <v>high sales</v>
      </c>
      <c r="F1980">
        <v>6996.42</v>
      </c>
      <c r="G1980" t="s">
        <v>2652</v>
      </c>
      <c r="H1980" s="1" t="str">
        <f t="shared" si="181"/>
        <v>Shipped</v>
      </c>
      <c r="I1980" s="4" t="str">
        <f t="shared" si="182"/>
        <v>completed</v>
      </c>
      <c r="J1980" t="s">
        <v>25</v>
      </c>
      <c r="K1980">
        <v>4</v>
      </c>
      <c r="L1980">
        <v>12</v>
      </c>
      <c r="M1980">
        <v>2003</v>
      </c>
      <c r="N1980" t="s">
        <v>181</v>
      </c>
      <c r="O1980">
        <v>140</v>
      </c>
      <c r="P1980" t="s">
        <v>642</v>
      </c>
      <c r="Q1980" t="s">
        <v>174</v>
      </c>
      <c r="R1980" t="s">
        <v>175</v>
      </c>
      <c r="S1980" t="s">
        <v>176</v>
      </c>
      <c r="U1980" s="1" t="str">
        <f t="shared" si="183"/>
        <v>Madrid</v>
      </c>
      <c r="V1980" t="s">
        <v>177</v>
      </c>
      <c r="X1980">
        <v>28034</v>
      </c>
      <c r="Y1980" s="1" t="str">
        <f t="shared" si="184"/>
        <v>SPAIN</v>
      </c>
      <c r="Z1980" s="4" t="str">
        <f t="shared" si="185"/>
        <v>Spain</v>
      </c>
      <c r="AA1980" t="s">
        <v>178</v>
      </c>
      <c r="AB1980" t="s">
        <v>42</v>
      </c>
      <c r="AC1980" t="s">
        <v>179</v>
      </c>
      <c r="AD1980" t="s">
        <v>180</v>
      </c>
      <c r="AE1980" t="s">
        <v>51</v>
      </c>
    </row>
    <row r="1981" spans="1:31" x14ac:dyDescent="0.3">
      <c r="A1981">
        <v>10212</v>
      </c>
      <c r="B1981">
        <v>49</v>
      </c>
      <c r="C1981">
        <v>100</v>
      </c>
      <c r="D1981">
        <v>13</v>
      </c>
      <c r="E1981" s="4" t="str">
        <f t="shared" si="180"/>
        <v>high sales</v>
      </c>
      <c r="F1981">
        <v>6949.67</v>
      </c>
      <c r="G1981" t="s">
        <v>2653</v>
      </c>
      <c r="H1981" s="1" t="str">
        <f t="shared" si="181"/>
        <v>Shipped</v>
      </c>
      <c r="I1981" s="4" t="str">
        <f t="shared" si="182"/>
        <v>completed</v>
      </c>
      <c r="J1981" t="s">
        <v>25</v>
      </c>
      <c r="K1981">
        <v>1</v>
      </c>
      <c r="L1981">
        <v>1</v>
      </c>
      <c r="M1981">
        <v>2004</v>
      </c>
      <c r="N1981" t="s">
        <v>181</v>
      </c>
      <c r="O1981">
        <v>140</v>
      </c>
      <c r="P1981" t="s">
        <v>642</v>
      </c>
      <c r="Q1981" t="s">
        <v>174</v>
      </c>
      <c r="R1981" t="s">
        <v>175</v>
      </c>
      <c r="S1981" t="s">
        <v>176</v>
      </c>
      <c r="U1981" s="1" t="str">
        <f t="shared" si="183"/>
        <v>Madrid</v>
      </c>
      <c r="V1981" t="s">
        <v>177</v>
      </c>
      <c r="X1981">
        <v>28034</v>
      </c>
      <c r="Y1981" s="1" t="str">
        <f t="shared" si="184"/>
        <v>SPAIN</v>
      </c>
      <c r="Z1981" s="4" t="str">
        <f t="shared" si="185"/>
        <v>Spain</v>
      </c>
      <c r="AA1981" t="s">
        <v>178</v>
      </c>
      <c r="AB1981" t="s">
        <v>42</v>
      </c>
      <c r="AC1981" t="s">
        <v>179</v>
      </c>
      <c r="AD1981" t="s">
        <v>180</v>
      </c>
      <c r="AE1981" t="s">
        <v>51</v>
      </c>
    </row>
    <row r="1982" spans="1:31" x14ac:dyDescent="0.3">
      <c r="A1982">
        <v>10225</v>
      </c>
      <c r="B1982">
        <v>40</v>
      </c>
      <c r="C1982">
        <v>100</v>
      </c>
      <c r="D1982">
        <v>4</v>
      </c>
      <c r="E1982" s="4" t="str">
        <f t="shared" si="180"/>
        <v>high sales</v>
      </c>
      <c r="F1982">
        <v>4550</v>
      </c>
      <c r="G1982" t="s">
        <v>2654</v>
      </c>
      <c r="H1982" s="1" t="str">
        <f t="shared" si="181"/>
        <v>Shipped</v>
      </c>
      <c r="I1982" s="4" t="str">
        <f t="shared" si="182"/>
        <v>completed</v>
      </c>
      <c r="J1982" t="s">
        <v>25</v>
      </c>
      <c r="K1982">
        <v>1</v>
      </c>
      <c r="L1982">
        <v>2</v>
      </c>
      <c r="M1982">
        <v>2004</v>
      </c>
      <c r="N1982" t="s">
        <v>181</v>
      </c>
      <c r="O1982">
        <v>140</v>
      </c>
      <c r="P1982" t="s">
        <v>642</v>
      </c>
      <c r="Q1982" t="s">
        <v>446</v>
      </c>
      <c r="R1982" t="s">
        <v>447</v>
      </c>
      <c r="S1982" t="s">
        <v>448</v>
      </c>
      <c r="U1982" s="1" t="str">
        <f t="shared" si="183"/>
        <v>Gensve</v>
      </c>
      <c r="V1982" t="s">
        <v>449</v>
      </c>
      <c r="X1982">
        <v>1203</v>
      </c>
      <c r="Y1982" s="1" t="str">
        <f t="shared" si="184"/>
        <v>SWITZERLAND</v>
      </c>
      <c r="Z1982" s="4" t="str">
        <f t="shared" si="185"/>
        <v>Switzerland</v>
      </c>
      <c r="AA1982" t="s">
        <v>450</v>
      </c>
      <c r="AB1982" t="s">
        <v>42</v>
      </c>
      <c r="AC1982" t="s">
        <v>451</v>
      </c>
      <c r="AD1982" t="s">
        <v>103</v>
      </c>
      <c r="AE1982" t="s">
        <v>51</v>
      </c>
    </row>
    <row r="1983" spans="1:31" x14ac:dyDescent="0.3">
      <c r="A1983">
        <v>10239</v>
      </c>
      <c r="B1983">
        <v>29</v>
      </c>
      <c r="C1983">
        <v>100</v>
      </c>
      <c r="D1983">
        <v>3</v>
      </c>
      <c r="E1983" s="4" t="str">
        <f t="shared" si="180"/>
        <v>high sales</v>
      </c>
      <c r="F1983">
        <v>4479.63</v>
      </c>
      <c r="G1983" t="s">
        <v>2655</v>
      </c>
      <c r="H1983" s="1" t="str">
        <f t="shared" si="181"/>
        <v>Shipped</v>
      </c>
      <c r="I1983" s="4" t="str">
        <f t="shared" si="182"/>
        <v>completed</v>
      </c>
      <c r="J1983" t="s">
        <v>25</v>
      </c>
      <c r="K1983">
        <v>2</v>
      </c>
      <c r="L1983">
        <v>4</v>
      </c>
      <c r="M1983">
        <v>2004</v>
      </c>
      <c r="N1983" t="s">
        <v>181</v>
      </c>
      <c r="O1983">
        <v>140</v>
      </c>
      <c r="P1983" t="s">
        <v>642</v>
      </c>
      <c r="Q1983" t="s">
        <v>391</v>
      </c>
      <c r="R1983" t="s">
        <v>392</v>
      </c>
      <c r="S1983" t="s">
        <v>393</v>
      </c>
      <c r="U1983" s="1" t="str">
        <f t="shared" si="183"/>
        <v>Oulu</v>
      </c>
      <c r="V1983" t="s">
        <v>394</v>
      </c>
      <c r="X1983">
        <v>90110</v>
      </c>
      <c r="Y1983" s="1" t="str">
        <f t="shared" si="184"/>
        <v>FINLAND</v>
      </c>
      <c r="Z1983" s="4" t="str">
        <f t="shared" si="185"/>
        <v>Finland</v>
      </c>
      <c r="AA1983" t="s">
        <v>130</v>
      </c>
      <c r="AB1983" t="s">
        <v>42</v>
      </c>
      <c r="AC1983" t="s">
        <v>395</v>
      </c>
      <c r="AD1983" t="s">
        <v>396</v>
      </c>
      <c r="AE1983" t="s">
        <v>51</v>
      </c>
    </row>
    <row r="1984" spans="1:31" x14ac:dyDescent="0.3">
      <c r="A1984">
        <v>10253</v>
      </c>
      <c r="B1984">
        <v>39</v>
      </c>
      <c r="C1984">
        <v>100</v>
      </c>
      <c r="D1984">
        <v>8</v>
      </c>
      <c r="E1984" s="4" t="str">
        <f t="shared" si="180"/>
        <v>high sales</v>
      </c>
      <c r="F1984">
        <v>5148</v>
      </c>
      <c r="G1984" t="s">
        <v>2656</v>
      </c>
      <c r="H1984" s="1" t="str">
        <f t="shared" si="181"/>
        <v>Cancelled</v>
      </c>
      <c r="I1984" s="4" t="str">
        <f t="shared" si="182"/>
        <v>not completed</v>
      </c>
      <c r="J1984" t="s">
        <v>339</v>
      </c>
      <c r="K1984">
        <v>2</v>
      </c>
      <c r="L1984">
        <v>6</v>
      </c>
      <c r="M1984">
        <v>2004</v>
      </c>
      <c r="N1984" t="s">
        <v>181</v>
      </c>
      <c r="O1984">
        <v>140</v>
      </c>
      <c r="P1984" t="s">
        <v>642</v>
      </c>
      <c r="Q1984" t="s">
        <v>165</v>
      </c>
      <c r="R1984" t="s">
        <v>166</v>
      </c>
      <c r="S1984" t="s">
        <v>167</v>
      </c>
      <c r="U1984" s="1" t="str">
        <f t="shared" si="183"/>
        <v>Liverpool</v>
      </c>
      <c r="V1984" t="s">
        <v>168</v>
      </c>
      <c r="X1984" t="s">
        <v>169</v>
      </c>
      <c r="Y1984" s="1" t="str">
        <f t="shared" si="184"/>
        <v>UK</v>
      </c>
      <c r="Z1984" s="4" t="str">
        <f t="shared" si="185"/>
        <v>Uk</v>
      </c>
      <c r="AA1984" t="s">
        <v>170</v>
      </c>
      <c r="AB1984" t="s">
        <v>42</v>
      </c>
      <c r="AC1984" t="s">
        <v>171</v>
      </c>
      <c r="AD1984" t="s">
        <v>172</v>
      </c>
      <c r="AE1984" t="s">
        <v>51</v>
      </c>
    </row>
    <row r="1985" spans="1:31" x14ac:dyDescent="0.3">
      <c r="A1985">
        <v>10266</v>
      </c>
      <c r="B1985">
        <v>24</v>
      </c>
      <c r="C1985">
        <v>100</v>
      </c>
      <c r="D1985">
        <v>9</v>
      </c>
      <c r="E1985" s="4" t="str">
        <f t="shared" si="180"/>
        <v>low sales</v>
      </c>
      <c r="F1985">
        <v>2932.08</v>
      </c>
      <c r="G1985" t="s">
        <v>2657</v>
      </c>
      <c r="H1985" s="1" t="str">
        <f t="shared" si="181"/>
        <v>Shipped</v>
      </c>
      <c r="I1985" s="4" t="str">
        <f t="shared" si="182"/>
        <v>completed</v>
      </c>
      <c r="J1985" t="s">
        <v>25</v>
      </c>
      <c r="K1985">
        <v>3</v>
      </c>
      <c r="L1985">
        <v>7</v>
      </c>
      <c r="M1985">
        <v>2004</v>
      </c>
      <c r="N1985" t="s">
        <v>181</v>
      </c>
      <c r="O1985">
        <v>140</v>
      </c>
      <c r="P1985" t="s">
        <v>642</v>
      </c>
      <c r="Q1985" t="s">
        <v>452</v>
      </c>
      <c r="R1985" t="s">
        <v>453</v>
      </c>
      <c r="S1985" t="s">
        <v>454</v>
      </c>
      <c r="U1985" s="1" t="str">
        <f t="shared" si="183"/>
        <v>Reggio Emilia</v>
      </c>
      <c r="V1985" t="s">
        <v>455</v>
      </c>
      <c r="X1985">
        <v>42100</v>
      </c>
      <c r="Y1985" s="1" t="str">
        <f t="shared" si="184"/>
        <v>ITALY</v>
      </c>
      <c r="Z1985" s="4" t="str">
        <f t="shared" si="185"/>
        <v>Italy</v>
      </c>
      <c r="AA1985" t="s">
        <v>258</v>
      </c>
      <c r="AB1985" t="s">
        <v>42</v>
      </c>
      <c r="AC1985" t="s">
        <v>456</v>
      </c>
      <c r="AD1985" t="s">
        <v>457</v>
      </c>
      <c r="AE1985" t="s">
        <v>36</v>
      </c>
    </row>
    <row r="1986" spans="1:31" x14ac:dyDescent="0.3">
      <c r="A1986">
        <v>10278</v>
      </c>
      <c r="B1986">
        <v>25</v>
      </c>
      <c r="C1986">
        <v>100</v>
      </c>
      <c r="D1986">
        <v>9</v>
      </c>
      <c r="E1986" s="4" t="str">
        <f t="shared" si="180"/>
        <v>low sales</v>
      </c>
      <c r="F1986">
        <v>3159.75</v>
      </c>
      <c r="G1986" t="s">
        <v>2658</v>
      </c>
      <c r="H1986" s="1" t="str">
        <f t="shared" si="181"/>
        <v>Shipped</v>
      </c>
      <c r="I1986" s="4" t="str">
        <f t="shared" si="182"/>
        <v>completed</v>
      </c>
      <c r="J1986" t="s">
        <v>25</v>
      </c>
      <c r="K1986">
        <v>3</v>
      </c>
      <c r="L1986">
        <v>8</v>
      </c>
      <c r="M1986">
        <v>2004</v>
      </c>
      <c r="N1986" t="s">
        <v>181</v>
      </c>
      <c r="O1986">
        <v>140</v>
      </c>
      <c r="P1986" t="s">
        <v>642</v>
      </c>
      <c r="Q1986" t="s">
        <v>539</v>
      </c>
      <c r="R1986">
        <v>7025551838</v>
      </c>
      <c r="S1986" t="s">
        <v>540</v>
      </c>
      <c r="U1986" s="1" t="str">
        <f t="shared" si="183"/>
        <v>Las Vegas</v>
      </c>
      <c r="V1986" t="s">
        <v>541</v>
      </c>
      <c r="W1986" t="s">
        <v>542</v>
      </c>
      <c r="X1986">
        <v>83030</v>
      </c>
      <c r="Y1986" s="1" t="str">
        <f t="shared" si="184"/>
        <v>USA</v>
      </c>
      <c r="Z1986" s="4" t="str">
        <f t="shared" si="185"/>
        <v>Usa</v>
      </c>
      <c r="AA1986" t="s">
        <v>32</v>
      </c>
      <c r="AB1986" t="s">
        <v>33</v>
      </c>
      <c r="AC1986" t="s">
        <v>113</v>
      </c>
      <c r="AD1986" t="s">
        <v>400</v>
      </c>
      <c r="AE1986" t="s">
        <v>51</v>
      </c>
    </row>
    <row r="1987" spans="1:31" x14ac:dyDescent="0.3">
      <c r="A1987">
        <v>10287</v>
      </c>
      <c r="B1987">
        <v>36</v>
      </c>
      <c r="C1987">
        <v>100</v>
      </c>
      <c r="D1987">
        <v>7</v>
      </c>
      <c r="E1987" s="4" t="str">
        <f t="shared" ref="E1987:E2050" si="186">IF(F1987&gt;4000,"high sales","low sales")</f>
        <v>high sales</v>
      </c>
      <c r="F1987">
        <v>4297.32</v>
      </c>
      <c r="G1987" t="s">
        <v>2659</v>
      </c>
      <c r="H1987" s="1" t="str">
        <f t="shared" ref="H1987:H2050" si="187">PROPER(TRIM(J1987))</f>
        <v>Shipped</v>
      </c>
      <c r="I1987" s="4" t="str">
        <f t="shared" ref="I1987:I2050" si="188">IF(J1987="shipped","completed","not completed")</f>
        <v>completed</v>
      </c>
      <c r="J1987" t="s">
        <v>25</v>
      </c>
      <c r="K1987">
        <v>3</v>
      </c>
      <c r="L1987">
        <v>8</v>
      </c>
      <c r="M1987">
        <v>2004</v>
      </c>
      <c r="N1987" t="s">
        <v>181</v>
      </c>
      <c r="O1987">
        <v>140</v>
      </c>
      <c r="P1987" t="s">
        <v>642</v>
      </c>
      <c r="Q1987" t="s">
        <v>446</v>
      </c>
      <c r="R1987" t="s">
        <v>447</v>
      </c>
      <c r="S1987" t="s">
        <v>448</v>
      </c>
      <c r="U1987" s="1" t="str">
        <f t="shared" ref="U1987:U2050" si="189">PROPER(TRIM(V1987))</f>
        <v>Gensve</v>
      </c>
      <c r="V1987" t="s">
        <v>449</v>
      </c>
      <c r="X1987">
        <v>1203</v>
      </c>
      <c r="Y1987" s="1" t="str">
        <f t="shared" ref="Y1987:Y2050" si="190">UPPER(TRIM(AA1987))</f>
        <v>SWITZERLAND</v>
      </c>
      <c r="Z1987" s="4" t="str">
        <f t="shared" ref="Z1987:Z2050" si="191">PROPER(TRIM(AA1987))</f>
        <v>Switzerland</v>
      </c>
      <c r="AA1987" t="s">
        <v>450</v>
      </c>
      <c r="AB1987" t="s">
        <v>42</v>
      </c>
      <c r="AC1987" t="s">
        <v>451</v>
      </c>
      <c r="AD1987" t="s">
        <v>103</v>
      </c>
      <c r="AE1987" t="s">
        <v>51</v>
      </c>
    </row>
    <row r="1988" spans="1:31" x14ac:dyDescent="0.3">
      <c r="A1988">
        <v>10301</v>
      </c>
      <c r="B1988">
        <v>50</v>
      </c>
      <c r="C1988">
        <v>100</v>
      </c>
      <c r="D1988">
        <v>11</v>
      </c>
      <c r="E1988" s="4" t="str">
        <f t="shared" si="186"/>
        <v>high sales</v>
      </c>
      <c r="F1988">
        <v>7723.5</v>
      </c>
      <c r="G1988" t="s">
        <v>2660</v>
      </c>
      <c r="H1988" s="1" t="str">
        <f t="shared" si="187"/>
        <v>Shipped</v>
      </c>
      <c r="I1988" s="4" t="str">
        <f t="shared" si="188"/>
        <v>completed</v>
      </c>
      <c r="J1988" t="s">
        <v>25</v>
      </c>
      <c r="K1988">
        <v>4</v>
      </c>
      <c r="L1988">
        <v>10</v>
      </c>
      <c r="M1988">
        <v>2003</v>
      </c>
      <c r="N1988" t="s">
        <v>181</v>
      </c>
      <c r="O1988">
        <v>140</v>
      </c>
      <c r="P1988" t="s">
        <v>642</v>
      </c>
      <c r="Q1988" t="s">
        <v>543</v>
      </c>
      <c r="R1988" t="s">
        <v>544</v>
      </c>
      <c r="S1988" t="s">
        <v>545</v>
      </c>
      <c r="U1988" s="1" t="str">
        <f t="shared" si="189"/>
        <v>Oslo</v>
      </c>
      <c r="V1988" t="s">
        <v>546</v>
      </c>
      <c r="X1988" t="s">
        <v>547</v>
      </c>
      <c r="Y1988" s="1" t="str">
        <f t="shared" si="190"/>
        <v>NORWAY</v>
      </c>
      <c r="Z1988" s="4" t="str">
        <f t="shared" si="191"/>
        <v>Norway</v>
      </c>
      <c r="AA1988" t="s">
        <v>78</v>
      </c>
      <c r="AB1988" t="s">
        <v>42</v>
      </c>
      <c r="AC1988" t="s">
        <v>548</v>
      </c>
      <c r="AD1988" t="s">
        <v>549</v>
      </c>
      <c r="AE1988" t="s">
        <v>151</v>
      </c>
    </row>
    <row r="1989" spans="1:31" x14ac:dyDescent="0.3">
      <c r="A1989">
        <v>10310</v>
      </c>
      <c r="B1989">
        <v>45</v>
      </c>
      <c r="C1989">
        <v>100</v>
      </c>
      <c r="D1989">
        <v>5</v>
      </c>
      <c r="E1989" s="4" t="str">
        <f t="shared" si="186"/>
        <v>high sales</v>
      </c>
      <c r="F1989">
        <v>5497.65</v>
      </c>
      <c r="G1989" t="s">
        <v>2661</v>
      </c>
      <c r="H1989" s="1" t="str">
        <f t="shared" si="187"/>
        <v>Shipped</v>
      </c>
      <c r="I1989" s="4" t="str">
        <f t="shared" si="188"/>
        <v>completed</v>
      </c>
      <c r="J1989" t="s">
        <v>25</v>
      </c>
      <c r="K1989">
        <v>4</v>
      </c>
      <c r="L1989">
        <v>10</v>
      </c>
      <c r="M1989">
        <v>2004</v>
      </c>
      <c r="N1989" t="s">
        <v>181</v>
      </c>
      <c r="O1989">
        <v>140</v>
      </c>
      <c r="P1989" t="s">
        <v>642</v>
      </c>
      <c r="Q1989" t="s">
        <v>439</v>
      </c>
      <c r="R1989" t="s">
        <v>440</v>
      </c>
      <c r="S1989" t="s">
        <v>441</v>
      </c>
      <c r="U1989" s="1" t="str">
        <f t="shared" si="189"/>
        <v>Koln</v>
      </c>
      <c r="V1989" t="s">
        <v>442</v>
      </c>
      <c r="X1989">
        <v>50739</v>
      </c>
      <c r="Y1989" s="1" t="str">
        <f t="shared" si="190"/>
        <v>GERMANY</v>
      </c>
      <c r="Z1989" s="4" t="str">
        <f t="shared" si="191"/>
        <v>Germany</v>
      </c>
      <c r="AA1989" t="s">
        <v>443</v>
      </c>
      <c r="AB1989" t="s">
        <v>42</v>
      </c>
      <c r="AC1989" t="s">
        <v>444</v>
      </c>
      <c r="AD1989" t="s">
        <v>445</v>
      </c>
      <c r="AE1989" t="s">
        <v>51</v>
      </c>
    </row>
    <row r="1990" spans="1:31" x14ac:dyDescent="0.3">
      <c r="A1990">
        <v>10321</v>
      </c>
      <c r="B1990">
        <v>26</v>
      </c>
      <c r="C1990">
        <v>100</v>
      </c>
      <c r="D1990">
        <v>13</v>
      </c>
      <c r="E1990" s="4" t="str">
        <f t="shared" si="186"/>
        <v>high sales</v>
      </c>
      <c r="F1990">
        <v>4052.88</v>
      </c>
      <c r="G1990" t="s">
        <v>2662</v>
      </c>
      <c r="H1990" s="1" t="str">
        <f t="shared" si="187"/>
        <v>Shipped</v>
      </c>
      <c r="I1990" s="4" t="str">
        <f t="shared" si="188"/>
        <v>completed</v>
      </c>
      <c r="J1990" t="s">
        <v>25</v>
      </c>
      <c r="K1990">
        <v>4</v>
      </c>
      <c r="L1990">
        <v>11</v>
      </c>
      <c r="M1990">
        <v>2004</v>
      </c>
      <c r="N1990" t="s">
        <v>181</v>
      </c>
      <c r="O1990">
        <v>140</v>
      </c>
      <c r="P1990" t="s">
        <v>642</v>
      </c>
      <c r="Q1990" t="s">
        <v>160</v>
      </c>
      <c r="R1990">
        <v>5085552555</v>
      </c>
      <c r="S1990" t="s">
        <v>161</v>
      </c>
      <c r="U1990" s="1" t="str">
        <f t="shared" si="189"/>
        <v>New Bedford</v>
      </c>
      <c r="V1990" t="s">
        <v>162</v>
      </c>
      <c r="W1990" t="s">
        <v>123</v>
      </c>
      <c r="X1990">
        <v>50553</v>
      </c>
      <c r="Y1990" s="1" t="str">
        <f t="shared" si="190"/>
        <v>USA</v>
      </c>
      <c r="Z1990" s="4" t="str">
        <f t="shared" si="191"/>
        <v>Usa</v>
      </c>
      <c r="AA1990" t="s">
        <v>32</v>
      </c>
      <c r="AB1990" t="s">
        <v>33</v>
      </c>
      <c r="AC1990" t="s">
        <v>163</v>
      </c>
      <c r="AD1990" t="s">
        <v>164</v>
      </c>
      <c r="AE1990" t="s">
        <v>51</v>
      </c>
    </row>
    <row r="1991" spans="1:31" x14ac:dyDescent="0.3">
      <c r="A1991">
        <v>10331</v>
      </c>
      <c r="B1991">
        <v>21</v>
      </c>
      <c r="C1991">
        <v>100</v>
      </c>
      <c r="D1991">
        <v>1</v>
      </c>
      <c r="E1991" s="4" t="str">
        <f t="shared" si="186"/>
        <v>low sales</v>
      </c>
      <c r="F1991">
        <v>3135.93</v>
      </c>
      <c r="G1991" t="s">
        <v>2663</v>
      </c>
      <c r="H1991" s="1" t="str">
        <f t="shared" si="187"/>
        <v>Shipped</v>
      </c>
      <c r="I1991" s="4" t="str">
        <f t="shared" si="188"/>
        <v>completed</v>
      </c>
      <c r="J1991" t="s">
        <v>25</v>
      </c>
      <c r="K1991">
        <v>4</v>
      </c>
      <c r="L1991">
        <v>11</v>
      </c>
      <c r="M1991">
        <v>2004</v>
      </c>
      <c r="N1991" t="s">
        <v>181</v>
      </c>
      <c r="O1991">
        <v>140</v>
      </c>
      <c r="P1991" t="s">
        <v>642</v>
      </c>
      <c r="Q1991" t="s">
        <v>309</v>
      </c>
      <c r="R1991">
        <v>2155559857</v>
      </c>
      <c r="S1991" t="s">
        <v>310</v>
      </c>
      <c r="U1991" s="1" t="str">
        <f t="shared" si="189"/>
        <v>Philadelphia</v>
      </c>
      <c r="V1991" t="s">
        <v>216</v>
      </c>
      <c r="W1991" t="s">
        <v>142</v>
      </c>
      <c r="X1991">
        <v>71270</v>
      </c>
      <c r="Y1991" s="1" t="str">
        <f t="shared" si="190"/>
        <v>USA</v>
      </c>
      <c r="Z1991" s="4" t="str">
        <f t="shared" si="191"/>
        <v>Usa</v>
      </c>
      <c r="AA1991" t="s">
        <v>32</v>
      </c>
      <c r="AB1991" t="s">
        <v>33</v>
      </c>
      <c r="AC1991" t="s">
        <v>124</v>
      </c>
      <c r="AD1991" t="s">
        <v>311</v>
      </c>
      <c r="AE1991" t="s">
        <v>51</v>
      </c>
    </row>
    <row r="1992" spans="1:31" x14ac:dyDescent="0.3">
      <c r="A1992">
        <v>10342</v>
      </c>
      <c r="B1992">
        <v>42</v>
      </c>
      <c r="C1992">
        <v>100</v>
      </c>
      <c r="D1992">
        <v>6</v>
      </c>
      <c r="E1992" s="4" t="str">
        <f t="shared" si="186"/>
        <v>high sales</v>
      </c>
      <c r="F1992">
        <v>5013.54</v>
      </c>
      <c r="G1992" t="s">
        <v>2664</v>
      </c>
      <c r="H1992" s="1" t="str">
        <f t="shared" si="187"/>
        <v>Shipped</v>
      </c>
      <c r="I1992" s="4" t="str">
        <f t="shared" si="188"/>
        <v>completed</v>
      </c>
      <c r="J1992" t="s">
        <v>25</v>
      </c>
      <c r="K1992">
        <v>4</v>
      </c>
      <c r="L1992">
        <v>11</v>
      </c>
      <c r="M1992">
        <v>2004</v>
      </c>
      <c r="N1992" t="s">
        <v>181</v>
      </c>
      <c r="O1992">
        <v>140</v>
      </c>
      <c r="P1992" t="s">
        <v>642</v>
      </c>
      <c r="Q1992" t="s">
        <v>89</v>
      </c>
      <c r="R1992" t="s">
        <v>90</v>
      </c>
      <c r="S1992" t="s">
        <v>91</v>
      </c>
      <c r="T1992" t="s">
        <v>92</v>
      </c>
      <c r="U1992" s="1" t="str">
        <f t="shared" si="189"/>
        <v>Melbourne</v>
      </c>
      <c r="V1992" t="s">
        <v>93</v>
      </c>
      <c r="W1992" t="s">
        <v>94</v>
      </c>
      <c r="X1992">
        <v>3004</v>
      </c>
      <c r="Y1992" s="1" t="str">
        <f t="shared" si="190"/>
        <v>AUSTRALIA</v>
      </c>
      <c r="Z1992" s="4" t="str">
        <f t="shared" si="191"/>
        <v>Australia</v>
      </c>
      <c r="AA1992" t="s">
        <v>95</v>
      </c>
      <c r="AB1992" t="s">
        <v>96</v>
      </c>
      <c r="AC1992" t="s">
        <v>97</v>
      </c>
      <c r="AD1992" t="s">
        <v>98</v>
      </c>
      <c r="AE1992" t="s">
        <v>51</v>
      </c>
    </row>
    <row r="1993" spans="1:31" x14ac:dyDescent="0.3">
      <c r="A1993">
        <v>10355</v>
      </c>
      <c r="B1993">
        <v>32</v>
      </c>
      <c r="C1993">
        <v>100</v>
      </c>
      <c r="D1993">
        <v>8</v>
      </c>
      <c r="E1993" s="4" t="str">
        <f t="shared" si="186"/>
        <v>high sales</v>
      </c>
      <c r="F1993">
        <v>5302.72</v>
      </c>
      <c r="G1993" t="s">
        <v>2665</v>
      </c>
      <c r="H1993" s="1" t="str">
        <f t="shared" si="187"/>
        <v>Shipped</v>
      </c>
      <c r="I1993" s="4" t="str">
        <f t="shared" si="188"/>
        <v>completed</v>
      </c>
      <c r="J1993" t="s">
        <v>25</v>
      </c>
      <c r="K1993">
        <v>4</v>
      </c>
      <c r="L1993">
        <v>12</v>
      </c>
      <c r="M1993">
        <v>2004</v>
      </c>
      <c r="N1993" t="s">
        <v>181</v>
      </c>
      <c r="O1993">
        <v>140</v>
      </c>
      <c r="P1993" t="s">
        <v>642</v>
      </c>
      <c r="Q1993" t="s">
        <v>174</v>
      </c>
      <c r="R1993" t="s">
        <v>175</v>
      </c>
      <c r="S1993" t="s">
        <v>176</v>
      </c>
      <c r="U1993" s="1" t="str">
        <f t="shared" si="189"/>
        <v>Madrid</v>
      </c>
      <c r="V1993" t="s">
        <v>177</v>
      </c>
      <c r="X1993">
        <v>28034</v>
      </c>
      <c r="Y1993" s="1" t="str">
        <f t="shared" si="190"/>
        <v>SPAIN</v>
      </c>
      <c r="Z1993" s="4" t="str">
        <f t="shared" si="191"/>
        <v>Spain</v>
      </c>
      <c r="AA1993" t="s">
        <v>178</v>
      </c>
      <c r="AB1993" t="s">
        <v>42</v>
      </c>
      <c r="AC1993" t="s">
        <v>179</v>
      </c>
      <c r="AD1993" t="s">
        <v>180</v>
      </c>
      <c r="AE1993" t="s">
        <v>51</v>
      </c>
    </row>
    <row r="1994" spans="1:31" x14ac:dyDescent="0.3">
      <c r="A1994">
        <v>10363</v>
      </c>
      <c r="B1994">
        <v>31</v>
      </c>
      <c r="C1994">
        <v>94.58</v>
      </c>
      <c r="D1994">
        <v>1</v>
      </c>
      <c r="E1994" s="4" t="str">
        <f t="shared" si="186"/>
        <v>low sales</v>
      </c>
      <c r="F1994">
        <v>2931.98</v>
      </c>
      <c r="G1994" t="s">
        <v>2666</v>
      </c>
      <c r="H1994" s="1" t="str">
        <f t="shared" si="187"/>
        <v>Shipped</v>
      </c>
      <c r="I1994" s="4" t="str">
        <f t="shared" si="188"/>
        <v>completed</v>
      </c>
      <c r="J1994" t="s">
        <v>25</v>
      </c>
      <c r="K1994">
        <v>1</v>
      </c>
      <c r="L1994">
        <v>1</v>
      </c>
      <c r="M1994">
        <v>2005</v>
      </c>
      <c r="N1994" t="s">
        <v>181</v>
      </c>
      <c r="O1994">
        <v>140</v>
      </c>
      <c r="P1994" t="s">
        <v>642</v>
      </c>
      <c r="Q1994" t="s">
        <v>467</v>
      </c>
      <c r="R1994" t="s">
        <v>468</v>
      </c>
      <c r="S1994" t="s">
        <v>469</v>
      </c>
      <c r="U1994" s="1" t="str">
        <f t="shared" si="189"/>
        <v>Espoo</v>
      </c>
      <c r="V1994" t="s">
        <v>470</v>
      </c>
      <c r="X1994" t="s">
        <v>471</v>
      </c>
      <c r="Y1994" s="1" t="str">
        <f t="shared" si="190"/>
        <v>FINLAND</v>
      </c>
      <c r="Z1994" s="4" t="str">
        <f t="shared" si="191"/>
        <v>Finland</v>
      </c>
      <c r="AA1994" t="s">
        <v>130</v>
      </c>
      <c r="AB1994" t="s">
        <v>42</v>
      </c>
      <c r="AC1994" t="s">
        <v>472</v>
      </c>
      <c r="AD1994" t="s">
        <v>473</v>
      </c>
      <c r="AE1994" t="s">
        <v>36</v>
      </c>
    </row>
    <row r="1995" spans="1:31" x14ac:dyDescent="0.3">
      <c r="A1995">
        <v>10378</v>
      </c>
      <c r="B1995">
        <v>33</v>
      </c>
      <c r="C1995">
        <v>53.27</v>
      </c>
      <c r="D1995">
        <v>3</v>
      </c>
      <c r="E1995" s="4" t="str">
        <f t="shared" si="186"/>
        <v>low sales</v>
      </c>
      <c r="F1995">
        <v>1757.91</v>
      </c>
      <c r="G1995" t="s">
        <v>2667</v>
      </c>
      <c r="H1995" s="1" t="str">
        <f t="shared" si="187"/>
        <v>Shipped</v>
      </c>
      <c r="I1995" s="4" t="str">
        <f t="shared" si="188"/>
        <v>completed</v>
      </c>
      <c r="J1995" t="s">
        <v>25</v>
      </c>
      <c r="K1995">
        <v>1</v>
      </c>
      <c r="L1995">
        <v>2</v>
      </c>
      <c r="M1995">
        <v>2005</v>
      </c>
      <c r="N1995" t="s">
        <v>181</v>
      </c>
      <c r="O1995">
        <v>140</v>
      </c>
      <c r="P1995" t="s">
        <v>642</v>
      </c>
      <c r="Q1995" t="s">
        <v>174</v>
      </c>
      <c r="R1995" t="s">
        <v>175</v>
      </c>
      <c r="S1995" t="s">
        <v>176</v>
      </c>
      <c r="U1995" s="1" t="str">
        <f t="shared" si="189"/>
        <v>Madrid</v>
      </c>
      <c r="V1995" t="s">
        <v>177</v>
      </c>
      <c r="X1995">
        <v>28034</v>
      </c>
      <c r="Y1995" s="1" t="str">
        <f t="shared" si="190"/>
        <v>SPAIN</v>
      </c>
      <c r="Z1995" s="4" t="str">
        <f t="shared" si="191"/>
        <v>Spain</v>
      </c>
      <c r="AA1995" t="s">
        <v>178</v>
      </c>
      <c r="AB1995" t="s">
        <v>42</v>
      </c>
      <c r="AC1995" t="s">
        <v>179</v>
      </c>
      <c r="AD1995" t="s">
        <v>180</v>
      </c>
      <c r="AE1995" t="s">
        <v>36</v>
      </c>
    </row>
    <row r="1996" spans="1:31" x14ac:dyDescent="0.3">
      <c r="A1996">
        <v>10390</v>
      </c>
      <c r="B1996">
        <v>45</v>
      </c>
      <c r="C1996">
        <v>100</v>
      </c>
      <c r="D1996">
        <v>8</v>
      </c>
      <c r="E1996" s="4" t="str">
        <f t="shared" si="186"/>
        <v>high sales</v>
      </c>
      <c r="F1996">
        <v>6763.05</v>
      </c>
      <c r="G1996" t="s">
        <v>2668</v>
      </c>
      <c r="H1996" s="1" t="str">
        <f t="shared" si="187"/>
        <v>Shipped</v>
      </c>
      <c r="I1996" s="4" t="str">
        <f t="shared" si="188"/>
        <v>completed</v>
      </c>
      <c r="J1996" t="s">
        <v>25</v>
      </c>
      <c r="K1996">
        <v>1</v>
      </c>
      <c r="L1996">
        <v>3</v>
      </c>
      <c r="M1996">
        <v>2005</v>
      </c>
      <c r="N1996" t="s">
        <v>181</v>
      </c>
      <c r="O1996">
        <v>140</v>
      </c>
      <c r="P1996" t="s">
        <v>642</v>
      </c>
      <c r="Q1996" t="s">
        <v>272</v>
      </c>
      <c r="R1996">
        <v>4155551450</v>
      </c>
      <c r="S1996" t="s">
        <v>273</v>
      </c>
      <c r="U1996" s="1" t="str">
        <f t="shared" si="189"/>
        <v>San Rafael</v>
      </c>
      <c r="V1996" t="s">
        <v>274</v>
      </c>
      <c r="W1996" t="s">
        <v>55</v>
      </c>
      <c r="X1996">
        <v>97562</v>
      </c>
      <c r="Y1996" s="1" t="str">
        <f t="shared" si="190"/>
        <v>USA</v>
      </c>
      <c r="Z1996" s="4" t="str">
        <f t="shared" si="191"/>
        <v>Usa</v>
      </c>
      <c r="AA1996" t="s">
        <v>32</v>
      </c>
      <c r="AB1996" t="s">
        <v>33</v>
      </c>
      <c r="AC1996" t="s">
        <v>275</v>
      </c>
      <c r="AD1996" t="s">
        <v>276</v>
      </c>
      <c r="AE1996" t="s">
        <v>51</v>
      </c>
    </row>
    <row r="1997" spans="1:31" x14ac:dyDescent="0.3">
      <c r="A1997">
        <v>10405</v>
      </c>
      <c r="B1997">
        <v>76</v>
      </c>
      <c r="C1997">
        <v>100</v>
      </c>
      <c r="D1997">
        <v>3</v>
      </c>
      <c r="E1997" s="4" t="str">
        <f t="shared" si="186"/>
        <v>high sales</v>
      </c>
      <c r="F1997">
        <v>11739.7</v>
      </c>
      <c r="G1997" t="s">
        <v>2669</v>
      </c>
      <c r="H1997" s="1" t="str">
        <f t="shared" si="187"/>
        <v>Shipped</v>
      </c>
      <c r="I1997" s="4" t="str">
        <f t="shared" si="188"/>
        <v>completed</v>
      </c>
      <c r="J1997" t="s">
        <v>25</v>
      </c>
      <c r="K1997">
        <v>2</v>
      </c>
      <c r="L1997">
        <v>4</v>
      </c>
      <c r="M1997">
        <v>2005</v>
      </c>
      <c r="N1997" t="s">
        <v>181</v>
      </c>
      <c r="O1997">
        <v>140</v>
      </c>
      <c r="P1997" t="s">
        <v>642</v>
      </c>
      <c r="Q1997" t="s">
        <v>531</v>
      </c>
      <c r="R1997" t="s">
        <v>532</v>
      </c>
      <c r="S1997" t="s">
        <v>533</v>
      </c>
      <c r="U1997" s="1" t="str">
        <f t="shared" si="189"/>
        <v>Strasbourg</v>
      </c>
      <c r="V1997" t="s">
        <v>534</v>
      </c>
      <c r="X1997">
        <v>67000</v>
      </c>
      <c r="Y1997" s="1" t="str">
        <f t="shared" si="190"/>
        <v>FRANCE</v>
      </c>
      <c r="Z1997" s="4" t="str">
        <f t="shared" si="191"/>
        <v>France</v>
      </c>
      <c r="AA1997" t="s">
        <v>41</v>
      </c>
      <c r="AB1997" t="s">
        <v>42</v>
      </c>
      <c r="AC1997" t="s">
        <v>535</v>
      </c>
      <c r="AD1997" t="s">
        <v>536</v>
      </c>
      <c r="AE1997" t="s">
        <v>151</v>
      </c>
    </row>
    <row r="1998" spans="1:31" x14ac:dyDescent="0.3">
      <c r="A1998">
        <v>10419</v>
      </c>
      <c r="B1998">
        <v>70</v>
      </c>
      <c r="C1998">
        <v>100</v>
      </c>
      <c r="D1998">
        <v>8</v>
      </c>
      <c r="E1998" s="4" t="str">
        <f t="shared" si="186"/>
        <v>high sales</v>
      </c>
      <c r="F1998">
        <v>9240</v>
      </c>
      <c r="G1998" t="s">
        <v>2670</v>
      </c>
      <c r="H1998" s="1" t="str">
        <f t="shared" si="187"/>
        <v>Shipped</v>
      </c>
      <c r="I1998" s="4" t="str">
        <f t="shared" si="188"/>
        <v>completed</v>
      </c>
      <c r="J1998" t="s">
        <v>25</v>
      </c>
      <c r="K1998">
        <v>2</v>
      </c>
      <c r="L1998">
        <v>5</v>
      </c>
      <c r="M1998">
        <v>2005</v>
      </c>
      <c r="N1998" t="s">
        <v>181</v>
      </c>
      <c r="O1998">
        <v>140</v>
      </c>
      <c r="P1998" t="s">
        <v>642</v>
      </c>
      <c r="Q1998" t="s">
        <v>144</v>
      </c>
      <c r="R1998" t="s">
        <v>145</v>
      </c>
      <c r="S1998" t="s">
        <v>146</v>
      </c>
      <c r="U1998" s="1" t="str">
        <f t="shared" si="189"/>
        <v>Salzburg</v>
      </c>
      <c r="V1998" t="s">
        <v>147</v>
      </c>
      <c r="X1998">
        <v>5020</v>
      </c>
      <c r="Y1998" s="1" t="str">
        <f t="shared" si="190"/>
        <v>AUSTRIA</v>
      </c>
      <c r="Z1998" s="4" t="str">
        <f t="shared" si="191"/>
        <v>Austria</v>
      </c>
      <c r="AA1998" t="s">
        <v>148</v>
      </c>
      <c r="AB1998" t="s">
        <v>42</v>
      </c>
      <c r="AC1998" t="s">
        <v>149</v>
      </c>
      <c r="AD1998" t="s">
        <v>150</v>
      </c>
      <c r="AE1998" t="s">
        <v>151</v>
      </c>
    </row>
    <row r="1999" spans="1:31" x14ac:dyDescent="0.3">
      <c r="A1999">
        <v>10106</v>
      </c>
      <c r="B1999">
        <v>50</v>
      </c>
      <c r="C1999">
        <v>64.83</v>
      </c>
      <c r="D1999">
        <v>11</v>
      </c>
      <c r="E1999" s="4" t="str">
        <f t="shared" si="186"/>
        <v>low sales</v>
      </c>
      <c r="F1999">
        <v>3241.5</v>
      </c>
      <c r="G1999" t="s">
        <v>2671</v>
      </c>
      <c r="H1999" s="1" t="str">
        <f t="shared" si="187"/>
        <v>Shipped</v>
      </c>
      <c r="I1999" s="4" t="str">
        <f t="shared" si="188"/>
        <v>completed</v>
      </c>
      <c r="J1999" t="s">
        <v>25</v>
      </c>
      <c r="K1999">
        <v>1</v>
      </c>
      <c r="L1999">
        <v>2</v>
      </c>
      <c r="M1999">
        <v>2003</v>
      </c>
      <c r="N1999" t="s">
        <v>566</v>
      </c>
      <c r="O1999">
        <v>68</v>
      </c>
      <c r="P1999" t="s">
        <v>643</v>
      </c>
      <c r="Q1999" t="s">
        <v>552</v>
      </c>
      <c r="R1999" t="s">
        <v>553</v>
      </c>
      <c r="S1999" t="s">
        <v>554</v>
      </c>
      <c r="U1999" s="1" t="str">
        <f t="shared" si="189"/>
        <v>Bergamo</v>
      </c>
      <c r="V1999" t="s">
        <v>555</v>
      </c>
      <c r="X1999">
        <v>24100</v>
      </c>
      <c r="Y1999" s="1" t="str">
        <f t="shared" si="190"/>
        <v>ITALY</v>
      </c>
      <c r="Z1999" s="4" t="str">
        <f t="shared" si="191"/>
        <v>Italy</v>
      </c>
      <c r="AA1999" t="s">
        <v>258</v>
      </c>
      <c r="AB1999" t="s">
        <v>42</v>
      </c>
      <c r="AC1999" t="s">
        <v>556</v>
      </c>
      <c r="AD1999" t="s">
        <v>557</v>
      </c>
      <c r="AE1999" t="s">
        <v>51</v>
      </c>
    </row>
    <row r="2000" spans="1:31" x14ac:dyDescent="0.3">
      <c r="A2000">
        <v>10119</v>
      </c>
      <c r="B2000">
        <v>28</v>
      </c>
      <c r="C2000">
        <v>70.290000000000006</v>
      </c>
      <c r="D2000">
        <v>2</v>
      </c>
      <c r="E2000" s="4" t="str">
        <f t="shared" si="186"/>
        <v>low sales</v>
      </c>
      <c r="F2000">
        <v>1968.12</v>
      </c>
      <c r="G2000" t="s">
        <v>2672</v>
      </c>
      <c r="H2000" s="1" t="str">
        <f t="shared" si="187"/>
        <v>Shipped</v>
      </c>
      <c r="I2000" s="4" t="str">
        <f t="shared" si="188"/>
        <v>completed</v>
      </c>
      <c r="J2000" t="s">
        <v>25</v>
      </c>
      <c r="K2000">
        <v>2</v>
      </c>
      <c r="L2000">
        <v>4</v>
      </c>
      <c r="M2000">
        <v>2003</v>
      </c>
      <c r="N2000" t="s">
        <v>566</v>
      </c>
      <c r="O2000">
        <v>68</v>
      </c>
      <c r="P2000" t="s">
        <v>643</v>
      </c>
      <c r="Q2000" t="s">
        <v>144</v>
      </c>
      <c r="R2000" t="s">
        <v>145</v>
      </c>
      <c r="S2000" t="s">
        <v>146</v>
      </c>
      <c r="U2000" s="1" t="str">
        <f t="shared" si="189"/>
        <v>Salzburg</v>
      </c>
      <c r="V2000" t="s">
        <v>147</v>
      </c>
      <c r="X2000">
        <v>5020</v>
      </c>
      <c r="Y2000" s="1" t="str">
        <f t="shared" si="190"/>
        <v>AUSTRIA</v>
      </c>
      <c r="Z2000" s="4" t="str">
        <f t="shared" si="191"/>
        <v>Austria</v>
      </c>
      <c r="AA2000" t="s">
        <v>148</v>
      </c>
      <c r="AB2000" t="s">
        <v>42</v>
      </c>
      <c r="AC2000" t="s">
        <v>149</v>
      </c>
      <c r="AD2000" t="s">
        <v>150</v>
      </c>
      <c r="AE2000" t="s">
        <v>36</v>
      </c>
    </row>
    <row r="2001" spans="1:31" x14ac:dyDescent="0.3">
      <c r="A2001">
        <v>10131</v>
      </c>
      <c r="B2001">
        <v>50</v>
      </c>
      <c r="C2001">
        <v>81.89</v>
      </c>
      <c r="D2001">
        <v>3</v>
      </c>
      <c r="E2001" s="4" t="str">
        <f t="shared" si="186"/>
        <v>high sales</v>
      </c>
      <c r="F2001">
        <v>4094.5</v>
      </c>
      <c r="G2001" t="s">
        <v>2673</v>
      </c>
      <c r="H2001" s="1" t="str">
        <f t="shared" si="187"/>
        <v>Shipped</v>
      </c>
      <c r="I2001" s="4" t="str">
        <f t="shared" si="188"/>
        <v>completed</v>
      </c>
      <c r="J2001" t="s">
        <v>25</v>
      </c>
      <c r="K2001">
        <v>2</v>
      </c>
      <c r="L2001">
        <v>6</v>
      </c>
      <c r="M2001">
        <v>2003</v>
      </c>
      <c r="N2001" t="s">
        <v>566</v>
      </c>
      <c r="O2001">
        <v>68</v>
      </c>
      <c r="P2001" t="s">
        <v>643</v>
      </c>
      <c r="Q2001" t="s">
        <v>568</v>
      </c>
      <c r="R2001">
        <v>2035554407</v>
      </c>
      <c r="S2001" t="s">
        <v>569</v>
      </c>
      <c r="U2001" s="1" t="str">
        <f t="shared" si="189"/>
        <v>Glendale</v>
      </c>
      <c r="V2001" t="s">
        <v>516</v>
      </c>
      <c r="W2001" t="s">
        <v>112</v>
      </c>
      <c r="X2001">
        <v>97561</v>
      </c>
      <c r="Y2001" s="1" t="str">
        <f t="shared" si="190"/>
        <v>USA</v>
      </c>
      <c r="Z2001" s="4" t="str">
        <f t="shared" si="191"/>
        <v>Usa</v>
      </c>
      <c r="AA2001" t="s">
        <v>32</v>
      </c>
      <c r="AB2001" t="s">
        <v>33</v>
      </c>
      <c r="AC2001" t="s">
        <v>570</v>
      </c>
      <c r="AD2001" t="s">
        <v>571</v>
      </c>
      <c r="AE2001" t="s">
        <v>51</v>
      </c>
    </row>
    <row r="2002" spans="1:31" x14ac:dyDescent="0.3">
      <c r="A2002">
        <v>10143</v>
      </c>
      <c r="B2002">
        <v>28</v>
      </c>
      <c r="C2002">
        <v>66.19</v>
      </c>
      <c r="D2002">
        <v>6</v>
      </c>
      <c r="E2002" s="4" t="str">
        <f t="shared" si="186"/>
        <v>low sales</v>
      </c>
      <c r="F2002">
        <v>1853.32</v>
      </c>
      <c r="G2002" t="s">
        <v>2674</v>
      </c>
      <c r="H2002" s="1" t="str">
        <f t="shared" si="187"/>
        <v>Shipped</v>
      </c>
      <c r="I2002" s="4" t="str">
        <f t="shared" si="188"/>
        <v>completed</v>
      </c>
      <c r="J2002" t="s">
        <v>25</v>
      </c>
      <c r="K2002">
        <v>3</v>
      </c>
      <c r="L2002">
        <v>8</v>
      </c>
      <c r="M2002">
        <v>2003</v>
      </c>
      <c r="N2002" t="s">
        <v>566</v>
      </c>
      <c r="O2002">
        <v>68</v>
      </c>
      <c r="P2002" t="s">
        <v>643</v>
      </c>
      <c r="Q2002" t="s">
        <v>335</v>
      </c>
      <c r="R2002">
        <v>5085559555</v>
      </c>
      <c r="S2002" t="s">
        <v>336</v>
      </c>
      <c r="U2002" s="1" t="str">
        <f t="shared" si="189"/>
        <v>New Bedford</v>
      </c>
      <c r="V2002" t="s">
        <v>162</v>
      </c>
      <c r="W2002" t="s">
        <v>123</v>
      </c>
      <c r="X2002">
        <v>50553</v>
      </c>
      <c r="Y2002" s="1" t="str">
        <f t="shared" si="190"/>
        <v>USA</v>
      </c>
      <c r="Z2002" s="4" t="str">
        <f t="shared" si="191"/>
        <v>Usa</v>
      </c>
      <c r="AA2002" t="s">
        <v>32</v>
      </c>
      <c r="AB2002" t="s">
        <v>33</v>
      </c>
      <c r="AC2002" t="s">
        <v>337</v>
      </c>
      <c r="AD2002" t="s">
        <v>338</v>
      </c>
      <c r="AE2002" t="s">
        <v>36</v>
      </c>
    </row>
    <row r="2003" spans="1:31" x14ac:dyDescent="0.3">
      <c r="A2003">
        <v>10155</v>
      </c>
      <c r="B2003">
        <v>44</v>
      </c>
      <c r="C2003">
        <v>77.11</v>
      </c>
      <c r="D2003">
        <v>4</v>
      </c>
      <c r="E2003" s="4" t="str">
        <f t="shared" si="186"/>
        <v>low sales</v>
      </c>
      <c r="F2003">
        <v>3392.84</v>
      </c>
      <c r="G2003" t="s">
        <v>2675</v>
      </c>
      <c r="H2003" s="1" t="str">
        <f t="shared" si="187"/>
        <v>Shipped</v>
      </c>
      <c r="I2003" s="4" t="str">
        <f t="shared" si="188"/>
        <v>completed</v>
      </c>
      <c r="J2003" t="s">
        <v>25</v>
      </c>
      <c r="K2003">
        <v>4</v>
      </c>
      <c r="L2003">
        <v>10</v>
      </c>
      <c r="M2003">
        <v>2003</v>
      </c>
      <c r="N2003" t="s">
        <v>566</v>
      </c>
      <c r="O2003">
        <v>68</v>
      </c>
      <c r="P2003" t="s">
        <v>643</v>
      </c>
      <c r="Q2003" t="s">
        <v>126</v>
      </c>
      <c r="R2003" t="s">
        <v>127</v>
      </c>
      <c r="S2003" t="s">
        <v>128</v>
      </c>
      <c r="U2003" s="1" t="str">
        <f t="shared" si="189"/>
        <v>Helsinki</v>
      </c>
      <c r="V2003" t="s">
        <v>129</v>
      </c>
      <c r="X2003">
        <v>21240</v>
      </c>
      <c r="Y2003" s="1" t="str">
        <f t="shared" si="190"/>
        <v>FINLAND</v>
      </c>
      <c r="Z2003" s="4" t="str">
        <f t="shared" si="191"/>
        <v>Finland</v>
      </c>
      <c r="AA2003" t="s">
        <v>130</v>
      </c>
      <c r="AB2003" t="s">
        <v>42</v>
      </c>
      <c r="AC2003" t="s">
        <v>131</v>
      </c>
      <c r="AD2003" t="s">
        <v>132</v>
      </c>
      <c r="AE2003" t="s">
        <v>51</v>
      </c>
    </row>
    <row r="2004" spans="1:31" x14ac:dyDescent="0.3">
      <c r="A2004">
        <v>10168</v>
      </c>
      <c r="B2004">
        <v>27</v>
      </c>
      <c r="C2004">
        <v>73.02</v>
      </c>
      <c r="D2004">
        <v>18</v>
      </c>
      <c r="E2004" s="4" t="str">
        <f t="shared" si="186"/>
        <v>low sales</v>
      </c>
      <c r="F2004">
        <v>1971.54</v>
      </c>
      <c r="G2004" t="s">
        <v>2676</v>
      </c>
      <c r="H2004" s="1" t="str">
        <f t="shared" si="187"/>
        <v>Shipped</v>
      </c>
      <c r="I2004" s="4" t="str">
        <f t="shared" si="188"/>
        <v>completed</v>
      </c>
      <c r="J2004" t="s">
        <v>25</v>
      </c>
      <c r="K2004">
        <v>4</v>
      </c>
      <c r="L2004">
        <v>10</v>
      </c>
      <c r="M2004">
        <v>2003</v>
      </c>
      <c r="N2004" t="s">
        <v>566</v>
      </c>
      <c r="O2004">
        <v>68</v>
      </c>
      <c r="P2004" t="s">
        <v>643</v>
      </c>
      <c r="Q2004" t="s">
        <v>62</v>
      </c>
      <c r="R2004">
        <v>6505556809</v>
      </c>
      <c r="S2004" t="s">
        <v>63</v>
      </c>
      <c r="U2004" s="1" t="str">
        <f t="shared" si="189"/>
        <v>Burlingame</v>
      </c>
      <c r="V2004" t="s">
        <v>64</v>
      </c>
      <c r="W2004" t="s">
        <v>55</v>
      </c>
      <c r="X2004">
        <v>94217</v>
      </c>
      <c r="Y2004" s="1" t="str">
        <f t="shared" si="190"/>
        <v>USA</v>
      </c>
      <c r="Z2004" s="4" t="str">
        <f t="shared" si="191"/>
        <v>Usa</v>
      </c>
      <c r="AA2004" t="s">
        <v>32</v>
      </c>
      <c r="AB2004" t="s">
        <v>33</v>
      </c>
      <c r="AC2004" t="s">
        <v>65</v>
      </c>
      <c r="AD2004" t="s">
        <v>66</v>
      </c>
      <c r="AE2004" t="s">
        <v>36</v>
      </c>
    </row>
    <row r="2005" spans="1:31" x14ac:dyDescent="0.3">
      <c r="A2005">
        <v>10178</v>
      </c>
      <c r="B2005">
        <v>30</v>
      </c>
      <c r="C2005">
        <v>72.33</v>
      </c>
      <c r="D2005">
        <v>3</v>
      </c>
      <c r="E2005" s="4" t="str">
        <f t="shared" si="186"/>
        <v>low sales</v>
      </c>
      <c r="F2005">
        <v>2169.9</v>
      </c>
      <c r="G2005" t="s">
        <v>2677</v>
      </c>
      <c r="H2005" s="1" t="str">
        <f t="shared" si="187"/>
        <v>Shipped</v>
      </c>
      <c r="I2005" s="4" t="str">
        <f t="shared" si="188"/>
        <v>completed</v>
      </c>
      <c r="J2005" t="s">
        <v>25</v>
      </c>
      <c r="K2005">
        <v>4</v>
      </c>
      <c r="L2005">
        <v>11</v>
      </c>
      <c r="M2005">
        <v>2003</v>
      </c>
      <c r="N2005" t="s">
        <v>566</v>
      </c>
      <c r="O2005">
        <v>68</v>
      </c>
      <c r="P2005" t="s">
        <v>643</v>
      </c>
      <c r="Q2005" t="s">
        <v>340</v>
      </c>
      <c r="R2005" t="s">
        <v>341</v>
      </c>
      <c r="S2005" t="s">
        <v>342</v>
      </c>
      <c r="U2005" s="1" t="str">
        <f t="shared" si="189"/>
        <v>Toulouse</v>
      </c>
      <c r="V2005" t="s">
        <v>343</v>
      </c>
      <c r="X2005">
        <v>31000</v>
      </c>
      <c r="Y2005" s="1" t="str">
        <f t="shared" si="190"/>
        <v>FRANCE</v>
      </c>
      <c r="Z2005" s="4" t="str">
        <f t="shared" si="191"/>
        <v>France</v>
      </c>
      <c r="AA2005" t="s">
        <v>41</v>
      </c>
      <c r="AB2005" t="s">
        <v>42</v>
      </c>
      <c r="AC2005" t="s">
        <v>344</v>
      </c>
      <c r="AD2005" t="s">
        <v>345</v>
      </c>
      <c r="AE2005" t="s">
        <v>36</v>
      </c>
    </row>
    <row r="2006" spans="1:31" x14ac:dyDescent="0.3">
      <c r="A2006">
        <v>10198</v>
      </c>
      <c r="B2006">
        <v>43</v>
      </c>
      <c r="C2006">
        <v>66.19</v>
      </c>
      <c r="D2006">
        <v>3</v>
      </c>
      <c r="E2006" s="4" t="str">
        <f t="shared" si="186"/>
        <v>low sales</v>
      </c>
      <c r="F2006">
        <v>2846.17</v>
      </c>
      <c r="G2006" t="s">
        <v>2678</v>
      </c>
      <c r="H2006" s="1" t="str">
        <f t="shared" si="187"/>
        <v>Shipped</v>
      </c>
      <c r="I2006" s="4" t="str">
        <f t="shared" si="188"/>
        <v>completed</v>
      </c>
      <c r="J2006" t="s">
        <v>25</v>
      </c>
      <c r="K2006">
        <v>4</v>
      </c>
      <c r="L2006">
        <v>11</v>
      </c>
      <c r="M2006">
        <v>2003</v>
      </c>
      <c r="N2006" t="s">
        <v>566</v>
      </c>
      <c r="O2006">
        <v>68</v>
      </c>
      <c r="P2006" t="s">
        <v>643</v>
      </c>
      <c r="Q2006" t="s">
        <v>425</v>
      </c>
      <c r="R2006" t="s">
        <v>426</v>
      </c>
      <c r="S2006" t="s">
        <v>427</v>
      </c>
      <c r="U2006" s="1" t="str">
        <f t="shared" si="189"/>
        <v>Makati City</v>
      </c>
      <c r="V2006" t="s">
        <v>428</v>
      </c>
      <c r="X2006" t="s">
        <v>429</v>
      </c>
      <c r="Y2006" s="1" t="str">
        <f t="shared" si="190"/>
        <v>PHILIPPINES</v>
      </c>
      <c r="Z2006" s="4" t="str">
        <f t="shared" si="191"/>
        <v>Philippines</v>
      </c>
      <c r="AA2006" t="s">
        <v>430</v>
      </c>
      <c r="AB2006" t="s">
        <v>200</v>
      </c>
      <c r="AC2006" t="s">
        <v>431</v>
      </c>
      <c r="AD2006" t="s">
        <v>432</v>
      </c>
      <c r="AE2006" t="s">
        <v>36</v>
      </c>
    </row>
    <row r="2007" spans="1:31" x14ac:dyDescent="0.3">
      <c r="A2007">
        <v>10210</v>
      </c>
      <c r="B2007">
        <v>29</v>
      </c>
      <c r="C2007">
        <v>69.599999999999994</v>
      </c>
      <c r="D2007">
        <v>16</v>
      </c>
      <c r="E2007" s="4" t="str">
        <f t="shared" si="186"/>
        <v>low sales</v>
      </c>
      <c r="F2007">
        <v>2018.4</v>
      </c>
      <c r="G2007" t="s">
        <v>2679</v>
      </c>
      <c r="H2007" s="1" t="str">
        <f t="shared" si="187"/>
        <v>Shipped</v>
      </c>
      <c r="I2007" s="4" t="str">
        <f t="shared" si="188"/>
        <v>completed</v>
      </c>
      <c r="J2007" t="s">
        <v>25</v>
      </c>
      <c r="K2007">
        <v>1</v>
      </c>
      <c r="L2007">
        <v>1</v>
      </c>
      <c r="M2007">
        <v>2004</v>
      </c>
      <c r="N2007" t="s">
        <v>566</v>
      </c>
      <c r="O2007">
        <v>68</v>
      </c>
      <c r="P2007" t="s">
        <v>643</v>
      </c>
      <c r="Q2007" t="s">
        <v>302</v>
      </c>
      <c r="R2007" t="s">
        <v>303</v>
      </c>
      <c r="S2007" t="s">
        <v>304</v>
      </c>
      <c r="U2007" s="1" t="str">
        <f t="shared" si="189"/>
        <v>Osaka</v>
      </c>
      <c r="V2007" t="s">
        <v>305</v>
      </c>
      <c r="W2007" t="s">
        <v>305</v>
      </c>
      <c r="X2007" t="s">
        <v>306</v>
      </c>
      <c r="Y2007" s="1" t="str">
        <f t="shared" si="190"/>
        <v>JAPAN</v>
      </c>
      <c r="Z2007" s="4" t="str">
        <f t="shared" si="191"/>
        <v>Japan</v>
      </c>
      <c r="AA2007" t="s">
        <v>200</v>
      </c>
      <c r="AB2007" t="s">
        <v>200</v>
      </c>
      <c r="AC2007" t="s">
        <v>307</v>
      </c>
      <c r="AD2007" t="s">
        <v>308</v>
      </c>
      <c r="AE2007" t="s">
        <v>36</v>
      </c>
    </row>
    <row r="2008" spans="1:31" x14ac:dyDescent="0.3">
      <c r="A2008">
        <v>10222</v>
      </c>
      <c r="B2008">
        <v>48</v>
      </c>
      <c r="C2008">
        <v>56.64</v>
      </c>
      <c r="D2008">
        <v>3</v>
      </c>
      <c r="E2008" s="4" t="str">
        <f t="shared" si="186"/>
        <v>low sales</v>
      </c>
      <c r="F2008">
        <v>2718.72</v>
      </c>
      <c r="G2008" t="s">
        <v>2680</v>
      </c>
      <c r="H2008" s="1" t="str">
        <f t="shared" si="187"/>
        <v>Shipped</v>
      </c>
      <c r="I2008" s="4" t="str">
        <f t="shared" si="188"/>
        <v>completed</v>
      </c>
      <c r="J2008" t="s">
        <v>25</v>
      </c>
      <c r="K2008">
        <v>1</v>
      </c>
      <c r="L2008">
        <v>2</v>
      </c>
      <c r="M2008">
        <v>2004</v>
      </c>
      <c r="N2008" t="s">
        <v>566</v>
      </c>
      <c r="O2008">
        <v>68</v>
      </c>
      <c r="P2008" t="s">
        <v>643</v>
      </c>
      <c r="Q2008" t="s">
        <v>362</v>
      </c>
      <c r="R2008">
        <v>7605558146</v>
      </c>
      <c r="S2008" t="s">
        <v>363</v>
      </c>
      <c r="U2008" s="1" t="str">
        <f t="shared" si="189"/>
        <v>San Diego</v>
      </c>
      <c r="V2008" t="s">
        <v>364</v>
      </c>
      <c r="W2008" t="s">
        <v>55</v>
      </c>
      <c r="X2008">
        <v>91217</v>
      </c>
      <c r="Y2008" s="1" t="str">
        <f t="shared" si="190"/>
        <v>USA</v>
      </c>
      <c r="Z2008" s="4" t="str">
        <f t="shared" si="191"/>
        <v>Usa</v>
      </c>
      <c r="AA2008" t="s">
        <v>32</v>
      </c>
      <c r="AB2008" t="s">
        <v>33</v>
      </c>
      <c r="AC2008" t="s">
        <v>237</v>
      </c>
      <c r="AD2008" t="s">
        <v>276</v>
      </c>
      <c r="AE2008" t="s">
        <v>36</v>
      </c>
    </row>
    <row r="2009" spans="1:31" x14ac:dyDescent="0.3">
      <c r="A2009">
        <v>10235</v>
      </c>
      <c r="B2009">
        <v>33</v>
      </c>
      <c r="C2009">
        <v>60.05</v>
      </c>
      <c r="D2009">
        <v>12</v>
      </c>
      <c r="E2009" s="4" t="str">
        <f t="shared" si="186"/>
        <v>low sales</v>
      </c>
      <c r="F2009">
        <v>1981.65</v>
      </c>
      <c r="G2009" t="s">
        <v>2681</v>
      </c>
      <c r="H2009" s="1" t="str">
        <f t="shared" si="187"/>
        <v>Shipped</v>
      </c>
      <c r="I2009" s="4" t="str">
        <f t="shared" si="188"/>
        <v>completed</v>
      </c>
      <c r="J2009" t="s">
        <v>25</v>
      </c>
      <c r="K2009">
        <v>2</v>
      </c>
      <c r="L2009">
        <v>4</v>
      </c>
      <c r="M2009">
        <v>2004</v>
      </c>
      <c r="N2009" t="s">
        <v>566</v>
      </c>
      <c r="O2009">
        <v>68</v>
      </c>
      <c r="P2009" t="s">
        <v>643</v>
      </c>
      <c r="Q2009" t="s">
        <v>373</v>
      </c>
      <c r="R2009" t="s">
        <v>374</v>
      </c>
      <c r="S2009" t="s">
        <v>375</v>
      </c>
      <c r="U2009" s="1" t="str">
        <f t="shared" si="189"/>
        <v>Tsawassen</v>
      </c>
      <c r="V2009" t="s">
        <v>376</v>
      </c>
      <c r="W2009" t="s">
        <v>229</v>
      </c>
      <c r="X2009" t="s">
        <v>377</v>
      </c>
      <c r="Y2009" s="1" t="str">
        <f t="shared" si="190"/>
        <v>CANADA</v>
      </c>
      <c r="Z2009" s="4" t="str">
        <f t="shared" si="191"/>
        <v>Canada</v>
      </c>
      <c r="AA2009" t="s">
        <v>231</v>
      </c>
      <c r="AB2009" t="s">
        <v>33</v>
      </c>
      <c r="AC2009" t="s">
        <v>378</v>
      </c>
      <c r="AD2009" t="s">
        <v>172</v>
      </c>
      <c r="AE2009" t="s">
        <v>36</v>
      </c>
    </row>
    <row r="2010" spans="1:31" x14ac:dyDescent="0.3">
      <c r="A2010">
        <v>10250</v>
      </c>
      <c r="B2010">
        <v>40</v>
      </c>
      <c r="C2010">
        <v>75.06</v>
      </c>
      <c r="D2010">
        <v>13</v>
      </c>
      <c r="E2010" s="4" t="str">
        <f t="shared" si="186"/>
        <v>low sales</v>
      </c>
      <c r="F2010">
        <v>3002.4</v>
      </c>
      <c r="G2010" t="s">
        <v>2682</v>
      </c>
      <c r="H2010" s="1" t="str">
        <f t="shared" si="187"/>
        <v>Shipped</v>
      </c>
      <c r="I2010" s="4" t="str">
        <f t="shared" si="188"/>
        <v>completed</v>
      </c>
      <c r="J2010" t="s">
        <v>25</v>
      </c>
      <c r="K2010">
        <v>2</v>
      </c>
      <c r="L2010">
        <v>5</v>
      </c>
      <c r="M2010">
        <v>2004</v>
      </c>
      <c r="N2010" t="s">
        <v>566</v>
      </c>
      <c r="O2010">
        <v>68</v>
      </c>
      <c r="P2010" t="s">
        <v>643</v>
      </c>
      <c r="Q2010" t="s">
        <v>397</v>
      </c>
      <c r="R2010">
        <v>4085553659</v>
      </c>
      <c r="S2010" t="s">
        <v>398</v>
      </c>
      <c r="U2010" s="1" t="str">
        <f t="shared" si="189"/>
        <v>San Jose</v>
      </c>
      <c r="V2010" t="s">
        <v>399</v>
      </c>
      <c r="W2010" t="s">
        <v>55</v>
      </c>
      <c r="X2010">
        <v>94217</v>
      </c>
      <c r="Y2010" s="1" t="str">
        <f t="shared" si="190"/>
        <v>USA</v>
      </c>
      <c r="Z2010" s="4" t="str">
        <f t="shared" si="191"/>
        <v>Usa</v>
      </c>
      <c r="AA2010" t="s">
        <v>32</v>
      </c>
      <c r="AB2010" t="s">
        <v>33</v>
      </c>
      <c r="AC2010" t="s">
        <v>102</v>
      </c>
      <c r="AD2010" t="s">
        <v>400</v>
      </c>
      <c r="AE2010" t="s">
        <v>51</v>
      </c>
    </row>
    <row r="2011" spans="1:31" x14ac:dyDescent="0.3">
      <c r="A2011">
        <v>10262</v>
      </c>
      <c r="B2011">
        <v>48</v>
      </c>
      <c r="C2011">
        <v>61.42</v>
      </c>
      <c r="D2011">
        <v>8</v>
      </c>
      <c r="E2011" s="4" t="str">
        <f t="shared" si="186"/>
        <v>low sales</v>
      </c>
      <c r="F2011">
        <v>2948.16</v>
      </c>
      <c r="G2011" t="s">
        <v>2683</v>
      </c>
      <c r="H2011" s="1" t="str">
        <f t="shared" si="187"/>
        <v>Cancelled</v>
      </c>
      <c r="I2011" s="4" t="str">
        <f t="shared" si="188"/>
        <v>not completed</v>
      </c>
      <c r="J2011" t="s">
        <v>339</v>
      </c>
      <c r="K2011">
        <v>2</v>
      </c>
      <c r="L2011">
        <v>6</v>
      </c>
      <c r="M2011">
        <v>2004</v>
      </c>
      <c r="N2011" t="s">
        <v>566</v>
      </c>
      <c r="O2011">
        <v>68</v>
      </c>
      <c r="P2011" t="s">
        <v>643</v>
      </c>
      <c r="Q2011" t="s">
        <v>174</v>
      </c>
      <c r="R2011" t="s">
        <v>175</v>
      </c>
      <c r="S2011" t="s">
        <v>176</v>
      </c>
      <c r="U2011" s="1" t="str">
        <f t="shared" si="189"/>
        <v>Madrid</v>
      </c>
      <c r="V2011" t="s">
        <v>177</v>
      </c>
      <c r="X2011">
        <v>28034</v>
      </c>
      <c r="Y2011" s="1" t="str">
        <f t="shared" si="190"/>
        <v>SPAIN</v>
      </c>
      <c r="Z2011" s="4" t="str">
        <f t="shared" si="191"/>
        <v>Spain</v>
      </c>
      <c r="AA2011" t="s">
        <v>178</v>
      </c>
      <c r="AB2011" t="s">
        <v>42</v>
      </c>
      <c r="AC2011" t="s">
        <v>179</v>
      </c>
      <c r="AD2011" t="s">
        <v>180</v>
      </c>
      <c r="AE2011" t="s">
        <v>36</v>
      </c>
    </row>
    <row r="2012" spans="1:31" x14ac:dyDescent="0.3">
      <c r="A2012">
        <v>10275</v>
      </c>
      <c r="B2012">
        <v>41</v>
      </c>
      <c r="C2012">
        <v>81.89</v>
      </c>
      <c r="D2012">
        <v>18</v>
      </c>
      <c r="E2012" s="4" t="str">
        <f t="shared" si="186"/>
        <v>low sales</v>
      </c>
      <c r="F2012">
        <v>3357.49</v>
      </c>
      <c r="G2012" t="s">
        <v>2684</v>
      </c>
      <c r="H2012" s="1" t="str">
        <f t="shared" si="187"/>
        <v>Shipped</v>
      </c>
      <c r="I2012" s="4" t="str">
        <f t="shared" si="188"/>
        <v>completed</v>
      </c>
      <c r="J2012" t="s">
        <v>25</v>
      </c>
      <c r="K2012">
        <v>3</v>
      </c>
      <c r="L2012">
        <v>7</v>
      </c>
      <c r="M2012">
        <v>2004</v>
      </c>
      <c r="N2012" t="s">
        <v>566</v>
      </c>
      <c r="O2012">
        <v>68</v>
      </c>
      <c r="P2012" t="s">
        <v>643</v>
      </c>
      <c r="Q2012" t="s">
        <v>114</v>
      </c>
      <c r="R2012" t="s">
        <v>115</v>
      </c>
      <c r="S2012" t="s">
        <v>116</v>
      </c>
      <c r="U2012" s="1" t="str">
        <f t="shared" si="189"/>
        <v>Nantes</v>
      </c>
      <c r="V2012" t="s">
        <v>117</v>
      </c>
      <c r="X2012">
        <v>44000</v>
      </c>
      <c r="Y2012" s="1" t="str">
        <f t="shared" si="190"/>
        <v>FRANCE</v>
      </c>
      <c r="Z2012" s="4" t="str">
        <f t="shared" si="191"/>
        <v>France</v>
      </c>
      <c r="AA2012" t="s">
        <v>41</v>
      </c>
      <c r="AB2012" t="s">
        <v>42</v>
      </c>
      <c r="AC2012" t="s">
        <v>118</v>
      </c>
      <c r="AD2012" t="s">
        <v>119</v>
      </c>
      <c r="AE2012" t="s">
        <v>51</v>
      </c>
    </row>
    <row r="2013" spans="1:31" x14ac:dyDescent="0.3">
      <c r="A2013">
        <v>10284</v>
      </c>
      <c r="B2013">
        <v>21</v>
      </c>
      <c r="C2013">
        <v>55.96</v>
      </c>
      <c r="D2013">
        <v>10</v>
      </c>
      <c r="E2013" s="4" t="str">
        <f t="shared" si="186"/>
        <v>low sales</v>
      </c>
      <c r="F2013">
        <v>1175.1600000000001</v>
      </c>
      <c r="G2013" t="s">
        <v>2685</v>
      </c>
      <c r="H2013" s="1" t="str">
        <f t="shared" si="187"/>
        <v>Shipped</v>
      </c>
      <c r="I2013" s="4" t="str">
        <f t="shared" si="188"/>
        <v>completed</v>
      </c>
      <c r="J2013" t="s">
        <v>25</v>
      </c>
      <c r="K2013">
        <v>3</v>
      </c>
      <c r="L2013">
        <v>8</v>
      </c>
      <c r="M2013">
        <v>2004</v>
      </c>
      <c r="N2013" t="s">
        <v>566</v>
      </c>
      <c r="O2013">
        <v>68</v>
      </c>
      <c r="P2013" t="s">
        <v>643</v>
      </c>
      <c r="Q2013" t="s">
        <v>543</v>
      </c>
      <c r="R2013" t="s">
        <v>544</v>
      </c>
      <c r="S2013" t="s">
        <v>545</v>
      </c>
      <c r="U2013" s="1" t="str">
        <f t="shared" si="189"/>
        <v>Oslo</v>
      </c>
      <c r="V2013" t="s">
        <v>546</v>
      </c>
      <c r="X2013" t="s">
        <v>547</v>
      </c>
      <c r="Y2013" s="1" t="str">
        <f t="shared" si="190"/>
        <v>NORWAY</v>
      </c>
      <c r="Z2013" s="4" t="str">
        <f t="shared" si="191"/>
        <v>Norway</v>
      </c>
      <c r="AA2013" t="s">
        <v>78</v>
      </c>
      <c r="AB2013" t="s">
        <v>42</v>
      </c>
      <c r="AC2013" t="s">
        <v>548</v>
      </c>
      <c r="AD2013" t="s">
        <v>549</v>
      </c>
      <c r="AE2013" t="s">
        <v>36</v>
      </c>
    </row>
    <row r="2014" spans="1:31" x14ac:dyDescent="0.3">
      <c r="A2014">
        <v>10296</v>
      </c>
      <c r="B2014">
        <v>32</v>
      </c>
      <c r="C2014">
        <v>71.650000000000006</v>
      </c>
      <c r="D2014">
        <v>6</v>
      </c>
      <c r="E2014" s="4" t="str">
        <f t="shared" si="186"/>
        <v>low sales</v>
      </c>
      <c r="F2014">
        <v>2292.8000000000002</v>
      </c>
      <c r="G2014" t="s">
        <v>2686</v>
      </c>
      <c r="H2014" s="1" t="str">
        <f t="shared" si="187"/>
        <v>Shipped</v>
      </c>
      <c r="I2014" s="4" t="str">
        <f t="shared" si="188"/>
        <v>completed</v>
      </c>
      <c r="J2014" t="s">
        <v>25</v>
      </c>
      <c r="K2014">
        <v>3</v>
      </c>
      <c r="L2014">
        <v>9</v>
      </c>
      <c r="M2014">
        <v>2004</v>
      </c>
      <c r="N2014" t="s">
        <v>566</v>
      </c>
      <c r="O2014">
        <v>68</v>
      </c>
      <c r="P2014" t="s">
        <v>643</v>
      </c>
      <c r="Q2014" t="s">
        <v>572</v>
      </c>
      <c r="R2014" t="s">
        <v>573</v>
      </c>
      <c r="S2014" t="s">
        <v>574</v>
      </c>
      <c r="U2014" s="1" t="str">
        <f t="shared" si="189"/>
        <v>Munich</v>
      </c>
      <c r="V2014" t="s">
        <v>575</v>
      </c>
      <c r="X2014">
        <v>80686</v>
      </c>
      <c r="Y2014" s="1" t="str">
        <f t="shared" si="190"/>
        <v>GERMANY</v>
      </c>
      <c r="Z2014" s="4" t="str">
        <f t="shared" si="191"/>
        <v>Germany</v>
      </c>
      <c r="AA2014" t="s">
        <v>443</v>
      </c>
      <c r="AB2014" t="s">
        <v>42</v>
      </c>
      <c r="AC2014" t="s">
        <v>576</v>
      </c>
      <c r="AD2014" t="s">
        <v>103</v>
      </c>
      <c r="AE2014" t="s">
        <v>36</v>
      </c>
    </row>
    <row r="2015" spans="1:31" x14ac:dyDescent="0.3">
      <c r="A2015">
        <v>10308</v>
      </c>
      <c r="B2015">
        <v>43</v>
      </c>
      <c r="C2015">
        <v>76.430000000000007</v>
      </c>
      <c r="D2015">
        <v>16</v>
      </c>
      <c r="E2015" s="4" t="str">
        <f t="shared" si="186"/>
        <v>low sales</v>
      </c>
      <c r="F2015">
        <v>3286.49</v>
      </c>
      <c r="G2015" t="s">
        <v>2687</v>
      </c>
      <c r="H2015" s="1" t="str">
        <f t="shared" si="187"/>
        <v>Shipped</v>
      </c>
      <c r="I2015" s="4" t="str">
        <f t="shared" si="188"/>
        <v>completed</v>
      </c>
      <c r="J2015" t="s">
        <v>25</v>
      </c>
      <c r="K2015">
        <v>4</v>
      </c>
      <c r="L2015">
        <v>10</v>
      </c>
      <c r="M2015">
        <v>2004</v>
      </c>
      <c r="N2015" t="s">
        <v>566</v>
      </c>
      <c r="O2015">
        <v>68</v>
      </c>
      <c r="P2015" t="s">
        <v>643</v>
      </c>
      <c r="Q2015" t="s">
        <v>317</v>
      </c>
      <c r="R2015">
        <v>9145554562</v>
      </c>
      <c r="S2015" t="s">
        <v>318</v>
      </c>
      <c r="U2015" s="1" t="str">
        <f t="shared" si="189"/>
        <v>White Plains</v>
      </c>
      <c r="V2015" t="s">
        <v>319</v>
      </c>
      <c r="W2015" t="s">
        <v>31</v>
      </c>
      <c r="X2015">
        <v>24067</v>
      </c>
      <c r="Y2015" s="1" t="str">
        <f t="shared" si="190"/>
        <v>USA</v>
      </c>
      <c r="Z2015" s="4" t="str">
        <f t="shared" si="191"/>
        <v>Usa</v>
      </c>
      <c r="AA2015" t="s">
        <v>32</v>
      </c>
      <c r="AB2015" t="s">
        <v>33</v>
      </c>
      <c r="AC2015" t="s">
        <v>102</v>
      </c>
      <c r="AD2015" t="s">
        <v>238</v>
      </c>
      <c r="AE2015" t="s">
        <v>51</v>
      </c>
    </row>
    <row r="2016" spans="1:31" x14ac:dyDescent="0.3">
      <c r="A2016">
        <v>10316</v>
      </c>
      <c r="B2016">
        <v>30</v>
      </c>
      <c r="C2016">
        <v>77.790000000000006</v>
      </c>
      <c r="D2016">
        <v>8</v>
      </c>
      <c r="E2016" s="4" t="str">
        <f t="shared" si="186"/>
        <v>low sales</v>
      </c>
      <c r="F2016">
        <v>2333.6999999999998</v>
      </c>
      <c r="G2016" t="s">
        <v>2688</v>
      </c>
      <c r="H2016" s="1" t="str">
        <f t="shared" si="187"/>
        <v>Shipped</v>
      </c>
      <c r="I2016" s="4" t="str">
        <f t="shared" si="188"/>
        <v>completed</v>
      </c>
      <c r="J2016" t="s">
        <v>25</v>
      </c>
      <c r="K2016">
        <v>4</v>
      </c>
      <c r="L2016">
        <v>11</v>
      </c>
      <c r="M2016">
        <v>2004</v>
      </c>
      <c r="N2016" t="s">
        <v>566</v>
      </c>
      <c r="O2016">
        <v>68</v>
      </c>
      <c r="P2016" t="s">
        <v>643</v>
      </c>
      <c r="Q2016" t="s">
        <v>383</v>
      </c>
      <c r="R2016" t="s">
        <v>384</v>
      </c>
      <c r="S2016" t="s">
        <v>385</v>
      </c>
      <c r="U2016" s="1" t="str">
        <f t="shared" si="189"/>
        <v>Cowes</v>
      </c>
      <c r="V2016" t="s">
        <v>386</v>
      </c>
      <c r="W2016" t="s">
        <v>387</v>
      </c>
      <c r="X2016" t="s">
        <v>388</v>
      </c>
      <c r="Y2016" s="1" t="str">
        <f t="shared" si="190"/>
        <v>UK</v>
      </c>
      <c r="Z2016" s="4" t="str">
        <f t="shared" si="191"/>
        <v>Uk</v>
      </c>
      <c r="AA2016" t="s">
        <v>170</v>
      </c>
      <c r="AB2016" t="s">
        <v>42</v>
      </c>
      <c r="AC2016" t="s">
        <v>389</v>
      </c>
      <c r="AD2016" t="s">
        <v>390</v>
      </c>
      <c r="AE2016" t="s">
        <v>36</v>
      </c>
    </row>
    <row r="2017" spans="1:31" x14ac:dyDescent="0.3">
      <c r="A2017">
        <v>10328</v>
      </c>
      <c r="B2017">
        <v>35</v>
      </c>
      <c r="C2017">
        <v>76.430000000000007</v>
      </c>
      <c r="D2017">
        <v>3</v>
      </c>
      <c r="E2017" s="4" t="str">
        <f t="shared" si="186"/>
        <v>low sales</v>
      </c>
      <c r="F2017">
        <v>2675.05</v>
      </c>
      <c r="G2017" t="s">
        <v>2689</v>
      </c>
      <c r="H2017" s="1" t="str">
        <f t="shared" si="187"/>
        <v>Shipped</v>
      </c>
      <c r="I2017" s="4" t="str">
        <f t="shared" si="188"/>
        <v>completed</v>
      </c>
      <c r="J2017" t="s">
        <v>25</v>
      </c>
      <c r="K2017">
        <v>4</v>
      </c>
      <c r="L2017">
        <v>11</v>
      </c>
      <c r="M2017">
        <v>2004</v>
      </c>
      <c r="N2017" t="s">
        <v>566</v>
      </c>
      <c r="O2017">
        <v>68</v>
      </c>
      <c r="P2017" t="s">
        <v>643</v>
      </c>
      <c r="Q2017" t="s">
        <v>552</v>
      </c>
      <c r="R2017" t="s">
        <v>553</v>
      </c>
      <c r="S2017" t="s">
        <v>554</v>
      </c>
      <c r="U2017" s="1" t="str">
        <f t="shared" si="189"/>
        <v>Bergamo</v>
      </c>
      <c r="V2017" t="s">
        <v>555</v>
      </c>
      <c r="X2017">
        <v>24100</v>
      </c>
      <c r="Y2017" s="1" t="str">
        <f t="shared" si="190"/>
        <v>ITALY</v>
      </c>
      <c r="Z2017" s="4" t="str">
        <f t="shared" si="191"/>
        <v>Italy</v>
      </c>
      <c r="AA2017" t="s">
        <v>258</v>
      </c>
      <c r="AB2017" t="s">
        <v>42</v>
      </c>
      <c r="AC2017" t="s">
        <v>556</v>
      </c>
      <c r="AD2017" t="s">
        <v>557</v>
      </c>
      <c r="AE2017" t="s">
        <v>36</v>
      </c>
    </row>
    <row r="2018" spans="1:31" x14ac:dyDescent="0.3">
      <c r="A2018">
        <v>10339</v>
      </c>
      <c r="B2018">
        <v>45</v>
      </c>
      <c r="C2018">
        <v>96.92</v>
      </c>
      <c r="D2018">
        <v>11</v>
      </c>
      <c r="E2018" s="4" t="str">
        <f t="shared" si="186"/>
        <v>high sales</v>
      </c>
      <c r="F2018">
        <v>4361.3999999999996</v>
      </c>
      <c r="G2018" t="s">
        <v>2690</v>
      </c>
      <c r="H2018" s="1" t="str">
        <f t="shared" si="187"/>
        <v>Shipped</v>
      </c>
      <c r="I2018" s="4" t="str">
        <f t="shared" si="188"/>
        <v>completed</v>
      </c>
      <c r="J2018" t="s">
        <v>25</v>
      </c>
      <c r="K2018">
        <v>4</v>
      </c>
      <c r="L2018">
        <v>11</v>
      </c>
      <c r="M2018">
        <v>2004</v>
      </c>
      <c r="N2018" t="s">
        <v>566</v>
      </c>
      <c r="O2018">
        <v>68</v>
      </c>
      <c r="P2018" t="s">
        <v>643</v>
      </c>
      <c r="Q2018" t="s">
        <v>246</v>
      </c>
      <c r="R2018" t="s">
        <v>247</v>
      </c>
      <c r="S2018" t="s">
        <v>248</v>
      </c>
      <c r="U2018" s="1" t="str">
        <f t="shared" si="189"/>
        <v>Minato-Ku</v>
      </c>
      <c r="V2018" t="s">
        <v>249</v>
      </c>
      <c r="W2018" t="s">
        <v>250</v>
      </c>
      <c r="X2018" t="s">
        <v>251</v>
      </c>
      <c r="Y2018" s="1" t="str">
        <f t="shared" si="190"/>
        <v>JAPAN</v>
      </c>
      <c r="Z2018" s="4" t="str">
        <f t="shared" si="191"/>
        <v>Japan</v>
      </c>
      <c r="AA2018" t="s">
        <v>200</v>
      </c>
      <c r="AB2018" t="s">
        <v>200</v>
      </c>
      <c r="AC2018" t="s">
        <v>252</v>
      </c>
      <c r="AD2018" t="s">
        <v>253</v>
      </c>
      <c r="AE2018" t="s">
        <v>51</v>
      </c>
    </row>
    <row r="2019" spans="1:31" x14ac:dyDescent="0.3">
      <c r="A2019">
        <v>10351</v>
      </c>
      <c r="B2019">
        <v>34</v>
      </c>
      <c r="C2019">
        <v>59.37</v>
      </c>
      <c r="D2019">
        <v>3</v>
      </c>
      <c r="E2019" s="4" t="str">
        <f t="shared" si="186"/>
        <v>low sales</v>
      </c>
      <c r="F2019">
        <v>2018.58</v>
      </c>
      <c r="G2019" t="s">
        <v>2691</v>
      </c>
      <c r="H2019" s="1" t="str">
        <f t="shared" si="187"/>
        <v>Shipped</v>
      </c>
      <c r="I2019" s="4" t="str">
        <f t="shared" si="188"/>
        <v>completed</v>
      </c>
      <c r="J2019" t="s">
        <v>25</v>
      </c>
      <c r="K2019">
        <v>4</v>
      </c>
      <c r="L2019">
        <v>12</v>
      </c>
      <c r="M2019">
        <v>2004</v>
      </c>
      <c r="N2019" t="s">
        <v>566</v>
      </c>
      <c r="O2019">
        <v>68</v>
      </c>
      <c r="P2019" t="s">
        <v>643</v>
      </c>
      <c r="Q2019" t="s">
        <v>329</v>
      </c>
      <c r="R2019" t="s">
        <v>330</v>
      </c>
      <c r="S2019" t="s">
        <v>331</v>
      </c>
      <c r="U2019" s="1" t="str">
        <f t="shared" si="189"/>
        <v>London</v>
      </c>
      <c r="V2019" t="s">
        <v>332</v>
      </c>
      <c r="X2019" t="s">
        <v>333</v>
      </c>
      <c r="Y2019" s="1" t="str">
        <f t="shared" si="190"/>
        <v>UK</v>
      </c>
      <c r="Z2019" s="4" t="str">
        <f t="shared" si="191"/>
        <v>Uk</v>
      </c>
      <c r="AA2019" t="s">
        <v>170</v>
      </c>
      <c r="AB2019" t="s">
        <v>42</v>
      </c>
      <c r="AC2019" t="s">
        <v>61</v>
      </c>
      <c r="AD2019" t="s">
        <v>334</v>
      </c>
      <c r="AE2019" t="s">
        <v>36</v>
      </c>
    </row>
    <row r="2020" spans="1:31" x14ac:dyDescent="0.3">
      <c r="A2020">
        <v>10361</v>
      </c>
      <c r="B2020">
        <v>26</v>
      </c>
      <c r="C2020">
        <v>100</v>
      </c>
      <c r="D2020">
        <v>7</v>
      </c>
      <c r="E2020" s="4" t="str">
        <f t="shared" si="186"/>
        <v>low sales</v>
      </c>
      <c r="F2020">
        <v>3710.98</v>
      </c>
      <c r="G2020" t="s">
        <v>2692</v>
      </c>
      <c r="H2020" s="1" t="str">
        <f t="shared" si="187"/>
        <v>Shipped</v>
      </c>
      <c r="I2020" s="4" t="str">
        <f t="shared" si="188"/>
        <v>completed</v>
      </c>
      <c r="J2020" t="s">
        <v>25</v>
      </c>
      <c r="K2020">
        <v>4</v>
      </c>
      <c r="L2020">
        <v>12</v>
      </c>
      <c r="M2020">
        <v>2004</v>
      </c>
      <c r="N2020" t="s">
        <v>566</v>
      </c>
      <c r="O2020">
        <v>68</v>
      </c>
      <c r="P2020" t="s">
        <v>643</v>
      </c>
      <c r="Q2020" t="s">
        <v>152</v>
      </c>
      <c r="R2020" t="s">
        <v>153</v>
      </c>
      <c r="S2020" t="s">
        <v>154</v>
      </c>
      <c r="T2020" t="s">
        <v>155</v>
      </c>
      <c r="U2020" s="1" t="str">
        <f t="shared" si="189"/>
        <v>Chatswood</v>
      </c>
      <c r="V2020" t="s">
        <v>156</v>
      </c>
      <c r="W2020" t="s">
        <v>157</v>
      </c>
      <c r="X2020">
        <v>2067</v>
      </c>
      <c r="Y2020" s="1" t="str">
        <f t="shared" si="190"/>
        <v>AUSTRALIA</v>
      </c>
      <c r="Z2020" s="4" t="str">
        <f t="shared" si="191"/>
        <v>Australia</v>
      </c>
      <c r="AA2020" t="s">
        <v>95</v>
      </c>
      <c r="AB2020" t="s">
        <v>96</v>
      </c>
      <c r="AC2020" t="s">
        <v>158</v>
      </c>
      <c r="AD2020" t="s">
        <v>159</v>
      </c>
      <c r="AE2020" t="s">
        <v>51</v>
      </c>
    </row>
    <row r="2021" spans="1:31" x14ac:dyDescent="0.3">
      <c r="A2021">
        <v>10373</v>
      </c>
      <c r="B2021">
        <v>39</v>
      </c>
      <c r="C2021">
        <v>73</v>
      </c>
      <c r="D2021">
        <v>13</v>
      </c>
      <c r="E2021" s="4" t="str">
        <f t="shared" si="186"/>
        <v>low sales</v>
      </c>
      <c r="F2021">
        <v>2847</v>
      </c>
      <c r="G2021" t="s">
        <v>2693</v>
      </c>
      <c r="H2021" s="1" t="str">
        <f t="shared" si="187"/>
        <v>Shipped</v>
      </c>
      <c r="I2021" s="4" t="str">
        <f t="shared" si="188"/>
        <v>completed</v>
      </c>
      <c r="J2021" t="s">
        <v>25</v>
      </c>
      <c r="K2021">
        <v>1</v>
      </c>
      <c r="L2021">
        <v>1</v>
      </c>
      <c r="M2021">
        <v>2005</v>
      </c>
      <c r="N2021" t="s">
        <v>566</v>
      </c>
      <c r="O2021">
        <v>68</v>
      </c>
      <c r="P2021" t="s">
        <v>643</v>
      </c>
      <c r="Q2021" t="s">
        <v>391</v>
      </c>
      <c r="R2021" t="s">
        <v>392</v>
      </c>
      <c r="S2021" t="s">
        <v>393</v>
      </c>
      <c r="U2021" s="1" t="str">
        <f t="shared" si="189"/>
        <v>Oulu</v>
      </c>
      <c r="V2021" t="s">
        <v>394</v>
      </c>
      <c r="X2021">
        <v>90110</v>
      </c>
      <c r="Y2021" s="1" t="str">
        <f t="shared" si="190"/>
        <v>FINLAND</v>
      </c>
      <c r="Z2021" s="4" t="str">
        <f t="shared" si="191"/>
        <v>Finland</v>
      </c>
      <c r="AA2021" t="s">
        <v>130</v>
      </c>
      <c r="AB2021" t="s">
        <v>42</v>
      </c>
      <c r="AC2021" t="s">
        <v>395</v>
      </c>
      <c r="AD2021" t="s">
        <v>396</v>
      </c>
      <c r="AE2021" t="s">
        <v>36</v>
      </c>
    </row>
    <row r="2022" spans="1:31" x14ac:dyDescent="0.3">
      <c r="A2022">
        <v>10386</v>
      </c>
      <c r="B2022">
        <v>41</v>
      </c>
      <c r="C2022">
        <v>73.319999999999993</v>
      </c>
      <c r="D2022">
        <v>12</v>
      </c>
      <c r="E2022" s="4" t="str">
        <f t="shared" si="186"/>
        <v>low sales</v>
      </c>
      <c r="F2022">
        <v>3006.12</v>
      </c>
      <c r="G2022" t="s">
        <v>2694</v>
      </c>
      <c r="H2022" s="1" t="str">
        <f t="shared" si="187"/>
        <v>Resolved</v>
      </c>
      <c r="I2022" s="4" t="str">
        <f t="shared" si="188"/>
        <v>not completed</v>
      </c>
      <c r="J2022" t="s">
        <v>408</v>
      </c>
      <c r="K2022">
        <v>1</v>
      </c>
      <c r="L2022">
        <v>3</v>
      </c>
      <c r="M2022">
        <v>2005</v>
      </c>
      <c r="N2022" t="s">
        <v>566</v>
      </c>
      <c r="O2022">
        <v>68</v>
      </c>
      <c r="P2022" t="s">
        <v>643</v>
      </c>
      <c r="Q2022" t="s">
        <v>174</v>
      </c>
      <c r="R2022" t="s">
        <v>175</v>
      </c>
      <c r="S2022" t="s">
        <v>176</v>
      </c>
      <c r="U2022" s="1" t="str">
        <f t="shared" si="189"/>
        <v>Madrid</v>
      </c>
      <c r="V2022" t="s">
        <v>177</v>
      </c>
      <c r="X2022">
        <v>28034</v>
      </c>
      <c r="Y2022" s="1" t="str">
        <f t="shared" si="190"/>
        <v>SPAIN</v>
      </c>
      <c r="Z2022" s="4" t="str">
        <f t="shared" si="191"/>
        <v>Spain</v>
      </c>
      <c r="AA2022" t="s">
        <v>178</v>
      </c>
      <c r="AB2022" t="s">
        <v>42</v>
      </c>
      <c r="AC2022" t="s">
        <v>179</v>
      </c>
      <c r="AD2022" t="s">
        <v>180</v>
      </c>
      <c r="AE2022" t="s">
        <v>51</v>
      </c>
    </row>
    <row r="2023" spans="1:31" x14ac:dyDescent="0.3">
      <c r="A2023">
        <v>10398</v>
      </c>
      <c r="B2023">
        <v>41</v>
      </c>
      <c r="C2023">
        <v>68.239999999999995</v>
      </c>
      <c r="D2023">
        <v>2</v>
      </c>
      <c r="E2023" s="4" t="str">
        <f t="shared" si="186"/>
        <v>low sales</v>
      </c>
      <c r="F2023">
        <v>2797.84</v>
      </c>
      <c r="G2023" t="s">
        <v>2695</v>
      </c>
      <c r="H2023" s="1" t="str">
        <f t="shared" si="187"/>
        <v>Shipped</v>
      </c>
      <c r="I2023" s="4" t="str">
        <f t="shared" si="188"/>
        <v>completed</v>
      </c>
      <c r="J2023" t="s">
        <v>25</v>
      </c>
      <c r="K2023">
        <v>1</v>
      </c>
      <c r="L2023">
        <v>3</v>
      </c>
      <c r="M2023">
        <v>2005</v>
      </c>
      <c r="N2023" t="s">
        <v>566</v>
      </c>
      <c r="O2023">
        <v>68</v>
      </c>
      <c r="P2023" t="s">
        <v>643</v>
      </c>
      <c r="Q2023" t="s">
        <v>37</v>
      </c>
      <c r="R2023" t="s">
        <v>38</v>
      </c>
      <c r="S2023" t="s">
        <v>39</v>
      </c>
      <c r="U2023" s="1" t="str">
        <f t="shared" si="189"/>
        <v>Reims</v>
      </c>
      <c r="V2023" t="s">
        <v>40</v>
      </c>
      <c r="X2023">
        <v>51100</v>
      </c>
      <c r="Y2023" s="1" t="str">
        <f t="shared" si="190"/>
        <v>FRANCE</v>
      </c>
      <c r="Z2023" s="4" t="str">
        <f t="shared" si="191"/>
        <v>France</v>
      </c>
      <c r="AA2023" t="s">
        <v>41</v>
      </c>
      <c r="AB2023" t="s">
        <v>42</v>
      </c>
      <c r="AC2023" t="s">
        <v>43</v>
      </c>
      <c r="AD2023" t="s">
        <v>44</v>
      </c>
      <c r="AE2023" t="s">
        <v>36</v>
      </c>
    </row>
    <row r="2024" spans="1:31" x14ac:dyDescent="0.3">
      <c r="A2024">
        <v>10401</v>
      </c>
      <c r="B2024">
        <v>64</v>
      </c>
      <c r="C2024">
        <v>60.05</v>
      </c>
      <c r="D2024">
        <v>12</v>
      </c>
      <c r="E2024" s="4" t="str">
        <f t="shared" si="186"/>
        <v>low sales</v>
      </c>
      <c r="F2024">
        <v>3843.2</v>
      </c>
      <c r="G2024" t="s">
        <v>2696</v>
      </c>
      <c r="H2024" s="1" t="str">
        <f t="shared" si="187"/>
        <v>On Hold</v>
      </c>
      <c r="I2024" s="4" t="str">
        <f t="shared" si="188"/>
        <v>not completed</v>
      </c>
      <c r="J2024" t="s">
        <v>401</v>
      </c>
      <c r="K2024">
        <v>2</v>
      </c>
      <c r="L2024">
        <v>4</v>
      </c>
      <c r="M2024">
        <v>2005</v>
      </c>
      <c r="N2024" t="s">
        <v>566</v>
      </c>
      <c r="O2024">
        <v>68</v>
      </c>
      <c r="P2024" t="s">
        <v>643</v>
      </c>
      <c r="Q2024" t="s">
        <v>104</v>
      </c>
      <c r="R2024">
        <v>2015559350</v>
      </c>
      <c r="S2024" t="s">
        <v>105</v>
      </c>
      <c r="U2024" s="1" t="str">
        <f t="shared" si="189"/>
        <v>Newark</v>
      </c>
      <c r="V2024" t="s">
        <v>106</v>
      </c>
      <c r="W2024" t="s">
        <v>107</v>
      </c>
      <c r="X2024">
        <v>94019</v>
      </c>
      <c r="Y2024" s="1" t="str">
        <f t="shared" si="190"/>
        <v>USA</v>
      </c>
      <c r="Z2024" s="4" t="str">
        <f t="shared" si="191"/>
        <v>Usa</v>
      </c>
      <c r="AA2024" t="s">
        <v>32</v>
      </c>
      <c r="AB2024" t="s">
        <v>33</v>
      </c>
      <c r="AC2024" t="s">
        <v>61</v>
      </c>
      <c r="AD2024" t="s">
        <v>108</v>
      </c>
      <c r="AE2024" t="s">
        <v>51</v>
      </c>
    </row>
    <row r="2025" spans="1:31" x14ac:dyDescent="0.3">
      <c r="A2025">
        <v>10416</v>
      </c>
      <c r="B2025">
        <v>18</v>
      </c>
      <c r="C2025">
        <v>75.06</v>
      </c>
      <c r="D2025">
        <v>13</v>
      </c>
      <c r="E2025" s="4" t="str">
        <f t="shared" si="186"/>
        <v>low sales</v>
      </c>
      <c r="F2025">
        <v>1351.08</v>
      </c>
      <c r="G2025" t="s">
        <v>2697</v>
      </c>
      <c r="H2025" s="1" t="str">
        <f t="shared" si="187"/>
        <v>Shipped</v>
      </c>
      <c r="I2025" s="4" t="str">
        <f t="shared" si="188"/>
        <v>completed</v>
      </c>
      <c r="J2025" t="s">
        <v>25</v>
      </c>
      <c r="K2025">
        <v>2</v>
      </c>
      <c r="L2025">
        <v>5</v>
      </c>
      <c r="M2025">
        <v>2005</v>
      </c>
      <c r="N2025" t="s">
        <v>566</v>
      </c>
      <c r="O2025">
        <v>68</v>
      </c>
      <c r="P2025" t="s">
        <v>643</v>
      </c>
      <c r="Q2025" t="s">
        <v>452</v>
      </c>
      <c r="R2025" t="s">
        <v>453</v>
      </c>
      <c r="S2025" t="s">
        <v>454</v>
      </c>
      <c r="U2025" s="1" t="str">
        <f t="shared" si="189"/>
        <v>Reggio Emilia</v>
      </c>
      <c r="V2025" t="s">
        <v>455</v>
      </c>
      <c r="X2025">
        <v>42100</v>
      </c>
      <c r="Y2025" s="1" t="str">
        <f t="shared" si="190"/>
        <v>ITALY</v>
      </c>
      <c r="Z2025" s="4" t="str">
        <f t="shared" si="191"/>
        <v>Italy</v>
      </c>
      <c r="AA2025" t="s">
        <v>258</v>
      </c>
      <c r="AB2025" t="s">
        <v>42</v>
      </c>
      <c r="AC2025" t="s">
        <v>456</v>
      </c>
      <c r="AD2025" t="s">
        <v>457</v>
      </c>
      <c r="AE2025" t="s">
        <v>36</v>
      </c>
    </row>
    <row r="2026" spans="1:31" x14ac:dyDescent="0.3">
      <c r="A2026">
        <v>10100</v>
      </c>
      <c r="B2026">
        <v>49</v>
      </c>
      <c r="C2026">
        <v>34.47</v>
      </c>
      <c r="D2026">
        <v>1</v>
      </c>
      <c r="E2026" s="4" t="str">
        <f t="shared" si="186"/>
        <v>low sales</v>
      </c>
      <c r="F2026">
        <v>1689.03</v>
      </c>
      <c r="G2026" t="s">
        <v>2698</v>
      </c>
      <c r="H2026" s="1" t="str">
        <f t="shared" si="187"/>
        <v>Shipped</v>
      </c>
      <c r="I2026" s="4" t="str">
        <f t="shared" si="188"/>
        <v>completed</v>
      </c>
      <c r="J2026" t="s">
        <v>25</v>
      </c>
      <c r="K2026">
        <v>1</v>
      </c>
      <c r="L2026">
        <v>1</v>
      </c>
      <c r="M2026">
        <v>2003</v>
      </c>
      <c r="N2026" t="s">
        <v>550</v>
      </c>
      <c r="O2026">
        <v>41</v>
      </c>
      <c r="P2026" t="s">
        <v>644</v>
      </c>
      <c r="Q2026" t="s">
        <v>277</v>
      </c>
      <c r="R2026">
        <v>6035558647</v>
      </c>
      <c r="S2026" t="s">
        <v>278</v>
      </c>
      <c r="U2026" s="1" t="str">
        <f t="shared" si="189"/>
        <v>Nashua</v>
      </c>
      <c r="V2026" t="s">
        <v>279</v>
      </c>
      <c r="W2026" t="s">
        <v>280</v>
      </c>
      <c r="X2026">
        <v>62005</v>
      </c>
      <c r="Y2026" s="1" t="str">
        <f t="shared" si="190"/>
        <v>USA</v>
      </c>
      <c r="Z2026" s="4" t="str">
        <f t="shared" si="191"/>
        <v>Usa</v>
      </c>
      <c r="AA2026" t="s">
        <v>32</v>
      </c>
      <c r="AB2026" t="s">
        <v>33</v>
      </c>
      <c r="AC2026" t="s">
        <v>56</v>
      </c>
      <c r="AD2026" t="s">
        <v>276</v>
      </c>
      <c r="AE2026" t="s">
        <v>36</v>
      </c>
    </row>
    <row r="2027" spans="1:31" x14ac:dyDescent="0.3">
      <c r="A2027">
        <v>10110</v>
      </c>
      <c r="B2027">
        <v>48</v>
      </c>
      <c r="C2027">
        <v>34.47</v>
      </c>
      <c r="D2027">
        <v>5</v>
      </c>
      <c r="E2027" s="4" t="str">
        <f t="shared" si="186"/>
        <v>low sales</v>
      </c>
      <c r="F2027">
        <v>1654.56</v>
      </c>
      <c r="G2027" t="s">
        <v>2699</v>
      </c>
      <c r="H2027" s="1" t="str">
        <f t="shared" si="187"/>
        <v>Shipped</v>
      </c>
      <c r="I2027" s="4" t="str">
        <f t="shared" si="188"/>
        <v>completed</v>
      </c>
      <c r="J2027" t="s">
        <v>25</v>
      </c>
      <c r="K2027">
        <v>1</v>
      </c>
      <c r="L2027">
        <v>3</v>
      </c>
      <c r="M2027">
        <v>2003</v>
      </c>
      <c r="N2027" t="s">
        <v>550</v>
      </c>
      <c r="O2027">
        <v>41</v>
      </c>
      <c r="P2027" t="s">
        <v>644</v>
      </c>
      <c r="Q2027" t="s">
        <v>492</v>
      </c>
      <c r="R2027" t="s">
        <v>493</v>
      </c>
      <c r="S2027" t="s">
        <v>494</v>
      </c>
      <c r="U2027" s="1" t="str">
        <f t="shared" si="189"/>
        <v>Manchester</v>
      </c>
      <c r="V2027" t="s">
        <v>495</v>
      </c>
      <c r="X2027" t="s">
        <v>496</v>
      </c>
      <c r="Y2027" s="1" t="str">
        <f t="shared" si="190"/>
        <v>UK</v>
      </c>
      <c r="Z2027" s="4" t="str">
        <f t="shared" si="191"/>
        <v>Uk</v>
      </c>
      <c r="AA2027" t="s">
        <v>170</v>
      </c>
      <c r="AB2027" t="s">
        <v>42</v>
      </c>
      <c r="AC2027" t="s">
        <v>497</v>
      </c>
      <c r="AD2027" t="s">
        <v>94</v>
      </c>
      <c r="AE2027" t="s">
        <v>36</v>
      </c>
    </row>
    <row r="2028" spans="1:31" x14ac:dyDescent="0.3">
      <c r="A2028">
        <v>10124</v>
      </c>
      <c r="B2028">
        <v>46</v>
      </c>
      <c r="C2028">
        <v>33.229999999999997</v>
      </c>
      <c r="D2028">
        <v>4</v>
      </c>
      <c r="E2028" s="4" t="str">
        <f t="shared" si="186"/>
        <v>low sales</v>
      </c>
      <c r="F2028">
        <v>1528.58</v>
      </c>
      <c r="G2028" t="s">
        <v>2700</v>
      </c>
      <c r="H2028" s="1" t="str">
        <f t="shared" si="187"/>
        <v>Shipped</v>
      </c>
      <c r="I2028" s="4" t="str">
        <f t="shared" si="188"/>
        <v>completed</v>
      </c>
      <c r="J2028" t="s">
        <v>25</v>
      </c>
      <c r="K2028">
        <v>2</v>
      </c>
      <c r="L2028">
        <v>5</v>
      </c>
      <c r="M2028">
        <v>2003</v>
      </c>
      <c r="N2028" t="s">
        <v>550</v>
      </c>
      <c r="O2028">
        <v>41</v>
      </c>
      <c r="P2028" t="s">
        <v>644</v>
      </c>
      <c r="Q2028" t="s">
        <v>539</v>
      </c>
      <c r="R2028">
        <v>7025551838</v>
      </c>
      <c r="S2028" t="s">
        <v>540</v>
      </c>
      <c r="U2028" s="1" t="str">
        <f t="shared" si="189"/>
        <v>Las Vegas</v>
      </c>
      <c r="V2028" t="s">
        <v>541</v>
      </c>
      <c r="W2028" t="s">
        <v>542</v>
      </c>
      <c r="X2028">
        <v>83030</v>
      </c>
      <c r="Y2028" s="1" t="str">
        <f t="shared" si="190"/>
        <v>USA</v>
      </c>
      <c r="Z2028" s="4" t="str">
        <f t="shared" si="191"/>
        <v>Usa</v>
      </c>
      <c r="AA2028" t="s">
        <v>32</v>
      </c>
      <c r="AB2028" t="s">
        <v>33</v>
      </c>
      <c r="AC2028" t="s">
        <v>113</v>
      </c>
      <c r="AD2028" t="s">
        <v>400</v>
      </c>
      <c r="AE2028" t="s">
        <v>36</v>
      </c>
    </row>
    <row r="2029" spans="1:31" x14ac:dyDescent="0.3">
      <c r="A2029">
        <v>10149</v>
      </c>
      <c r="B2029">
        <v>26</v>
      </c>
      <c r="C2029">
        <v>38.979999999999997</v>
      </c>
      <c r="D2029">
        <v>9</v>
      </c>
      <c r="E2029" s="4" t="str">
        <f t="shared" si="186"/>
        <v>low sales</v>
      </c>
      <c r="F2029">
        <v>1013.48</v>
      </c>
      <c r="G2029" t="s">
        <v>2701</v>
      </c>
      <c r="H2029" s="1" t="str">
        <f t="shared" si="187"/>
        <v>Shipped</v>
      </c>
      <c r="I2029" s="4" t="str">
        <f t="shared" si="188"/>
        <v>completed</v>
      </c>
      <c r="J2029" t="s">
        <v>25</v>
      </c>
      <c r="K2029">
        <v>3</v>
      </c>
      <c r="L2029">
        <v>9</v>
      </c>
      <c r="M2029">
        <v>2003</v>
      </c>
      <c r="N2029" t="s">
        <v>550</v>
      </c>
      <c r="O2029">
        <v>41</v>
      </c>
      <c r="P2029" t="s">
        <v>644</v>
      </c>
      <c r="Q2029" t="s">
        <v>526</v>
      </c>
      <c r="R2029">
        <v>4155554312</v>
      </c>
      <c r="S2029" t="s">
        <v>527</v>
      </c>
      <c r="U2029" s="1" t="str">
        <f t="shared" si="189"/>
        <v>Brisbane</v>
      </c>
      <c r="V2029" t="s">
        <v>528</v>
      </c>
      <c r="W2029" t="s">
        <v>55</v>
      </c>
      <c r="X2029">
        <v>94217</v>
      </c>
      <c r="Y2029" s="1" t="str">
        <f t="shared" si="190"/>
        <v>USA</v>
      </c>
      <c r="Z2029" s="4" t="str">
        <f t="shared" si="191"/>
        <v>Usa</v>
      </c>
      <c r="AA2029" t="s">
        <v>32</v>
      </c>
      <c r="AB2029" t="s">
        <v>33</v>
      </c>
      <c r="AC2029" t="s">
        <v>529</v>
      </c>
      <c r="AD2029" t="s">
        <v>400</v>
      </c>
      <c r="AE2029" t="s">
        <v>36</v>
      </c>
    </row>
    <row r="2030" spans="1:31" x14ac:dyDescent="0.3">
      <c r="A2030">
        <v>10162</v>
      </c>
      <c r="B2030">
        <v>37</v>
      </c>
      <c r="C2030">
        <v>38.979999999999997</v>
      </c>
      <c r="D2030">
        <v>7</v>
      </c>
      <c r="E2030" s="4" t="str">
        <f t="shared" si="186"/>
        <v>low sales</v>
      </c>
      <c r="F2030">
        <v>1442.26</v>
      </c>
      <c r="G2030" t="s">
        <v>2702</v>
      </c>
      <c r="H2030" s="1" t="str">
        <f t="shared" si="187"/>
        <v>Shipped</v>
      </c>
      <c r="I2030" s="4" t="str">
        <f t="shared" si="188"/>
        <v>completed</v>
      </c>
      <c r="J2030" t="s">
        <v>25</v>
      </c>
      <c r="K2030">
        <v>4</v>
      </c>
      <c r="L2030">
        <v>10</v>
      </c>
      <c r="M2030">
        <v>2003</v>
      </c>
      <c r="N2030" t="s">
        <v>550</v>
      </c>
      <c r="O2030">
        <v>41</v>
      </c>
      <c r="P2030" t="s">
        <v>644</v>
      </c>
      <c r="Q2030" t="s">
        <v>58</v>
      </c>
      <c r="R2030">
        <v>6505551386</v>
      </c>
      <c r="S2030" t="s">
        <v>59</v>
      </c>
      <c r="U2030" s="1" t="str">
        <f t="shared" si="189"/>
        <v>San Francisco</v>
      </c>
      <c r="V2030" t="s">
        <v>60</v>
      </c>
      <c r="W2030" t="s">
        <v>55</v>
      </c>
      <c r="Y2030" s="1" t="str">
        <f t="shared" si="190"/>
        <v>USA</v>
      </c>
      <c r="Z2030" s="4" t="str">
        <f t="shared" si="191"/>
        <v>Usa</v>
      </c>
      <c r="AA2030" t="s">
        <v>32</v>
      </c>
      <c r="AB2030" t="s">
        <v>33</v>
      </c>
      <c r="AC2030" t="s">
        <v>61</v>
      </c>
      <c r="AD2030" t="s">
        <v>57</v>
      </c>
      <c r="AE2030" t="s">
        <v>36</v>
      </c>
    </row>
    <row r="2031" spans="1:31" x14ac:dyDescent="0.3">
      <c r="A2031">
        <v>10173</v>
      </c>
      <c r="B2031">
        <v>35</v>
      </c>
      <c r="C2031">
        <v>33.229999999999997</v>
      </c>
      <c r="D2031">
        <v>11</v>
      </c>
      <c r="E2031" s="4" t="str">
        <f t="shared" si="186"/>
        <v>low sales</v>
      </c>
      <c r="F2031">
        <v>1163.05</v>
      </c>
      <c r="G2031" t="s">
        <v>2703</v>
      </c>
      <c r="H2031" s="1" t="str">
        <f t="shared" si="187"/>
        <v>Shipped</v>
      </c>
      <c r="I2031" s="4" t="str">
        <f t="shared" si="188"/>
        <v>completed</v>
      </c>
      <c r="J2031" t="s">
        <v>25</v>
      </c>
      <c r="K2031">
        <v>4</v>
      </c>
      <c r="L2031">
        <v>11</v>
      </c>
      <c r="M2031">
        <v>2003</v>
      </c>
      <c r="N2031" t="s">
        <v>550</v>
      </c>
      <c r="O2031">
        <v>41</v>
      </c>
      <c r="P2031" t="s">
        <v>644</v>
      </c>
      <c r="Q2031" t="s">
        <v>552</v>
      </c>
      <c r="R2031" t="s">
        <v>553</v>
      </c>
      <c r="S2031" t="s">
        <v>554</v>
      </c>
      <c r="U2031" s="1" t="str">
        <f t="shared" si="189"/>
        <v>Bergamo</v>
      </c>
      <c r="V2031" t="s">
        <v>555</v>
      </c>
      <c r="X2031">
        <v>24100</v>
      </c>
      <c r="Y2031" s="1" t="str">
        <f t="shared" si="190"/>
        <v>ITALY</v>
      </c>
      <c r="Z2031" s="4" t="str">
        <f t="shared" si="191"/>
        <v>Italy</v>
      </c>
      <c r="AA2031" t="s">
        <v>258</v>
      </c>
      <c r="AB2031" t="s">
        <v>42</v>
      </c>
      <c r="AC2031" t="s">
        <v>556</v>
      </c>
      <c r="AD2031" t="s">
        <v>557</v>
      </c>
      <c r="AE2031" t="s">
        <v>36</v>
      </c>
    </row>
    <row r="2032" spans="1:31" x14ac:dyDescent="0.3">
      <c r="A2032">
        <v>10182</v>
      </c>
      <c r="B2032">
        <v>23</v>
      </c>
      <c r="C2032">
        <v>42.26</v>
      </c>
      <c r="D2032">
        <v>8</v>
      </c>
      <c r="E2032" s="4" t="str">
        <f t="shared" si="186"/>
        <v>low sales</v>
      </c>
      <c r="F2032">
        <v>971.98</v>
      </c>
      <c r="G2032" t="s">
        <v>2704</v>
      </c>
      <c r="H2032" s="1" t="str">
        <f t="shared" si="187"/>
        <v>Shipped</v>
      </c>
      <c r="I2032" s="4" t="str">
        <f t="shared" si="188"/>
        <v>completed</v>
      </c>
      <c r="J2032" t="s">
        <v>25</v>
      </c>
      <c r="K2032">
        <v>4</v>
      </c>
      <c r="L2032">
        <v>11</v>
      </c>
      <c r="M2032">
        <v>2003</v>
      </c>
      <c r="N2032" t="s">
        <v>550</v>
      </c>
      <c r="O2032">
        <v>41</v>
      </c>
      <c r="P2032" t="s">
        <v>644</v>
      </c>
      <c r="Q2032" t="s">
        <v>272</v>
      </c>
      <c r="R2032">
        <v>4155551450</v>
      </c>
      <c r="S2032" t="s">
        <v>273</v>
      </c>
      <c r="U2032" s="1" t="str">
        <f t="shared" si="189"/>
        <v>San Rafael</v>
      </c>
      <c r="V2032" t="s">
        <v>274</v>
      </c>
      <c r="W2032" t="s">
        <v>55</v>
      </c>
      <c r="X2032">
        <v>97562</v>
      </c>
      <c r="Y2032" s="1" t="str">
        <f t="shared" si="190"/>
        <v>USA</v>
      </c>
      <c r="Z2032" s="4" t="str">
        <f t="shared" si="191"/>
        <v>Usa</v>
      </c>
      <c r="AA2032" t="s">
        <v>32</v>
      </c>
      <c r="AB2032" t="s">
        <v>33</v>
      </c>
      <c r="AC2032" t="s">
        <v>275</v>
      </c>
      <c r="AD2032" t="s">
        <v>276</v>
      </c>
      <c r="AE2032" t="s">
        <v>36</v>
      </c>
    </row>
    <row r="2033" spans="1:31" x14ac:dyDescent="0.3">
      <c r="A2033">
        <v>10193</v>
      </c>
      <c r="B2033">
        <v>22</v>
      </c>
      <c r="C2033">
        <v>41.03</v>
      </c>
      <c r="D2033">
        <v>12</v>
      </c>
      <c r="E2033" s="4" t="str">
        <f t="shared" si="186"/>
        <v>low sales</v>
      </c>
      <c r="F2033">
        <v>902.66</v>
      </c>
      <c r="G2033" t="s">
        <v>2705</v>
      </c>
      <c r="H2033" s="1" t="str">
        <f t="shared" si="187"/>
        <v>Shipped</v>
      </c>
      <c r="I2033" s="4" t="str">
        <f t="shared" si="188"/>
        <v>completed</v>
      </c>
      <c r="J2033" t="s">
        <v>25</v>
      </c>
      <c r="K2033">
        <v>4</v>
      </c>
      <c r="L2033">
        <v>11</v>
      </c>
      <c r="M2033">
        <v>2003</v>
      </c>
      <c r="N2033" t="s">
        <v>550</v>
      </c>
      <c r="O2033">
        <v>41</v>
      </c>
      <c r="P2033" t="s">
        <v>644</v>
      </c>
      <c r="Q2033" t="s">
        <v>558</v>
      </c>
      <c r="R2033" t="s">
        <v>559</v>
      </c>
      <c r="S2033" t="s">
        <v>560</v>
      </c>
      <c r="U2033" s="1" t="str">
        <f t="shared" si="189"/>
        <v>Glen Waverly</v>
      </c>
      <c r="V2033" t="s">
        <v>561</v>
      </c>
      <c r="W2033" t="s">
        <v>94</v>
      </c>
      <c r="X2033">
        <v>3150</v>
      </c>
      <c r="Y2033" s="1" t="str">
        <f t="shared" si="190"/>
        <v>AUSTRALIA</v>
      </c>
      <c r="Z2033" s="4" t="str">
        <f t="shared" si="191"/>
        <v>Australia</v>
      </c>
      <c r="AA2033" t="s">
        <v>95</v>
      </c>
      <c r="AB2033" t="s">
        <v>96</v>
      </c>
      <c r="AC2033" t="s">
        <v>562</v>
      </c>
      <c r="AD2033" t="s">
        <v>563</v>
      </c>
      <c r="AE2033" t="s">
        <v>36</v>
      </c>
    </row>
    <row r="2034" spans="1:31" x14ac:dyDescent="0.3">
      <c r="A2034">
        <v>10204</v>
      </c>
      <c r="B2034">
        <v>39</v>
      </c>
      <c r="C2034">
        <v>33.229999999999997</v>
      </c>
      <c r="D2034">
        <v>2</v>
      </c>
      <c r="E2034" s="4" t="str">
        <f t="shared" si="186"/>
        <v>low sales</v>
      </c>
      <c r="F2034">
        <v>1295.97</v>
      </c>
      <c r="G2034" t="s">
        <v>2706</v>
      </c>
      <c r="H2034" s="1" t="str">
        <f t="shared" si="187"/>
        <v>Shipped</v>
      </c>
      <c r="I2034" s="4" t="str">
        <f t="shared" si="188"/>
        <v>completed</v>
      </c>
      <c r="J2034" t="s">
        <v>25</v>
      </c>
      <c r="K2034">
        <v>4</v>
      </c>
      <c r="L2034">
        <v>12</v>
      </c>
      <c r="M2034">
        <v>2003</v>
      </c>
      <c r="N2034" t="s">
        <v>550</v>
      </c>
      <c r="O2034">
        <v>41</v>
      </c>
      <c r="P2034" t="s">
        <v>644</v>
      </c>
      <c r="Q2034" t="s">
        <v>475</v>
      </c>
      <c r="R2034">
        <v>2125557413</v>
      </c>
      <c r="S2034" t="s">
        <v>476</v>
      </c>
      <c r="T2034" t="s">
        <v>477</v>
      </c>
      <c r="U2034" s="1" t="str">
        <f t="shared" si="189"/>
        <v>Nyc</v>
      </c>
      <c r="V2034" t="s">
        <v>30</v>
      </c>
      <c r="W2034" t="s">
        <v>31</v>
      </c>
      <c r="X2034">
        <v>10022</v>
      </c>
      <c r="Y2034" s="1" t="str">
        <f t="shared" si="190"/>
        <v>USA</v>
      </c>
      <c r="Z2034" s="4" t="str">
        <f t="shared" si="191"/>
        <v>Usa</v>
      </c>
      <c r="AA2034" t="s">
        <v>32</v>
      </c>
      <c r="AB2034" t="s">
        <v>33</v>
      </c>
      <c r="AC2034" t="s">
        <v>56</v>
      </c>
      <c r="AD2034" t="s">
        <v>478</v>
      </c>
      <c r="AE2034" t="s">
        <v>36</v>
      </c>
    </row>
    <row r="2035" spans="1:31" x14ac:dyDescent="0.3">
      <c r="A2035">
        <v>10214</v>
      </c>
      <c r="B2035">
        <v>44</v>
      </c>
      <c r="C2035">
        <v>34.880000000000003</v>
      </c>
      <c r="D2035">
        <v>5</v>
      </c>
      <c r="E2035" s="4" t="str">
        <f t="shared" si="186"/>
        <v>low sales</v>
      </c>
      <c r="F2035">
        <v>1534.72</v>
      </c>
      <c r="G2035" t="s">
        <v>2707</v>
      </c>
      <c r="H2035" s="1" t="str">
        <f t="shared" si="187"/>
        <v>Shipped</v>
      </c>
      <c r="I2035" s="4" t="str">
        <f t="shared" si="188"/>
        <v>completed</v>
      </c>
      <c r="J2035" t="s">
        <v>25</v>
      </c>
      <c r="K2035">
        <v>1</v>
      </c>
      <c r="L2035">
        <v>1</v>
      </c>
      <c r="M2035">
        <v>2004</v>
      </c>
      <c r="N2035" t="s">
        <v>550</v>
      </c>
      <c r="O2035">
        <v>41</v>
      </c>
      <c r="P2035" t="s">
        <v>644</v>
      </c>
      <c r="Q2035" t="s">
        <v>191</v>
      </c>
      <c r="R2035" t="s">
        <v>192</v>
      </c>
      <c r="S2035" t="s">
        <v>193</v>
      </c>
      <c r="U2035" s="1" t="str">
        <f t="shared" si="189"/>
        <v>Madrid</v>
      </c>
      <c r="V2035" t="s">
        <v>177</v>
      </c>
      <c r="X2035">
        <v>28023</v>
      </c>
      <c r="Y2035" s="1" t="str">
        <f t="shared" si="190"/>
        <v>SPAIN</v>
      </c>
      <c r="Z2035" s="4" t="str">
        <f t="shared" si="191"/>
        <v>Spain</v>
      </c>
      <c r="AA2035" t="s">
        <v>178</v>
      </c>
      <c r="AB2035" t="s">
        <v>42</v>
      </c>
      <c r="AC2035" t="s">
        <v>194</v>
      </c>
      <c r="AD2035" t="s">
        <v>195</v>
      </c>
      <c r="AE2035" t="s">
        <v>36</v>
      </c>
    </row>
    <row r="2036" spans="1:31" x14ac:dyDescent="0.3">
      <c r="A2036">
        <v>10227</v>
      </c>
      <c r="B2036">
        <v>27</v>
      </c>
      <c r="C2036">
        <v>43.9</v>
      </c>
      <c r="D2036">
        <v>8</v>
      </c>
      <c r="E2036" s="4" t="str">
        <f t="shared" si="186"/>
        <v>low sales</v>
      </c>
      <c r="F2036">
        <v>1185.3</v>
      </c>
      <c r="G2036" t="s">
        <v>2708</v>
      </c>
      <c r="H2036" s="1" t="str">
        <f t="shared" si="187"/>
        <v>Shipped</v>
      </c>
      <c r="I2036" s="4" t="str">
        <f t="shared" si="188"/>
        <v>completed</v>
      </c>
      <c r="J2036" t="s">
        <v>25</v>
      </c>
      <c r="K2036">
        <v>1</v>
      </c>
      <c r="L2036">
        <v>3</v>
      </c>
      <c r="M2036">
        <v>2004</v>
      </c>
      <c r="N2036" t="s">
        <v>550</v>
      </c>
      <c r="O2036">
        <v>41</v>
      </c>
      <c r="P2036" t="s">
        <v>644</v>
      </c>
      <c r="Q2036" t="s">
        <v>219</v>
      </c>
      <c r="R2036" t="s">
        <v>220</v>
      </c>
      <c r="S2036" t="s">
        <v>221</v>
      </c>
      <c r="U2036" s="1" t="str">
        <f t="shared" si="189"/>
        <v>Lyon</v>
      </c>
      <c r="V2036" t="s">
        <v>222</v>
      </c>
      <c r="X2036">
        <v>69004</v>
      </c>
      <c r="Y2036" s="1" t="str">
        <f t="shared" si="190"/>
        <v>FRANCE</v>
      </c>
      <c r="Z2036" s="4" t="str">
        <f t="shared" si="191"/>
        <v>France</v>
      </c>
      <c r="AA2036" t="s">
        <v>41</v>
      </c>
      <c r="AB2036" t="s">
        <v>42</v>
      </c>
      <c r="AC2036" t="s">
        <v>223</v>
      </c>
      <c r="AD2036" t="s">
        <v>224</v>
      </c>
      <c r="AE2036" t="s">
        <v>36</v>
      </c>
    </row>
    <row r="2037" spans="1:31" x14ac:dyDescent="0.3">
      <c r="A2037">
        <v>10242</v>
      </c>
      <c r="B2037">
        <v>46</v>
      </c>
      <c r="C2037">
        <v>36.93</v>
      </c>
      <c r="D2037">
        <v>1</v>
      </c>
      <c r="E2037" s="4" t="str">
        <f t="shared" si="186"/>
        <v>low sales</v>
      </c>
      <c r="F2037">
        <v>1698.78</v>
      </c>
      <c r="G2037" t="s">
        <v>2709</v>
      </c>
      <c r="H2037" s="1" t="str">
        <f t="shared" si="187"/>
        <v>Shipped</v>
      </c>
      <c r="I2037" s="4" t="str">
        <f t="shared" si="188"/>
        <v>completed</v>
      </c>
      <c r="J2037" t="s">
        <v>25</v>
      </c>
      <c r="K2037">
        <v>2</v>
      </c>
      <c r="L2037">
        <v>4</v>
      </c>
      <c r="M2037">
        <v>2004</v>
      </c>
      <c r="N2037" t="s">
        <v>550</v>
      </c>
      <c r="O2037">
        <v>41</v>
      </c>
      <c r="P2037" t="s">
        <v>644</v>
      </c>
      <c r="Q2037" t="s">
        <v>507</v>
      </c>
      <c r="R2037">
        <v>2125551957</v>
      </c>
      <c r="S2037" t="s">
        <v>508</v>
      </c>
      <c r="T2037" t="s">
        <v>509</v>
      </c>
      <c r="U2037" s="1" t="str">
        <f t="shared" si="189"/>
        <v>Nyc</v>
      </c>
      <c r="V2037" t="s">
        <v>30</v>
      </c>
      <c r="W2037" t="s">
        <v>31</v>
      </c>
      <c r="X2037">
        <v>10022</v>
      </c>
      <c r="Y2037" s="1" t="str">
        <f t="shared" si="190"/>
        <v>USA</v>
      </c>
      <c r="Z2037" s="4" t="str">
        <f t="shared" si="191"/>
        <v>Usa</v>
      </c>
      <c r="AA2037" t="s">
        <v>32</v>
      </c>
      <c r="AB2037" t="s">
        <v>33</v>
      </c>
      <c r="AC2037" t="s">
        <v>510</v>
      </c>
      <c r="AD2037" t="s">
        <v>511</v>
      </c>
      <c r="AE2037" t="s">
        <v>36</v>
      </c>
    </row>
    <row r="2038" spans="1:31" x14ac:dyDescent="0.3">
      <c r="A2038">
        <v>10280</v>
      </c>
      <c r="B2038">
        <v>33</v>
      </c>
      <c r="C2038">
        <v>41.85</v>
      </c>
      <c r="D2038">
        <v>14</v>
      </c>
      <c r="E2038" s="4" t="str">
        <f t="shared" si="186"/>
        <v>low sales</v>
      </c>
      <c r="F2038">
        <v>1381.05</v>
      </c>
      <c r="G2038" t="s">
        <v>2710</v>
      </c>
      <c r="H2038" s="1" t="str">
        <f t="shared" si="187"/>
        <v>Shipped</v>
      </c>
      <c r="I2038" s="4" t="str">
        <f t="shared" si="188"/>
        <v>completed</v>
      </c>
      <c r="J2038" t="s">
        <v>25</v>
      </c>
      <c r="K2038">
        <v>3</v>
      </c>
      <c r="L2038">
        <v>8</v>
      </c>
      <c r="M2038">
        <v>2004</v>
      </c>
      <c r="N2038" t="s">
        <v>550</v>
      </c>
      <c r="O2038">
        <v>41</v>
      </c>
      <c r="P2038" t="s">
        <v>644</v>
      </c>
      <c r="Q2038" t="s">
        <v>254</v>
      </c>
      <c r="R2038" t="s">
        <v>255</v>
      </c>
      <c r="S2038" t="s">
        <v>256</v>
      </c>
      <c r="U2038" s="1" t="str">
        <f t="shared" si="189"/>
        <v>Torino</v>
      </c>
      <c r="V2038" t="s">
        <v>257</v>
      </c>
      <c r="X2038">
        <v>10100</v>
      </c>
      <c r="Y2038" s="1" t="str">
        <f t="shared" si="190"/>
        <v>ITALY</v>
      </c>
      <c r="Z2038" s="4" t="str">
        <f t="shared" si="191"/>
        <v>Italy</v>
      </c>
      <c r="AA2038" t="s">
        <v>258</v>
      </c>
      <c r="AB2038" t="s">
        <v>42</v>
      </c>
      <c r="AC2038" t="s">
        <v>259</v>
      </c>
      <c r="AD2038" t="s">
        <v>260</v>
      </c>
      <c r="AE2038" t="s">
        <v>36</v>
      </c>
    </row>
    <row r="2039" spans="1:31" x14ac:dyDescent="0.3">
      <c r="A2039">
        <v>10288</v>
      </c>
      <c r="B2039">
        <v>33</v>
      </c>
      <c r="C2039">
        <v>40.619999999999997</v>
      </c>
      <c r="D2039">
        <v>3</v>
      </c>
      <c r="E2039" s="4" t="str">
        <f t="shared" si="186"/>
        <v>low sales</v>
      </c>
      <c r="F2039">
        <v>1340.46</v>
      </c>
      <c r="G2039" t="s">
        <v>2711</v>
      </c>
      <c r="H2039" s="1" t="str">
        <f t="shared" si="187"/>
        <v>Shipped</v>
      </c>
      <c r="I2039" s="4" t="str">
        <f t="shared" si="188"/>
        <v>completed</v>
      </c>
      <c r="J2039" t="s">
        <v>25</v>
      </c>
      <c r="K2039">
        <v>3</v>
      </c>
      <c r="L2039">
        <v>9</v>
      </c>
      <c r="M2039">
        <v>2004</v>
      </c>
      <c r="N2039" t="s">
        <v>550</v>
      </c>
      <c r="O2039">
        <v>41</v>
      </c>
      <c r="P2039" t="s">
        <v>644</v>
      </c>
      <c r="Q2039" t="s">
        <v>418</v>
      </c>
      <c r="R2039" t="s">
        <v>419</v>
      </c>
      <c r="S2039" t="s">
        <v>420</v>
      </c>
      <c r="T2039" t="s">
        <v>421</v>
      </c>
      <c r="U2039" s="1" t="str">
        <f t="shared" si="189"/>
        <v>Singapore</v>
      </c>
      <c r="V2039" t="s">
        <v>199</v>
      </c>
      <c r="X2039">
        <v>69045</v>
      </c>
      <c r="Y2039" s="1" t="str">
        <f t="shared" si="190"/>
        <v>SINGAPORE</v>
      </c>
      <c r="Z2039" s="4" t="str">
        <f t="shared" si="191"/>
        <v>Singapore</v>
      </c>
      <c r="AA2039" t="s">
        <v>199</v>
      </c>
      <c r="AB2039" t="s">
        <v>96</v>
      </c>
      <c r="AC2039" t="s">
        <v>422</v>
      </c>
      <c r="AD2039" t="s">
        <v>423</v>
      </c>
      <c r="AE2039" t="s">
        <v>36</v>
      </c>
    </row>
    <row r="2040" spans="1:31" x14ac:dyDescent="0.3">
      <c r="A2040">
        <v>10303</v>
      </c>
      <c r="B2040">
        <v>24</v>
      </c>
      <c r="C2040">
        <v>40.21</v>
      </c>
      <c r="D2040">
        <v>1</v>
      </c>
      <c r="E2040" s="4" t="str">
        <f t="shared" si="186"/>
        <v>low sales</v>
      </c>
      <c r="F2040">
        <v>965.04</v>
      </c>
      <c r="G2040" t="s">
        <v>2712</v>
      </c>
      <c r="H2040" s="1" t="str">
        <f t="shared" si="187"/>
        <v>Shipped</v>
      </c>
      <c r="I2040" s="4" t="str">
        <f t="shared" si="188"/>
        <v>completed</v>
      </c>
      <c r="J2040" t="s">
        <v>25</v>
      </c>
      <c r="K2040">
        <v>4</v>
      </c>
      <c r="L2040">
        <v>10</v>
      </c>
      <c r="M2040">
        <v>2004</v>
      </c>
      <c r="N2040" t="s">
        <v>550</v>
      </c>
      <c r="O2040">
        <v>41</v>
      </c>
      <c r="P2040" t="s">
        <v>644</v>
      </c>
      <c r="Q2040" t="s">
        <v>520</v>
      </c>
      <c r="R2040" t="s">
        <v>521</v>
      </c>
      <c r="S2040" t="s">
        <v>522</v>
      </c>
      <c r="U2040" s="1" t="str">
        <f t="shared" si="189"/>
        <v>Sevilla</v>
      </c>
      <c r="V2040" t="s">
        <v>523</v>
      </c>
      <c r="X2040">
        <v>41101</v>
      </c>
      <c r="Y2040" s="1" t="str">
        <f t="shared" si="190"/>
        <v>SPAIN</v>
      </c>
      <c r="Z2040" s="4" t="str">
        <f t="shared" si="191"/>
        <v>Spain</v>
      </c>
      <c r="AA2040" t="s">
        <v>178</v>
      </c>
      <c r="AB2040" t="s">
        <v>42</v>
      </c>
      <c r="AC2040" t="s">
        <v>524</v>
      </c>
      <c r="AD2040" t="s">
        <v>525</v>
      </c>
      <c r="AE2040" t="s">
        <v>36</v>
      </c>
    </row>
    <row r="2041" spans="1:31" x14ac:dyDescent="0.3">
      <c r="A2041">
        <v>10312</v>
      </c>
      <c r="B2041">
        <v>31</v>
      </c>
      <c r="C2041">
        <v>35.29</v>
      </c>
      <c r="D2041">
        <v>15</v>
      </c>
      <c r="E2041" s="4" t="str">
        <f t="shared" si="186"/>
        <v>low sales</v>
      </c>
      <c r="F2041">
        <v>1093.99</v>
      </c>
      <c r="G2041" t="s">
        <v>2713</v>
      </c>
      <c r="H2041" s="1" t="str">
        <f t="shared" si="187"/>
        <v>Shipped</v>
      </c>
      <c r="I2041" s="4" t="str">
        <f t="shared" si="188"/>
        <v>completed</v>
      </c>
      <c r="J2041" t="s">
        <v>25</v>
      </c>
      <c r="K2041">
        <v>4</v>
      </c>
      <c r="L2041">
        <v>10</v>
      </c>
      <c r="M2041">
        <v>2004</v>
      </c>
      <c r="N2041" t="s">
        <v>550</v>
      </c>
      <c r="O2041">
        <v>41</v>
      </c>
      <c r="P2041" t="s">
        <v>644</v>
      </c>
      <c r="Q2041" t="s">
        <v>272</v>
      </c>
      <c r="R2041">
        <v>4155551450</v>
      </c>
      <c r="S2041" t="s">
        <v>273</v>
      </c>
      <c r="U2041" s="1" t="str">
        <f t="shared" si="189"/>
        <v>San Rafael</v>
      </c>
      <c r="V2041" t="s">
        <v>274</v>
      </c>
      <c r="W2041" t="s">
        <v>55</v>
      </c>
      <c r="X2041">
        <v>97562</v>
      </c>
      <c r="Y2041" s="1" t="str">
        <f t="shared" si="190"/>
        <v>USA</v>
      </c>
      <c r="Z2041" s="4" t="str">
        <f t="shared" si="191"/>
        <v>Usa</v>
      </c>
      <c r="AA2041" t="s">
        <v>32</v>
      </c>
      <c r="AB2041" t="s">
        <v>33</v>
      </c>
      <c r="AC2041" t="s">
        <v>275</v>
      </c>
      <c r="AD2041" t="s">
        <v>276</v>
      </c>
      <c r="AE2041" t="s">
        <v>36</v>
      </c>
    </row>
    <row r="2042" spans="1:31" x14ac:dyDescent="0.3">
      <c r="A2042">
        <v>10332</v>
      </c>
      <c r="B2042">
        <v>41</v>
      </c>
      <c r="C2042">
        <v>77.239999999999995</v>
      </c>
      <c r="D2042">
        <v>14</v>
      </c>
      <c r="E2042" s="4" t="str">
        <f t="shared" si="186"/>
        <v>low sales</v>
      </c>
      <c r="F2042">
        <v>3166.84</v>
      </c>
      <c r="G2042" t="s">
        <v>2714</v>
      </c>
      <c r="H2042" s="1" t="str">
        <f t="shared" si="187"/>
        <v>Shipped</v>
      </c>
      <c r="I2042" s="4" t="str">
        <f t="shared" si="188"/>
        <v>completed</v>
      </c>
      <c r="J2042" t="s">
        <v>25</v>
      </c>
      <c r="K2042">
        <v>4</v>
      </c>
      <c r="L2042">
        <v>11</v>
      </c>
      <c r="M2042">
        <v>2004</v>
      </c>
      <c r="N2042" t="s">
        <v>550</v>
      </c>
      <c r="O2042">
        <v>41</v>
      </c>
      <c r="P2042" t="s">
        <v>644</v>
      </c>
      <c r="Q2042" t="s">
        <v>492</v>
      </c>
      <c r="R2042" t="s">
        <v>493</v>
      </c>
      <c r="S2042" t="s">
        <v>494</v>
      </c>
      <c r="U2042" s="1" t="str">
        <f t="shared" si="189"/>
        <v>Manchester</v>
      </c>
      <c r="V2042" t="s">
        <v>495</v>
      </c>
      <c r="X2042" t="s">
        <v>496</v>
      </c>
      <c r="Y2042" s="1" t="str">
        <f t="shared" si="190"/>
        <v>UK</v>
      </c>
      <c r="Z2042" s="4" t="str">
        <f t="shared" si="191"/>
        <v>Uk</v>
      </c>
      <c r="AA2042" t="s">
        <v>170</v>
      </c>
      <c r="AB2042" t="s">
        <v>42</v>
      </c>
      <c r="AC2042" t="s">
        <v>497</v>
      </c>
      <c r="AD2042" t="s">
        <v>94</v>
      </c>
      <c r="AE2042" t="s">
        <v>51</v>
      </c>
    </row>
    <row r="2043" spans="1:31" x14ac:dyDescent="0.3">
      <c r="A2043">
        <v>10346</v>
      </c>
      <c r="B2043">
        <v>22</v>
      </c>
      <c r="C2043">
        <v>97.44</v>
      </c>
      <c r="D2043">
        <v>4</v>
      </c>
      <c r="E2043" s="4" t="str">
        <f t="shared" si="186"/>
        <v>low sales</v>
      </c>
      <c r="F2043">
        <v>2143.6799999999998</v>
      </c>
      <c r="G2043" t="s">
        <v>2715</v>
      </c>
      <c r="H2043" s="1" t="str">
        <f t="shared" si="187"/>
        <v>Shipped</v>
      </c>
      <c r="I2043" s="4" t="str">
        <f t="shared" si="188"/>
        <v>completed</v>
      </c>
      <c r="J2043" t="s">
        <v>25</v>
      </c>
      <c r="K2043">
        <v>4</v>
      </c>
      <c r="L2043">
        <v>11</v>
      </c>
      <c r="M2043">
        <v>2004</v>
      </c>
      <c r="N2043" t="s">
        <v>550</v>
      </c>
      <c r="O2043">
        <v>41</v>
      </c>
      <c r="P2043" t="s">
        <v>644</v>
      </c>
      <c r="Q2043" t="s">
        <v>539</v>
      </c>
      <c r="R2043">
        <v>7025551838</v>
      </c>
      <c r="S2043" t="s">
        <v>540</v>
      </c>
      <c r="U2043" s="1" t="str">
        <f t="shared" si="189"/>
        <v>Las Vegas</v>
      </c>
      <c r="V2043" t="s">
        <v>541</v>
      </c>
      <c r="W2043" t="s">
        <v>542</v>
      </c>
      <c r="X2043">
        <v>83030</v>
      </c>
      <c r="Y2043" s="1" t="str">
        <f t="shared" si="190"/>
        <v>USA</v>
      </c>
      <c r="Z2043" s="4" t="str">
        <f t="shared" si="191"/>
        <v>Usa</v>
      </c>
      <c r="AA2043" t="s">
        <v>32</v>
      </c>
      <c r="AB2043" t="s">
        <v>33</v>
      </c>
      <c r="AC2043" t="s">
        <v>113</v>
      </c>
      <c r="AD2043" t="s">
        <v>400</v>
      </c>
      <c r="AE2043" t="s">
        <v>36</v>
      </c>
    </row>
    <row r="2044" spans="1:31" x14ac:dyDescent="0.3">
      <c r="A2044">
        <v>10368</v>
      </c>
      <c r="B2044">
        <v>46</v>
      </c>
      <c r="C2044">
        <v>37.340000000000003</v>
      </c>
      <c r="D2044">
        <v>3</v>
      </c>
      <c r="E2044" s="4" t="str">
        <f t="shared" si="186"/>
        <v>low sales</v>
      </c>
      <c r="F2044">
        <v>1717.64</v>
      </c>
      <c r="G2044" t="s">
        <v>2716</v>
      </c>
      <c r="H2044" s="1" t="str">
        <f t="shared" si="187"/>
        <v>Shipped</v>
      </c>
      <c r="I2044" s="4" t="str">
        <f t="shared" si="188"/>
        <v>completed</v>
      </c>
      <c r="J2044" t="s">
        <v>25</v>
      </c>
      <c r="K2044">
        <v>1</v>
      </c>
      <c r="L2044">
        <v>1</v>
      </c>
      <c r="M2044">
        <v>2005</v>
      </c>
      <c r="N2044" t="s">
        <v>550</v>
      </c>
      <c r="O2044">
        <v>41</v>
      </c>
      <c r="P2044" t="s">
        <v>644</v>
      </c>
      <c r="Q2044" t="s">
        <v>272</v>
      </c>
      <c r="R2044">
        <v>4155551450</v>
      </c>
      <c r="S2044" t="s">
        <v>273</v>
      </c>
      <c r="U2044" s="1" t="str">
        <f t="shared" si="189"/>
        <v>San Rafael</v>
      </c>
      <c r="V2044" t="s">
        <v>274</v>
      </c>
      <c r="W2044" t="s">
        <v>55</v>
      </c>
      <c r="X2044">
        <v>97562</v>
      </c>
      <c r="Y2044" s="1" t="str">
        <f t="shared" si="190"/>
        <v>USA</v>
      </c>
      <c r="Z2044" s="4" t="str">
        <f t="shared" si="191"/>
        <v>Usa</v>
      </c>
      <c r="AA2044" t="s">
        <v>32</v>
      </c>
      <c r="AB2044" t="s">
        <v>33</v>
      </c>
      <c r="AC2044" t="s">
        <v>275</v>
      </c>
      <c r="AD2044" t="s">
        <v>276</v>
      </c>
      <c r="AE2044" t="s">
        <v>36</v>
      </c>
    </row>
    <row r="2045" spans="1:31" x14ac:dyDescent="0.3">
      <c r="A2045">
        <v>10380</v>
      </c>
      <c r="B2045">
        <v>43</v>
      </c>
      <c r="C2045">
        <v>95.03</v>
      </c>
      <c r="D2045">
        <v>12</v>
      </c>
      <c r="E2045" s="4" t="str">
        <f t="shared" si="186"/>
        <v>high sales</v>
      </c>
      <c r="F2045">
        <v>4086.29</v>
      </c>
      <c r="G2045" t="s">
        <v>2717</v>
      </c>
      <c r="H2045" s="1" t="str">
        <f t="shared" si="187"/>
        <v>Shipped</v>
      </c>
      <c r="I2045" s="4" t="str">
        <f t="shared" si="188"/>
        <v>completed</v>
      </c>
      <c r="J2045" t="s">
        <v>25</v>
      </c>
      <c r="K2045">
        <v>1</v>
      </c>
      <c r="L2045">
        <v>2</v>
      </c>
      <c r="M2045">
        <v>2005</v>
      </c>
      <c r="N2045" t="s">
        <v>550</v>
      </c>
      <c r="O2045">
        <v>41</v>
      </c>
      <c r="P2045" t="s">
        <v>644</v>
      </c>
      <c r="Q2045" t="s">
        <v>174</v>
      </c>
      <c r="R2045" t="s">
        <v>175</v>
      </c>
      <c r="S2045" t="s">
        <v>176</v>
      </c>
      <c r="U2045" s="1" t="str">
        <f t="shared" si="189"/>
        <v>Madrid</v>
      </c>
      <c r="V2045" t="s">
        <v>177</v>
      </c>
      <c r="X2045">
        <v>28034</v>
      </c>
      <c r="Y2045" s="1" t="str">
        <f t="shared" si="190"/>
        <v>SPAIN</v>
      </c>
      <c r="Z2045" s="4" t="str">
        <f t="shared" si="191"/>
        <v>Spain</v>
      </c>
      <c r="AA2045" t="s">
        <v>178</v>
      </c>
      <c r="AB2045" t="s">
        <v>42</v>
      </c>
      <c r="AC2045" t="s">
        <v>179</v>
      </c>
      <c r="AD2045" t="s">
        <v>180</v>
      </c>
      <c r="AE2045" t="s">
        <v>51</v>
      </c>
    </row>
    <row r="2046" spans="1:31" x14ac:dyDescent="0.3">
      <c r="A2046">
        <v>10408</v>
      </c>
      <c r="B2046">
        <v>15</v>
      </c>
      <c r="C2046">
        <v>36.93</v>
      </c>
      <c r="D2046">
        <v>1</v>
      </c>
      <c r="E2046" s="4" t="str">
        <f t="shared" si="186"/>
        <v>low sales</v>
      </c>
      <c r="F2046">
        <v>553.95000000000005</v>
      </c>
      <c r="G2046" t="s">
        <v>2718</v>
      </c>
      <c r="H2046" s="1" t="str">
        <f t="shared" si="187"/>
        <v>Shipped</v>
      </c>
      <c r="I2046" s="4" t="str">
        <f t="shared" si="188"/>
        <v>completed</v>
      </c>
      <c r="J2046" t="s">
        <v>25</v>
      </c>
      <c r="K2046">
        <v>2</v>
      </c>
      <c r="L2046">
        <v>4</v>
      </c>
      <c r="M2046">
        <v>2005</v>
      </c>
      <c r="N2046" t="s">
        <v>550</v>
      </c>
      <c r="O2046">
        <v>41</v>
      </c>
      <c r="P2046" t="s">
        <v>644</v>
      </c>
      <c r="Q2046" t="s">
        <v>246</v>
      </c>
      <c r="R2046" t="s">
        <v>247</v>
      </c>
      <c r="S2046" t="s">
        <v>248</v>
      </c>
      <c r="U2046" s="1" t="str">
        <f t="shared" si="189"/>
        <v>Minato-Ku</v>
      </c>
      <c r="V2046" t="s">
        <v>249</v>
      </c>
      <c r="W2046" t="s">
        <v>250</v>
      </c>
      <c r="X2046" t="s">
        <v>251</v>
      </c>
      <c r="Y2046" s="1" t="str">
        <f t="shared" si="190"/>
        <v>JAPAN</v>
      </c>
      <c r="Z2046" s="4" t="str">
        <f t="shared" si="191"/>
        <v>Japan</v>
      </c>
      <c r="AA2046" t="s">
        <v>200</v>
      </c>
      <c r="AB2046" t="s">
        <v>200</v>
      </c>
      <c r="AC2046" t="s">
        <v>252</v>
      </c>
      <c r="AD2046" t="s">
        <v>253</v>
      </c>
      <c r="AE2046" t="s">
        <v>36</v>
      </c>
    </row>
    <row r="2047" spans="1:31" x14ac:dyDescent="0.3">
      <c r="A2047">
        <v>10420</v>
      </c>
      <c r="B2047">
        <v>15</v>
      </c>
      <c r="C2047">
        <v>43.49</v>
      </c>
      <c r="D2047">
        <v>3</v>
      </c>
      <c r="E2047" s="4" t="str">
        <f t="shared" si="186"/>
        <v>low sales</v>
      </c>
      <c r="F2047">
        <v>652.35</v>
      </c>
      <c r="G2047" t="s">
        <v>2719</v>
      </c>
      <c r="H2047" s="1" t="str">
        <f t="shared" si="187"/>
        <v>In Process</v>
      </c>
      <c r="I2047" s="4" t="str">
        <f t="shared" si="188"/>
        <v>not completed</v>
      </c>
      <c r="J2047" t="s">
        <v>300</v>
      </c>
      <c r="K2047">
        <v>2</v>
      </c>
      <c r="L2047">
        <v>5</v>
      </c>
      <c r="M2047">
        <v>2005</v>
      </c>
      <c r="N2047" t="s">
        <v>550</v>
      </c>
      <c r="O2047">
        <v>41</v>
      </c>
      <c r="P2047" t="s">
        <v>644</v>
      </c>
      <c r="Q2047" t="s">
        <v>152</v>
      </c>
      <c r="R2047" t="s">
        <v>153</v>
      </c>
      <c r="S2047" t="s">
        <v>154</v>
      </c>
      <c r="T2047" t="s">
        <v>155</v>
      </c>
      <c r="U2047" s="1" t="str">
        <f t="shared" si="189"/>
        <v>Chatswood</v>
      </c>
      <c r="V2047" t="s">
        <v>156</v>
      </c>
      <c r="W2047" t="s">
        <v>157</v>
      </c>
      <c r="X2047">
        <v>2067</v>
      </c>
      <c r="Y2047" s="1" t="str">
        <f t="shared" si="190"/>
        <v>AUSTRALIA</v>
      </c>
      <c r="Z2047" s="4" t="str">
        <f t="shared" si="191"/>
        <v>Australia</v>
      </c>
      <c r="AA2047" t="s">
        <v>95</v>
      </c>
      <c r="AB2047" t="s">
        <v>96</v>
      </c>
      <c r="AC2047" t="s">
        <v>158</v>
      </c>
      <c r="AD2047" t="s">
        <v>159</v>
      </c>
      <c r="AE2047" t="s">
        <v>36</v>
      </c>
    </row>
    <row r="2048" spans="1:31" x14ac:dyDescent="0.3">
      <c r="A2048">
        <v>10104</v>
      </c>
      <c r="B2048">
        <v>26</v>
      </c>
      <c r="C2048">
        <v>100</v>
      </c>
      <c r="D2048">
        <v>5</v>
      </c>
      <c r="E2048" s="4" t="str">
        <f t="shared" si="186"/>
        <v>low sales</v>
      </c>
      <c r="F2048">
        <v>2921.62</v>
      </c>
      <c r="G2048" t="s">
        <v>2720</v>
      </c>
      <c r="H2048" s="1" t="str">
        <f t="shared" si="187"/>
        <v>Shipped</v>
      </c>
      <c r="I2048" s="4" t="str">
        <f t="shared" si="188"/>
        <v>completed</v>
      </c>
      <c r="J2048" t="s">
        <v>25</v>
      </c>
      <c r="K2048">
        <v>1</v>
      </c>
      <c r="L2048">
        <v>1</v>
      </c>
      <c r="M2048">
        <v>2003</v>
      </c>
      <c r="N2048" t="s">
        <v>181</v>
      </c>
      <c r="O2048">
        <v>118</v>
      </c>
      <c r="P2048" t="s">
        <v>645</v>
      </c>
      <c r="Q2048" t="s">
        <v>174</v>
      </c>
      <c r="R2048" t="s">
        <v>175</v>
      </c>
      <c r="S2048" t="s">
        <v>176</v>
      </c>
      <c r="U2048" s="1" t="str">
        <f t="shared" si="189"/>
        <v>Madrid</v>
      </c>
      <c r="V2048" t="s">
        <v>177</v>
      </c>
      <c r="X2048">
        <v>28034</v>
      </c>
      <c r="Y2048" s="1" t="str">
        <f t="shared" si="190"/>
        <v>SPAIN</v>
      </c>
      <c r="Z2048" s="4" t="str">
        <f t="shared" si="191"/>
        <v>Spain</v>
      </c>
      <c r="AA2048" t="s">
        <v>178</v>
      </c>
      <c r="AB2048" t="s">
        <v>42</v>
      </c>
      <c r="AC2048" t="s">
        <v>179</v>
      </c>
      <c r="AD2048" t="s">
        <v>180</v>
      </c>
      <c r="AE2048" t="s">
        <v>36</v>
      </c>
    </row>
    <row r="2049" spans="1:31" x14ac:dyDescent="0.3">
      <c r="A2049">
        <v>10115</v>
      </c>
      <c r="B2049">
        <v>44</v>
      </c>
      <c r="C2049">
        <v>100</v>
      </c>
      <c r="D2049">
        <v>1</v>
      </c>
      <c r="E2049" s="4" t="str">
        <f t="shared" si="186"/>
        <v>high sales</v>
      </c>
      <c r="F2049">
        <v>5568.64</v>
      </c>
      <c r="G2049" t="s">
        <v>2721</v>
      </c>
      <c r="H2049" s="1" t="str">
        <f t="shared" si="187"/>
        <v>Shipped</v>
      </c>
      <c r="I2049" s="4" t="str">
        <f t="shared" si="188"/>
        <v>completed</v>
      </c>
      <c r="J2049" t="s">
        <v>25</v>
      </c>
      <c r="K2049">
        <v>2</v>
      </c>
      <c r="L2049">
        <v>4</v>
      </c>
      <c r="M2049">
        <v>2003</v>
      </c>
      <c r="N2049" t="s">
        <v>181</v>
      </c>
      <c r="O2049">
        <v>118</v>
      </c>
      <c r="P2049" t="s">
        <v>645</v>
      </c>
      <c r="Q2049" t="s">
        <v>203</v>
      </c>
      <c r="R2049">
        <v>2125558493</v>
      </c>
      <c r="S2049" t="s">
        <v>204</v>
      </c>
      <c r="T2049" t="s">
        <v>205</v>
      </c>
      <c r="U2049" s="1" t="str">
        <f t="shared" si="189"/>
        <v>Nyc</v>
      </c>
      <c r="V2049" t="s">
        <v>30</v>
      </c>
      <c r="W2049" t="s">
        <v>31</v>
      </c>
      <c r="X2049">
        <v>10022</v>
      </c>
      <c r="Y2049" s="1" t="str">
        <f t="shared" si="190"/>
        <v>USA</v>
      </c>
      <c r="Z2049" s="4" t="str">
        <f t="shared" si="191"/>
        <v>Usa</v>
      </c>
      <c r="AA2049" t="s">
        <v>32</v>
      </c>
      <c r="AB2049" t="s">
        <v>33</v>
      </c>
      <c r="AC2049" t="s">
        <v>124</v>
      </c>
      <c r="AD2049" t="s">
        <v>206</v>
      </c>
      <c r="AE2049" t="s">
        <v>51</v>
      </c>
    </row>
    <row r="2050" spans="1:31" x14ac:dyDescent="0.3">
      <c r="A2050">
        <v>10127</v>
      </c>
      <c r="B2050">
        <v>20</v>
      </c>
      <c r="C2050">
        <v>96.99</v>
      </c>
      <c r="D2050">
        <v>7</v>
      </c>
      <c r="E2050" s="4" t="str">
        <f t="shared" si="186"/>
        <v>low sales</v>
      </c>
      <c r="F2050">
        <v>1939.8</v>
      </c>
      <c r="G2050" t="s">
        <v>2722</v>
      </c>
      <c r="H2050" s="1" t="str">
        <f t="shared" si="187"/>
        <v>Shipped</v>
      </c>
      <c r="I2050" s="4" t="str">
        <f t="shared" si="188"/>
        <v>completed</v>
      </c>
      <c r="J2050" t="s">
        <v>25</v>
      </c>
      <c r="K2050">
        <v>2</v>
      </c>
      <c r="L2050">
        <v>6</v>
      </c>
      <c r="M2050">
        <v>2003</v>
      </c>
      <c r="N2050" t="s">
        <v>181</v>
      </c>
      <c r="O2050">
        <v>118</v>
      </c>
      <c r="P2050" t="s">
        <v>645</v>
      </c>
      <c r="Q2050" t="s">
        <v>475</v>
      </c>
      <c r="R2050">
        <v>2125557413</v>
      </c>
      <c r="S2050" t="s">
        <v>476</v>
      </c>
      <c r="T2050" t="s">
        <v>477</v>
      </c>
      <c r="U2050" s="1" t="str">
        <f t="shared" si="189"/>
        <v>Nyc</v>
      </c>
      <c r="V2050" t="s">
        <v>30</v>
      </c>
      <c r="W2050" t="s">
        <v>31</v>
      </c>
      <c r="X2050">
        <v>10022</v>
      </c>
      <c r="Y2050" s="1" t="str">
        <f t="shared" si="190"/>
        <v>USA</v>
      </c>
      <c r="Z2050" s="4" t="str">
        <f t="shared" si="191"/>
        <v>Usa</v>
      </c>
      <c r="AA2050" t="s">
        <v>32</v>
      </c>
      <c r="AB2050" t="s">
        <v>33</v>
      </c>
      <c r="AC2050" t="s">
        <v>56</v>
      </c>
      <c r="AD2050" t="s">
        <v>478</v>
      </c>
      <c r="AE2050" t="s">
        <v>36</v>
      </c>
    </row>
    <row r="2051" spans="1:31" x14ac:dyDescent="0.3">
      <c r="A2051">
        <v>10141</v>
      </c>
      <c r="B2051">
        <v>40</v>
      </c>
      <c r="C2051">
        <v>94.62</v>
      </c>
      <c r="D2051">
        <v>1</v>
      </c>
      <c r="E2051" s="4" t="str">
        <f t="shared" ref="E2051:E2114" si="192">IF(F2051&gt;4000,"high sales","low sales")</f>
        <v>low sales</v>
      </c>
      <c r="F2051">
        <v>3784.8</v>
      </c>
      <c r="G2051" t="s">
        <v>2723</v>
      </c>
      <c r="H2051" s="1" t="str">
        <f t="shared" ref="H2051:H2114" si="193">PROPER(TRIM(J2051))</f>
        <v>Shipped</v>
      </c>
      <c r="I2051" s="4" t="str">
        <f t="shared" ref="I2051:I2114" si="194">IF(J2051="shipped","completed","not completed")</f>
        <v>completed</v>
      </c>
      <c r="J2051" t="s">
        <v>25</v>
      </c>
      <c r="K2051">
        <v>3</v>
      </c>
      <c r="L2051">
        <v>8</v>
      </c>
      <c r="M2051">
        <v>2003</v>
      </c>
      <c r="N2051" t="s">
        <v>181</v>
      </c>
      <c r="O2051">
        <v>118</v>
      </c>
      <c r="P2051" t="s">
        <v>645</v>
      </c>
      <c r="Q2051" t="s">
        <v>467</v>
      </c>
      <c r="R2051" t="s">
        <v>468</v>
      </c>
      <c r="S2051" t="s">
        <v>469</v>
      </c>
      <c r="U2051" s="1" t="str">
        <f t="shared" ref="U2051:U2114" si="195">PROPER(TRIM(V2051))</f>
        <v>Espoo</v>
      </c>
      <c r="V2051" t="s">
        <v>470</v>
      </c>
      <c r="X2051" t="s">
        <v>471</v>
      </c>
      <c r="Y2051" s="1" t="str">
        <f t="shared" ref="Y2051:Y2114" si="196">UPPER(TRIM(AA2051))</f>
        <v>FINLAND</v>
      </c>
      <c r="Z2051" s="4" t="str">
        <f t="shared" ref="Z2051:Z2114" si="197">PROPER(TRIM(AA2051))</f>
        <v>Finland</v>
      </c>
      <c r="AA2051" t="s">
        <v>130</v>
      </c>
      <c r="AB2051" t="s">
        <v>42</v>
      </c>
      <c r="AC2051" t="s">
        <v>472</v>
      </c>
      <c r="AD2051" t="s">
        <v>473</v>
      </c>
      <c r="AE2051" t="s">
        <v>51</v>
      </c>
    </row>
    <row r="2052" spans="1:31" x14ac:dyDescent="0.3">
      <c r="A2052">
        <v>10152</v>
      </c>
      <c r="B2052">
        <v>23</v>
      </c>
      <c r="C2052">
        <v>100</v>
      </c>
      <c r="D2052">
        <v>3</v>
      </c>
      <c r="E2052" s="4" t="str">
        <f t="shared" si="192"/>
        <v>low sales</v>
      </c>
      <c r="F2052">
        <v>2802.09</v>
      </c>
      <c r="G2052" t="s">
        <v>2724</v>
      </c>
      <c r="H2052" s="1" t="str">
        <f t="shared" si="193"/>
        <v>Shipped</v>
      </c>
      <c r="I2052" s="4" t="str">
        <f t="shared" si="194"/>
        <v>completed</v>
      </c>
      <c r="J2052" t="s">
        <v>25</v>
      </c>
      <c r="K2052">
        <v>3</v>
      </c>
      <c r="L2052">
        <v>9</v>
      </c>
      <c r="M2052">
        <v>2003</v>
      </c>
      <c r="N2052" t="s">
        <v>181</v>
      </c>
      <c r="O2052">
        <v>118</v>
      </c>
      <c r="P2052" t="s">
        <v>645</v>
      </c>
      <c r="Q2052" t="s">
        <v>207</v>
      </c>
      <c r="R2052" t="s">
        <v>208</v>
      </c>
      <c r="S2052" t="s">
        <v>209</v>
      </c>
      <c r="U2052" s="1" t="str">
        <f t="shared" si="195"/>
        <v>South Brisbane</v>
      </c>
      <c r="V2052" t="s">
        <v>210</v>
      </c>
      <c r="W2052" t="s">
        <v>211</v>
      </c>
      <c r="X2052">
        <v>4101</v>
      </c>
      <c r="Y2052" s="1" t="str">
        <f t="shared" si="196"/>
        <v>AUSTRALIA</v>
      </c>
      <c r="Z2052" s="4" t="str">
        <f t="shared" si="197"/>
        <v>Australia</v>
      </c>
      <c r="AA2052" t="s">
        <v>95</v>
      </c>
      <c r="AB2052" t="s">
        <v>96</v>
      </c>
      <c r="AC2052" t="s">
        <v>212</v>
      </c>
      <c r="AD2052" t="s">
        <v>213</v>
      </c>
      <c r="AE2052" t="s">
        <v>36</v>
      </c>
    </row>
    <row r="2053" spans="1:31" x14ac:dyDescent="0.3">
      <c r="A2053">
        <v>10165</v>
      </c>
      <c r="B2053">
        <v>24</v>
      </c>
      <c r="C2053">
        <v>99.36</v>
      </c>
      <c r="D2053">
        <v>8</v>
      </c>
      <c r="E2053" s="4" t="str">
        <f t="shared" si="192"/>
        <v>low sales</v>
      </c>
      <c r="F2053">
        <v>2384.64</v>
      </c>
      <c r="G2053" t="s">
        <v>2725</v>
      </c>
      <c r="H2053" s="1" t="str">
        <f t="shared" si="193"/>
        <v>Shipped</v>
      </c>
      <c r="I2053" s="4" t="str">
        <f t="shared" si="194"/>
        <v>completed</v>
      </c>
      <c r="J2053" t="s">
        <v>25</v>
      </c>
      <c r="K2053">
        <v>4</v>
      </c>
      <c r="L2053">
        <v>10</v>
      </c>
      <c r="M2053">
        <v>2003</v>
      </c>
      <c r="N2053" t="s">
        <v>181</v>
      </c>
      <c r="O2053">
        <v>118</v>
      </c>
      <c r="P2053" t="s">
        <v>645</v>
      </c>
      <c r="Q2053" t="s">
        <v>196</v>
      </c>
      <c r="R2053" t="s">
        <v>197</v>
      </c>
      <c r="S2053" t="s">
        <v>198</v>
      </c>
      <c r="U2053" s="1" t="str">
        <f t="shared" si="195"/>
        <v>Singapore</v>
      </c>
      <c r="V2053" t="s">
        <v>199</v>
      </c>
      <c r="X2053">
        <v>79903</v>
      </c>
      <c r="Y2053" s="1" t="str">
        <f t="shared" si="196"/>
        <v>SINGAPORE</v>
      </c>
      <c r="Z2053" s="4" t="str">
        <f t="shared" si="197"/>
        <v>Singapore</v>
      </c>
      <c r="AA2053" t="s">
        <v>199</v>
      </c>
      <c r="AB2053" t="s">
        <v>200</v>
      </c>
      <c r="AC2053" t="s">
        <v>201</v>
      </c>
      <c r="AD2053" t="s">
        <v>202</v>
      </c>
      <c r="AE2053" t="s">
        <v>36</v>
      </c>
    </row>
    <row r="2054" spans="1:31" x14ac:dyDescent="0.3">
      <c r="A2054">
        <v>10176</v>
      </c>
      <c r="B2054">
        <v>29</v>
      </c>
      <c r="C2054">
        <v>100</v>
      </c>
      <c r="D2054">
        <v>7</v>
      </c>
      <c r="E2054" s="4" t="str">
        <f t="shared" si="192"/>
        <v>low sales</v>
      </c>
      <c r="F2054">
        <v>2915.66</v>
      </c>
      <c r="G2054" t="s">
        <v>2726</v>
      </c>
      <c r="H2054" s="1" t="str">
        <f t="shared" si="193"/>
        <v>Shipped</v>
      </c>
      <c r="I2054" s="4" t="str">
        <f t="shared" si="194"/>
        <v>completed</v>
      </c>
      <c r="J2054" t="s">
        <v>25</v>
      </c>
      <c r="K2054">
        <v>4</v>
      </c>
      <c r="L2054">
        <v>11</v>
      </c>
      <c r="M2054">
        <v>2003</v>
      </c>
      <c r="N2054" t="s">
        <v>181</v>
      </c>
      <c r="O2054">
        <v>118</v>
      </c>
      <c r="P2054" t="s">
        <v>645</v>
      </c>
      <c r="Q2054" t="s">
        <v>452</v>
      </c>
      <c r="R2054" t="s">
        <v>453</v>
      </c>
      <c r="S2054" t="s">
        <v>454</v>
      </c>
      <c r="U2054" s="1" t="str">
        <f t="shared" si="195"/>
        <v>Reggio Emilia</v>
      </c>
      <c r="V2054" t="s">
        <v>455</v>
      </c>
      <c r="X2054">
        <v>42100</v>
      </c>
      <c r="Y2054" s="1" t="str">
        <f t="shared" si="196"/>
        <v>ITALY</v>
      </c>
      <c r="Z2054" s="4" t="str">
        <f t="shared" si="197"/>
        <v>Italy</v>
      </c>
      <c r="AA2054" t="s">
        <v>258</v>
      </c>
      <c r="AB2054" t="s">
        <v>42</v>
      </c>
      <c r="AC2054" t="s">
        <v>456</v>
      </c>
      <c r="AD2054" t="s">
        <v>457</v>
      </c>
      <c r="AE2054" t="s">
        <v>36</v>
      </c>
    </row>
    <row r="2055" spans="1:31" x14ac:dyDescent="0.3">
      <c r="A2055">
        <v>10184</v>
      </c>
      <c r="B2055">
        <v>49</v>
      </c>
      <c r="C2055">
        <v>100</v>
      </c>
      <c r="D2055">
        <v>2</v>
      </c>
      <c r="E2055" s="4" t="str">
        <f t="shared" si="192"/>
        <v>high sales</v>
      </c>
      <c r="F2055">
        <v>5795.72</v>
      </c>
      <c r="G2055" t="s">
        <v>2727</v>
      </c>
      <c r="H2055" s="1" t="str">
        <f t="shared" si="193"/>
        <v>Shipped</v>
      </c>
      <c r="I2055" s="4" t="str">
        <f t="shared" si="194"/>
        <v>completed</v>
      </c>
      <c r="J2055" t="s">
        <v>25</v>
      </c>
      <c r="K2055">
        <v>4</v>
      </c>
      <c r="L2055">
        <v>11</v>
      </c>
      <c r="M2055">
        <v>2003</v>
      </c>
      <c r="N2055" t="s">
        <v>181</v>
      </c>
      <c r="O2055">
        <v>118</v>
      </c>
      <c r="P2055" t="s">
        <v>645</v>
      </c>
      <c r="Q2055" t="s">
        <v>520</v>
      </c>
      <c r="R2055" t="s">
        <v>521</v>
      </c>
      <c r="S2055" t="s">
        <v>522</v>
      </c>
      <c r="U2055" s="1" t="str">
        <f t="shared" si="195"/>
        <v>Sevilla</v>
      </c>
      <c r="V2055" t="s">
        <v>523</v>
      </c>
      <c r="X2055">
        <v>41101</v>
      </c>
      <c r="Y2055" s="1" t="str">
        <f t="shared" si="196"/>
        <v>SPAIN</v>
      </c>
      <c r="Z2055" s="4" t="str">
        <f t="shared" si="197"/>
        <v>Spain</v>
      </c>
      <c r="AA2055" t="s">
        <v>178</v>
      </c>
      <c r="AB2055" t="s">
        <v>42</v>
      </c>
      <c r="AC2055" t="s">
        <v>524</v>
      </c>
      <c r="AD2055" t="s">
        <v>525</v>
      </c>
      <c r="AE2055" t="s">
        <v>51</v>
      </c>
    </row>
    <row r="2056" spans="1:31" x14ac:dyDescent="0.3">
      <c r="A2056">
        <v>10195</v>
      </c>
      <c r="B2056">
        <v>34</v>
      </c>
      <c r="C2056">
        <v>100</v>
      </c>
      <c r="D2056">
        <v>2</v>
      </c>
      <c r="E2056" s="4" t="str">
        <f t="shared" si="192"/>
        <v>low sales</v>
      </c>
      <c r="F2056">
        <v>3699.88</v>
      </c>
      <c r="G2056" t="s">
        <v>2728</v>
      </c>
      <c r="H2056" s="1" t="str">
        <f t="shared" si="193"/>
        <v>Shipped</v>
      </c>
      <c r="I2056" s="4" t="str">
        <f t="shared" si="194"/>
        <v>completed</v>
      </c>
      <c r="J2056" t="s">
        <v>25</v>
      </c>
      <c r="K2056">
        <v>4</v>
      </c>
      <c r="L2056">
        <v>11</v>
      </c>
      <c r="M2056">
        <v>2003</v>
      </c>
      <c r="N2056" t="s">
        <v>181</v>
      </c>
      <c r="O2056">
        <v>118</v>
      </c>
      <c r="P2056" t="s">
        <v>645</v>
      </c>
      <c r="Q2056" t="s">
        <v>317</v>
      </c>
      <c r="R2056">
        <v>9145554562</v>
      </c>
      <c r="S2056" t="s">
        <v>318</v>
      </c>
      <c r="U2056" s="1" t="str">
        <f t="shared" si="195"/>
        <v>White Plains</v>
      </c>
      <c r="V2056" t="s">
        <v>319</v>
      </c>
      <c r="W2056" t="s">
        <v>31</v>
      </c>
      <c r="X2056">
        <v>24067</v>
      </c>
      <c r="Y2056" s="1" t="str">
        <f t="shared" si="196"/>
        <v>USA</v>
      </c>
      <c r="Z2056" s="4" t="str">
        <f t="shared" si="197"/>
        <v>Usa</v>
      </c>
      <c r="AA2056" t="s">
        <v>32</v>
      </c>
      <c r="AB2056" t="s">
        <v>33</v>
      </c>
      <c r="AC2056" t="s">
        <v>102</v>
      </c>
      <c r="AD2056" t="s">
        <v>238</v>
      </c>
      <c r="AE2056" t="s">
        <v>51</v>
      </c>
    </row>
    <row r="2057" spans="1:31" x14ac:dyDescent="0.3">
      <c r="A2057">
        <v>10207</v>
      </c>
      <c r="B2057">
        <v>28</v>
      </c>
      <c r="C2057">
        <v>100</v>
      </c>
      <c r="D2057">
        <v>3</v>
      </c>
      <c r="E2057" s="4" t="str">
        <f t="shared" si="192"/>
        <v>low sales</v>
      </c>
      <c r="F2057">
        <v>2980.6</v>
      </c>
      <c r="G2057" t="s">
        <v>2729</v>
      </c>
      <c r="H2057" s="1" t="str">
        <f t="shared" si="193"/>
        <v>Shipped</v>
      </c>
      <c r="I2057" s="4" t="str">
        <f t="shared" si="194"/>
        <v>completed</v>
      </c>
      <c r="J2057" t="s">
        <v>25</v>
      </c>
      <c r="K2057">
        <v>4</v>
      </c>
      <c r="L2057">
        <v>12</v>
      </c>
      <c r="M2057">
        <v>2003</v>
      </c>
      <c r="N2057" t="s">
        <v>181</v>
      </c>
      <c r="O2057">
        <v>118</v>
      </c>
      <c r="P2057" t="s">
        <v>645</v>
      </c>
      <c r="Q2057" t="s">
        <v>415</v>
      </c>
      <c r="R2057">
        <v>6175552555</v>
      </c>
      <c r="S2057" t="s">
        <v>416</v>
      </c>
      <c r="U2057" s="1" t="str">
        <f t="shared" si="195"/>
        <v>Boston</v>
      </c>
      <c r="V2057" t="s">
        <v>381</v>
      </c>
      <c r="W2057" t="s">
        <v>123</v>
      </c>
      <c r="X2057">
        <v>51003</v>
      </c>
      <c r="Y2057" s="1" t="str">
        <f t="shared" si="196"/>
        <v>USA</v>
      </c>
      <c r="Z2057" s="4" t="str">
        <f t="shared" si="197"/>
        <v>Usa</v>
      </c>
      <c r="AA2057" t="s">
        <v>32</v>
      </c>
      <c r="AB2057" t="s">
        <v>33</v>
      </c>
      <c r="AC2057" t="s">
        <v>417</v>
      </c>
      <c r="AD2057" t="s">
        <v>276</v>
      </c>
      <c r="AE2057" t="s">
        <v>36</v>
      </c>
    </row>
    <row r="2058" spans="1:31" x14ac:dyDescent="0.3">
      <c r="A2058">
        <v>10220</v>
      </c>
      <c r="B2058">
        <v>37</v>
      </c>
      <c r="C2058">
        <v>100</v>
      </c>
      <c r="D2058">
        <v>7</v>
      </c>
      <c r="E2058" s="4" t="str">
        <f t="shared" si="192"/>
        <v>high sales</v>
      </c>
      <c r="F2058">
        <v>5032.74</v>
      </c>
      <c r="G2058" t="s">
        <v>2730</v>
      </c>
      <c r="H2058" s="1" t="str">
        <f t="shared" si="193"/>
        <v>Shipped</v>
      </c>
      <c r="I2058" s="4" t="str">
        <f t="shared" si="194"/>
        <v>completed</v>
      </c>
      <c r="J2058" t="s">
        <v>25</v>
      </c>
      <c r="K2058">
        <v>1</v>
      </c>
      <c r="L2058">
        <v>2</v>
      </c>
      <c r="M2058">
        <v>2004</v>
      </c>
      <c r="N2058" t="s">
        <v>181</v>
      </c>
      <c r="O2058">
        <v>118</v>
      </c>
      <c r="P2058" t="s">
        <v>645</v>
      </c>
      <c r="Q2058" t="s">
        <v>479</v>
      </c>
      <c r="R2058" t="s">
        <v>480</v>
      </c>
      <c r="S2058" t="s">
        <v>481</v>
      </c>
      <c r="T2058" t="s">
        <v>482</v>
      </c>
      <c r="U2058" s="1" t="str">
        <f t="shared" si="195"/>
        <v>Dublin</v>
      </c>
      <c r="V2058" t="s">
        <v>483</v>
      </c>
      <c r="X2058">
        <v>2</v>
      </c>
      <c r="Y2058" s="1" t="str">
        <f t="shared" si="196"/>
        <v>IRELAND</v>
      </c>
      <c r="Z2058" s="4" t="str">
        <f t="shared" si="197"/>
        <v>Ireland</v>
      </c>
      <c r="AA2058" t="s">
        <v>484</v>
      </c>
      <c r="AB2058" t="s">
        <v>42</v>
      </c>
      <c r="AC2058" t="s">
        <v>485</v>
      </c>
      <c r="AD2058" t="s">
        <v>486</v>
      </c>
      <c r="AE2058" t="s">
        <v>51</v>
      </c>
    </row>
    <row r="2059" spans="1:31" x14ac:dyDescent="0.3">
      <c r="A2059">
        <v>10230</v>
      </c>
      <c r="B2059">
        <v>45</v>
      </c>
      <c r="C2059">
        <v>100</v>
      </c>
      <c r="D2059">
        <v>5</v>
      </c>
      <c r="E2059" s="4" t="str">
        <f t="shared" si="192"/>
        <v>high sales</v>
      </c>
      <c r="F2059">
        <v>4737.1499999999996</v>
      </c>
      <c r="G2059" t="s">
        <v>2731</v>
      </c>
      <c r="H2059" s="1" t="str">
        <f t="shared" si="193"/>
        <v>Shipped</v>
      </c>
      <c r="I2059" s="4" t="str">
        <f t="shared" si="194"/>
        <v>completed</v>
      </c>
      <c r="J2059" t="s">
        <v>25</v>
      </c>
      <c r="K2059">
        <v>1</v>
      </c>
      <c r="L2059">
        <v>3</v>
      </c>
      <c r="M2059">
        <v>2004</v>
      </c>
      <c r="N2059" t="s">
        <v>181</v>
      </c>
      <c r="O2059">
        <v>118</v>
      </c>
      <c r="P2059" t="s">
        <v>645</v>
      </c>
      <c r="Q2059" t="s">
        <v>462</v>
      </c>
      <c r="R2059" t="s">
        <v>463</v>
      </c>
      <c r="S2059" t="s">
        <v>464</v>
      </c>
      <c r="U2059" s="1" t="str">
        <f t="shared" si="195"/>
        <v>Frankfurt</v>
      </c>
      <c r="V2059" t="s">
        <v>465</v>
      </c>
      <c r="X2059">
        <v>60528</v>
      </c>
      <c r="Y2059" s="1" t="str">
        <f t="shared" si="196"/>
        <v>GERMANY</v>
      </c>
      <c r="Z2059" s="4" t="str">
        <f t="shared" si="197"/>
        <v>Germany</v>
      </c>
      <c r="AA2059" t="s">
        <v>443</v>
      </c>
      <c r="AB2059" t="s">
        <v>42</v>
      </c>
      <c r="AC2059" t="s">
        <v>466</v>
      </c>
      <c r="AD2059" t="s">
        <v>414</v>
      </c>
      <c r="AE2059" t="s">
        <v>51</v>
      </c>
    </row>
    <row r="2060" spans="1:31" x14ac:dyDescent="0.3">
      <c r="A2060">
        <v>10246</v>
      </c>
      <c r="B2060">
        <v>46</v>
      </c>
      <c r="C2060">
        <v>100</v>
      </c>
      <c r="D2060">
        <v>1</v>
      </c>
      <c r="E2060" s="4" t="str">
        <f t="shared" si="192"/>
        <v>high sales</v>
      </c>
      <c r="F2060">
        <v>6311.2</v>
      </c>
      <c r="G2060" t="s">
        <v>2732</v>
      </c>
      <c r="H2060" s="1" t="str">
        <f t="shared" si="193"/>
        <v>Shipped</v>
      </c>
      <c r="I2060" s="4" t="str">
        <f t="shared" si="194"/>
        <v>completed</v>
      </c>
      <c r="J2060" t="s">
        <v>25</v>
      </c>
      <c r="K2060">
        <v>2</v>
      </c>
      <c r="L2060">
        <v>5</v>
      </c>
      <c r="M2060">
        <v>2004</v>
      </c>
      <c r="N2060" t="s">
        <v>181</v>
      </c>
      <c r="O2060">
        <v>118</v>
      </c>
      <c r="P2060" t="s">
        <v>645</v>
      </c>
      <c r="Q2060" t="s">
        <v>174</v>
      </c>
      <c r="R2060" t="s">
        <v>175</v>
      </c>
      <c r="S2060" t="s">
        <v>176</v>
      </c>
      <c r="U2060" s="1" t="str">
        <f t="shared" si="195"/>
        <v>Madrid</v>
      </c>
      <c r="V2060" t="s">
        <v>177</v>
      </c>
      <c r="X2060">
        <v>28034</v>
      </c>
      <c r="Y2060" s="1" t="str">
        <f t="shared" si="196"/>
        <v>SPAIN</v>
      </c>
      <c r="Z2060" s="4" t="str">
        <f t="shared" si="197"/>
        <v>Spain</v>
      </c>
      <c r="AA2060" t="s">
        <v>178</v>
      </c>
      <c r="AB2060" t="s">
        <v>42</v>
      </c>
      <c r="AC2060" t="s">
        <v>179</v>
      </c>
      <c r="AD2060" t="s">
        <v>180</v>
      </c>
      <c r="AE2060" t="s">
        <v>51</v>
      </c>
    </row>
    <row r="2061" spans="1:31" x14ac:dyDescent="0.3">
      <c r="A2061">
        <v>10271</v>
      </c>
      <c r="B2061">
        <v>22</v>
      </c>
      <c r="C2061">
        <v>100</v>
      </c>
      <c r="D2061">
        <v>1</v>
      </c>
      <c r="E2061" s="4" t="str">
        <f t="shared" si="192"/>
        <v>low sales</v>
      </c>
      <c r="F2061">
        <v>3070.54</v>
      </c>
      <c r="G2061" t="s">
        <v>2733</v>
      </c>
      <c r="H2061" s="1" t="str">
        <f t="shared" si="193"/>
        <v>Shipped</v>
      </c>
      <c r="I2061" s="4" t="str">
        <f t="shared" si="194"/>
        <v>completed</v>
      </c>
      <c r="J2061" t="s">
        <v>25</v>
      </c>
      <c r="K2061">
        <v>3</v>
      </c>
      <c r="L2061">
        <v>7</v>
      </c>
      <c r="M2061">
        <v>2004</v>
      </c>
      <c r="N2061" t="s">
        <v>181</v>
      </c>
      <c r="O2061">
        <v>118</v>
      </c>
      <c r="P2061" t="s">
        <v>645</v>
      </c>
      <c r="Q2061" t="s">
        <v>272</v>
      </c>
      <c r="R2061">
        <v>4155551450</v>
      </c>
      <c r="S2061" t="s">
        <v>273</v>
      </c>
      <c r="U2061" s="1" t="str">
        <f t="shared" si="195"/>
        <v>San Rafael</v>
      </c>
      <c r="V2061" t="s">
        <v>274</v>
      </c>
      <c r="W2061" t="s">
        <v>55</v>
      </c>
      <c r="X2061">
        <v>97562</v>
      </c>
      <c r="Y2061" s="1" t="str">
        <f t="shared" si="196"/>
        <v>USA</v>
      </c>
      <c r="Z2061" s="4" t="str">
        <f t="shared" si="197"/>
        <v>Usa</v>
      </c>
      <c r="AA2061" t="s">
        <v>32</v>
      </c>
      <c r="AB2061" t="s">
        <v>33</v>
      </c>
      <c r="AC2061" t="s">
        <v>275</v>
      </c>
      <c r="AD2061" t="s">
        <v>276</v>
      </c>
      <c r="AE2061" t="s">
        <v>51</v>
      </c>
    </row>
    <row r="2062" spans="1:31" x14ac:dyDescent="0.3">
      <c r="A2062">
        <v>10282</v>
      </c>
      <c r="B2062">
        <v>39</v>
      </c>
      <c r="C2062">
        <v>100</v>
      </c>
      <c r="D2062">
        <v>10</v>
      </c>
      <c r="E2062" s="4" t="str">
        <f t="shared" si="192"/>
        <v>high sales</v>
      </c>
      <c r="F2062">
        <v>4797.3900000000003</v>
      </c>
      <c r="G2062" t="s">
        <v>2734</v>
      </c>
      <c r="H2062" s="1" t="str">
        <f t="shared" si="193"/>
        <v>Shipped</v>
      </c>
      <c r="I2062" s="4" t="str">
        <f t="shared" si="194"/>
        <v>completed</v>
      </c>
      <c r="J2062" t="s">
        <v>25</v>
      </c>
      <c r="K2062">
        <v>3</v>
      </c>
      <c r="L2062">
        <v>8</v>
      </c>
      <c r="M2062">
        <v>2004</v>
      </c>
      <c r="N2062" t="s">
        <v>181</v>
      </c>
      <c r="O2062">
        <v>118</v>
      </c>
      <c r="P2062" t="s">
        <v>645</v>
      </c>
      <c r="Q2062" t="s">
        <v>272</v>
      </c>
      <c r="R2062">
        <v>4155551450</v>
      </c>
      <c r="S2062" t="s">
        <v>273</v>
      </c>
      <c r="U2062" s="1" t="str">
        <f t="shared" si="195"/>
        <v>San Rafael</v>
      </c>
      <c r="V2062" t="s">
        <v>274</v>
      </c>
      <c r="W2062" t="s">
        <v>55</v>
      </c>
      <c r="X2062">
        <v>97562</v>
      </c>
      <c r="Y2062" s="1" t="str">
        <f t="shared" si="196"/>
        <v>USA</v>
      </c>
      <c r="Z2062" s="4" t="str">
        <f t="shared" si="197"/>
        <v>Usa</v>
      </c>
      <c r="AA2062" t="s">
        <v>32</v>
      </c>
      <c r="AB2062" t="s">
        <v>33</v>
      </c>
      <c r="AC2062" t="s">
        <v>275</v>
      </c>
      <c r="AD2062" t="s">
        <v>276</v>
      </c>
      <c r="AE2062" t="s">
        <v>51</v>
      </c>
    </row>
    <row r="2063" spans="1:31" x14ac:dyDescent="0.3">
      <c r="A2063">
        <v>10292</v>
      </c>
      <c r="B2063">
        <v>27</v>
      </c>
      <c r="C2063">
        <v>100</v>
      </c>
      <c r="D2063">
        <v>4</v>
      </c>
      <c r="E2063" s="4" t="str">
        <f t="shared" si="192"/>
        <v>low sales</v>
      </c>
      <c r="F2063">
        <v>3832.38</v>
      </c>
      <c r="G2063" t="s">
        <v>2735</v>
      </c>
      <c r="H2063" s="1" t="str">
        <f t="shared" si="193"/>
        <v>Shipped</v>
      </c>
      <c r="I2063" s="4" t="str">
        <f t="shared" si="194"/>
        <v>completed</v>
      </c>
      <c r="J2063" t="s">
        <v>25</v>
      </c>
      <c r="K2063">
        <v>3</v>
      </c>
      <c r="L2063">
        <v>9</v>
      </c>
      <c r="M2063">
        <v>2004</v>
      </c>
      <c r="N2063" t="s">
        <v>181</v>
      </c>
      <c r="O2063">
        <v>118</v>
      </c>
      <c r="P2063" t="s">
        <v>645</v>
      </c>
      <c r="Q2063" t="s">
        <v>28</v>
      </c>
      <c r="R2063">
        <v>2125557818</v>
      </c>
      <c r="S2063" t="s">
        <v>29</v>
      </c>
      <c r="U2063" s="1" t="str">
        <f t="shared" si="195"/>
        <v>Nyc</v>
      </c>
      <c r="V2063" t="s">
        <v>30</v>
      </c>
      <c r="W2063" t="s">
        <v>31</v>
      </c>
      <c r="X2063">
        <v>10022</v>
      </c>
      <c r="Y2063" s="1" t="str">
        <f t="shared" si="196"/>
        <v>USA</v>
      </c>
      <c r="Z2063" s="4" t="str">
        <f t="shared" si="197"/>
        <v>Usa</v>
      </c>
      <c r="AA2063" t="s">
        <v>32</v>
      </c>
      <c r="AB2063" t="s">
        <v>33</v>
      </c>
      <c r="AC2063" t="s">
        <v>34</v>
      </c>
      <c r="AD2063" t="s">
        <v>35</v>
      </c>
      <c r="AE2063" t="s">
        <v>51</v>
      </c>
    </row>
    <row r="2064" spans="1:31" x14ac:dyDescent="0.3">
      <c r="A2064">
        <v>10305</v>
      </c>
      <c r="B2064">
        <v>36</v>
      </c>
      <c r="C2064">
        <v>100</v>
      </c>
      <c r="D2064">
        <v>1</v>
      </c>
      <c r="E2064" s="4" t="str">
        <f t="shared" si="192"/>
        <v>high sales</v>
      </c>
      <c r="F2064">
        <v>4641.4799999999996</v>
      </c>
      <c r="G2064" t="s">
        <v>2736</v>
      </c>
      <c r="H2064" s="1" t="str">
        <f t="shared" si="193"/>
        <v>Shipped</v>
      </c>
      <c r="I2064" s="4" t="str">
        <f t="shared" si="194"/>
        <v>completed</v>
      </c>
      <c r="J2064" t="s">
        <v>25</v>
      </c>
      <c r="K2064">
        <v>4</v>
      </c>
      <c r="L2064">
        <v>10</v>
      </c>
      <c r="M2064">
        <v>2004</v>
      </c>
      <c r="N2064" t="s">
        <v>181</v>
      </c>
      <c r="O2064">
        <v>118</v>
      </c>
      <c r="P2064" t="s">
        <v>645</v>
      </c>
      <c r="Q2064" t="s">
        <v>120</v>
      </c>
      <c r="R2064">
        <v>6175558555</v>
      </c>
      <c r="S2064" t="s">
        <v>121</v>
      </c>
      <c r="U2064" s="1" t="str">
        <f t="shared" si="195"/>
        <v>Cambridge</v>
      </c>
      <c r="V2064" t="s">
        <v>122</v>
      </c>
      <c r="W2064" t="s">
        <v>123</v>
      </c>
      <c r="X2064">
        <v>51247</v>
      </c>
      <c r="Y2064" s="1" t="str">
        <f t="shared" si="196"/>
        <v>USA</v>
      </c>
      <c r="Z2064" s="4" t="str">
        <f t="shared" si="197"/>
        <v>Usa</v>
      </c>
      <c r="AA2064" t="s">
        <v>32</v>
      </c>
      <c r="AB2064" t="s">
        <v>33</v>
      </c>
      <c r="AC2064" t="s">
        <v>124</v>
      </c>
      <c r="AD2064" t="s">
        <v>125</v>
      </c>
      <c r="AE2064" t="s">
        <v>51</v>
      </c>
    </row>
    <row r="2065" spans="1:31" x14ac:dyDescent="0.3">
      <c r="A2065">
        <v>10314</v>
      </c>
      <c r="B2065">
        <v>38</v>
      </c>
      <c r="C2065">
        <v>100</v>
      </c>
      <c r="D2065">
        <v>10</v>
      </c>
      <c r="E2065" s="4" t="str">
        <f t="shared" si="192"/>
        <v>high sales</v>
      </c>
      <c r="F2065">
        <v>4000.26</v>
      </c>
      <c r="G2065" t="s">
        <v>2737</v>
      </c>
      <c r="H2065" s="1" t="str">
        <f t="shared" si="193"/>
        <v>Shipped</v>
      </c>
      <c r="I2065" s="4" t="str">
        <f t="shared" si="194"/>
        <v>completed</v>
      </c>
      <c r="J2065" t="s">
        <v>25</v>
      </c>
      <c r="K2065">
        <v>4</v>
      </c>
      <c r="L2065">
        <v>10</v>
      </c>
      <c r="M2065">
        <v>2004</v>
      </c>
      <c r="N2065" t="s">
        <v>181</v>
      </c>
      <c r="O2065">
        <v>118</v>
      </c>
      <c r="P2065" t="s">
        <v>645</v>
      </c>
      <c r="Q2065" t="s">
        <v>498</v>
      </c>
      <c r="R2065" t="s">
        <v>499</v>
      </c>
      <c r="S2065" t="s">
        <v>500</v>
      </c>
      <c r="U2065" s="1" t="str">
        <f t="shared" si="195"/>
        <v>Aaarhus</v>
      </c>
      <c r="V2065" t="s">
        <v>501</v>
      </c>
      <c r="X2065">
        <v>8200</v>
      </c>
      <c r="Y2065" s="1" t="str">
        <f t="shared" si="196"/>
        <v>DENMARK</v>
      </c>
      <c r="Z2065" s="4" t="str">
        <f t="shared" si="197"/>
        <v>Denmark</v>
      </c>
      <c r="AA2065" t="s">
        <v>326</v>
      </c>
      <c r="AB2065" t="s">
        <v>42</v>
      </c>
      <c r="AC2065" t="s">
        <v>502</v>
      </c>
      <c r="AD2065" t="s">
        <v>503</v>
      </c>
      <c r="AE2065" t="s">
        <v>51</v>
      </c>
    </row>
    <row r="2066" spans="1:31" x14ac:dyDescent="0.3">
      <c r="A2066">
        <v>10325</v>
      </c>
      <c r="B2066">
        <v>44</v>
      </c>
      <c r="C2066">
        <v>100</v>
      </c>
      <c r="D2066">
        <v>5</v>
      </c>
      <c r="E2066" s="4" t="str">
        <f t="shared" si="192"/>
        <v>high sales</v>
      </c>
      <c r="F2066">
        <v>5325.76</v>
      </c>
      <c r="G2066" t="s">
        <v>2738</v>
      </c>
      <c r="H2066" s="1" t="str">
        <f t="shared" si="193"/>
        <v>Shipped</v>
      </c>
      <c r="I2066" s="4" t="str">
        <f t="shared" si="194"/>
        <v>completed</v>
      </c>
      <c r="J2066" t="s">
        <v>25</v>
      </c>
      <c r="K2066">
        <v>4</v>
      </c>
      <c r="L2066">
        <v>11</v>
      </c>
      <c r="M2066">
        <v>2004</v>
      </c>
      <c r="N2066" t="s">
        <v>181</v>
      </c>
      <c r="O2066">
        <v>118</v>
      </c>
      <c r="P2066" t="s">
        <v>645</v>
      </c>
      <c r="Q2066" t="s">
        <v>133</v>
      </c>
      <c r="R2066" t="s">
        <v>134</v>
      </c>
      <c r="S2066" t="s">
        <v>135</v>
      </c>
      <c r="U2066" s="1" t="str">
        <f t="shared" si="195"/>
        <v>Stavern</v>
      </c>
      <c r="V2066" t="s">
        <v>136</v>
      </c>
      <c r="X2066">
        <v>4110</v>
      </c>
      <c r="Y2066" s="1" t="str">
        <f t="shared" si="196"/>
        <v>NORWAY</v>
      </c>
      <c r="Z2066" s="4" t="str">
        <f t="shared" si="197"/>
        <v>Norway</v>
      </c>
      <c r="AA2066" t="s">
        <v>78</v>
      </c>
      <c r="AB2066" t="s">
        <v>42</v>
      </c>
      <c r="AC2066" t="s">
        <v>137</v>
      </c>
      <c r="AD2066" t="s">
        <v>138</v>
      </c>
      <c r="AE2066" t="s">
        <v>51</v>
      </c>
    </row>
    <row r="2067" spans="1:31" x14ac:dyDescent="0.3">
      <c r="A2067">
        <v>10336</v>
      </c>
      <c r="B2067">
        <v>31</v>
      </c>
      <c r="C2067">
        <v>100</v>
      </c>
      <c r="D2067">
        <v>5</v>
      </c>
      <c r="E2067" s="4" t="str">
        <f t="shared" si="192"/>
        <v>high sales</v>
      </c>
      <c r="F2067">
        <v>4618.6899999999996</v>
      </c>
      <c r="G2067" t="s">
        <v>2739</v>
      </c>
      <c r="H2067" s="1" t="str">
        <f t="shared" si="193"/>
        <v>Shipped</v>
      </c>
      <c r="I2067" s="4" t="str">
        <f t="shared" si="194"/>
        <v>completed</v>
      </c>
      <c r="J2067" t="s">
        <v>25</v>
      </c>
      <c r="K2067">
        <v>4</v>
      </c>
      <c r="L2067">
        <v>11</v>
      </c>
      <c r="M2067">
        <v>2004</v>
      </c>
      <c r="N2067" t="s">
        <v>181</v>
      </c>
      <c r="O2067">
        <v>118</v>
      </c>
      <c r="P2067" t="s">
        <v>645</v>
      </c>
      <c r="Q2067" t="s">
        <v>403</v>
      </c>
      <c r="R2067" t="s">
        <v>404</v>
      </c>
      <c r="S2067" t="s">
        <v>405</v>
      </c>
      <c r="U2067" s="1" t="str">
        <f t="shared" si="195"/>
        <v>Paris</v>
      </c>
      <c r="V2067" t="s">
        <v>48</v>
      </c>
      <c r="X2067">
        <v>75012</v>
      </c>
      <c r="Y2067" s="1" t="str">
        <f t="shared" si="196"/>
        <v>FRANCE</v>
      </c>
      <c r="Z2067" s="4" t="str">
        <f t="shared" si="197"/>
        <v>France</v>
      </c>
      <c r="AA2067" t="s">
        <v>41</v>
      </c>
      <c r="AB2067" t="s">
        <v>42</v>
      </c>
      <c r="AC2067" t="s">
        <v>406</v>
      </c>
      <c r="AD2067" t="s">
        <v>407</v>
      </c>
      <c r="AE2067" t="s">
        <v>51</v>
      </c>
    </row>
    <row r="2068" spans="1:31" x14ac:dyDescent="0.3">
      <c r="A2068">
        <v>10349</v>
      </c>
      <c r="B2068">
        <v>23</v>
      </c>
      <c r="C2068">
        <v>100</v>
      </c>
      <c r="D2068">
        <v>2</v>
      </c>
      <c r="E2068" s="4" t="str">
        <f t="shared" si="192"/>
        <v>low sales</v>
      </c>
      <c r="F2068">
        <v>3182.97</v>
      </c>
      <c r="G2068" t="s">
        <v>2740</v>
      </c>
      <c r="H2068" s="1" t="str">
        <f t="shared" si="193"/>
        <v>Shipped</v>
      </c>
      <c r="I2068" s="4" t="str">
        <f t="shared" si="194"/>
        <v>completed</v>
      </c>
      <c r="J2068" t="s">
        <v>25</v>
      </c>
      <c r="K2068">
        <v>4</v>
      </c>
      <c r="L2068">
        <v>12</v>
      </c>
      <c r="M2068">
        <v>2004</v>
      </c>
      <c r="N2068" t="s">
        <v>181</v>
      </c>
      <c r="O2068">
        <v>118</v>
      </c>
      <c r="P2068" t="s">
        <v>645</v>
      </c>
      <c r="Q2068" t="s">
        <v>475</v>
      </c>
      <c r="R2068">
        <v>2125557413</v>
      </c>
      <c r="S2068" t="s">
        <v>476</v>
      </c>
      <c r="T2068" t="s">
        <v>477</v>
      </c>
      <c r="U2068" s="1" t="str">
        <f t="shared" si="195"/>
        <v>Nyc</v>
      </c>
      <c r="V2068" t="s">
        <v>30</v>
      </c>
      <c r="W2068" t="s">
        <v>31</v>
      </c>
      <c r="X2068">
        <v>10022</v>
      </c>
      <c r="Y2068" s="1" t="str">
        <f t="shared" si="196"/>
        <v>USA</v>
      </c>
      <c r="Z2068" s="4" t="str">
        <f t="shared" si="197"/>
        <v>Usa</v>
      </c>
      <c r="AA2068" t="s">
        <v>32</v>
      </c>
      <c r="AB2068" t="s">
        <v>33</v>
      </c>
      <c r="AC2068" t="s">
        <v>56</v>
      </c>
      <c r="AD2068" t="s">
        <v>478</v>
      </c>
      <c r="AE2068" t="s">
        <v>51</v>
      </c>
    </row>
    <row r="2069" spans="1:31" x14ac:dyDescent="0.3">
      <c r="A2069">
        <v>10359</v>
      </c>
      <c r="B2069">
        <v>22</v>
      </c>
      <c r="C2069">
        <v>100</v>
      </c>
      <c r="D2069">
        <v>7</v>
      </c>
      <c r="E2069" s="4" t="str">
        <f t="shared" si="192"/>
        <v>low sales</v>
      </c>
      <c r="F2069">
        <v>2603.04</v>
      </c>
      <c r="G2069" t="s">
        <v>2741</v>
      </c>
      <c r="H2069" s="1" t="str">
        <f t="shared" si="193"/>
        <v>Shipped</v>
      </c>
      <c r="I2069" s="4" t="str">
        <f t="shared" si="194"/>
        <v>completed</v>
      </c>
      <c r="J2069" t="s">
        <v>25</v>
      </c>
      <c r="K2069">
        <v>4</v>
      </c>
      <c r="L2069">
        <v>12</v>
      </c>
      <c r="M2069">
        <v>2004</v>
      </c>
      <c r="N2069" t="s">
        <v>181</v>
      </c>
      <c r="O2069">
        <v>118</v>
      </c>
      <c r="P2069" t="s">
        <v>645</v>
      </c>
      <c r="Q2069" t="s">
        <v>37</v>
      </c>
      <c r="R2069" t="s">
        <v>38</v>
      </c>
      <c r="S2069" t="s">
        <v>39</v>
      </c>
      <c r="U2069" s="1" t="str">
        <f t="shared" si="195"/>
        <v>Reims</v>
      </c>
      <c r="V2069" t="s">
        <v>40</v>
      </c>
      <c r="X2069">
        <v>51100</v>
      </c>
      <c r="Y2069" s="1" t="str">
        <f t="shared" si="196"/>
        <v>FRANCE</v>
      </c>
      <c r="Z2069" s="4" t="str">
        <f t="shared" si="197"/>
        <v>France</v>
      </c>
      <c r="AA2069" t="s">
        <v>41</v>
      </c>
      <c r="AB2069" t="s">
        <v>42</v>
      </c>
      <c r="AC2069" t="s">
        <v>43</v>
      </c>
      <c r="AD2069" t="s">
        <v>44</v>
      </c>
      <c r="AE2069" t="s">
        <v>36</v>
      </c>
    </row>
    <row r="2070" spans="1:31" x14ac:dyDescent="0.3">
      <c r="A2070">
        <v>10371</v>
      </c>
      <c r="B2070">
        <v>28</v>
      </c>
      <c r="C2070">
        <v>50.32</v>
      </c>
      <c r="D2070">
        <v>9</v>
      </c>
      <c r="E2070" s="4" t="str">
        <f t="shared" si="192"/>
        <v>low sales</v>
      </c>
      <c r="F2070">
        <v>1408.96</v>
      </c>
      <c r="G2070" t="s">
        <v>2742</v>
      </c>
      <c r="H2070" s="1" t="str">
        <f t="shared" si="193"/>
        <v>Shipped</v>
      </c>
      <c r="I2070" s="4" t="str">
        <f t="shared" si="194"/>
        <v>completed</v>
      </c>
      <c r="J2070" t="s">
        <v>25</v>
      </c>
      <c r="K2070">
        <v>1</v>
      </c>
      <c r="L2070">
        <v>1</v>
      </c>
      <c r="M2070">
        <v>2005</v>
      </c>
      <c r="N2070" t="s">
        <v>181</v>
      </c>
      <c r="O2070">
        <v>118</v>
      </c>
      <c r="P2070" t="s">
        <v>645</v>
      </c>
      <c r="Q2070" t="s">
        <v>272</v>
      </c>
      <c r="R2070">
        <v>4155551450</v>
      </c>
      <c r="S2070" t="s">
        <v>273</v>
      </c>
      <c r="U2070" s="1" t="str">
        <f t="shared" si="195"/>
        <v>San Rafael</v>
      </c>
      <c r="V2070" t="s">
        <v>274</v>
      </c>
      <c r="W2070" t="s">
        <v>55</v>
      </c>
      <c r="X2070">
        <v>97562</v>
      </c>
      <c r="Y2070" s="1" t="str">
        <f t="shared" si="196"/>
        <v>USA</v>
      </c>
      <c r="Z2070" s="4" t="str">
        <f t="shared" si="197"/>
        <v>Usa</v>
      </c>
      <c r="AA2070" t="s">
        <v>32</v>
      </c>
      <c r="AB2070" t="s">
        <v>33</v>
      </c>
      <c r="AC2070" t="s">
        <v>275</v>
      </c>
      <c r="AD2070" t="s">
        <v>276</v>
      </c>
      <c r="AE2070" t="s">
        <v>36</v>
      </c>
    </row>
    <row r="2071" spans="1:31" x14ac:dyDescent="0.3">
      <c r="A2071">
        <v>10383</v>
      </c>
      <c r="B2071">
        <v>21</v>
      </c>
      <c r="C2071">
        <v>93.91</v>
      </c>
      <c r="D2071">
        <v>4</v>
      </c>
      <c r="E2071" s="4" t="str">
        <f t="shared" si="192"/>
        <v>low sales</v>
      </c>
      <c r="F2071">
        <v>1972.11</v>
      </c>
      <c r="G2071" t="s">
        <v>2743</v>
      </c>
      <c r="H2071" s="1" t="str">
        <f t="shared" si="193"/>
        <v>Shipped</v>
      </c>
      <c r="I2071" s="4" t="str">
        <f t="shared" si="194"/>
        <v>completed</v>
      </c>
      <c r="J2071" t="s">
        <v>25</v>
      </c>
      <c r="K2071">
        <v>1</v>
      </c>
      <c r="L2071">
        <v>2</v>
      </c>
      <c r="M2071">
        <v>2005</v>
      </c>
      <c r="N2071" t="s">
        <v>181</v>
      </c>
      <c r="O2071">
        <v>118</v>
      </c>
      <c r="P2071" t="s">
        <v>645</v>
      </c>
      <c r="Q2071" t="s">
        <v>174</v>
      </c>
      <c r="R2071" t="s">
        <v>175</v>
      </c>
      <c r="S2071" t="s">
        <v>176</v>
      </c>
      <c r="U2071" s="1" t="str">
        <f t="shared" si="195"/>
        <v>Madrid</v>
      </c>
      <c r="V2071" t="s">
        <v>177</v>
      </c>
      <c r="X2071">
        <v>28034</v>
      </c>
      <c r="Y2071" s="1" t="str">
        <f t="shared" si="196"/>
        <v>SPAIN</v>
      </c>
      <c r="Z2071" s="4" t="str">
        <f t="shared" si="197"/>
        <v>Spain</v>
      </c>
      <c r="AA2071" t="s">
        <v>178</v>
      </c>
      <c r="AB2071" t="s">
        <v>42</v>
      </c>
      <c r="AC2071" t="s">
        <v>179</v>
      </c>
      <c r="AD2071" t="s">
        <v>180</v>
      </c>
      <c r="AE2071" t="s">
        <v>36</v>
      </c>
    </row>
    <row r="2072" spans="1:31" x14ac:dyDescent="0.3">
      <c r="A2072">
        <v>10394</v>
      </c>
      <c r="B2072">
        <v>37</v>
      </c>
      <c r="C2072">
        <v>100</v>
      </c>
      <c r="D2072">
        <v>7</v>
      </c>
      <c r="E2072" s="4" t="str">
        <f t="shared" si="192"/>
        <v>high sales</v>
      </c>
      <c r="F2072">
        <v>5207.75</v>
      </c>
      <c r="G2072" t="s">
        <v>2744</v>
      </c>
      <c r="H2072" s="1" t="str">
        <f t="shared" si="193"/>
        <v>Shipped</v>
      </c>
      <c r="I2072" s="4" t="str">
        <f t="shared" si="194"/>
        <v>completed</v>
      </c>
      <c r="J2072" t="s">
        <v>25</v>
      </c>
      <c r="K2072">
        <v>1</v>
      </c>
      <c r="L2072">
        <v>3</v>
      </c>
      <c r="M2072">
        <v>2005</v>
      </c>
      <c r="N2072" t="s">
        <v>181</v>
      </c>
      <c r="O2072">
        <v>118</v>
      </c>
      <c r="P2072" t="s">
        <v>645</v>
      </c>
      <c r="Q2072" t="s">
        <v>174</v>
      </c>
      <c r="R2072" t="s">
        <v>175</v>
      </c>
      <c r="S2072" t="s">
        <v>176</v>
      </c>
      <c r="U2072" s="1" t="str">
        <f t="shared" si="195"/>
        <v>Madrid</v>
      </c>
      <c r="V2072" t="s">
        <v>177</v>
      </c>
      <c r="X2072">
        <v>28034</v>
      </c>
      <c r="Y2072" s="1" t="str">
        <f t="shared" si="196"/>
        <v>SPAIN</v>
      </c>
      <c r="Z2072" s="4" t="str">
        <f t="shared" si="197"/>
        <v>Spain</v>
      </c>
      <c r="AA2072" t="s">
        <v>178</v>
      </c>
      <c r="AB2072" t="s">
        <v>42</v>
      </c>
      <c r="AC2072" t="s">
        <v>179</v>
      </c>
      <c r="AD2072" t="s">
        <v>180</v>
      </c>
      <c r="AE2072" t="s">
        <v>51</v>
      </c>
    </row>
    <row r="2073" spans="1:31" x14ac:dyDescent="0.3">
      <c r="A2073">
        <v>10412</v>
      </c>
      <c r="B2073">
        <v>31</v>
      </c>
      <c r="C2073">
        <v>100</v>
      </c>
      <c r="D2073">
        <v>1</v>
      </c>
      <c r="E2073" s="4" t="str">
        <f t="shared" si="192"/>
        <v>high sales</v>
      </c>
      <c r="F2073">
        <v>4253.2</v>
      </c>
      <c r="G2073" t="s">
        <v>2745</v>
      </c>
      <c r="H2073" s="1" t="str">
        <f t="shared" si="193"/>
        <v>Shipped</v>
      </c>
      <c r="I2073" s="4" t="str">
        <f t="shared" si="194"/>
        <v>completed</v>
      </c>
      <c r="J2073" t="s">
        <v>25</v>
      </c>
      <c r="K2073">
        <v>2</v>
      </c>
      <c r="L2073">
        <v>5</v>
      </c>
      <c r="M2073">
        <v>2005</v>
      </c>
      <c r="N2073" t="s">
        <v>181</v>
      </c>
      <c r="O2073">
        <v>118</v>
      </c>
      <c r="P2073" t="s">
        <v>645</v>
      </c>
      <c r="Q2073" t="s">
        <v>174</v>
      </c>
      <c r="R2073" t="s">
        <v>175</v>
      </c>
      <c r="S2073" t="s">
        <v>176</v>
      </c>
      <c r="U2073" s="1" t="str">
        <f t="shared" si="195"/>
        <v>Madrid</v>
      </c>
      <c r="V2073" t="s">
        <v>177</v>
      </c>
      <c r="X2073">
        <v>28034</v>
      </c>
      <c r="Y2073" s="1" t="str">
        <f t="shared" si="196"/>
        <v>SPAIN</v>
      </c>
      <c r="Z2073" s="4" t="str">
        <f t="shared" si="197"/>
        <v>Spain</v>
      </c>
      <c r="AA2073" t="s">
        <v>178</v>
      </c>
      <c r="AB2073" t="s">
        <v>42</v>
      </c>
      <c r="AC2073" t="s">
        <v>179</v>
      </c>
      <c r="AD2073" t="s">
        <v>180</v>
      </c>
      <c r="AE2073" t="s">
        <v>51</v>
      </c>
    </row>
    <row r="2074" spans="1:31" x14ac:dyDescent="0.3">
      <c r="A2074">
        <v>10103</v>
      </c>
      <c r="B2074">
        <v>25</v>
      </c>
      <c r="C2074">
        <v>100</v>
      </c>
      <c r="D2074">
        <v>15</v>
      </c>
      <c r="E2074" s="4" t="str">
        <f t="shared" si="192"/>
        <v>low sales</v>
      </c>
      <c r="F2074">
        <v>2873</v>
      </c>
      <c r="G2074" t="s">
        <v>2746</v>
      </c>
      <c r="H2074" s="1" t="str">
        <f t="shared" si="193"/>
        <v>Shipped</v>
      </c>
      <c r="I2074" s="4" t="str">
        <f t="shared" si="194"/>
        <v>completed</v>
      </c>
      <c r="J2074" t="s">
        <v>25</v>
      </c>
      <c r="K2074">
        <v>1</v>
      </c>
      <c r="L2074">
        <v>1</v>
      </c>
      <c r="M2074">
        <v>2003</v>
      </c>
      <c r="N2074" t="s">
        <v>550</v>
      </c>
      <c r="O2074">
        <v>97</v>
      </c>
      <c r="P2074" t="s">
        <v>646</v>
      </c>
      <c r="Q2074" t="s">
        <v>133</v>
      </c>
      <c r="R2074" t="s">
        <v>134</v>
      </c>
      <c r="S2074" t="s">
        <v>135</v>
      </c>
      <c r="U2074" s="1" t="str">
        <f t="shared" si="195"/>
        <v>Stavern</v>
      </c>
      <c r="V2074" t="s">
        <v>136</v>
      </c>
      <c r="X2074">
        <v>4110</v>
      </c>
      <c r="Y2074" s="1" t="str">
        <f t="shared" si="196"/>
        <v>NORWAY</v>
      </c>
      <c r="Z2074" s="4" t="str">
        <f t="shared" si="197"/>
        <v>Norway</v>
      </c>
      <c r="AA2074" t="s">
        <v>78</v>
      </c>
      <c r="AB2074" t="s">
        <v>42</v>
      </c>
      <c r="AC2074" t="s">
        <v>137</v>
      </c>
      <c r="AD2074" t="s">
        <v>138</v>
      </c>
      <c r="AE2074" t="s">
        <v>36</v>
      </c>
    </row>
    <row r="2075" spans="1:31" x14ac:dyDescent="0.3">
      <c r="A2075">
        <v>10111</v>
      </c>
      <c r="B2075">
        <v>26</v>
      </c>
      <c r="C2075">
        <v>86.68</v>
      </c>
      <c r="D2075">
        <v>3</v>
      </c>
      <c r="E2075" s="4" t="str">
        <f t="shared" si="192"/>
        <v>low sales</v>
      </c>
      <c r="F2075">
        <v>2253.6799999999998</v>
      </c>
      <c r="G2075" t="s">
        <v>2747</v>
      </c>
      <c r="H2075" s="1" t="str">
        <f t="shared" si="193"/>
        <v>Shipped</v>
      </c>
      <c r="I2075" s="4" t="str">
        <f t="shared" si="194"/>
        <v>completed</v>
      </c>
      <c r="J2075" t="s">
        <v>25</v>
      </c>
      <c r="K2075">
        <v>1</v>
      </c>
      <c r="L2075">
        <v>3</v>
      </c>
      <c r="M2075">
        <v>2003</v>
      </c>
      <c r="N2075" t="s">
        <v>550</v>
      </c>
      <c r="O2075">
        <v>97</v>
      </c>
      <c r="P2075" t="s">
        <v>646</v>
      </c>
      <c r="Q2075" t="s">
        <v>81</v>
      </c>
      <c r="R2075">
        <v>6505555787</v>
      </c>
      <c r="S2075" t="s">
        <v>82</v>
      </c>
      <c r="U2075" s="1" t="str">
        <f t="shared" si="195"/>
        <v>San Francisco</v>
      </c>
      <c r="V2075" t="s">
        <v>60</v>
      </c>
      <c r="W2075" t="s">
        <v>55</v>
      </c>
      <c r="Y2075" s="1" t="str">
        <f t="shared" si="196"/>
        <v>USA</v>
      </c>
      <c r="Z2075" s="4" t="str">
        <f t="shared" si="197"/>
        <v>Usa</v>
      </c>
      <c r="AA2075" t="s">
        <v>32</v>
      </c>
      <c r="AB2075" t="s">
        <v>33</v>
      </c>
      <c r="AC2075" t="s">
        <v>83</v>
      </c>
      <c r="AD2075" t="s">
        <v>57</v>
      </c>
      <c r="AE2075" t="s">
        <v>36</v>
      </c>
    </row>
    <row r="2076" spans="1:31" x14ac:dyDescent="0.3">
      <c r="A2076">
        <v>10126</v>
      </c>
      <c r="B2076">
        <v>34</v>
      </c>
      <c r="C2076">
        <v>100</v>
      </c>
      <c r="D2076">
        <v>15</v>
      </c>
      <c r="E2076" s="4" t="str">
        <f t="shared" si="192"/>
        <v>low sales</v>
      </c>
      <c r="F2076">
        <v>3576.12</v>
      </c>
      <c r="G2076" t="s">
        <v>2748</v>
      </c>
      <c r="H2076" s="1" t="str">
        <f t="shared" si="193"/>
        <v>Shipped</v>
      </c>
      <c r="I2076" s="4" t="str">
        <f t="shared" si="194"/>
        <v>completed</v>
      </c>
      <c r="J2076" t="s">
        <v>25</v>
      </c>
      <c r="K2076">
        <v>2</v>
      </c>
      <c r="L2076">
        <v>5</v>
      </c>
      <c r="M2076">
        <v>2003</v>
      </c>
      <c r="N2076" t="s">
        <v>550</v>
      </c>
      <c r="O2076">
        <v>97</v>
      </c>
      <c r="P2076" t="s">
        <v>646</v>
      </c>
      <c r="Q2076" t="s">
        <v>191</v>
      </c>
      <c r="R2076" t="s">
        <v>192</v>
      </c>
      <c r="S2076" t="s">
        <v>193</v>
      </c>
      <c r="U2076" s="1" t="str">
        <f t="shared" si="195"/>
        <v>Madrid</v>
      </c>
      <c r="V2076" t="s">
        <v>177</v>
      </c>
      <c r="X2076">
        <v>28023</v>
      </c>
      <c r="Y2076" s="1" t="str">
        <f t="shared" si="196"/>
        <v>SPAIN</v>
      </c>
      <c r="Z2076" s="4" t="str">
        <f t="shared" si="197"/>
        <v>Spain</v>
      </c>
      <c r="AA2076" t="s">
        <v>178</v>
      </c>
      <c r="AB2076" t="s">
        <v>42</v>
      </c>
      <c r="AC2076" t="s">
        <v>194</v>
      </c>
      <c r="AD2076" t="s">
        <v>195</v>
      </c>
      <c r="AE2076" t="s">
        <v>51</v>
      </c>
    </row>
    <row r="2077" spans="1:31" x14ac:dyDescent="0.3">
      <c r="A2077">
        <v>10139</v>
      </c>
      <c r="B2077">
        <v>29</v>
      </c>
      <c r="C2077">
        <v>100</v>
      </c>
      <c r="D2077">
        <v>4</v>
      </c>
      <c r="E2077" s="4" t="str">
        <f t="shared" si="192"/>
        <v>low sales</v>
      </c>
      <c r="F2077">
        <v>3276.13</v>
      </c>
      <c r="G2077" t="s">
        <v>2749</v>
      </c>
      <c r="H2077" s="1" t="str">
        <f t="shared" si="193"/>
        <v>Shipped</v>
      </c>
      <c r="I2077" s="4" t="str">
        <f t="shared" si="194"/>
        <v>completed</v>
      </c>
      <c r="J2077" t="s">
        <v>25</v>
      </c>
      <c r="K2077">
        <v>3</v>
      </c>
      <c r="L2077">
        <v>7</v>
      </c>
      <c r="M2077">
        <v>2003</v>
      </c>
      <c r="N2077" t="s">
        <v>550</v>
      </c>
      <c r="O2077">
        <v>97</v>
      </c>
      <c r="P2077" t="s">
        <v>646</v>
      </c>
      <c r="Q2077" t="s">
        <v>152</v>
      </c>
      <c r="R2077" t="s">
        <v>153</v>
      </c>
      <c r="S2077" t="s">
        <v>154</v>
      </c>
      <c r="T2077" t="s">
        <v>155</v>
      </c>
      <c r="U2077" s="1" t="str">
        <f t="shared" si="195"/>
        <v>Chatswood</v>
      </c>
      <c r="V2077" t="s">
        <v>156</v>
      </c>
      <c r="W2077" t="s">
        <v>157</v>
      </c>
      <c r="X2077">
        <v>2067</v>
      </c>
      <c r="Y2077" s="1" t="str">
        <f t="shared" si="196"/>
        <v>AUSTRALIA</v>
      </c>
      <c r="Z2077" s="4" t="str">
        <f t="shared" si="197"/>
        <v>Australia</v>
      </c>
      <c r="AA2077" t="s">
        <v>95</v>
      </c>
      <c r="AB2077" t="s">
        <v>96</v>
      </c>
      <c r="AC2077" t="s">
        <v>158</v>
      </c>
      <c r="AD2077" t="s">
        <v>159</v>
      </c>
      <c r="AE2077" t="s">
        <v>51</v>
      </c>
    </row>
    <row r="2078" spans="1:31" x14ac:dyDescent="0.3">
      <c r="A2078">
        <v>10149</v>
      </c>
      <c r="B2078">
        <v>20</v>
      </c>
      <c r="C2078">
        <v>90.57</v>
      </c>
      <c r="D2078">
        <v>1</v>
      </c>
      <c r="E2078" s="4" t="str">
        <f t="shared" si="192"/>
        <v>low sales</v>
      </c>
      <c r="F2078">
        <v>1811.4</v>
      </c>
      <c r="G2078" t="s">
        <v>2750</v>
      </c>
      <c r="H2078" s="1" t="str">
        <f t="shared" si="193"/>
        <v>Shipped</v>
      </c>
      <c r="I2078" s="4" t="str">
        <f t="shared" si="194"/>
        <v>completed</v>
      </c>
      <c r="J2078" t="s">
        <v>25</v>
      </c>
      <c r="K2078">
        <v>3</v>
      </c>
      <c r="L2078">
        <v>9</v>
      </c>
      <c r="M2078">
        <v>2003</v>
      </c>
      <c r="N2078" t="s">
        <v>550</v>
      </c>
      <c r="O2078">
        <v>97</v>
      </c>
      <c r="P2078" t="s">
        <v>646</v>
      </c>
      <c r="Q2078" t="s">
        <v>526</v>
      </c>
      <c r="R2078">
        <v>4155554312</v>
      </c>
      <c r="S2078" t="s">
        <v>527</v>
      </c>
      <c r="U2078" s="1" t="str">
        <f t="shared" si="195"/>
        <v>Brisbane</v>
      </c>
      <c r="V2078" t="s">
        <v>528</v>
      </c>
      <c r="W2078" t="s">
        <v>55</v>
      </c>
      <c r="X2078">
        <v>94217</v>
      </c>
      <c r="Y2078" s="1" t="str">
        <f t="shared" si="196"/>
        <v>USA</v>
      </c>
      <c r="Z2078" s="4" t="str">
        <f t="shared" si="197"/>
        <v>Usa</v>
      </c>
      <c r="AA2078" t="s">
        <v>32</v>
      </c>
      <c r="AB2078" t="s">
        <v>33</v>
      </c>
      <c r="AC2078" t="s">
        <v>529</v>
      </c>
      <c r="AD2078" t="s">
        <v>400</v>
      </c>
      <c r="AE2078" t="s">
        <v>36</v>
      </c>
    </row>
    <row r="2079" spans="1:31" x14ac:dyDescent="0.3">
      <c r="A2079">
        <v>10163</v>
      </c>
      <c r="B2079">
        <v>42</v>
      </c>
      <c r="C2079">
        <v>91.55</v>
      </c>
      <c r="D2079">
        <v>5</v>
      </c>
      <c r="E2079" s="4" t="str">
        <f t="shared" si="192"/>
        <v>low sales</v>
      </c>
      <c r="F2079">
        <v>3845.1</v>
      </c>
      <c r="G2079" t="s">
        <v>2751</v>
      </c>
      <c r="H2079" s="1" t="str">
        <f t="shared" si="193"/>
        <v>Shipped</v>
      </c>
      <c r="I2079" s="4" t="str">
        <f t="shared" si="194"/>
        <v>completed</v>
      </c>
      <c r="J2079" t="s">
        <v>25</v>
      </c>
      <c r="K2079">
        <v>4</v>
      </c>
      <c r="L2079">
        <v>10</v>
      </c>
      <c r="M2079">
        <v>2003</v>
      </c>
      <c r="N2079" t="s">
        <v>550</v>
      </c>
      <c r="O2079">
        <v>97</v>
      </c>
      <c r="P2079" t="s">
        <v>646</v>
      </c>
      <c r="Q2079" t="s">
        <v>203</v>
      </c>
      <c r="R2079">
        <v>2125558493</v>
      </c>
      <c r="S2079" t="s">
        <v>204</v>
      </c>
      <c r="T2079" t="s">
        <v>205</v>
      </c>
      <c r="U2079" s="1" t="str">
        <f t="shared" si="195"/>
        <v>Nyc</v>
      </c>
      <c r="V2079" t="s">
        <v>30</v>
      </c>
      <c r="W2079" t="s">
        <v>31</v>
      </c>
      <c r="X2079">
        <v>10022</v>
      </c>
      <c r="Y2079" s="1" t="str">
        <f t="shared" si="196"/>
        <v>USA</v>
      </c>
      <c r="Z2079" s="4" t="str">
        <f t="shared" si="197"/>
        <v>Usa</v>
      </c>
      <c r="AA2079" t="s">
        <v>32</v>
      </c>
      <c r="AB2079" t="s">
        <v>33</v>
      </c>
      <c r="AC2079" t="s">
        <v>124</v>
      </c>
      <c r="AD2079" t="s">
        <v>206</v>
      </c>
      <c r="AE2079" t="s">
        <v>51</v>
      </c>
    </row>
    <row r="2080" spans="1:31" x14ac:dyDescent="0.3">
      <c r="A2080">
        <v>10173</v>
      </c>
      <c r="B2080">
        <v>22</v>
      </c>
      <c r="C2080">
        <v>100</v>
      </c>
      <c r="D2080">
        <v>3</v>
      </c>
      <c r="E2080" s="4" t="str">
        <f t="shared" si="192"/>
        <v>low sales</v>
      </c>
      <c r="F2080">
        <v>2571.14</v>
      </c>
      <c r="G2080" t="s">
        <v>2752</v>
      </c>
      <c r="H2080" s="1" t="str">
        <f t="shared" si="193"/>
        <v>Shipped</v>
      </c>
      <c r="I2080" s="4" t="str">
        <f t="shared" si="194"/>
        <v>completed</v>
      </c>
      <c r="J2080" t="s">
        <v>25</v>
      </c>
      <c r="K2080">
        <v>4</v>
      </c>
      <c r="L2080">
        <v>11</v>
      </c>
      <c r="M2080">
        <v>2003</v>
      </c>
      <c r="N2080" t="s">
        <v>550</v>
      </c>
      <c r="O2080">
        <v>97</v>
      </c>
      <c r="P2080" t="s">
        <v>646</v>
      </c>
      <c r="Q2080" t="s">
        <v>552</v>
      </c>
      <c r="R2080" t="s">
        <v>553</v>
      </c>
      <c r="S2080" t="s">
        <v>554</v>
      </c>
      <c r="U2080" s="1" t="str">
        <f t="shared" si="195"/>
        <v>Bergamo</v>
      </c>
      <c r="V2080" t="s">
        <v>555</v>
      </c>
      <c r="X2080">
        <v>24100</v>
      </c>
      <c r="Y2080" s="1" t="str">
        <f t="shared" si="196"/>
        <v>ITALY</v>
      </c>
      <c r="Z2080" s="4" t="str">
        <f t="shared" si="197"/>
        <v>Italy</v>
      </c>
      <c r="AA2080" t="s">
        <v>258</v>
      </c>
      <c r="AB2080" t="s">
        <v>42</v>
      </c>
      <c r="AC2080" t="s">
        <v>556</v>
      </c>
      <c r="AD2080" t="s">
        <v>557</v>
      </c>
      <c r="AE2080" t="s">
        <v>36</v>
      </c>
    </row>
    <row r="2081" spans="1:31" x14ac:dyDescent="0.3">
      <c r="A2081">
        <v>10183</v>
      </c>
      <c r="B2081">
        <v>47</v>
      </c>
      <c r="C2081">
        <v>100</v>
      </c>
      <c r="D2081">
        <v>12</v>
      </c>
      <c r="E2081" s="4" t="str">
        <f t="shared" si="192"/>
        <v>high sales</v>
      </c>
      <c r="F2081">
        <v>5035.1099999999997</v>
      </c>
      <c r="G2081" t="s">
        <v>2753</v>
      </c>
      <c r="H2081" s="1" t="str">
        <f t="shared" si="193"/>
        <v>Shipped</v>
      </c>
      <c r="I2081" s="4" t="str">
        <f t="shared" si="194"/>
        <v>completed</v>
      </c>
      <c r="J2081" t="s">
        <v>25</v>
      </c>
      <c r="K2081">
        <v>4</v>
      </c>
      <c r="L2081">
        <v>11</v>
      </c>
      <c r="M2081">
        <v>2003</v>
      </c>
      <c r="N2081" t="s">
        <v>550</v>
      </c>
      <c r="O2081">
        <v>97</v>
      </c>
      <c r="P2081" t="s">
        <v>646</v>
      </c>
      <c r="Q2081" t="s">
        <v>214</v>
      </c>
      <c r="R2081">
        <v>2155554695</v>
      </c>
      <c r="S2081" t="s">
        <v>215</v>
      </c>
      <c r="U2081" s="1" t="str">
        <f t="shared" si="195"/>
        <v>Philadelphia</v>
      </c>
      <c r="V2081" t="s">
        <v>216</v>
      </c>
      <c r="W2081" t="s">
        <v>142</v>
      </c>
      <c r="X2081">
        <v>71270</v>
      </c>
      <c r="Y2081" s="1" t="str">
        <f t="shared" si="196"/>
        <v>USA</v>
      </c>
      <c r="Z2081" s="4" t="str">
        <f t="shared" si="197"/>
        <v>Usa</v>
      </c>
      <c r="AA2081" t="s">
        <v>32</v>
      </c>
      <c r="AB2081" t="s">
        <v>33</v>
      </c>
      <c r="AC2081" t="s">
        <v>217</v>
      </c>
      <c r="AD2081" t="s">
        <v>218</v>
      </c>
      <c r="AE2081" t="s">
        <v>51</v>
      </c>
    </row>
    <row r="2082" spans="1:31" x14ac:dyDescent="0.3">
      <c r="A2082">
        <v>10193</v>
      </c>
      <c r="B2082">
        <v>20</v>
      </c>
      <c r="C2082">
        <v>100</v>
      </c>
      <c r="D2082">
        <v>4</v>
      </c>
      <c r="E2082" s="4" t="str">
        <f t="shared" si="192"/>
        <v>low sales</v>
      </c>
      <c r="F2082">
        <v>2279</v>
      </c>
      <c r="G2082" t="s">
        <v>2754</v>
      </c>
      <c r="H2082" s="1" t="str">
        <f t="shared" si="193"/>
        <v>Shipped</v>
      </c>
      <c r="I2082" s="4" t="str">
        <f t="shared" si="194"/>
        <v>completed</v>
      </c>
      <c r="J2082" t="s">
        <v>25</v>
      </c>
      <c r="K2082">
        <v>4</v>
      </c>
      <c r="L2082">
        <v>11</v>
      </c>
      <c r="M2082">
        <v>2003</v>
      </c>
      <c r="N2082" t="s">
        <v>550</v>
      </c>
      <c r="O2082">
        <v>97</v>
      </c>
      <c r="P2082" t="s">
        <v>646</v>
      </c>
      <c r="Q2082" t="s">
        <v>558</v>
      </c>
      <c r="R2082" t="s">
        <v>559</v>
      </c>
      <c r="S2082" t="s">
        <v>560</v>
      </c>
      <c r="U2082" s="1" t="str">
        <f t="shared" si="195"/>
        <v>Glen Waverly</v>
      </c>
      <c r="V2082" t="s">
        <v>561</v>
      </c>
      <c r="W2082" t="s">
        <v>94</v>
      </c>
      <c r="X2082">
        <v>3150</v>
      </c>
      <c r="Y2082" s="1" t="str">
        <f t="shared" si="196"/>
        <v>AUSTRALIA</v>
      </c>
      <c r="Z2082" s="4" t="str">
        <f t="shared" si="197"/>
        <v>Australia</v>
      </c>
      <c r="AA2082" t="s">
        <v>95</v>
      </c>
      <c r="AB2082" t="s">
        <v>96</v>
      </c>
      <c r="AC2082" t="s">
        <v>562</v>
      </c>
      <c r="AD2082" t="s">
        <v>563</v>
      </c>
      <c r="AE2082" t="s">
        <v>36</v>
      </c>
    </row>
    <row r="2083" spans="1:31" x14ac:dyDescent="0.3">
      <c r="A2083">
        <v>10206</v>
      </c>
      <c r="B2083">
        <v>33</v>
      </c>
      <c r="C2083">
        <v>97.39</v>
      </c>
      <c r="D2083">
        <v>10</v>
      </c>
      <c r="E2083" s="4" t="str">
        <f t="shared" si="192"/>
        <v>low sales</v>
      </c>
      <c r="F2083">
        <v>3213.87</v>
      </c>
      <c r="G2083" t="s">
        <v>2755</v>
      </c>
      <c r="H2083" s="1" t="str">
        <f t="shared" si="193"/>
        <v>Shipped</v>
      </c>
      <c r="I2083" s="4" t="str">
        <f t="shared" si="194"/>
        <v>completed</v>
      </c>
      <c r="J2083" t="s">
        <v>25</v>
      </c>
      <c r="K2083">
        <v>4</v>
      </c>
      <c r="L2083">
        <v>12</v>
      </c>
      <c r="M2083">
        <v>2003</v>
      </c>
      <c r="N2083" t="s">
        <v>550</v>
      </c>
      <c r="O2083">
        <v>97</v>
      </c>
      <c r="P2083" t="s">
        <v>646</v>
      </c>
      <c r="Q2083" t="s">
        <v>225</v>
      </c>
      <c r="R2083" t="s">
        <v>226</v>
      </c>
      <c r="S2083" t="s">
        <v>227</v>
      </c>
      <c r="U2083" s="1" t="str">
        <f t="shared" si="195"/>
        <v>Vancouver</v>
      </c>
      <c r="V2083" t="s">
        <v>228</v>
      </c>
      <c r="W2083" t="s">
        <v>229</v>
      </c>
      <c r="X2083" t="s">
        <v>230</v>
      </c>
      <c r="Y2083" s="1" t="str">
        <f t="shared" si="196"/>
        <v>CANADA</v>
      </c>
      <c r="Z2083" s="4" t="str">
        <f t="shared" si="197"/>
        <v>Canada</v>
      </c>
      <c r="AA2083" t="s">
        <v>231</v>
      </c>
      <c r="AB2083" t="s">
        <v>33</v>
      </c>
      <c r="AC2083" t="s">
        <v>232</v>
      </c>
      <c r="AD2083" t="s">
        <v>233</v>
      </c>
      <c r="AE2083" t="s">
        <v>51</v>
      </c>
    </row>
    <row r="2084" spans="1:31" x14ac:dyDescent="0.3">
      <c r="A2084">
        <v>10215</v>
      </c>
      <c r="B2084">
        <v>39</v>
      </c>
      <c r="C2084">
        <v>90.57</v>
      </c>
      <c r="D2084">
        <v>7</v>
      </c>
      <c r="E2084" s="4" t="str">
        <f t="shared" si="192"/>
        <v>low sales</v>
      </c>
      <c r="F2084">
        <v>3532.23</v>
      </c>
      <c r="G2084" t="s">
        <v>2756</v>
      </c>
      <c r="H2084" s="1" t="str">
        <f t="shared" si="193"/>
        <v>Shipped</v>
      </c>
      <c r="I2084" s="4" t="str">
        <f t="shared" si="194"/>
        <v>completed</v>
      </c>
      <c r="J2084" t="s">
        <v>25</v>
      </c>
      <c r="K2084">
        <v>1</v>
      </c>
      <c r="L2084">
        <v>1</v>
      </c>
      <c r="M2084">
        <v>2004</v>
      </c>
      <c r="N2084" t="s">
        <v>550</v>
      </c>
      <c r="O2084">
        <v>97</v>
      </c>
      <c r="P2084" t="s">
        <v>646</v>
      </c>
      <c r="Q2084" t="s">
        <v>234</v>
      </c>
      <c r="R2084">
        <v>3105553722</v>
      </c>
      <c r="S2084" t="s">
        <v>235</v>
      </c>
      <c r="U2084" s="1" t="str">
        <f t="shared" si="195"/>
        <v>Burbank</v>
      </c>
      <c r="V2084" t="s">
        <v>236</v>
      </c>
      <c r="W2084" t="s">
        <v>55</v>
      </c>
      <c r="X2084">
        <v>94019</v>
      </c>
      <c r="Y2084" s="1" t="str">
        <f t="shared" si="196"/>
        <v>USA</v>
      </c>
      <c r="Z2084" s="4" t="str">
        <f t="shared" si="197"/>
        <v>Usa</v>
      </c>
      <c r="AA2084" t="s">
        <v>32</v>
      </c>
      <c r="AB2084" t="s">
        <v>33</v>
      </c>
      <c r="AC2084" t="s">
        <v>237</v>
      </c>
      <c r="AD2084" t="s">
        <v>238</v>
      </c>
      <c r="AE2084" t="s">
        <v>51</v>
      </c>
    </row>
    <row r="2085" spans="1:31" x14ac:dyDescent="0.3">
      <c r="A2085">
        <v>10228</v>
      </c>
      <c r="B2085">
        <v>33</v>
      </c>
      <c r="C2085">
        <v>100</v>
      </c>
      <c r="D2085">
        <v>6</v>
      </c>
      <c r="E2085" s="4" t="str">
        <f t="shared" si="192"/>
        <v>low sales</v>
      </c>
      <c r="F2085">
        <v>3406.59</v>
      </c>
      <c r="G2085" t="s">
        <v>2757</v>
      </c>
      <c r="H2085" s="1" t="str">
        <f t="shared" si="193"/>
        <v>Shipped</v>
      </c>
      <c r="I2085" s="4" t="str">
        <f t="shared" si="194"/>
        <v>completed</v>
      </c>
      <c r="J2085" t="s">
        <v>25</v>
      </c>
      <c r="K2085">
        <v>1</v>
      </c>
      <c r="L2085">
        <v>3</v>
      </c>
      <c r="M2085">
        <v>2004</v>
      </c>
      <c r="N2085" t="s">
        <v>550</v>
      </c>
      <c r="O2085">
        <v>97</v>
      </c>
      <c r="P2085" t="s">
        <v>646</v>
      </c>
      <c r="Q2085" t="s">
        <v>239</v>
      </c>
      <c r="R2085">
        <v>6175555555</v>
      </c>
      <c r="S2085" t="s">
        <v>240</v>
      </c>
      <c r="U2085" s="1" t="str">
        <f t="shared" si="195"/>
        <v>Cambridge</v>
      </c>
      <c r="V2085" t="s">
        <v>122</v>
      </c>
      <c r="W2085" t="s">
        <v>123</v>
      </c>
      <c r="X2085">
        <v>51247</v>
      </c>
      <c r="Y2085" s="1" t="str">
        <f t="shared" si="196"/>
        <v>USA</v>
      </c>
      <c r="Z2085" s="4" t="str">
        <f t="shared" si="197"/>
        <v>Usa</v>
      </c>
      <c r="AA2085" t="s">
        <v>32</v>
      </c>
      <c r="AB2085" t="s">
        <v>33</v>
      </c>
      <c r="AC2085" t="s">
        <v>241</v>
      </c>
      <c r="AD2085" t="s">
        <v>143</v>
      </c>
      <c r="AE2085" t="s">
        <v>51</v>
      </c>
    </row>
    <row r="2086" spans="1:31" x14ac:dyDescent="0.3">
      <c r="A2086">
        <v>10244</v>
      </c>
      <c r="B2086">
        <v>40</v>
      </c>
      <c r="C2086">
        <v>86.68</v>
      </c>
      <c r="D2086">
        <v>4</v>
      </c>
      <c r="E2086" s="4" t="str">
        <f t="shared" si="192"/>
        <v>low sales</v>
      </c>
      <c r="F2086">
        <v>3467.2</v>
      </c>
      <c r="G2086" t="s">
        <v>2758</v>
      </c>
      <c r="H2086" s="1" t="str">
        <f t="shared" si="193"/>
        <v>Shipped</v>
      </c>
      <c r="I2086" s="4" t="str">
        <f t="shared" si="194"/>
        <v>completed</v>
      </c>
      <c r="J2086" t="s">
        <v>25</v>
      </c>
      <c r="K2086">
        <v>2</v>
      </c>
      <c r="L2086">
        <v>4</v>
      </c>
      <c r="M2086">
        <v>2004</v>
      </c>
      <c r="N2086" t="s">
        <v>550</v>
      </c>
      <c r="O2086">
        <v>97</v>
      </c>
      <c r="P2086" t="s">
        <v>646</v>
      </c>
      <c r="Q2086" t="s">
        <v>174</v>
      </c>
      <c r="R2086" t="s">
        <v>175</v>
      </c>
      <c r="S2086" t="s">
        <v>176</v>
      </c>
      <c r="U2086" s="1" t="str">
        <f t="shared" si="195"/>
        <v>Madrid</v>
      </c>
      <c r="V2086" t="s">
        <v>177</v>
      </c>
      <c r="X2086">
        <v>28034</v>
      </c>
      <c r="Y2086" s="1" t="str">
        <f t="shared" si="196"/>
        <v>SPAIN</v>
      </c>
      <c r="Z2086" s="4" t="str">
        <f t="shared" si="197"/>
        <v>Spain</v>
      </c>
      <c r="AA2086" t="s">
        <v>178</v>
      </c>
      <c r="AB2086" t="s">
        <v>42</v>
      </c>
      <c r="AC2086" t="s">
        <v>179</v>
      </c>
      <c r="AD2086" t="s">
        <v>180</v>
      </c>
      <c r="AE2086" t="s">
        <v>51</v>
      </c>
    </row>
    <row r="2087" spans="1:31" x14ac:dyDescent="0.3">
      <c r="A2087">
        <v>10257</v>
      </c>
      <c r="B2087">
        <v>46</v>
      </c>
      <c r="C2087">
        <v>78.89</v>
      </c>
      <c r="D2087">
        <v>4</v>
      </c>
      <c r="E2087" s="4" t="str">
        <f t="shared" si="192"/>
        <v>low sales</v>
      </c>
      <c r="F2087">
        <v>3628.94</v>
      </c>
      <c r="G2087" t="s">
        <v>2759</v>
      </c>
      <c r="H2087" s="1" t="str">
        <f t="shared" si="193"/>
        <v>Shipped</v>
      </c>
      <c r="I2087" s="4" t="str">
        <f t="shared" si="194"/>
        <v>completed</v>
      </c>
      <c r="J2087" t="s">
        <v>25</v>
      </c>
      <c r="K2087">
        <v>2</v>
      </c>
      <c r="L2087">
        <v>6</v>
      </c>
      <c r="M2087">
        <v>2004</v>
      </c>
      <c r="N2087" t="s">
        <v>550</v>
      </c>
      <c r="O2087">
        <v>97</v>
      </c>
      <c r="P2087" t="s">
        <v>646</v>
      </c>
      <c r="Q2087" t="s">
        <v>397</v>
      </c>
      <c r="R2087">
        <v>4085553659</v>
      </c>
      <c r="S2087" t="s">
        <v>398</v>
      </c>
      <c r="U2087" s="1" t="str">
        <f t="shared" si="195"/>
        <v>San Jose</v>
      </c>
      <c r="V2087" t="s">
        <v>399</v>
      </c>
      <c r="W2087" t="s">
        <v>55</v>
      </c>
      <c r="X2087">
        <v>94217</v>
      </c>
      <c r="Y2087" s="1" t="str">
        <f t="shared" si="196"/>
        <v>USA</v>
      </c>
      <c r="Z2087" s="4" t="str">
        <f t="shared" si="197"/>
        <v>Usa</v>
      </c>
      <c r="AA2087" t="s">
        <v>32</v>
      </c>
      <c r="AB2087" t="s">
        <v>33</v>
      </c>
      <c r="AC2087" t="s">
        <v>102</v>
      </c>
      <c r="AD2087" t="s">
        <v>400</v>
      </c>
      <c r="AE2087" t="s">
        <v>51</v>
      </c>
    </row>
    <row r="2088" spans="1:31" x14ac:dyDescent="0.3">
      <c r="A2088">
        <v>10269</v>
      </c>
      <c r="B2088">
        <v>48</v>
      </c>
      <c r="C2088">
        <v>97.39</v>
      </c>
      <c r="D2088">
        <v>2</v>
      </c>
      <c r="E2088" s="4" t="str">
        <f t="shared" si="192"/>
        <v>high sales</v>
      </c>
      <c r="F2088">
        <v>4674.72</v>
      </c>
      <c r="G2088" t="s">
        <v>2760</v>
      </c>
      <c r="H2088" s="1" t="str">
        <f t="shared" si="193"/>
        <v>Shipped</v>
      </c>
      <c r="I2088" s="4" t="str">
        <f t="shared" si="194"/>
        <v>completed</v>
      </c>
      <c r="J2088" t="s">
        <v>25</v>
      </c>
      <c r="K2088">
        <v>3</v>
      </c>
      <c r="L2088">
        <v>7</v>
      </c>
      <c r="M2088">
        <v>2004</v>
      </c>
      <c r="N2088" t="s">
        <v>550</v>
      </c>
      <c r="O2088">
        <v>97</v>
      </c>
      <c r="P2088" t="s">
        <v>646</v>
      </c>
      <c r="Q2088" t="s">
        <v>144</v>
      </c>
      <c r="R2088" t="s">
        <v>145</v>
      </c>
      <c r="S2088" t="s">
        <v>146</v>
      </c>
      <c r="U2088" s="1" t="str">
        <f t="shared" si="195"/>
        <v>Salzburg</v>
      </c>
      <c r="V2088" t="s">
        <v>147</v>
      </c>
      <c r="X2088">
        <v>5020</v>
      </c>
      <c r="Y2088" s="1" t="str">
        <f t="shared" si="196"/>
        <v>AUSTRIA</v>
      </c>
      <c r="Z2088" s="4" t="str">
        <f t="shared" si="197"/>
        <v>Austria</v>
      </c>
      <c r="AA2088" t="s">
        <v>148</v>
      </c>
      <c r="AB2088" t="s">
        <v>42</v>
      </c>
      <c r="AC2088" t="s">
        <v>149</v>
      </c>
      <c r="AD2088" t="s">
        <v>150</v>
      </c>
      <c r="AE2088" t="s">
        <v>51</v>
      </c>
    </row>
    <row r="2089" spans="1:31" x14ac:dyDescent="0.3">
      <c r="A2089">
        <v>10280</v>
      </c>
      <c r="B2089">
        <v>21</v>
      </c>
      <c r="C2089">
        <v>78.89</v>
      </c>
      <c r="D2089">
        <v>6</v>
      </c>
      <c r="E2089" s="4" t="str">
        <f t="shared" si="192"/>
        <v>low sales</v>
      </c>
      <c r="F2089">
        <v>1656.69</v>
      </c>
      <c r="G2089" t="s">
        <v>2761</v>
      </c>
      <c r="H2089" s="1" t="str">
        <f t="shared" si="193"/>
        <v>Shipped</v>
      </c>
      <c r="I2089" s="4" t="str">
        <f t="shared" si="194"/>
        <v>completed</v>
      </c>
      <c r="J2089" t="s">
        <v>25</v>
      </c>
      <c r="K2089">
        <v>3</v>
      </c>
      <c r="L2089">
        <v>8</v>
      </c>
      <c r="M2089">
        <v>2004</v>
      </c>
      <c r="N2089" t="s">
        <v>550</v>
      </c>
      <c r="O2089">
        <v>97</v>
      </c>
      <c r="P2089" t="s">
        <v>646</v>
      </c>
      <c r="Q2089" t="s">
        <v>254</v>
      </c>
      <c r="R2089" t="s">
        <v>255</v>
      </c>
      <c r="S2089" t="s">
        <v>256</v>
      </c>
      <c r="U2089" s="1" t="str">
        <f t="shared" si="195"/>
        <v>Torino</v>
      </c>
      <c r="V2089" t="s">
        <v>257</v>
      </c>
      <c r="X2089">
        <v>10100</v>
      </c>
      <c r="Y2089" s="1" t="str">
        <f t="shared" si="196"/>
        <v>ITALY</v>
      </c>
      <c r="Z2089" s="4" t="str">
        <f t="shared" si="197"/>
        <v>Italy</v>
      </c>
      <c r="AA2089" t="s">
        <v>258</v>
      </c>
      <c r="AB2089" t="s">
        <v>42</v>
      </c>
      <c r="AC2089" t="s">
        <v>259</v>
      </c>
      <c r="AD2089" t="s">
        <v>260</v>
      </c>
      <c r="AE2089" t="s">
        <v>36</v>
      </c>
    </row>
    <row r="2090" spans="1:31" x14ac:dyDescent="0.3">
      <c r="A2090">
        <v>10290</v>
      </c>
      <c r="B2090">
        <v>45</v>
      </c>
      <c r="C2090">
        <v>100</v>
      </c>
      <c r="D2090">
        <v>1</v>
      </c>
      <c r="E2090" s="4" t="str">
        <f t="shared" si="192"/>
        <v>high sales</v>
      </c>
      <c r="F2090">
        <v>5171.3999999999996</v>
      </c>
      <c r="G2090" t="s">
        <v>2762</v>
      </c>
      <c r="H2090" s="1" t="str">
        <f t="shared" si="193"/>
        <v>Shipped</v>
      </c>
      <c r="I2090" s="4" t="str">
        <f t="shared" si="194"/>
        <v>completed</v>
      </c>
      <c r="J2090" t="s">
        <v>25</v>
      </c>
      <c r="K2090">
        <v>3</v>
      </c>
      <c r="L2090">
        <v>9</v>
      </c>
      <c r="M2090">
        <v>2004</v>
      </c>
      <c r="N2090" t="s">
        <v>550</v>
      </c>
      <c r="O2090">
        <v>97</v>
      </c>
      <c r="P2090" t="s">
        <v>646</v>
      </c>
      <c r="Q2090" t="s">
        <v>600</v>
      </c>
      <c r="R2090">
        <v>6175558428</v>
      </c>
      <c r="S2090" t="s">
        <v>601</v>
      </c>
      <c r="U2090" s="1" t="str">
        <f t="shared" si="195"/>
        <v>Brickhaven</v>
      </c>
      <c r="V2090" t="s">
        <v>283</v>
      </c>
      <c r="W2090" t="s">
        <v>123</v>
      </c>
      <c r="X2090">
        <v>58339</v>
      </c>
      <c r="Y2090" s="1" t="str">
        <f t="shared" si="196"/>
        <v>USA</v>
      </c>
      <c r="Z2090" s="4" t="str">
        <f t="shared" si="197"/>
        <v>Usa</v>
      </c>
      <c r="AA2090" t="s">
        <v>32</v>
      </c>
      <c r="AB2090" t="s">
        <v>33</v>
      </c>
      <c r="AC2090" t="s">
        <v>529</v>
      </c>
      <c r="AD2090" t="s">
        <v>245</v>
      </c>
      <c r="AE2090" t="s">
        <v>51</v>
      </c>
    </row>
    <row r="2091" spans="1:31" x14ac:dyDescent="0.3">
      <c r="A2091">
        <v>10304</v>
      </c>
      <c r="B2091">
        <v>33</v>
      </c>
      <c r="C2091">
        <v>100</v>
      </c>
      <c r="D2091">
        <v>10</v>
      </c>
      <c r="E2091" s="4" t="str">
        <f t="shared" si="192"/>
        <v>low sales</v>
      </c>
      <c r="F2091">
        <v>3342.57</v>
      </c>
      <c r="G2091" t="s">
        <v>2763</v>
      </c>
      <c r="H2091" s="1" t="str">
        <f t="shared" si="193"/>
        <v>Shipped</v>
      </c>
      <c r="I2091" s="4" t="str">
        <f t="shared" si="194"/>
        <v>completed</v>
      </c>
      <c r="J2091" t="s">
        <v>25</v>
      </c>
      <c r="K2091">
        <v>4</v>
      </c>
      <c r="L2091">
        <v>10</v>
      </c>
      <c r="M2091">
        <v>2004</v>
      </c>
      <c r="N2091" t="s">
        <v>550</v>
      </c>
      <c r="O2091">
        <v>97</v>
      </c>
      <c r="P2091" t="s">
        <v>646</v>
      </c>
      <c r="Q2091" t="s">
        <v>267</v>
      </c>
      <c r="R2091" t="s">
        <v>268</v>
      </c>
      <c r="S2091" t="s">
        <v>269</v>
      </c>
      <c r="U2091" s="1" t="str">
        <f t="shared" si="195"/>
        <v>Versailles</v>
      </c>
      <c r="V2091" t="s">
        <v>270</v>
      </c>
      <c r="X2091">
        <v>78000</v>
      </c>
      <c r="Y2091" s="1" t="str">
        <f t="shared" si="196"/>
        <v>FRANCE</v>
      </c>
      <c r="Z2091" s="4" t="str">
        <f t="shared" si="197"/>
        <v>France</v>
      </c>
      <c r="AA2091" t="s">
        <v>41</v>
      </c>
      <c r="AB2091" t="s">
        <v>42</v>
      </c>
      <c r="AC2091" t="s">
        <v>271</v>
      </c>
      <c r="AD2091" t="s">
        <v>50</v>
      </c>
      <c r="AE2091" t="s">
        <v>51</v>
      </c>
    </row>
    <row r="2092" spans="1:31" x14ac:dyDescent="0.3">
      <c r="A2092">
        <v>10312</v>
      </c>
      <c r="B2092">
        <v>44</v>
      </c>
      <c r="C2092">
        <v>100</v>
      </c>
      <c r="D2092">
        <v>7</v>
      </c>
      <c r="E2092" s="4" t="str">
        <f t="shared" si="192"/>
        <v>high sales</v>
      </c>
      <c r="F2092">
        <v>4884.88</v>
      </c>
      <c r="G2092" t="s">
        <v>2764</v>
      </c>
      <c r="H2092" s="1" t="str">
        <f t="shared" si="193"/>
        <v>Shipped</v>
      </c>
      <c r="I2092" s="4" t="str">
        <f t="shared" si="194"/>
        <v>completed</v>
      </c>
      <c r="J2092" t="s">
        <v>25</v>
      </c>
      <c r="K2092">
        <v>4</v>
      </c>
      <c r="L2092">
        <v>10</v>
      </c>
      <c r="M2092">
        <v>2004</v>
      </c>
      <c r="N2092" t="s">
        <v>550</v>
      </c>
      <c r="O2092">
        <v>97</v>
      </c>
      <c r="P2092" t="s">
        <v>646</v>
      </c>
      <c r="Q2092" t="s">
        <v>272</v>
      </c>
      <c r="R2092">
        <v>4155551450</v>
      </c>
      <c r="S2092" t="s">
        <v>273</v>
      </c>
      <c r="U2092" s="1" t="str">
        <f t="shared" si="195"/>
        <v>San Rafael</v>
      </c>
      <c r="V2092" t="s">
        <v>274</v>
      </c>
      <c r="W2092" t="s">
        <v>55</v>
      </c>
      <c r="X2092">
        <v>97562</v>
      </c>
      <c r="Y2092" s="1" t="str">
        <f t="shared" si="196"/>
        <v>USA</v>
      </c>
      <c r="Z2092" s="4" t="str">
        <f t="shared" si="197"/>
        <v>Usa</v>
      </c>
      <c r="AA2092" t="s">
        <v>32</v>
      </c>
      <c r="AB2092" t="s">
        <v>33</v>
      </c>
      <c r="AC2092" t="s">
        <v>275</v>
      </c>
      <c r="AD2092" t="s">
        <v>276</v>
      </c>
      <c r="AE2092" t="s">
        <v>51</v>
      </c>
    </row>
    <row r="2093" spans="1:31" x14ac:dyDescent="0.3">
      <c r="A2093">
        <v>10324</v>
      </c>
      <c r="B2093">
        <v>33</v>
      </c>
      <c r="C2093">
        <v>100</v>
      </c>
      <c r="D2093">
        <v>3</v>
      </c>
      <c r="E2093" s="4" t="str">
        <f t="shared" si="192"/>
        <v>high sales</v>
      </c>
      <c r="F2093">
        <v>6267.69</v>
      </c>
      <c r="G2093" t="s">
        <v>2765</v>
      </c>
      <c r="H2093" s="1" t="str">
        <f t="shared" si="193"/>
        <v>Shipped</v>
      </c>
      <c r="I2093" s="4" t="str">
        <f t="shared" si="194"/>
        <v>completed</v>
      </c>
      <c r="J2093" t="s">
        <v>25</v>
      </c>
      <c r="K2093">
        <v>4</v>
      </c>
      <c r="L2093">
        <v>11</v>
      </c>
      <c r="M2093">
        <v>2004</v>
      </c>
      <c r="N2093" t="s">
        <v>550</v>
      </c>
      <c r="O2093">
        <v>97</v>
      </c>
      <c r="P2093" t="s">
        <v>646</v>
      </c>
      <c r="Q2093" t="s">
        <v>99</v>
      </c>
      <c r="R2093">
        <v>2125551500</v>
      </c>
      <c r="S2093" t="s">
        <v>100</v>
      </c>
      <c r="T2093" t="s">
        <v>101</v>
      </c>
      <c r="U2093" s="1" t="str">
        <f t="shared" si="195"/>
        <v>Nyc</v>
      </c>
      <c r="V2093" t="s">
        <v>30</v>
      </c>
      <c r="W2093" t="s">
        <v>31</v>
      </c>
      <c r="X2093">
        <v>10022</v>
      </c>
      <c r="Y2093" s="1" t="str">
        <f t="shared" si="196"/>
        <v>USA</v>
      </c>
      <c r="Z2093" s="4" t="str">
        <f t="shared" si="197"/>
        <v>Usa</v>
      </c>
      <c r="AA2093" t="s">
        <v>32</v>
      </c>
      <c r="AB2093" t="s">
        <v>33</v>
      </c>
      <c r="AC2093" t="s">
        <v>102</v>
      </c>
      <c r="AD2093" t="s">
        <v>103</v>
      </c>
      <c r="AE2093" t="s">
        <v>51</v>
      </c>
    </row>
    <row r="2094" spans="1:31" x14ac:dyDescent="0.3">
      <c r="A2094">
        <v>10333</v>
      </c>
      <c r="B2094">
        <v>39</v>
      </c>
      <c r="C2094">
        <v>100</v>
      </c>
      <c r="D2094">
        <v>1</v>
      </c>
      <c r="E2094" s="4" t="str">
        <f t="shared" si="192"/>
        <v>high sales</v>
      </c>
      <c r="F2094">
        <v>4424.16</v>
      </c>
      <c r="G2094" t="s">
        <v>2766</v>
      </c>
      <c r="H2094" s="1" t="str">
        <f t="shared" si="193"/>
        <v>Shipped</v>
      </c>
      <c r="I2094" s="4" t="str">
        <f t="shared" si="194"/>
        <v>completed</v>
      </c>
      <c r="J2094" t="s">
        <v>25</v>
      </c>
      <c r="K2094">
        <v>4</v>
      </c>
      <c r="L2094">
        <v>11</v>
      </c>
      <c r="M2094">
        <v>2004</v>
      </c>
      <c r="N2094" t="s">
        <v>550</v>
      </c>
      <c r="O2094">
        <v>97</v>
      </c>
      <c r="P2094" t="s">
        <v>646</v>
      </c>
      <c r="Q2094" t="s">
        <v>81</v>
      </c>
      <c r="R2094">
        <v>6505555787</v>
      </c>
      <c r="S2094" t="s">
        <v>82</v>
      </c>
      <c r="U2094" s="1" t="str">
        <f t="shared" si="195"/>
        <v>San Francisco</v>
      </c>
      <c r="V2094" t="s">
        <v>60</v>
      </c>
      <c r="W2094" t="s">
        <v>55</v>
      </c>
      <c r="Y2094" s="1" t="str">
        <f t="shared" si="196"/>
        <v>USA</v>
      </c>
      <c r="Z2094" s="4" t="str">
        <f t="shared" si="197"/>
        <v>Usa</v>
      </c>
      <c r="AA2094" t="s">
        <v>32</v>
      </c>
      <c r="AB2094" t="s">
        <v>33</v>
      </c>
      <c r="AC2094" t="s">
        <v>83</v>
      </c>
      <c r="AD2094" t="s">
        <v>57</v>
      </c>
      <c r="AE2094" t="s">
        <v>51</v>
      </c>
    </row>
    <row r="2095" spans="1:31" x14ac:dyDescent="0.3">
      <c r="A2095">
        <v>10348</v>
      </c>
      <c r="B2095">
        <v>39</v>
      </c>
      <c r="C2095">
        <v>50.31</v>
      </c>
      <c r="D2095">
        <v>2</v>
      </c>
      <c r="E2095" s="4" t="str">
        <f t="shared" si="192"/>
        <v>low sales</v>
      </c>
      <c r="F2095">
        <v>1962.09</v>
      </c>
      <c r="G2095" t="s">
        <v>2767</v>
      </c>
      <c r="H2095" s="1" t="str">
        <f t="shared" si="193"/>
        <v>Shipped</v>
      </c>
      <c r="I2095" s="4" t="str">
        <f t="shared" si="194"/>
        <v>completed</v>
      </c>
      <c r="J2095" t="s">
        <v>25</v>
      </c>
      <c r="K2095">
        <v>4</v>
      </c>
      <c r="L2095">
        <v>11</v>
      </c>
      <c r="M2095">
        <v>2004</v>
      </c>
      <c r="N2095" t="s">
        <v>550</v>
      </c>
      <c r="O2095">
        <v>97</v>
      </c>
      <c r="P2095" t="s">
        <v>646</v>
      </c>
      <c r="Q2095" t="s">
        <v>191</v>
      </c>
      <c r="R2095" t="s">
        <v>192</v>
      </c>
      <c r="S2095" t="s">
        <v>193</v>
      </c>
      <c r="U2095" s="1" t="str">
        <f t="shared" si="195"/>
        <v>Madrid</v>
      </c>
      <c r="V2095" t="s">
        <v>177</v>
      </c>
      <c r="X2095">
        <v>28023</v>
      </c>
      <c r="Y2095" s="1" t="str">
        <f t="shared" si="196"/>
        <v>SPAIN</v>
      </c>
      <c r="Z2095" s="4" t="str">
        <f t="shared" si="197"/>
        <v>Spain</v>
      </c>
      <c r="AA2095" t="s">
        <v>178</v>
      </c>
      <c r="AB2095" t="s">
        <v>42</v>
      </c>
      <c r="AC2095" t="s">
        <v>194</v>
      </c>
      <c r="AD2095" t="s">
        <v>195</v>
      </c>
      <c r="AE2095" t="s">
        <v>36</v>
      </c>
    </row>
    <row r="2096" spans="1:31" x14ac:dyDescent="0.3">
      <c r="A2096">
        <v>10358</v>
      </c>
      <c r="B2096">
        <v>41</v>
      </c>
      <c r="C2096">
        <v>100</v>
      </c>
      <c r="D2096">
        <v>6</v>
      </c>
      <c r="E2096" s="4" t="str">
        <f t="shared" si="192"/>
        <v>high sales</v>
      </c>
      <c r="F2096">
        <v>6847</v>
      </c>
      <c r="G2096" t="s">
        <v>2768</v>
      </c>
      <c r="H2096" s="1" t="str">
        <f t="shared" si="193"/>
        <v>Shipped</v>
      </c>
      <c r="I2096" s="4" t="str">
        <f t="shared" si="194"/>
        <v>completed</v>
      </c>
      <c r="J2096" t="s">
        <v>25</v>
      </c>
      <c r="K2096">
        <v>4</v>
      </c>
      <c r="L2096">
        <v>12</v>
      </c>
      <c r="M2096">
        <v>2004</v>
      </c>
      <c r="N2096" t="s">
        <v>550</v>
      </c>
      <c r="O2096">
        <v>97</v>
      </c>
      <c r="P2096" t="s">
        <v>646</v>
      </c>
      <c r="Q2096" t="s">
        <v>174</v>
      </c>
      <c r="R2096" t="s">
        <v>175</v>
      </c>
      <c r="S2096" t="s">
        <v>176</v>
      </c>
      <c r="U2096" s="1" t="str">
        <f t="shared" si="195"/>
        <v>Madrid</v>
      </c>
      <c r="V2096" t="s">
        <v>177</v>
      </c>
      <c r="X2096">
        <v>28034</v>
      </c>
      <c r="Y2096" s="1" t="str">
        <f t="shared" si="196"/>
        <v>SPAIN</v>
      </c>
      <c r="Z2096" s="4" t="str">
        <f t="shared" si="197"/>
        <v>Spain</v>
      </c>
      <c r="AA2096" t="s">
        <v>178</v>
      </c>
      <c r="AB2096" t="s">
        <v>42</v>
      </c>
      <c r="AC2096" t="s">
        <v>179</v>
      </c>
      <c r="AD2096" t="s">
        <v>180</v>
      </c>
      <c r="AE2096" t="s">
        <v>51</v>
      </c>
    </row>
    <row r="2097" spans="1:31" x14ac:dyDescent="0.3">
      <c r="A2097">
        <v>10369</v>
      </c>
      <c r="B2097">
        <v>40</v>
      </c>
      <c r="C2097">
        <v>86.92</v>
      </c>
      <c r="D2097">
        <v>3</v>
      </c>
      <c r="E2097" s="4" t="str">
        <f t="shared" si="192"/>
        <v>low sales</v>
      </c>
      <c r="F2097">
        <v>3476.8</v>
      </c>
      <c r="G2097" t="s">
        <v>2769</v>
      </c>
      <c r="H2097" s="1" t="str">
        <f t="shared" si="193"/>
        <v>Shipped</v>
      </c>
      <c r="I2097" s="4" t="str">
        <f t="shared" si="194"/>
        <v>completed</v>
      </c>
      <c r="J2097" t="s">
        <v>25</v>
      </c>
      <c r="K2097">
        <v>1</v>
      </c>
      <c r="L2097">
        <v>1</v>
      </c>
      <c r="M2097">
        <v>2005</v>
      </c>
      <c r="N2097" t="s">
        <v>550</v>
      </c>
      <c r="O2097">
        <v>97</v>
      </c>
      <c r="P2097" t="s">
        <v>646</v>
      </c>
      <c r="Q2097" t="s">
        <v>281</v>
      </c>
      <c r="R2097">
        <v>6175558555</v>
      </c>
      <c r="S2097" t="s">
        <v>282</v>
      </c>
      <c r="U2097" s="1" t="str">
        <f t="shared" si="195"/>
        <v>Brickhaven</v>
      </c>
      <c r="V2097" t="s">
        <v>283</v>
      </c>
      <c r="W2097" t="s">
        <v>123</v>
      </c>
      <c r="X2097">
        <v>58339</v>
      </c>
      <c r="Y2097" s="1" t="str">
        <f t="shared" si="196"/>
        <v>USA</v>
      </c>
      <c r="Z2097" s="4" t="str">
        <f t="shared" si="197"/>
        <v>Usa</v>
      </c>
      <c r="AA2097" t="s">
        <v>32</v>
      </c>
      <c r="AB2097" t="s">
        <v>33</v>
      </c>
      <c r="AC2097" t="s">
        <v>275</v>
      </c>
      <c r="AD2097" t="s">
        <v>284</v>
      </c>
      <c r="AE2097" t="s">
        <v>51</v>
      </c>
    </row>
    <row r="2098" spans="1:31" x14ac:dyDescent="0.3">
      <c r="A2098">
        <v>10382</v>
      </c>
      <c r="B2098">
        <v>33</v>
      </c>
      <c r="C2098">
        <v>100</v>
      </c>
      <c r="D2098">
        <v>4</v>
      </c>
      <c r="E2098" s="4" t="str">
        <f t="shared" si="192"/>
        <v>high sales</v>
      </c>
      <c r="F2098">
        <v>4592.6099999999997</v>
      </c>
      <c r="G2098" t="s">
        <v>2770</v>
      </c>
      <c r="H2098" s="1" t="str">
        <f t="shared" si="193"/>
        <v>Shipped</v>
      </c>
      <c r="I2098" s="4" t="str">
        <f t="shared" si="194"/>
        <v>completed</v>
      </c>
      <c r="J2098" t="s">
        <v>25</v>
      </c>
      <c r="K2098">
        <v>1</v>
      </c>
      <c r="L2098">
        <v>2</v>
      </c>
      <c r="M2098">
        <v>2005</v>
      </c>
      <c r="N2098" t="s">
        <v>550</v>
      </c>
      <c r="O2098">
        <v>97</v>
      </c>
      <c r="P2098" t="s">
        <v>646</v>
      </c>
      <c r="Q2098" t="s">
        <v>272</v>
      </c>
      <c r="R2098">
        <v>4155551450</v>
      </c>
      <c r="S2098" t="s">
        <v>273</v>
      </c>
      <c r="U2098" s="1" t="str">
        <f t="shared" si="195"/>
        <v>San Rafael</v>
      </c>
      <c r="V2098" t="s">
        <v>274</v>
      </c>
      <c r="W2098" t="s">
        <v>55</v>
      </c>
      <c r="X2098">
        <v>97562</v>
      </c>
      <c r="Y2098" s="1" t="str">
        <f t="shared" si="196"/>
        <v>USA</v>
      </c>
      <c r="Z2098" s="4" t="str">
        <f t="shared" si="197"/>
        <v>Usa</v>
      </c>
      <c r="AA2098" t="s">
        <v>32</v>
      </c>
      <c r="AB2098" t="s">
        <v>33</v>
      </c>
      <c r="AC2098" t="s">
        <v>275</v>
      </c>
      <c r="AD2098" t="s">
        <v>276</v>
      </c>
      <c r="AE2098" t="s">
        <v>51</v>
      </c>
    </row>
    <row r="2099" spans="1:31" x14ac:dyDescent="0.3">
      <c r="A2099">
        <v>10423</v>
      </c>
      <c r="B2099">
        <v>28</v>
      </c>
      <c r="C2099">
        <v>78.89</v>
      </c>
      <c r="D2099">
        <v>4</v>
      </c>
      <c r="E2099" s="4" t="str">
        <f t="shared" si="192"/>
        <v>low sales</v>
      </c>
      <c r="F2099">
        <v>2208.92</v>
      </c>
      <c r="G2099" t="s">
        <v>2771</v>
      </c>
      <c r="H2099" s="1" t="str">
        <f t="shared" si="193"/>
        <v>In Process</v>
      </c>
      <c r="I2099" s="4" t="str">
        <f t="shared" si="194"/>
        <v>not completed</v>
      </c>
      <c r="J2099" t="s">
        <v>300</v>
      </c>
      <c r="K2099">
        <v>2</v>
      </c>
      <c r="L2099">
        <v>5</v>
      </c>
      <c r="M2099">
        <v>2005</v>
      </c>
      <c r="N2099" t="s">
        <v>550</v>
      </c>
      <c r="O2099">
        <v>97</v>
      </c>
      <c r="P2099" t="s">
        <v>646</v>
      </c>
      <c r="Q2099" t="s">
        <v>365</v>
      </c>
      <c r="R2099" t="s">
        <v>366</v>
      </c>
      <c r="S2099" t="s">
        <v>367</v>
      </c>
      <c r="U2099" s="1" t="str">
        <f t="shared" si="195"/>
        <v>Bruxelles</v>
      </c>
      <c r="V2099" t="s">
        <v>368</v>
      </c>
      <c r="X2099" t="s">
        <v>369</v>
      </c>
      <c r="Y2099" s="1" t="str">
        <f t="shared" si="196"/>
        <v>BELGIUM</v>
      </c>
      <c r="Z2099" s="4" t="str">
        <f t="shared" si="197"/>
        <v>Belgium</v>
      </c>
      <c r="AA2099" t="s">
        <v>370</v>
      </c>
      <c r="AB2099" t="s">
        <v>42</v>
      </c>
      <c r="AC2099" t="s">
        <v>371</v>
      </c>
      <c r="AD2099" t="s">
        <v>372</v>
      </c>
      <c r="AE2099" t="s">
        <v>36</v>
      </c>
    </row>
    <row r="2100" spans="1:31" x14ac:dyDescent="0.3">
      <c r="A2100">
        <v>10106</v>
      </c>
      <c r="B2100">
        <v>26</v>
      </c>
      <c r="C2100">
        <v>63.76</v>
      </c>
      <c r="D2100">
        <v>3</v>
      </c>
      <c r="E2100" s="4" t="str">
        <f t="shared" si="192"/>
        <v>low sales</v>
      </c>
      <c r="F2100">
        <v>1657.76</v>
      </c>
      <c r="G2100" t="s">
        <v>2772</v>
      </c>
      <c r="H2100" s="1" t="str">
        <f t="shared" si="193"/>
        <v>Shipped</v>
      </c>
      <c r="I2100" s="4" t="str">
        <f t="shared" si="194"/>
        <v>completed</v>
      </c>
      <c r="J2100" t="s">
        <v>25</v>
      </c>
      <c r="K2100">
        <v>1</v>
      </c>
      <c r="L2100">
        <v>2</v>
      </c>
      <c r="M2100">
        <v>2003</v>
      </c>
      <c r="N2100" t="s">
        <v>566</v>
      </c>
      <c r="O2100">
        <v>72</v>
      </c>
      <c r="P2100" t="s">
        <v>647</v>
      </c>
      <c r="Q2100" t="s">
        <v>552</v>
      </c>
      <c r="R2100" t="s">
        <v>553</v>
      </c>
      <c r="S2100" t="s">
        <v>554</v>
      </c>
      <c r="U2100" s="1" t="str">
        <f t="shared" si="195"/>
        <v>Bergamo</v>
      </c>
      <c r="V2100" t="s">
        <v>555</v>
      </c>
      <c r="X2100">
        <v>24100</v>
      </c>
      <c r="Y2100" s="1" t="str">
        <f t="shared" si="196"/>
        <v>ITALY</v>
      </c>
      <c r="Z2100" s="4" t="str">
        <f t="shared" si="197"/>
        <v>Italy</v>
      </c>
      <c r="AA2100" t="s">
        <v>258</v>
      </c>
      <c r="AB2100" t="s">
        <v>42</v>
      </c>
      <c r="AC2100" t="s">
        <v>556</v>
      </c>
      <c r="AD2100" t="s">
        <v>557</v>
      </c>
      <c r="AE2100" t="s">
        <v>36</v>
      </c>
    </row>
    <row r="2101" spans="1:31" x14ac:dyDescent="0.3">
      <c r="A2101">
        <v>10120</v>
      </c>
      <c r="B2101">
        <v>29</v>
      </c>
      <c r="C2101">
        <v>85.49</v>
      </c>
      <c r="D2101">
        <v>9</v>
      </c>
      <c r="E2101" s="4" t="str">
        <f t="shared" si="192"/>
        <v>low sales</v>
      </c>
      <c r="F2101">
        <v>2479.21</v>
      </c>
      <c r="G2101" t="s">
        <v>2773</v>
      </c>
      <c r="H2101" s="1" t="str">
        <f t="shared" si="193"/>
        <v>Shipped</v>
      </c>
      <c r="I2101" s="4" t="str">
        <f t="shared" si="194"/>
        <v>completed</v>
      </c>
      <c r="J2101" t="s">
        <v>25</v>
      </c>
      <c r="K2101">
        <v>2</v>
      </c>
      <c r="L2101">
        <v>4</v>
      </c>
      <c r="M2101">
        <v>2003</v>
      </c>
      <c r="N2101" t="s">
        <v>566</v>
      </c>
      <c r="O2101">
        <v>72</v>
      </c>
      <c r="P2101" t="s">
        <v>647</v>
      </c>
      <c r="Q2101" t="s">
        <v>89</v>
      </c>
      <c r="R2101" t="s">
        <v>90</v>
      </c>
      <c r="S2101" t="s">
        <v>91</v>
      </c>
      <c r="T2101" t="s">
        <v>92</v>
      </c>
      <c r="U2101" s="1" t="str">
        <f t="shared" si="195"/>
        <v>Melbourne</v>
      </c>
      <c r="V2101" t="s">
        <v>93</v>
      </c>
      <c r="W2101" t="s">
        <v>94</v>
      </c>
      <c r="X2101">
        <v>3004</v>
      </c>
      <c r="Y2101" s="1" t="str">
        <f t="shared" si="196"/>
        <v>AUSTRALIA</v>
      </c>
      <c r="Z2101" s="4" t="str">
        <f t="shared" si="197"/>
        <v>Australia</v>
      </c>
      <c r="AA2101" t="s">
        <v>95</v>
      </c>
      <c r="AB2101" t="s">
        <v>96</v>
      </c>
      <c r="AC2101" t="s">
        <v>97</v>
      </c>
      <c r="AD2101" t="s">
        <v>98</v>
      </c>
      <c r="AE2101" t="s">
        <v>36</v>
      </c>
    </row>
    <row r="2102" spans="1:31" x14ac:dyDescent="0.3">
      <c r="A2102">
        <v>10133</v>
      </c>
      <c r="B2102">
        <v>46</v>
      </c>
      <c r="C2102">
        <v>77.52</v>
      </c>
      <c r="D2102">
        <v>4</v>
      </c>
      <c r="E2102" s="4" t="str">
        <f t="shared" si="192"/>
        <v>low sales</v>
      </c>
      <c r="F2102">
        <v>3565.92</v>
      </c>
      <c r="G2102" t="s">
        <v>2774</v>
      </c>
      <c r="H2102" s="1" t="str">
        <f t="shared" si="193"/>
        <v>Shipped</v>
      </c>
      <c r="I2102" s="4" t="str">
        <f t="shared" si="194"/>
        <v>completed</v>
      </c>
      <c r="J2102" t="s">
        <v>25</v>
      </c>
      <c r="K2102">
        <v>2</v>
      </c>
      <c r="L2102">
        <v>6</v>
      </c>
      <c r="M2102">
        <v>2003</v>
      </c>
      <c r="N2102" t="s">
        <v>566</v>
      </c>
      <c r="O2102">
        <v>72</v>
      </c>
      <c r="P2102" t="s">
        <v>647</v>
      </c>
      <c r="Q2102" t="s">
        <v>174</v>
      </c>
      <c r="R2102" t="s">
        <v>175</v>
      </c>
      <c r="S2102" t="s">
        <v>176</v>
      </c>
      <c r="U2102" s="1" t="str">
        <f t="shared" si="195"/>
        <v>Madrid</v>
      </c>
      <c r="V2102" t="s">
        <v>177</v>
      </c>
      <c r="X2102">
        <v>28034</v>
      </c>
      <c r="Y2102" s="1" t="str">
        <f t="shared" si="196"/>
        <v>SPAIN</v>
      </c>
      <c r="Z2102" s="4" t="str">
        <f t="shared" si="197"/>
        <v>Spain</v>
      </c>
      <c r="AA2102" t="s">
        <v>178</v>
      </c>
      <c r="AB2102" t="s">
        <v>42</v>
      </c>
      <c r="AC2102" t="s">
        <v>179</v>
      </c>
      <c r="AD2102" t="s">
        <v>180</v>
      </c>
      <c r="AE2102" t="s">
        <v>51</v>
      </c>
    </row>
    <row r="2103" spans="1:31" x14ac:dyDescent="0.3">
      <c r="A2103">
        <v>10145</v>
      </c>
      <c r="B2103">
        <v>33</v>
      </c>
      <c r="C2103">
        <v>84.77</v>
      </c>
      <c r="D2103">
        <v>15</v>
      </c>
      <c r="E2103" s="4" t="str">
        <f t="shared" si="192"/>
        <v>low sales</v>
      </c>
      <c r="F2103">
        <v>2797.41</v>
      </c>
      <c r="G2103" t="s">
        <v>2775</v>
      </c>
      <c r="H2103" s="1" t="str">
        <f t="shared" si="193"/>
        <v>Shipped</v>
      </c>
      <c r="I2103" s="4" t="str">
        <f t="shared" si="194"/>
        <v>completed</v>
      </c>
      <c r="J2103" t="s">
        <v>25</v>
      </c>
      <c r="K2103">
        <v>3</v>
      </c>
      <c r="L2103">
        <v>8</v>
      </c>
      <c r="M2103">
        <v>2003</v>
      </c>
      <c r="N2103" t="s">
        <v>566</v>
      </c>
      <c r="O2103">
        <v>72</v>
      </c>
      <c r="P2103" t="s">
        <v>647</v>
      </c>
      <c r="Q2103" t="s">
        <v>52</v>
      </c>
      <c r="R2103">
        <v>6265557265</v>
      </c>
      <c r="S2103" t="s">
        <v>53</v>
      </c>
      <c r="U2103" s="1" t="str">
        <f t="shared" si="195"/>
        <v>Pasadena</v>
      </c>
      <c r="V2103" t="s">
        <v>54</v>
      </c>
      <c r="W2103" t="s">
        <v>55</v>
      </c>
      <c r="X2103">
        <v>90003</v>
      </c>
      <c r="Y2103" s="1" t="str">
        <f t="shared" si="196"/>
        <v>USA</v>
      </c>
      <c r="Z2103" s="4" t="str">
        <f t="shared" si="197"/>
        <v>Usa</v>
      </c>
      <c r="AA2103" t="s">
        <v>32</v>
      </c>
      <c r="AB2103" t="s">
        <v>33</v>
      </c>
      <c r="AC2103" t="s">
        <v>56</v>
      </c>
      <c r="AD2103" t="s">
        <v>57</v>
      </c>
      <c r="AE2103" t="s">
        <v>36</v>
      </c>
    </row>
    <row r="2104" spans="1:31" x14ac:dyDescent="0.3">
      <c r="A2104">
        <v>10168</v>
      </c>
      <c r="B2104">
        <v>48</v>
      </c>
      <c r="C2104">
        <v>78.25</v>
      </c>
      <c r="D2104">
        <v>10</v>
      </c>
      <c r="E2104" s="4" t="str">
        <f t="shared" si="192"/>
        <v>low sales</v>
      </c>
      <c r="F2104">
        <v>3756</v>
      </c>
      <c r="G2104" t="s">
        <v>2776</v>
      </c>
      <c r="H2104" s="1" t="str">
        <f t="shared" si="193"/>
        <v>Shipped</v>
      </c>
      <c r="I2104" s="4" t="str">
        <f t="shared" si="194"/>
        <v>completed</v>
      </c>
      <c r="J2104" t="s">
        <v>25</v>
      </c>
      <c r="K2104">
        <v>4</v>
      </c>
      <c r="L2104">
        <v>10</v>
      </c>
      <c r="M2104">
        <v>2003</v>
      </c>
      <c r="N2104" t="s">
        <v>566</v>
      </c>
      <c r="O2104">
        <v>72</v>
      </c>
      <c r="P2104" t="s">
        <v>647</v>
      </c>
      <c r="Q2104" t="s">
        <v>62</v>
      </c>
      <c r="R2104">
        <v>6505556809</v>
      </c>
      <c r="S2104" t="s">
        <v>63</v>
      </c>
      <c r="U2104" s="1" t="str">
        <f t="shared" si="195"/>
        <v>Burlingame</v>
      </c>
      <c r="V2104" t="s">
        <v>64</v>
      </c>
      <c r="W2104" t="s">
        <v>55</v>
      </c>
      <c r="X2104">
        <v>94217</v>
      </c>
      <c r="Y2104" s="1" t="str">
        <f t="shared" si="196"/>
        <v>USA</v>
      </c>
      <c r="Z2104" s="4" t="str">
        <f t="shared" si="197"/>
        <v>Usa</v>
      </c>
      <c r="AA2104" t="s">
        <v>32</v>
      </c>
      <c r="AB2104" t="s">
        <v>33</v>
      </c>
      <c r="AC2104" t="s">
        <v>65</v>
      </c>
      <c r="AD2104" t="s">
        <v>66</v>
      </c>
      <c r="AE2104" t="s">
        <v>51</v>
      </c>
    </row>
    <row r="2105" spans="1:31" x14ac:dyDescent="0.3">
      <c r="A2105">
        <v>10210</v>
      </c>
      <c r="B2105">
        <v>40</v>
      </c>
      <c r="C2105">
        <v>71</v>
      </c>
      <c r="D2105">
        <v>8</v>
      </c>
      <c r="E2105" s="4" t="str">
        <f t="shared" si="192"/>
        <v>low sales</v>
      </c>
      <c r="F2105">
        <v>2840</v>
      </c>
      <c r="G2105" t="s">
        <v>2777</v>
      </c>
      <c r="H2105" s="1" t="str">
        <f t="shared" si="193"/>
        <v>Shipped</v>
      </c>
      <c r="I2105" s="4" t="str">
        <f t="shared" si="194"/>
        <v>completed</v>
      </c>
      <c r="J2105" t="s">
        <v>25</v>
      </c>
      <c r="K2105">
        <v>1</v>
      </c>
      <c r="L2105">
        <v>1</v>
      </c>
      <c r="M2105">
        <v>2004</v>
      </c>
      <c r="N2105" t="s">
        <v>566</v>
      </c>
      <c r="O2105">
        <v>72</v>
      </c>
      <c r="P2105" t="s">
        <v>647</v>
      </c>
      <c r="Q2105" t="s">
        <v>302</v>
      </c>
      <c r="R2105" t="s">
        <v>303</v>
      </c>
      <c r="S2105" t="s">
        <v>304</v>
      </c>
      <c r="U2105" s="1" t="str">
        <f t="shared" si="195"/>
        <v>Osaka</v>
      </c>
      <c r="V2105" t="s">
        <v>305</v>
      </c>
      <c r="W2105" t="s">
        <v>305</v>
      </c>
      <c r="X2105" t="s">
        <v>306</v>
      </c>
      <c r="Y2105" s="1" t="str">
        <f t="shared" si="196"/>
        <v>JAPAN</v>
      </c>
      <c r="Z2105" s="4" t="str">
        <f t="shared" si="197"/>
        <v>Japan</v>
      </c>
      <c r="AA2105" t="s">
        <v>200</v>
      </c>
      <c r="AB2105" t="s">
        <v>200</v>
      </c>
      <c r="AC2105" t="s">
        <v>307</v>
      </c>
      <c r="AD2105" t="s">
        <v>308</v>
      </c>
      <c r="AE2105" t="s">
        <v>36</v>
      </c>
    </row>
    <row r="2106" spans="1:31" x14ac:dyDescent="0.3">
      <c r="A2106">
        <v>10223</v>
      </c>
      <c r="B2106">
        <v>23</v>
      </c>
      <c r="C2106">
        <v>74.62</v>
      </c>
      <c r="D2106">
        <v>10</v>
      </c>
      <c r="E2106" s="4" t="str">
        <f t="shared" si="192"/>
        <v>low sales</v>
      </c>
      <c r="F2106">
        <v>1716.26</v>
      </c>
      <c r="G2106" t="s">
        <v>2778</v>
      </c>
      <c r="H2106" s="1" t="str">
        <f t="shared" si="193"/>
        <v>Shipped</v>
      </c>
      <c r="I2106" s="4" t="str">
        <f t="shared" si="194"/>
        <v>completed</v>
      </c>
      <c r="J2106" t="s">
        <v>25</v>
      </c>
      <c r="K2106">
        <v>1</v>
      </c>
      <c r="L2106">
        <v>2</v>
      </c>
      <c r="M2106">
        <v>2004</v>
      </c>
      <c r="N2106" t="s">
        <v>566</v>
      </c>
      <c r="O2106">
        <v>72</v>
      </c>
      <c r="P2106" t="s">
        <v>647</v>
      </c>
      <c r="Q2106" t="s">
        <v>89</v>
      </c>
      <c r="R2106" t="s">
        <v>90</v>
      </c>
      <c r="S2106" t="s">
        <v>91</v>
      </c>
      <c r="T2106" t="s">
        <v>92</v>
      </c>
      <c r="U2106" s="1" t="str">
        <f t="shared" si="195"/>
        <v>Melbourne</v>
      </c>
      <c r="V2106" t="s">
        <v>93</v>
      </c>
      <c r="W2106" t="s">
        <v>94</v>
      </c>
      <c r="X2106">
        <v>3004</v>
      </c>
      <c r="Y2106" s="1" t="str">
        <f t="shared" si="196"/>
        <v>AUSTRALIA</v>
      </c>
      <c r="Z2106" s="4" t="str">
        <f t="shared" si="197"/>
        <v>Australia</v>
      </c>
      <c r="AA2106" t="s">
        <v>95</v>
      </c>
      <c r="AB2106" t="s">
        <v>96</v>
      </c>
      <c r="AC2106" t="s">
        <v>97</v>
      </c>
      <c r="AD2106" t="s">
        <v>98</v>
      </c>
      <c r="AE2106" t="s">
        <v>36</v>
      </c>
    </row>
    <row r="2107" spans="1:31" x14ac:dyDescent="0.3">
      <c r="A2107">
        <v>10235</v>
      </c>
      <c r="B2107">
        <v>40</v>
      </c>
      <c r="C2107">
        <v>81.14</v>
      </c>
      <c r="D2107">
        <v>4</v>
      </c>
      <c r="E2107" s="4" t="str">
        <f t="shared" si="192"/>
        <v>low sales</v>
      </c>
      <c r="F2107">
        <v>3245.6</v>
      </c>
      <c r="G2107" t="s">
        <v>2779</v>
      </c>
      <c r="H2107" s="1" t="str">
        <f t="shared" si="193"/>
        <v>Shipped</v>
      </c>
      <c r="I2107" s="4" t="str">
        <f t="shared" si="194"/>
        <v>completed</v>
      </c>
      <c r="J2107" t="s">
        <v>25</v>
      </c>
      <c r="K2107">
        <v>2</v>
      </c>
      <c r="L2107">
        <v>4</v>
      </c>
      <c r="M2107">
        <v>2004</v>
      </c>
      <c r="N2107" t="s">
        <v>566</v>
      </c>
      <c r="O2107">
        <v>72</v>
      </c>
      <c r="P2107" t="s">
        <v>647</v>
      </c>
      <c r="Q2107" t="s">
        <v>373</v>
      </c>
      <c r="R2107" t="s">
        <v>374</v>
      </c>
      <c r="S2107" t="s">
        <v>375</v>
      </c>
      <c r="U2107" s="1" t="str">
        <f t="shared" si="195"/>
        <v>Tsawassen</v>
      </c>
      <c r="V2107" t="s">
        <v>376</v>
      </c>
      <c r="W2107" t="s">
        <v>229</v>
      </c>
      <c r="X2107" t="s">
        <v>377</v>
      </c>
      <c r="Y2107" s="1" t="str">
        <f t="shared" si="196"/>
        <v>CANADA</v>
      </c>
      <c r="Z2107" s="4" t="str">
        <f t="shared" si="197"/>
        <v>Canada</v>
      </c>
      <c r="AA2107" t="s">
        <v>231</v>
      </c>
      <c r="AB2107" t="s">
        <v>33</v>
      </c>
      <c r="AC2107" t="s">
        <v>378</v>
      </c>
      <c r="AD2107" t="s">
        <v>172</v>
      </c>
      <c r="AE2107" t="s">
        <v>51</v>
      </c>
    </row>
    <row r="2108" spans="1:31" x14ac:dyDescent="0.3">
      <c r="A2108">
        <v>10250</v>
      </c>
      <c r="B2108">
        <v>37</v>
      </c>
      <c r="C2108">
        <v>74.62</v>
      </c>
      <c r="D2108">
        <v>5</v>
      </c>
      <c r="E2108" s="4" t="str">
        <f t="shared" si="192"/>
        <v>low sales</v>
      </c>
      <c r="F2108">
        <v>2760.94</v>
      </c>
      <c r="G2108" t="s">
        <v>2780</v>
      </c>
      <c r="H2108" s="1" t="str">
        <f t="shared" si="193"/>
        <v>Shipped</v>
      </c>
      <c r="I2108" s="4" t="str">
        <f t="shared" si="194"/>
        <v>completed</v>
      </c>
      <c r="J2108" t="s">
        <v>25</v>
      </c>
      <c r="K2108">
        <v>2</v>
      </c>
      <c r="L2108">
        <v>5</v>
      </c>
      <c r="M2108">
        <v>2004</v>
      </c>
      <c r="N2108" t="s">
        <v>566</v>
      </c>
      <c r="O2108">
        <v>72</v>
      </c>
      <c r="P2108" t="s">
        <v>647</v>
      </c>
      <c r="Q2108" t="s">
        <v>397</v>
      </c>
      <c r="R2108">
        <v>4085553659</v>
      </c>
      <c r="S2108" t="s">
        <v>398</v>
      </c>
      <c r="U2108" s="1" t="str">
        <f t="shared" si="195"/>
        <v>San Jose</v>
      </c>
      <c r="V2108" t="s">
        <v>399</v>
      </c>
      <c r="W2108" t="s">
        <v>55</v>
      </c>
      <c r="X2108">
        <v>94217</v>
      </c>
      <c r="Y2108" s="1" t="str">
        <f t="shared" si="196"/>
        <v>USA</v>
      </c>
      <c r="Z2108" s="4" t="str">
        <f t="shared" si="197"/>
        <v>Usa</v>
      </c>
      <c r="AA2108" t="s">
        <v>32</v>
      </c>
      <c r="AB2108" t="s">
        <v>33</v>
      </c>
      <c r="AC2108" t="s">
        <v>102</v>
      </c>
      <c r="AD2108" t="s">
        <v>400</v>
      </c>
      <c r="AE2108" t="s">
        <v>36</v>
      </c>
    </row>
    <row r="2109" spans="1:31" x14ac:dyDescent="0.3">
      <c r="A2109">
        <v>10263</v>
      </c>
      <c r="B2109">
        <v>24</v>
      </c>
      <c r="C2109">
        <v>75.349999999999994</v>
      </c>
      <c r="D2109">
        <v>11</v>
      </c>
      <c r="E2109" s="4" t="str">
        <f t="shared" si="192"/>
        <v>low sales</v>
      </c>
      <c r="F2109">
        <v>1808.4</v>
      </c>
      <c r="G2109" t="s">
        <v>2781</v>
      </c>
      <c r="H2109" s="1" t="str">
        <f t="shared" si="193"/>
        <v>Shipped</v>
      </c>
      <c r="I2109" s="4" t="str">
        <f t="shared" si="194"/>
        <v>completed</v>
      </c>
      <c r="J2109" t="s">
        <v>25</v>
      </c>
      <c r="K2109">
        <v>2</v>
      </c>
      <c r="L2109">
        <v>6</v>
      </c>
      <c r="M2109">
        <v>2004</v>
      </c>
      <c r="N2109" t="s">
        <v>566</v>
      </c>
      <c r="O2109">
        <v>72</v>
      </c>
      <c r="P2109" t="s">
        <v>647</v>
      </c>
      <c r="Q2109" t="s">
        <v>109</v>
      </c>
      <c r="R2109">
        <v>2035552570</v>
      </c>
      <c r="S2109" t="s">
        <v>110</v>
      </c>
      <c r="U2109" s="1" t="str">
        <f t="shared" si="195"/>
        <v>Bridgewater</v>
      </c>
      <c r="V2109" t="s">
        <v>111</v>
      </c>
      <c r="W2109" t="s">
        <v>112</v>
      </c>
      <c r="X2109">
        <v>97562</v>
      </c>
      <c r="Y2109" s="1" t="str">
        <f t="shared" si="196"/>
        <v>USA</v>
      </c>
      <c r="Z2109" s="4" t="str">
        <f t="shared" si="197"/>
        <v>Usa</v>
      </c>
      <c r="AA2109" t="s">
        <v>32</v>
      </c>
      <c r="AB2109" t="s">
        <v>33</v>
      </c>
      <c r="AC2109" t="s">
        <v>113</v>
      </c>
      <c r="AD2109" t="s">
        <v>57</v>
      </c>
      <c r="AE2109" t="s">
        <v>36</v>
      </c>
    </row>
    <row r="2110" spans="1:31" x14ac:dyDescent="0.3">
      <c r="A2110">
        <v>10275</v>
      </c>
      <c r="B2110">
        <v>27</v>
      </c>
      <c r="C2110">
        <v>62.31</v>
      </c>
      <c r="D2110">
        <v>10</v>
      </c>
      <c r="E2110" s="4" t="str">
        <f t="shared" si="192"/>
        <v>low sales</v>
      </c>
      <c r="F2110">
        <v>1682.37</v>
      </c>
      <c r="G2110" t="s">
        <v>2782</v>
      </c>
      <c r="H2110" s="1" t="str">
        <f t="shared" si="193"/>
        <v>Shipped</v>
      </c>
      <c r="I2110" s="4" t="str">
        <f t="shared" si="194"/>
        <v>completed</v>
      </c>
      <c r="J2110" t="s">
        <v>25</v>
      </c>
      <c r="K2110">
        <v>3</v>
      </c>
      <c r="L2110">
        <v>7</v>
      </c>
      <c r="M2110">
        <v>2004</v>
      </c>
      <c r="N2110" t="s">
        <v>566</v>
      </c>
      <c r="O2110">
        <v>72</v>
      </c>
      <c r="P2110" t="s">
        <v>647</v>
      </c>
      <c r="Q2110" t="s">
        <v>114</v>
      </c>
      <c r="R2110" t="s">
        <v>115</v>
      </c>
      <c r="S2110" t="s">
        <v>116</v>
      </c>
      <c r="U2110" s="1" t="str">
        <f t="shared" si="195"/>
        <v>Nantes</v>
      </c>
      <c r="V2110" t="s">
        <v>117</v>
      </c>
      <c r="X2110">
        <v>44000</v>
      </c>
      <c r="Y2110" s="1" t="str">
        <f t="shared" si="196"/>
        <v>FRANCE</v>
      </c>
      <c r="Z2110" s="4" t="str">
        <f t="shared" si="197"/>
        <v>France</v>
      </c>
      <c r="AA2110" t="s">
        <v>41</v>
      </c>
      <c r="AB2110" t="s">
        <v>42</v>
      </c>
      <c r="AC2110" t="s">
        <v>118</v>
      </c>
      <c r="AD2110" t="s">
        <v>119</v>
      </c>
      <c r="AE2110" t="s">
        <v>36</v>
      </c>
    </row>
    <row r="2111" spans="1:31" x14ac:dyDescent="0.3">
      <c r="A2111">
        <v>10284</v>
      </c>
      <c r="B2111">
        <v>21</v>
      </c>
      <c r="C2111">
        <v>71</v>
      </c>
      <c r="D2111">
        <v>2</v>
      </c>
      <c r="E2111" s="4" t="str">
        <f t="shared" si="192"/>
        <v>low sales</v>
      </c>
      <c r="F2111">
        <v>1491</v>
      </c>
      <c r="G2111" t="s">
        <v>2783</v>
      </c>
      <c r="H2111" s="1" t="str">
        <f t="shared" si="193"/>
        <v>Shipped</v>
      </c>
      <c r="I2111" s="4" t="str">
        <f t="shared" si="194"/>
        <v>completed</v>
      </c>
      <c r="J2111" t="s">
        <v>25</v>
      </c>
      <c r="K2111">
        <v>3</v>
      </c>
      <c r="L2111">
        <v>8</v>
      </c>
      <c r="M2111">
        <v>2004</v>
      </c>
      <c r="N2111" t="s">
        <v>566</v>
      </c>
      <c r="O2111">
        <v>72</v>
      </c>
      <c r="P2111" t="s">
        <v>647</v>
      </c>
      <c r="Q2111" t="s">
        <v>543</v>
      </c>
      <c r="R2111" t="s">
        <v>544</v>
      </c>
      <c r="S2111" t="s">
        <v>545</v>
      </c>
      <c r="U2111" s="1" t="str">
        <f t="shared" si="195"/>
        <v>Oslo</v>
      </c>
      <c r="V2111" t="s">
        <v>546</v>
      </c>
      <c r="X2111" t="s">
        <v>547</v>
      </c>
      <c r="Y2111" s="1" t="str">
        <f t="shared" si="196"/>
        <v>NORWAY</v>
      </c>
      <c r="Z2111" s="4" t="str">
        <f t="shared" si="197"/>
        <v>Norway</v>
      </c>
      <c r="AA2111" t="s">
        <v>78</v>
      </c>
      <c r="AB2111" t="s">
        <v>42</v>
      </c>
      <c r="AC2111" t="s">
        <v>548</v>
      </c>
      <c r="AD2111" t="s">
        <v>549</v>
      </c>
      <c r="AE2111" t="s">
        <v>36</v>
      </c>
    </row>
    <row r="2112" spans="1:31" x14ac:dyDescent="0.3">
      <c r="A2112">
        <v>10297</v>
      </c>
      <c r="B2112">
        <v>23</v>
      </c>
      <c r="C2112">
        <v>72.45</v>
      </c>
      <c r="D2112">
        <v>5</v>
      </c>
      <c r="E2112" s="4" t="str">
        <f t="shared" si="192"/>
        <v>low sales</v>
      </c>
      <c r="F2112">
        <v>1666.35</v>
      </c>
      <c r="G2112" t="s">
        <v>2784</v>
      </c>
      <c r="H2112" s="1" t="str">
        <f t="shared" si="193"/>
        <v>Shipped</v>
      </c>
      <c r="I2112" s="4" t="str">
        <f t="shared" si="194"/>
        <v>completed</v>
      </c>
      <c r="J2112" t="s">
        <v>25</v>
      </c>
      <c r="K2112">
        <v>3</v>
      </c>
      <c r="L2112">
        <v>9</v>
      </c>
      <c r="M2112">
        <v>2004</v>
      </c>
      <c r="N2112" t="s">
        <v>566</v>
      </c>
      <c r="O2112">
        <v>72</v>
      </c>
      <c r="P2112" t="s">
        <v>647</v>
      </c>
      <c r="Q2112" t="s">
        <v>479</v>
      </c>
      <c r="R2112" t="s">
        <v>480</v>
      </c>
      <c r="S2112" t="s">
        <v>481</v>
      </c>
      <c r="T2112" t="s">
        <v>482</v>
      </c>
      <c r="U2112" s="1" t="str">
        <f t="shared" si="195"/>
        <v>Dublin</v>
      </c>
      <c r="V2112" t="s">
        <v>483</v>
      </c>
      <c r="X2112">
        <v>2</v>
      </c>
      <c r="Y2112" s="1" t="str">
        <f t="shared" si="196"/>
        <v>IRELAND</v>
      </c>
      <c r="Z2112" s="4" t="str">
        <f t="shared" si="197"/>
        <v>Ireland</v>
      </c>
      <c r="AA2112" t="s">
        <v>484</v>
      </c>
      <c r="AB2112" t="s">
        <v>42</v>
      </c>
      <c r="AC2112" t="s">
        <v>485</v>
      </c>
      <c r="AD2112" t="s">
        <v>486</v>
      </c>
      <c r="AE2112" t="s">
        <v>36</v>
      </c>
    </row>
    <row r="2113" spans="1:31" x14ac:dyDescent="0.3">
      <c r="A2113">
        <v>10308</v>
      </c>
      <c r="B2113">
        <v>44</v>
      </c>
      <c r="C2113">
        <v>83.32</v>
      </c>
      <c r="D2113">
        <v>8</v>
      </c>
      <c r="E2113" s="4" t="str">
        <f t="shared" si="192"/>
        <v>low sales</v>
      </c>
      <c r="F2113">
        <v>3666.08</v>
      </c>
      <c r="G2113" t="s">
        <v>2785</v>
      </c>
      <c r="H2113" s="1" t="str">
        <f t="shared" si="193"/>
        <v>Shipped</v>
      </c>
      <c r="I2113" s="4" t="str">
        <f t="shared" si="194"/>
        <v>completed</v>
      </c>
      <c r="J2113" t="s">
        <v>25</v>
      </c>
      <c r="K2113">
        <v>4</v>
      </c>
      <c r="L2113">
        <v>10</v>
      </c>
      <c r="M2113">
        <v>2004</v>
      </c>
      <c r="N2113" t="s">
        <v>566</v>
      </c>
      <c r="O2113">
        <v>72</v>
      </c>
      <c r="P2113" t="s">
        <v>647</v>
      </c>
      <c r="Q2113" t="s">
        <v>317</v>
      </c>
      <c r="R2113">
        <v>9145554562</v>
      </c>
      <c r="S2113" t="s">
        <v>318</v>
      </c>
      <c r="U2113" s="1" t="str">
        <f t="shared" si="195"/>
        <v>White Plains</v>
      </c>
      <c r="V2113" t="s">
        <v>319</v>
      </c>
      <c r="W2113" t="s">
        <v>31</v>
      </c>
      <c r="X2113">
        <v>24067</v>
      </c>
      <c r="Y2113" s="1" t="str">
        <f t="shared" si="196"/>
        <v>USA</v>
      </c>
      <c r="Z2113" s="4" t="str">
        <f t="shared" si="197"/>
        <v>Usa</v>
      </c>
      <c r="AA2113" t="s">
        <v>32</v>
      </c>
      <c r="AB2113" t="s">
        <v>33</v>
      </c>
      <c r="AC2113" t="s">
        <v>102</v>
      </c>
      <c r="AD2113" t="s">
        <v>238</v>
      </c>
      <c r="AE2113" t="s">
        <v>51</v>
      </c>
    </row>
    <row r="2114" spans="1:31" x14ac:dyDescent="0.3">
      <c r="A2114">
        <v>10317</v>
      </c>
      <c r="B2114">
        <v>35</v>
      </c>
      <c r="C2114">
        <v>83.32</v>
      </c>
      <c r="D2114">
        <v>1</v>
      </c>
      <c r="E2114" s="4" t="str">
        <f t="shared" si="192"/>
        <v>low sales</v>
      </c>
      <c r="F2114">
        <v>2916.2</v>
      </c>
      <c r="G2114" t="s">
        <v>2786</v>
      </c>
      <c r="H2114" s="1" t="str">
        <f t="shared" si="193"/>
        <v>Shipped</v>
      </c>
      <c r="I2114" s="4" t="str">
        <f t="shared" si="194"/>
        <v>completed</v>
      </c>
      <c r="J2114" t="s">
        <v>25</v>
      </c>
      <c r="K2114">
        <v>4</v>
      </c>
      <c r="L2114">
        <v>11</v>
      </c>
      <c r="M2114">
        <v>2004</v>
      </c>
      <c r="N2114" t="s">
        <v>566</v>
      </c>
      <c r="O2114">
        <v>72</v>
      </c>
      <c r="P2114" t="s">
        <v>647</v>
      </c>
      <c r="Q2114" t="s">
        <v>62</v>
      </c>
      <c r="R2114">
        <v>6505556809</v>
      </c>
      <c r="S2114" t="s">
        <v>63</v>
      </c>
      <c r="U2114" s="1" t="str">
        <f t="shared" si="195"/>
        <v>Burlingame</v>
      </c>
      <c r="V2114" t="s">
        <v>64</v>
      </c>
      <c r="W2114" t="s">
        <v>55</v>
      </c>
      <c r="X2114">
        <v>94217</v>
      </c>
      <c r="Y2114" s="1" t="str">
        <f t="shared" si="196"/>
        <v>USA</v>
      </c>
      <c r="Z2114" s="4" t="str">
        <f t="shared" si="197"/>
        <v>Usa</v>
      </c>
      <c r="AA2114" t="s">
        <v>32</v>
      </c>
      <c r="AB2114" t="s">
        <v>33</v>
      </c>
      <c r="AC2114" t="s">
        <v>65</v>
      </c>
      <c r="AD2114" t="s">
        <v>66</v>
      </c>
      <c r="AE2114" t="s">
        <v>36</v>
      </c>
    </row>
    <row r="2115" spans="1:31" x14ac:dyDescent="0.3">
      <c r="A2115">
        <v>10328</v>
      </c>
      <c r="B2115">
        <v>43</v>
      </c>
      <c r="C2115">
        <v>60.86</v>
      </c>
      <c r="D2115">
        <v>4</v>
      </c>
      <c r="E2115" s="4" t="str">
        <f t="shared" ref="E2115:E2178" si="198">IF(F2115&gt;4000,"high sales","low sales")</f>
        <v>low sales</v>
      </c>
      <c r="F2115">
        <v>2616.98</v>
      </c>
      <c r="G2115" t="s">
        <v>2787</v>
      </c>
      <c r="H2115" s="1" t="str">
        <f t="shared" ref="H2115:H2178" si="199">PROPER(TRIM(J2115))</f>
        <v>Shipped</v>
      </c>
      <c r="I2115" s="4" t="str">
        <f t="shared" ref="I2115:I2178" si="200">IF(J2115="shipped","completed","not completed")</f>
        <v>completed</v>
      </c>
      <c r="J2115" t="s">
        <v>25</v>
      </c>
      <c r="K2115">
        <v>4</v>
      </c>
      <c r="L2115">
        <v>11</v>
      </c>
      <c r="M2115">
        <v>2004</v>
      </c>
      <c r="N2115" t="s">
        <v>566</v>
      </c>
      <c r="O2115">
        <v>72</v>
      </c>
      <c r="P2115" t="s">
        <v>647</v>
      </c>
      <c r="Q2115" t="s">
        <v>552</v>
      </c>
      <c r="R2115" t="s">
        <v>553</v>
      </c>
      <c r="S2115" t="s">
        <v>554</v>
      </c>
      <c r="U2115" s="1" t="str">
        <f t="shared" ref="U2115:U2178" si="201">PROPER(TRIM(V2115))</f>
        <v>Bergamo</v>
      </c>
      <c r="V2115" t="s">
        <v>555</v>
      </c>
      <c r="X2115">
        <v>24100</v>
      </c>
      <c r="Y2115" s="1" t="str">
        <f t="shared" ref="Y2115:Y2178" si="202">UPPER(TRIM(AA2115))</f>
        <v>ITALY</v>
      </c>
      <c r="Z2115" s="4" t="str">
        <f t="shared" ref="Z2115:Z2178" si="203">PROPER(TRIM(AA2115))</f>
        <v>Italy</v>
      </c>
      <c r="AA2115" t="s">
        <v>258</v>
      </c>
      <c r="AB2115" t="s">
        <v>42</v>
      </c>
      <c r="AC2115" t="s">
        <v>556</v>
      </c>
      <c r="AD2115" t="s">
        <v>557</v>
      </c>
      <c r="AE2115" t="s">
        <v>36</v>
      </c>
    </row>
    <row r="2116" spans="1:31" x14ac:dyDescent="0.3">
      <c r="A2116">
        <v>10340</v>
      </c>
      <c r="B2116">
        <v>40</v>
      </c>
      <c r="C2116">
        <v>84.77</v>
      </c>
      <c r="D2116">
        <v>1</v>
      </c>
      <c r="E2116" s="4" t="str">
        <f t="shared" si="198"/>
        <v>low sales</v>
      </c>
      <c r="F2116">
        <v>3390.8</v>
      </c>
      <c r="G2116" t="s">
        <v>2788</v>
      </c>
      <c r="H2116" s="1" t="str">
        <f t="shared" si="199"/>
        <v>Shipped</v>
      </c>
      <c r="I2116" s="4" t="str">
        <f t="shared" si="200"/>
        <v>completed</v>
      </c>
      <c r="J2116" t="s">
        <v>25</v>
      </c>
      <c r="K2116">
        <v>4</v>
      </c>
      <c r="L2116">
        <v>11</v>
      </c>
      <c r="M2116">
        <v>2004</v>
      </c>
      <c r="N2116" t="s">
        <v>566</v>
      </c>
      <c r="O2116">
        <v>72</v>
      </c>
      <c r="P2116" t="s">
        <v>647</v>
      </c>
      <c r="Q2116" t="s">
        <v>352</v>
      </c>
      <c r="R2116" t="s">
        <v>353</v>
      </c>
      <c r="S2116" t="s">
        <v>354</v>
      </c>
      <c r="U2116" s="1" t="str">
        <f t="shared" si="201"/>
        <v>Barcelona</v>
      </c>
      <c r="V2116" t="s">
        <v>355</v>
      </c>
      <c r="X2116">
        <v>8022</v>
      </c>
      <c r="Y2116" s="1" t="str">
        <f t="shared" si="202"/>
        <v>SPAIN</v>
      </c>
      <c r="Z2116" s="4" t="str">
        <f t="shared" si="203"/>
        <v>Spain</v>
      </c>
      <c r="AA2116" t="s">
        <v>178</v>
      </c>
      <c r="AB2116" t="s">
        <v>42</v>
      </c>
      <c r="AC2116" t="s">
        <v>356</v>
      </c>
      <c r="AD2116" t="s">
        <v>357</v>
      </c>
      <c r="AE2116" t="s">
        <v>51</v>
      </c>
    </row>
    <row r="2117" spans="1:31" x14ac:dyDescent="0.3">
      <c r="A2117">
        <v>10353</v>
      </c>
      <c r="B2117">
        <v>35</v>
      </c>
      <c r="C2117">
        <v>89.9</v>
      </c>
      <c r="D2117">
        <v>3</v>
      </c>
      <c r="E2117" s="4" t="str">
        <f t="shared" si="198"/>
        <v>low sales</v>
      </c>
      <c r="F2117">
        <v>3146.5</v>
      </c>
      <c r="G2117" t="s">
        <v>2789</v>
      </c>
      <c r="H2117" s="1" t="str">
        <f t="shared" si="199"/>
        <v>Shipped</v>
      </c>
      <c r="I2117" s="4" t="str">
        <f t="shared" si="200"/>
        <v>completed</v>
      </c>
      <c r="J2117" t="s">
        <v>25</v>
      </c>
      <c r="K2117">
        <v>4</v>
      </c>
      <c r="L2117">
        <v>12</v>
      </c>
      <c r="M2117">
        <v>2004</v>
      </c>
      <c r="N2117" t="s">
        <v>566</v>
      </c>
      <c r="O2117">
        <v>72</v>
      </c>
      <c r="P2117" t="s">
        <v>647</v>
      </c>
      <c r="Q2117" t="s">
        <v>568</v>
      </c>
      <c r="R2117">
        <v>2035554407</v>
      </c>
      <c r="S2117" t="s">
        <v>569</v>
      </c>
      <c r="U2117" s="1" t="str">
        <f t="shared" si="201"/>
        <v>Glendale</v>
      </c>
      <c r="V2117" t="s">
        <v>516</v>
      </c>
      <c r="W2117" t="s">
        <v>112</v>
      </c>
      <c r="X2117">
        <v>97561</v>
      </c>
      <c r="Y2117" s="1" t="str">
        <f t="shared" si="202"/>
        <v>USA</v>
      </c>
      <c r="Z2117" s="4" t="str">
        <f t="shared" si="203"/>
        <v>Usa</v>
      </c>
      <c r="AA2117" t="s">
        <v>32</v>
      </c>
      <c r="AB2117" t="s">
        <v>33</v>
      </c>
      <c r="AC2117" t="s">
        <v>570</v>
      </c>
      <c r="AD2117" t="s">
        <v>571</v>
      </c>
      <c r="AE2117" t="s">
        <v>51</v>
      </c>
    </row>
    <row r="2118" spans="1:31" x14ac:dyDescent="0.3">
      <c r="A2118">
        <v>10361</v>
      </c>
      <c r="B2118">
        <v>25</v>
      </c>
      <c r="C2118">
        <v>62.46</v>
      </c>
      <c r="D2118">
        <v>1</v>
      </c>
      <c r="E2118" s="4" t="str">
        <f t="shared" si="198"/>
        <v>low sales</v>
      </c>
      <c r="F2118">
        <v>1561.5</v>
      </c>
      <c r="G2118" t="s">
        <v>2790</v>
      </c>
      <c r="H2118" s="1" t="str">
        <f t="shared" si="199"/>
        <v>Shipped</v>
      </c>
      <c r="I2118" s="4" t="str">
        <f t="shared" si="200"/>
        <v>completed</v>
      </c>
      <c r="J2118" t="s">
        <v>25</v>
      </c>
      <c r="K2118">
        <v>4</v>
      </c>
      <c r="L2118">
        <v>12</v>
      </c>
      <c r="M2118">
        <v>2004</v>
      </c>
      <c r="N2118" t="s">
        <v>566</v>
      </c>
      <c r="O2118">
        <v>72</v>
      </c>
      <c r="P2118" t="s">
        <v>647</v>
      </c>
      <c r="Q2118" t="s">
        <v>152</v>
      </c>
      <c r="R2118" t="s">
        <v>153</v>
      </c>
      <c r="S2118" t="s">
        <v>154</v>
      </c>
      <c r="T2118" t="s">
        <v>155</v>
      </c>
      <c r="U2118" s="1" t="str">
        <f t="shared" si="201"/>
        <v>Chatswood</v>
      </c>
      <c r="V2118" t="s">
        <v>156</v>
      </c>
      <c r="W2118" t="s">
        <v>157</v>
      </c>
      <c r="X2118">
        <v>2067</v>
      </c>
      <c r="Y2118" s="1" t="str">
        <f t="shared" si="202"/>
        <v>AUSTRALIA</v>
      </c>
      <c r="Z2118" s="4" t="str">
        <f t="shared" si="203"/>
        <v>Australia</v>
      </c>
      <c r="AA2118" t="s">
        <v>95</v>
      </c>
      <c r="AB2118" t="s">
        <v>96</v>
      </c>
      <c r="AC2118" t="s">
        <v>158</v>
      </c>
      <c r="AD2118" t="s">
        <v>159</v>
      </c>
      <c r="AE2118" t="s">
        <v>36</v>
      </c>
    </row>
    <row r="2119" spans="1:31" x14ac:dyDescent="0.3">
      <c r="A2119">
        <v>10375</v>
      </c>
      <c r="B2119">
        <v>43</v>
      </c>
      <c r="C2119">
        <v>100</v>
      </c>
      <c r="D2119">
        <v>2</v>
      </c>
      <c r="E2119" s="4" t="str">
        <f t="shared" si="198"/>
        <v>high sales</v>
      </c>
      <c r="F2119">
        <v>10039.6</v>
      </c>
      <c r="G2119" t="s">
        <v>2791</v>
      </c>
      <c r="H2119" s="1" t="str">
        <f t="shared" si="199"/>
        <v>Shipped</v>
      </c>
      <c r="I2119" s="4" t="str">
        <f t="shared" si="200"/>
        <v>completed</v>
      </c>
      <c r="J2119" t="s">
        <v>25</v>
      </c>
      <c r="K2119">
        <v>1</v>
      </c>
      <c r="L2119">
        <v>2</v>
      </c>
      <c r="M2119">
        <v>2005</v>
      </c>
      <c r="N2119" t="s">
        <v>566</v>
      </c>
      <c r="O2119">
        <v>72</v>
      </c>
      <c r="P2119" t="s">
        <v>647</v>
      </c>
      <c r="Q2119" t="s">
        <v>114</v>
      </c>
      <c r="R2119" t="s">
        <v>115</v>
      </c>
      <c r="S2119" t="s">
        <v>116</v>
      </c>
      <c r="U2119" s="1" t="str">
        <f t="shared" si="201"/>
        <v>Nantes</v>
      </c>
      <c r="V2119" t="s">
        <v>117</v>
      </c>
      <c r="X2119">
        <v>44000</v>
      </c>
      <c r="Y2119" s="1" t="str">
        <f t="shared" si="202"/>
        <v>FRANCE</v>
      </c>
      <c r="Z2119" s="4" t="str">
        <f t="shared" si="203"/>
        <v>France</v>
      </c>
      <c r="AA2119" t="s">
        <v>41</v>
      </c>
      <c r="AB2119" t="s">
        <v>42</v>
      </c>
      <c r="AC2119" t="s">
        <v>118</v>
      </c>
      <c r="AD2119" t="s">
        <v>119</v>
      </c>
      <c r="AE2119" t="s">
        <v>151</v>
      </c>
    </row>
    <row r="2120" spans="1:31" x14ac:dyDescent="0.3">
      <c r="A2120">
        <v>10386</v>
      </c>
      <c r="B2120">
        <v>50</v>
      </c>
      <c r="C2120">
        <v>63.34</v>
      </c>
      <c r="D2120">
        <v>8</v>
      </c>
      <c r="E2120" s="4" t="str">
        <f t="shared" si="198"/>
        <v>low sales</v>
      </c>
      <c r="F2120">
        <v>3167</v>
      </c>
      <c r="G2120" t="s">
        <v>2792</v>
      </c>
      <c r="H2120" s="1" t="str">
        <f t="shared" si="199"/>
        <v>Resolved</v>
      </c>
      <c r="I2120" s="4" t="str">
        <f t="shared" si="200"/>
        <v>not completed</v>
      </c>
      <c r="J2120" t="s">
        <v>408</v>
      </c>
      <c r="K2120">
        <v>1</v>
      </c>
      <c r="L2120">
        <v>3</v>
      </c>
      <c r="M2120">
        <v>2005</v>
      </c>
      <c r="N2120" t="s">
        <v>566</v>
      </c>
      <c r="O2120">
        <v>72</v>
      </c>
      <c r="P2120" t="s">
        <v>647</v>
      </c>
      <c r="Q2120" t="s">
        <v>174</v>
      </c>
      <c r="R2120" t="s">
        <v>175</v>
      </c>
      <c r="S2120" t="s">
        <v>176</v>
      </c>
      <c r="U2120" s="1" t="str">
        <f t="shared" si="201"/>
        <v>Madrid</v>
      </c>
      <c r="V2120" t="s">
        <v>177</v>
      </c>
      <c r="X2120">
        <v>28034</v>
      </c>
      <c r="Y2120" s="1" t="str">
        <f t="shared" si="202"/>
        <v>SPAIN</v>
      </c>
      <c r="Z2120" s="4" t="str">
        <f t="shared" si="203"/>
        <v>Spain</v>
      </c>
      <c r="AA2120" t="s">
        <v>178</v>
      </c>
      <c r="AB2120" t="s">
        <v>42</v>
      </c>
      <c r="AC2120" t="s">
        <v>179</v>
      </c>
      <c r="AD2120" t="s">
        <v>180</v>
      </c>
      <c r="AE2120" t="s">
        <v>51</v>
      </c>
    </row>
    <row r="2121" spans="1:31" x14ac:dyDescent="0.3">
      <c r="A2121">
        <v>10398</v>
      </c>
      <c r="B2121">
        <v>45</v>
      </c>
      <c r="C2121">
        <v>78.25</v>
      </c>
      <c r="D2121">
        <v>14</v>
      </c>
      <c r="E2121" s="4" t="str">
        <f t="shared" si="198"/>
        <v>low sales</v>
      </c>
      <c r="F2121">
        <v>3521.25</v>
      </c>
      <c r="G2121" t="s">
        <v>2793</v>
      </c>
      <c r="H2121" s="1" t="str">
        <f t="shared" si="199"/>
        <v>Shipped</v>
      </c>
      <c r="I2121" s="4" t="str">
        <f t="shared" si="200"/>
        <v>completed</v>
      </c>
      <c r="J2121" t="s">
        <v>25</v>
      </c>
      <c r="K2121">
        <v>1</v>
      </c>
      <c r="L2121">
        <v>3</v>
      </c>
      <c r="M2121">
        <v>2005</v>
      </c>
      <c r="N2121" t="s">
        <v>566</v>
      </c>
      <c r="O2121">
        <v>72</v>
      </c>
      <c r="P2121" t="s">
        <v>647</v>
      </c>
      <c r="Q2121" t="s">
        <v>37</v>
      </c>
      <c r="R2121" t="s">
        <v>38</v>
      </c>
      <c r="S2121" t="s">
        <v>39</v>
      </c>
      <c r="U2121" s="1" t="str">
        <f t="shared" si="201"/>
        <v>Reims</v>
      </c>
      <c r="V2121" t="s">
        <v>40</v>
      </c>
      <c r="X2121">
        <v>51100</v>
      </c>
      <c r="Y2121" s="1" t="str">
        <f t="shared" si="202"/>
        <v>FRANCE</v>
      </c>
      <c r="Z2121" s="4" t="str">
        <f t="shared" si="203"/>
        <v>France</v>
      </c>
      <c r="AA2121" t="s">
        <v>41</v>
      </c>
      <c r="AB2121" t="s">
        <v>42</v>
      </c>
      <c r="AC2121" t="s">
        <v>43</v>
      </c>
      <c r="AD2121" t="s">
        <v>44</v>
      </c>
      <c r="AE2121" t="s">
        <v>51</v>
      </c>
    </row>
    <row r="2122" spans="1:31" x14ac:dyDescent="0.3">
      <c r="A2122">
        <v>10401</v>
      </c>
      <c r="B2122">
        <v>52</v>
      </c>
      <c r="C2122">
        <v>81.14</v>
      </c>
      <c r="D2122">
        <v>4</v>
      </c>
      <c r="E2122" s="4" t="str">
        <f t="shared" si="198"/>
        <v>high sales</v>
      </c>
      <c r="F2122">
        <v>4219.28</v>
      </c>
      <c r="G2122" t="s">
        <v>2794</v>
      </c>
      <c r="H2122" s="1" t="str">
        <f t="shared" si="199"/>
        <v>On Hold</v>
      </c>
      <c r="I2122" s="4" t="str">
        <f t="shared" si="200"/>
        <v>not completed</v>
      </c>
      <c r="J2122" t="s">
        <v>401</v>
      </c>
      <c r="K2122">
        <v>2</v>
      </c>
      <c r="L2122">
        <v>4</v>
      </c>
      <c r="M2122">
        <v>2005</v>
      </c>
      <c r="N2122" t="s">
        <v>566</v>
      </c>
      <c r="O2122">
        <v>72</v>
      </c>
      <c r="P2122" t="s">
        <v>647</v>
      </c>
      <c r="Q2122" t="s">
        <v>104</v>
      </c>
      <c r="R2122">
        <v>2015559350</v>
      </c>
      <c r="S2122" t="s">
        <v>105</v>
      </c>
      <c r="U2122" s="1" t="str">
        <f t="shared" si="201"/>
        <v>Newark</v>
      </c>
      <c r="V2122" t="s">
        <v>106</v>
      </c>
      <c r="W2122" t="s">
        <v>107</v>
      </c>
      <c r="X2122">
        <v>94019</v>
      </c>
      <c r="Y2122" s="1" t="str">
        <f t="shared" si="202"/>
        <v>USA</v>
      </c>
      <c r="Z2122" s="4" t="str">
        <f t="shared" si="203"/>
        <v>Usa</v>
      </c>
      <c r="AA2122" t="s">
        <v>32</v>
      </c>
      <c r="AB2122" t="s">
        <v>33</v>
      </c>
      <c r="AC2122" t="s">
        <v>61</v>
      </c>
      <c r="AD2122" t="s">
        <v>108</v>
      </c>
      <c r="AE2122" t="s">
        <v>51</v>
      </c>
    </row>
    <row r="2123" spans="1:31" x14ac:dyDescent="0.3">
      <c r="A2123">
        <v>10416</v>
      </c>
      <c r="B2123">
        <v>48</v>
      </c>
      <c r="C2123">
        <v>74.62</v>
      </c>
      <c r="D2123">
        <v>5</v>
      </c>
      <c r="E2123" s="4" t="str">
        <f t="shared" si="198"/>
        <v>low sales</v>
      </c>
      <c r="F2123">
        <v>3581.76</v>
      </c>
      <c r="G2123" t="s">
        <v>2795</v>
      </c>
      <c r="H2123" s="1" t="str">
        <f t="shared" si="199"/>
        <v>Shipped</v>
      </c>
      <c r="I2123" s="4" t="str">
        <f t="shared" si="200"/>
        <v>completed</v>
      </c>
      <c r="J2123" t="s">
        <v>25</v>
      </c>
      <c r="K2123">
        <v>2</v>
      </c>
      <c r="L2123">
        <v>5</v>
      </c>
      <c r="M2123">
        <v>2005</v>
      </c>
      <c r="N2123" t="s">
        <v>566</v>
      </c>
      <c r="O2123">
        <v>72</v>
      </c>
      <c r="P2123" t="s">
        <v>647</v>
      </c>
      <c r="Q2123" t="s">
        <v>452</v>
      </c>
      <c r="R2123" t="s">
        <v>453</v>
      </c>
      <c r="S2123" t="s">
        <v>454</v>
      </c>
      <c r="U2123" s="1" t="str">
        <f t="shared" si="201"/>
        <v>Reggio Emilia</v>
      </c>
      <c r="V2123" t="s">
        <v>455</v>
      </c>
      <c r="X2123">
        <v>42100</v>
      </c>
      <c r="Y2123" s="1" t="str">
        <f t="shared" si="202"/>
        <v>ITALY</v>
      </c>
      <c r="Z2123" s="4" t="str">
        <f t="shared" si="203"/>
        <v>Italy</v>
      </c>
      <c r="AA2123" t="s">
        <v>258</v>
      </c>
      <c r="AB2123" t="s">
        <v>42</v>
      </c>
      <c r="AC2123" t="s">
        <v>456</v>
      </c>
      <c r="AD2123" t="s">
        <v>457</v>
      </c>
      <c r="AE2123" t="s">
        <v>51</v>
      </c>
    </row>
    <row r="2124" spans="1:31" x14ac:dyDescent="0.3">
      <c r="A2124">
        <v>10108</v>
      </c>
      <c r="B2124">
        <v>31</v>
      </c>
      <c r="C2124">
        <v>68.709999999999994</v>
      </c>
      <c r="D2124">
        <v>10</v>
      </c>
      <c r="E2124" s="4" t="str">
        <f t="shared" si="198"/>
        <v>low sales</v>
      </c>
      <c r="F2124">
        <v>2130.0100000000002</v>
      </c>
      <c r="G2124" t="s">
        <v>2796</v>
      </c>
      <c r="H2124" s="1" t="str">
        <f t="shared" si="199"/>
        <v>Shipped</v>
      </c>
      <c r="I2124" s="4" t="str">
        <f t="shared" si="200"/>
        <v>completed</v>
      </c>
      <c r="J2124" t="s">
        <v>25</v>
      </c>
      <c r="K2124">
        <v>1</v>
      </c>
      <c r="L2124">
        <v>3</v>
      </c>
      <c r="M2124">
        <v>2003</v>
      </c>
      <c r="N2124" t="s">
        <v>181</v>
      </c>
      <c r="O2124">
        <v>80</v>
      </c>
      <c r="P2124" t="s">
        <v>648</v>
      </c>
      <c r="Q2124" t="s">
        <v>425</v>
      </c>
      <c r="R2124" t="s">
        <v>426</v>
      </c>
      <c r="S2124" t="s">
        <v>427</v>
      </c>
      <c r="U2124" s="1" t="str">
        <f t="shared" si="201"/>
        <v>Makati City</v>
      </c>
      <c r="V2124" t="s">
        <v>428</v>
      </c>
      <c r="X2124" t="s">
        <v>429</v>
      </c>
      <c r="Y2124" s="1" t="str">
        <f t="shared" si="202"/>
        <v>PHILIPPINES</v>
      </c>
      <c r="Z2124" s="4" t="str">
        <f t="shared" si="203"/>
        <v>Philippines</v>
      </c>
      <c r="AA2124" t="s">
        <v>430</v>
      </c>
      <c r="AB2124" t="s">
        <v>200</v>
      </c>
      <c r="AC2124" t="s">
        <v>431</v>
      </c>
      <c r="AD2124" t="s">
        <v>432</v>
      </c>
      <c r="AE2124" t="s">
        <v>36</v>
      </c>
    </row>
    <row r="2125" spans="1:31" x14ac:dyDescent="0.3">
      <c r="A2125">
        <v>10122</v>
      </c>
      <c r="B2125">
        <v>29</v>
      </c>
      <c r="C2125">
        <v>71.14</v>
      </c>
      <c r="D2125">
        <v>14</v>
      </c>
      <c r="E2125" s="4" t="str">
        <f t="shared" si="198"/>
        <v>low sales</v>
      </c>
      <c r="F2125">
        <v>2063.06</v>
      </c>
      <c r="G2125" t="s">
        <v>2797</v>
      </c>
      <c r="H2125" s="1" t="str">
        <f t="shared" si="199"/>
        <v>Shipped</v>
      </c>
      <c r="I2125" s="4" t="str">
        <f t="shared" si="200"/>
        <v>completed</v>
      </c>
      <c r="J2125" t="s">
        <v>25</v>
      </c>
      <c r="K2125">
        <v>2</v>
      </c>
      <c r="L2125">
        <v>5</v>
      </c>
      <c r="M2125">
        <v>2003</v>
      </c>
      <c r="N2125" t="s">
        <v>181</v>
      </c>
      <c r="O2125">
        <v>80</v>
      </c>
      <c r="P2125" t="s">
        <v>648</v>
      </c>
      <c r="Q2125" t="s">
        <v>433</v>
      </c>
      <c r="R2125" t="s">
        <v>434</v>
      </c>
      <c r="S2125" t="s">
        <v>435</v>
      </c>
      <c r="U2125" s="1" t="str">
        <f t="shared" si="201"/>
        <v>Marseille</v>
      </c>
      <c r="V2125" t="s">
        <v>436</v>
      </c>
      <c r="X2125">
        <v>13008</v>
      </c>
      <c r="Y2125" s="1" t="str">
        <f t="shared" si="202"/>
        <v>FRANCE</v>
      </c>
      <c r="Z2125" s="4" t="str">
        <f t="shared" si="203"/>
        <v>France</v>
      </c>
      <c r="AA2125" t="s">
        <v>41</v>
      </c>
      <c r="AB2125" t="s">
        <v>42</v>
      </c>
      <c r="AC2125" t="s">
        <v>437</v>
      </c>
      <c r="AD2125" t="s">
        <v>438</v>
      </c>
      <c r="AE2125" t="s">
        <v>36</v>
      </c>
    </row>
    <row r="2126" spans="1:31" x14ac:dyDescent="0.3">
      <c r="A2126">
        <v>10135</v>
      </c>
      <c r="B2126">
        <v>23</v>
      </c>
      <c r="C2126">
        <v>87.31</v>
      </c>
      <c r="D2126">
        <v>11</v>
      </c>
      <c r="E2126" s="4" t="str">
        <f t="shared" si="198"/>
        <v>low sales</v>
      </c>
      <c r="F2126">
        <v>2008.13</v>
      </c>
      <c r="G2126" t="s">
        <v>2798</v>
      </c>
      <c r="H2126" s="1" t="str">
        <f t="shared" si="199"/>
        <v>Shipped</v>
      </c>
      <c r="I2126" s="4" t="str">
        <f t="shared" si="200"/>
        <v>completed</v>
      </c>
      <c r="J2126" t="s">
        <v>25</v>
      </c>
      <c r="K2126">
        <v>3</v>
      </c>
      <c r="L2126">
        <v>7</v>
      </c>
      <c r="M2126">
        <v>2003</v>
      </c>
      <c r="N2126" t="s">
        <v>181</v>
      </c>
      <c r="O2126">
        <v>80</v>
      </c>
      <c r="P2126" t="s">
        <v>648</v>
      </c>
      <c r="Q2126" t="s">
        <v>272</v>
      </c>
      <c r="R2126">
        <v>4155551450</v>
      </c>
      <c r="S2126" t="s">
        <v>273</v>
      </c>
      <c r="U2126" s="1" t="str">
        <f t="shared" si="201"/>
        <v>San Rafael</v>
      </c>
      <c r="V2126" t="s">
        <v>274</v>
      </c>
      <c r="W2126" t="s">
        <v>55</v>
      </c>
      <c r="X2126">
        <v>97562</v>
      </c>
      <c r="Y2126" s="1" t="str">
        <f t="shared" si="202"/>
        <v>USA</v>
      </c>
      <c r="Z2126" s="4" t="str">
        <f t="shared" si="203"/>
        <v>Usa</v>
      </c>
      <c r="AA2126" t="s">
        <v>32</v>
      </c>
      <c r="AB2126" t="s">
        <v>33</v>
      </c>
      <c r="AC2126" t="s">
        <v>275</v>
      </c>
      <c r="AD2126" t="s">
        <v>276</v>
      </c>
      <c r="AE2126" t="s">
        <v>36</v>
      </c>
    </row>
    <row r="2127" spans="1:31" x14ac:dyDescent="0.3">
      <c r="A2127">
        <v>10147</v>
      </c>
      <c r="B2127">
        <v>31</v>
      </c>
      <c r="C2127">
        <v>64.67</v>
      </c>
      <c r="D2127">
        <v>11</v>
      </c>
      <c r="E2127" s="4" t="str">
        <f t="shared" si="198"/>
        <v>low sales</v>
      </c>
      <c r="F2127">
        <v>2004.77</v>
      </c>
      <c r="G2127" t="s">
        <v>2799</v>
      </c>
      <c r="H2127" s="1" t="str">
        <f t="shared" si="199"/>
        <v>Shipped</v>
      </c>
      <c r="I2127" s="4" t="str">
        <f t="shared" si="200"/>
        <v>completed</v>
      </c>
      <c r="J2127" t="s">
        <v>25</v>
      </c>
      <c r="K2127">
        <v>3</v>
      </c>
      <c r="L2127">
        <v>9</v>
      </c>
      <c r="M2127">
        <v>2003</v>
      </c>
      <c r="N2127" t="s">
        <v>181</v>
      </c>
      <c r="O2127">
        <v>80</v>
      </c>
      <c r="P2127" t="s">
        <v>648</v>
      </c>
      <c r="Q2127" t="s">
        <v>281</v>
      </c>
      <c r="R2127">
        <v>6175558555</v>
      </c>
      <c r="S2127" t="s">
        <v>282</v>
      </c>
      <c r="U2127" s="1" t="str">
        <f t="shared" si="201"/>
        <v>Brickhaven</v>
      </c>
      <c r="V2127" t="s">
        <v>283</v>
      </c>
      <c r="W2127" t="s">
        <v>123</v>
      </c>
      <c r="X2127">
        <v>58339</v>
      </c>
      <c r="Y2127" s="1" t="str">
        <f t="shared" si="202"/>
        <v>USA</v>
      </c>
      <c r="Z2127" s="4" t="str">
        <f t="shared" si="203"/>
        <v>Usa</v>
      </c>
      <c r="AA2127" t="s">
        <v>32</v>
      </c>
      <c r="AB2127" t="s">
        <v>33</v>
      </c>
      <c r="AC2127" t="s">
        <v>275</v>
      </c>
      <c r="AD2127" t="s">
        <v>284</v>
      </c>
      <c r="AE2127" t="s">
        <v>36</v>
      </c>
    </row>
    <row r="2128" spans="1:31" x14ac:dyDescent="0.3">
      <c r="A2128">
        <v>10159</v>
      </c>
      <c r="B2128">
        <v>23</v>
      </c>
      <c r="C2128">
        <v>67.099999999999994</v>
      </c>
      <c r="D2128">
        <v>6</v>
      </c>
      <c r="E2128" s="4" t="str">
        <f t="shared" si="198"/>
        <v>low sales</v>
      </c>
      <c r="F2128">
        <v>1543.3</v>
      </c>
      <c r="G2128" t="s">
        <v>2800</v>
      </c>
      <c r="H2128" s="1" t="str">
        <f t="shared" si="199"/>
        <v>Shipped</v>
      </c>
      <c r="I2128" s="4" t="str">
        <f t="shared" si="200"/>
        <v>completed</v>
      </c>
      <c r="J2128" t="s">
        <v>25</v>
      </c>
      <c r="K2128">
        <v>4</v>
      </c>
      <c r="L2128">
        <v>10</v>
      </c>
      <c r="M2128">
        <v>2003</v>
      </c>
      <c r="N2128" t="s">
        <v>181</v>
      </c>
      <c r="O2128">
        <v>80</v>
      </c>
      <c r="P2128" t="s">
        <v>648</v>
      </c>
      <c r="Q2128" t="s">
        <v>58</v>
      </c>
      <c r="R2128">
        <v>6505551386</v>
      </c>
      <c r="S2128" t="s">
        <v>59</v>
      </c>
      <c r="U2128" s="1" t="str">
        <f t="shared" si="201"/>
        <v>San Francisco</v>
      </c>
      <c r="V2128" t="s">
        <v>60</v>
      </c>
      <c r="W2128" t="s">
        <v>55</v>
      </c>
      <c r="Y2128" s="1" t="str">
        <f t="shared" si="202"/>
        <v>USA</v>
      </c>
      <c r="Z2128" s="4" t="str">
        <f t="shared" si="203"/>
        <v>Usa</v>
      </c>
      <c r="AA2128" t="s">
        <v>32</v>
      </c>
      <c r="AB2128" t="s">
        <v>33</v>
      </c>
      <c r="AC2128" t="s">
        <v>61</v>
      </c>
      <c r="AD2128" t="s">
        <v>57</v>
      </c>
      <c r="AE2128" t="s">
        <v>36</v>
      </c>
    </row>
    <row r="2129" spans="1:31" x14ac:dyDescent="0.3">
      <c r="A2129">
        <v>10169</v>
      </c>
      <c r="B2129">
        <v>24</v>
      </c>
      <c r="C2129">
        <v>94.58</v>
      </c>
      <c r="D2129">
        <v>6</v>
      </c>
      <c r="E2129" s="4" t="str">
        <f t="shared" si="198"/>
        <v>low sales</v>
      </c>
      <c r="F2129">
        <v>2269.92</v>
      </c>
      <c r="G2129" t="s">
        <v>2801</v>
      </c>
      <c r="H2129" s="1" t="str">
        <f t="shared" si="199"/>
        <v>Shipped</v>
      </c>
      <c r="I2129" s="4" t="str">
        <f t="shared" si="200"/>
        <v>completed</v>
      </c>
      <c r="J2129" t="s">
        <v>25</v>
      </c>
      <c r="K2129">
        <v>4</v>
      </c>
      <c r="L2129">
        <v>11</v>
      </c>
      <c r="M2129">
        <v>2003</v>
      </c>
      <c r="N2129" t="s">
        <v>181</v>
      </c>
      <c r="O2129">
        <v>80</v>
      </c>
      <c r="P2129" t="s">
        <v>648</v>
      </c>
      <c r="Q2129" t="s">
        <v>285</v>
      </c>
      <c r="R2129" t="s">
        <v>286</v>
      </c>
      <c r="S2129" t="s">
        <v>287</v>
      </c>
      <c r="T2129" t="s">
        <v>288</v>
      </c>
      <c r="U2129" s="1" t="str">
        <f t="shared" si="201"/>
        <v>North Sydney</v>
      </c>
      <c r="V2129" t="s">
        <v>289</v>
      </c>
      <c r="W2129" t="s">
        <v>157</v>
      </c>
      <c r="X2129">
        <v>2060</v>
      </c>
      <c r="Y2129" s="1" t="str">
        <f t="shared" si="202"/>
        <v>AUSTRALIA</v>
      </c>
      <c r="Z2129" s="4" t="str">
        <f t="shared" si="203"/>
        <v>Australia</v>
      </c>
      <c r="AA2129" t="s">
        <v>95</v>
      </c>
      <c r="AB2129" t="s">
        <v>96</v>
      </c>
      <c r="AC2129" t="s">
        <v>290</v>
      </c>
      <c r="AD2129" t="s">
        <v>291</v>
      </c>
      <c r="AE2129" t="s">
        <v>36</v>
      </c>
    </row>
    <row r="2130" spans="1:31" x14ac:dyDescent="0.3">
      <c r="A2130">
        <v>10180</v>
      </c>
      <c r="B2130">
        <v>28</v>
      </c>
      <c r="C2130">
        <v>71.14</v>
      </c>
      <c r="D2130">
        <v>1</v>
      </c>
      <c r="E2130" s="4" t="str">
        <f t="shared" si="198"/>
        <v>low sales</v>
      </c>
      <c r="F2130">
        <v>1991.92</v>
      </c>
      <c r="G2130" t="s">
        <v>2802</v>
      </c>
      <c r="H2130" s="1" t="str">
        <f t="shared" si="199"/>
        <v>Shipped</v>
      </c>
      <c r="I2130" s="4" t="str">
        <f t="shared" si="200"/>
        <v>completed</v>
      </c>
      <c r="J2130" t="s">
        <v>25</v>
      </c>
      <c r="K2130">
        <v>4</v>
      </c>
      <c r="L2130">
        <v>11</v>
      </c>
      <c r="M2130">
        <v>2003</v>
      </c>
      <c r="N2130" t="s">
        <v>181</v>
      </c>
      <c r="O2130">
        <v>80</v>
      </c>
      <c r="P2130" t="s">
        <v>648</v>
      </c>
      <c r="Q2130" t="s">
        <v>67</v>
      </c>
      <c r="R2130" t="s">
        <v>68</v>
      </c>
      <c r="S2130" t="s">
        <v>69</v>
      </c>
      <c r="U2130" s="1" t="str">
        <f t="shared" si="201"/>
        <v>Lille</v>
      </c>
      <c r="V2130" t="s">
        <v>70</v>
      </c>
      <c r="X2130">
        <v>59000</v>
      </c>
      <c r="Y2130" s="1" t="str">
        <f t="shared" si="202"/>
        <v>FRANCE</v>
      </c>
      <c r="Z2130" s="4" t="str">
        <f t="shared" si="203"/>
        <v>France</v>
      </c>
      <c r="AA2130" t="s">
        <v>41</v>
      </c>
      <c r="AB2130" t="s">
        <v>42</v>
      </c>
      <c r="AC2130" t="s">
        <v>71</v>
      </c>
      <c r="AD2130" t="s">
        <v>72</v>
      </c>
      <c r="AE2130" t="s">
        <v>36</v>
      </c>
    </row>
    <row r="2131" spans="1:31" x14ac:dyDescent="0.3">
      <c r="A2131">
        <v>10191</v>
      </c>
      <c r="B2131">
        <v>44</v>
      </c>
      <c r="C2131">
        <v>66.290000000000006</v>
      </c>
      <c r="D2131">
        <v>7</v>
      </c>
      <c r="E2131" s="4" t="str">
        <f t="shared" si="198"/>
        <v>low sales</v>
      </c>
      <c r="F2131">
        <v>2916.76</v>
      </c>
      <c r="G2131" t="s">
        <v>2803</v>
      </c>
      <c r="H2131" s="1" t="str">
        <f t="shared" si="199"/>
        <v>Shipped</v>
      </c>
      <c r="I2131" s="4" t="str">
        <f t="shared" si="200"/>
        <v>completed</v>
      </c>
      <c r="J2131" t="s">
        <v>25</v>
      </c>
      <c r="K2131">
        <v>4</v>
      </c>
      <c r="L2131">
        <v>11</v>
      </c>
      <c r="M2131">
        <v>2003</v>
      </c>
      <c r="N2131" t="s">
        <v>181</v>
      </c>
      <c r="O2131">
        <v>80</v>
      </c>
      <c r="P2131" t="s">
        <v>648</v>
      </c>
      <c r="Q2131" t="s">
        <v>439</v>
      </c>
      <c r="R2131" t="s">
        <v>440</v>
      </c>
      <c r="S2131" t="s">
        <v>441</v>
      </c>
      <c r="U2131" s="1" t="str">
        <f t="shared" si="201"/>
        <v>Koln</v>
      </c>
      <c r="V2131" t="s">
        <v>442</v>
      </c>
      <c r="X2131">
        <v>50739</v>
      </c>
      <c r="Y2131" s="1" t="str">
        <f t="shared" si="202"/>
        <v>GERMANY</v>
      </c>
      <c r="Z2131" s="4" t="str">
        <f t="shared" si="203"/>
        <v>Germany</v>
      </c>
      <c r="AA2131" t="s">
        <v>443</v>
      </c>
      <c r="AB2131" t="s">
        <v>42</v>
      </c>
      <c r="AC2131" t="s">
        <v>444</v>
      </c>
      <c r="AD2131" t="s">
        <v>445</v>
      </c>
      <c r="AE2131" t="s">
        <v>36</v>
      </c>
    </row>
    <row r="2132" spans="1:31" x14ac:dyDescent="0.3">
      <c r="A2132">
        <v>10211</v>
      </c>
      <c r="B2132">
        <v>22</v>
      </c>
      <c r="C2132">
        <v>92.16</v>
      </c>
      <c r="D2132">
        <v>6</v>
      </c>
      <c r="E2132" s="4" t="str">
        <f t="shared" si="198"/>
        <v>low sales</v>
      </c>
      <c r="F2132">
        <v>2027.52</v>
      </c>
      <c r="G2132" t="s">
        <v>2804</v>
      </c>
      <c r="H2132" s="1" t="str">
        <f t="shared" si="199"/>
        <v>Shipped</v>
      </c>
      <c r="I2132" s="4" t="str">
        <f t="shared" si="200"/>
        <v>completed</v>
      </c>
      <c r="J2132" t="s">
        <v>25</v>
      </c>
      <c r="K2132">
        <v>1</v>
      </c>
      <c r="L2132">
        <v>1</v>
      </c>
      <c r="M2132">
        <v>2004</v>
      </c>
      <c r="N2132" t="s">
        <v>181</v>
      </c>
      <c r="O2132">
        <v>80</v>
      </c>
      <c r="P2132" t="s">
        <v>648</v>
      </c>
      <c r="Q2132" t="s">
        <v>84</v>
      </c>
      <c r="R2132" t="s">
        <v>85</v>
      </c>
      <c r="S2132" t="s">
        <v>86</v>
      </c>
      <c r="U2132" s="1" t="str">
        <f t="shared" si="201"/>
        <v>Paris</v>
      </c>
      <c r="V2132" t="s">
        <v>48</v>
      </c>
      <c r="X2132">
        <v>75016</v>
      </c>
      <c r="Y2132" s="1" t="str">
        <f t="shared" si="202"/>
        <v>FRANCE</v>
      </c>
      <c r="Z2132" s="4" t="str">
        <f t="shared" si="203"/>
        <v>France</v>
      </c>
      <c r="AA2132" t="s">
        <v>41</v>
      </c>
      <c r="AB2132" t="s">
        <v>42</v>
      </c>
      <c r="AC2132" t="s">
        <v>87</v>
      </c>
      <c r="AD2132" t="s">
        <v>88</v>
      </c>
      <c r="AE2132" t="s">
        <v>36</v>
      </c>
    </row>
    <row r="2133" spans="1:31" x14ac:dyDescent="0.3">
      <c r="A2133">
        <v>10225</v>
      </c>
      <c r="B2133">
        <v>46</v>
      </c>
      <c r="C2133">
        <v>70.33</v>
      </c>
      <c r="D2133">
        <v>13</v>
      </c>
      <c r="E2133" s="4" t="str">
        <f t="shared" si="198"/>
        <v>low sales</v>
      </c>
      <c r="F2133">
        <v>3235.18</v>
      </c>
      <c r="G2133" t="s">
        <v>2805</v>
      </c>
      <c r="H2133" s="1" t="str">
        <f t="shared" si="199"/>
        <v>Shipped</v>
      </c>
      <c r="I2133" s="4" t="str">
        <f t="shared" si="200"/>
        <v>completed</v>
      </c>
      <c r="J2133" t="s">
        <v>25</v>
      </c>
      <c r="K2133">
        <v>1</v>
      </c>
      <c r="L2133">
        <v>2</v>
      </c>
      <c r="M2133">
        <v>2004</v>
      </c>
      <c r="N2133" t="s">
        <v>181</v>
      </c>
      <c r="O2133">
        <v>80</v>
      </c>
      <c r="P2133" t="s">
        <v>648</v>
      </c>
      <c r="Q2133" t="s">
        <v>446</v>
      </c>
      <c r="R2133" t="s">
        <v>447</v>
      </c>
      <c r="S2133" t="s">
        <v>448</v>
      </c>
      <c r="U2133" s="1" t="str">
        <f t="shared" si="201"/>
        <v>Gensve</v>
      </c>
      <c r="V2133" t="s">
        <v>449</v>
      </c>
      <c r="X2133">
        <v>1203</v>
      </c>
      <c r="Y2133" s="1" t="str">
        <f t="shared" si="202"/>
        <v>SWITZERLAND</v>
      </c>
      <c r="Z2133" s="4" t="str">
        <f t="shared" si="203"/>
        <v>Switzerland</v>
      </c>
      <c r="AA2133" t="s">
        <v>450</v>
      </c>
      <c r="AB2133" t="s">
        <v>42</v>
      </c>
      <c r="AC2133" t="s">
        <v>451</v>
      </c>
      <c r="AD2133" t="s">
        <v>103</v>
      </c>
      <c r="AE2133" t="s">
        <v>51</v>
      </c>
    </row>
    <row r="2134" spans="1:31" x14ac:dyDescent="0.3">
      <c r="A2134">
        <v>10238</v>
      </c>
      <c r="B2134">
        <v>22</v>
      </c>
      <c r="C2134">
        <v>93.77</v>
      </c>
      <c r="D2134">
        <v>7</v>
      </c>
      <c r="E2134" s="4" t="str">
        <f t="shared" si="198"/>
        <v>low sales</v>
      </c>
      <c r="F2134">
        <v>2062.94</v>
      </c>
      <c r="G2134" t="s">
        <v>2806</v>
      </c>
      <c r="H2134" s="1" t="str">
        <f t="shared" si="199"/>
        <v>Shipped</v>
      </c>
      <c r="I2134" s="4" t="str">
        <f t="shared" si="200"/>
        <v>completed</v>
      </c>
      <c r="J2134" t="s">
        <v>25</v>
      </c>
      <c r="K2134">
        <v>2</v>
      </c>
      <c r="L2134">
        <v>4</v>
      </c>
      <c r="M2134">
        <v>2004</v>
      </c>
      <c r="N2134" t="s">
        <v>181</v>
      </c>
      <c r="O2134">
        <v>80</v>
      </c>
      <c r="P2134" t="s">
        <v>648</v>
      </c>
      <c r="Q2134" t="s">
        <v>322</v>
      </c>
      <c r="R2134" t="s">
        <v>323</v>
      </c>
      <c r="S2134" t="s">
        <v>324</v>
      </c>
      <c r="U2134" s="1" t="str">
        <f t="shared" si="201"/>
        <v>Kobenhavn</v>
      </c>
      <c r="V2134" t="s">
        <v>325</v>
      </c>
      <c r="X2134">
        <v>1734</v>
      </c>
      <c r="Y2134" s="1" t="str">
        <f t="shared" si="202"/>
        <v>DENMARK</v>
      </c>
      <c r="Z2134" s="4" t="str">
        <f t="shared" si="203"/>
        <v>Denmark</v>
      </c>
      <c r="AA2134" t="s">
        <v>326</v>
      </c>
      <c r="AB2134" t="s">
        <v>42</v>
      </c>
      <c r="AC2134" t="s">
        <v>327</v>
      </c>
      <c r="AD2134" t="s">
        <v>328</v>
      </c>
      <c r="AE2134" t="s">
        <v>36</v>
      </c>
    </row>
    <row r="2135" spans="1:31" x14ac:dyDescent="0.3">
      <c r="A2135">
        <v>10252</v>
      </c>
      <c r="B2135">
        <v>38</v>
      </c>
      <c r="C2135">
        <v>87.31</v>
      </c>
      <c r="D2135">
        <v>3</v>
      </c>
      <c r="E2135" s="4" t="str">
        <f t="shared" si="198"/>
        <v>low sales</v>
      </c>
      <c r="F2135">
        <v>3317.78</v>
      </c>
      <c r="G2135" t="s">
        <v>2807</v>
      </c>
      <c r="H2135" s="1" t="str">
        <f t="shared" si="199"/>
        <v>Shipped</v>
      </c>
      <c r="I2135" s="4" t="str">
        <f t="shared" si="200"/>
        <v>completed</v>
      </c>
      <c r="J2135" t="s">
        <v>25</v>
      </c>
      <c r="K2135">
        <v>2</v>
      </c>
      <c r="L2135">
        <v>5</v>
      </c>
      <c r="M2135">
        <v>2004</v>
      </c>
      <c r="N2135" t="s">
        <v>181</v>
      </c>
      <c r="O2135">
        <v>80</v>
      </c>
      <c r="P2135" t="s">
        <v>648</v>
      </c>
      <c r="Q2135" t="s">
        <v>84</v>
      </c>
      <c r="R2135" t="s">
        <v>85</v>
      </c>
      <c r="S2135" t="s">
        <v>86</v>
      </c>
      <c r="U2135" s="1" t="str">
        <f t="shared" si="201"/>
        <v>Paris</v>
      </c>
      <c r="V2135" t="s">
        <v>48</v>
      </c>
      <c r="X2135">
        <v>75016</v>
      </c>
      <c r="Y2135" s="1" t="str">
        <f t="shared" si="202"/>
        <v>FRANCE</v>
      </c>
      <c r="Z2135" s="4" t="str">
        <f t="shared" si="203"/>
        <v>France</v>
      </c>
      <c r="AA2135" t="s">
        <v>41</v>
      </c>
      <c r="AB2135" t="s">
        <v>42</v>
      </c>
      <c r="AC2135" t="s">
        <v>87</v>
      </c>
      <c r="AD2135" t="s">
        <v>88</v>
      </c>
      <c r="AE2135" t="s">
        <v>51</v>
      </c>
    </row>
    <row r="2136" spans="1:31" x14ac:dyDescent="0.3">
      <c r="A2136">
        <v>10264</v>
      </c>
      <c r="B2136">
        <v>47</v>
      </c>
      <c r="C2136">
        <v>83.27</v>
      </c>
      <c r="D2136">
        <v>1</v>
      </c>
      <c r="E2136" s="4" t="str">
        <f t="shared" si="198"/>
        <v>low sales</v>
      </c>
      <c r="F2136">
        <v>3913.69</v>
      </c>
      <c r="G2136" t="s">
        <v>2808</v>
      </c>
      <c r="H2136" s="1" t="str">
        <f t="shared" si="199"/>
        <v>Shipped</v>
      </c>
      <c r="I2136" s="4" t="str">
        <f t="shared" si="200"/>
        <v>completed</v>
      </c>
      <c r="J2136" t="s">
        <v>25</v>
      </c>
      <c r="K2136">
        <v>2</v>
      </c>
      <c r="L2136">
        <v>6</v>
      </c>
      <c r="M2136">
        <v>2004</v>
      </c>
      <c r="N2136" t="s">
        <v>181</v>
      </c>
      <c r="O2136">
        <v>80</v>
      </c>
      <c r="P2136" t="s">
        <v>648</v>
      </c>
      <c r="Q2136" t="s">
        <v>379</v>
      </c>
      <c r="R2136">
        <v>6175559555</v>
      </c>
      <c r="S2136" t="s">
        <v>380</v>
      </c>
      <c r="U2136" s="1" t="str">
        <f t="shared" si="201"/>
        <v>Boston</v>
      </c>
      <c r="V2136" t="s">
        <v>381</v>
      </c>
      <c r="W2136" t="s">
        <v>123</v>
      </c>
      <c r="X2136">
        <v>51003</v>
      </c>
      <c r="Y2136" s="1" t="str">
        <f t="shared" si="202"/>
        <v>USA</v>
      </c>
      <c r="Z2136" s="4" t="str">
        <f t="shared" si="203"/>
        <v>Usa</v>
      </c>
      <c r="AA2136" t="s">
        <v>32</v>
      </c>
      <c r="AB2136" t="s">
        <v>33</v>
      </c>
      <c r="AC2136" t="s">
        <v>382</v>
      </c>
      <c r="AD2136" t="s">
        <v>66</v>
      </c>
      <c r="AE2136" t="s">
        <v>51</v>
      </c>
    </row>
    <row r="2137" spans="1:31" x14ac:dyDescent="0.3">
      <c r="A2137">
        <v>10276</v>
      </c>
      <c r="B2137">
        <v>48</v>
      </c>
      <c r="C2137">
        <v>75.180000000000007</v>
      </c>
      <c r="D2137">
        <v>7</v>
      </c>
      <c r="E2137" s="4" t="str">
        <f t="shared" si="198"/>
        <v>low sales</v>
      </c>
      <c r="F2137">
        <v>3608.64</v>
      </c>
      <c r="G2137" t="s">
        <v>2809</v>
      </c>
      <c r="H2137" s="1" t="str">
        <f t="shared" si="199"/>
        <v>Shipped</v>
      </c>
      <c r="I2137" s="4" t="str">
        <f t="shared" si="200"/>
        <v>completed</v>
      </c>
      <c r="J2137" t="s">
        <v>25</v>
      </c>
      <c r="K2137">
        <v>3</v>
      </c>
      <c r="L2137">
        <v>8</v>
      </c>
      <c r="M2137">
        <v>2004</v>
      </c>
      <c r="N2137" t="s">
        <v>181</v>
      </c>
      <c r="O2137">
        <v>80</v>
      </c>
      <c r="P2137" t="s">
        <v>648</v>
      </c>
      <c r="Q2137" t="s">
        <v>458</v>
      </c>
      <c r="R2137">
        <v>6175557555</v>
      </c>
      <c r="S2137" t="s">
        <v>459</v>
      </c>
      <c r="U2137" s="1" t="str">
        <f t="shared" si="201"/>
        <v>Brickhaven</v>
      </c>
      <c r="V2137" t="s">
        <v>283</v>
      </c>
      <c r="W2137" t="s">
        <v>123</v>
      </c>
      <c r="X2137">
        <v>58339</v>
      </c>
      <c r="Y2137" s="1" t="str">
        <f t="shared" si="202"/>
        <v>USA</v>
      </c>
      <c r="Z2137" s="4" t="str">
        <f t="shared" si="203"/>
        <v>Usa</v>
      </c>
      <c r="AA2137" t="s">
        <v>32</v>
      </c>
      <c r="AB2137" t="s">
        <v>33</v>
      </c>
      <c r="AC2137" t="s">
        <v>460</v>
      </c>
      <c r="AD2137" t="s">
        <v>461</v>
      </c>
      <c r="AE2137" t="s">
        <v>51</v>
      </c>
    </row>
    <row r="2138" spans="1:31" x14ac:dyDescent="0.3">
      <c r="A2138">
        <v>10287</v>
      </c>
      <c r="B2138">
        <v>40</v>
      </c>
      <c r="C2138">
        <v>88.12</v>
      </c>
      <c r="D2138">
        <v>16</v>
      </c>
      <c r="E2138" s="4" t="str">
        <f t="shared" si="198"/>
        <v>low sales</v>
      </c>
      <c r="F2138">
        <v>3524.8</v>
      </c>
      <c r="G2138" t="s">
        <v>2810</v>
      </c>
      <c r="H2138" s="1" t="str">
        <f t="shared" si="199"/>
        <v>Shipped</v>
      </c>
      <c r="I2138" s="4" t="str">
        <f t="shared" si="200"/>
        <v>completed</v>
      </c>
      <c r="J2138" t="s">
        <v>25</v>
      </c>
      <c r="K2138">
        <v>3</v>
      </c>
      <c r="L2138">
        <v>8</v>
      </c>
      <c r="M2138">
        <v>2004</v>
      </c>
      <c r="N2138" t="s">
        <v>181</v>
      </c>
      <c r="O2138">
        <v>80</v>
      </c>
      <c r="P2138" t="s">
        <v>648</v>
      </c>
      <c r="Q2138" t="s">
        <v>446</v>
      </c>
      <c r="R2138" t="s">
        <v>447</v>
      </c>
      <c r="S2138" t="s">
        <v>448</v>
      </c>
      <c r="U2138" s="1" t="str">
        <f t="shared" si="201"/>
        <v>Gensve</v>
      </c>
      <c r="V2138" t="s">
        <v>449</v>
      </c>
      <c r="X2138">
        <v>1203</v>
      </c>
      <c r="Y2138" s="1" t="str">
        <f t="shared" si="202"/>
        <v>SWITZERLAND</v>
      </c>
      <c r="Z2138" s="4" t="str">
        <f t="shared" si="203"/>
        <v>Switzerland</v>
      </c>
      <c r="AA2138" t="s">
        <v>450</v>
      </c>
      <c r="AB2138" t="s">
        <v>42</v>
      </c>
      <c r="AC2138" t="s">
        <v>451</v>
      </c>
      <c r="AD2138" t="s">
        <v>103</v>
      </c>
      <c r="AE2138" t="s">
        <v>51</v>
      </c>
    </row>
    <row r="2139" spans="1:31" x14ac:dyDescent="0.3">
      <c r="A2139">
        <v>10299</v>
      </c>
      <c r="B2139">
        <v>32</v>
      </c>
      <c r="C2139">
        <v>80.84</v>
      </c>
      <c r="D2139">
        <v>1</v>
      </c>
      <c r="E2139" s="4" t="str">
        <f t="shared" si="198"/>
        <v>low sales</v>
      </c>
      <c r="F2139">
        <v>2586.88</v>
      </c>
      <c r="G2139" t="s">
        <v>2811</v>
      </c>
      <c r="H2139" s="1" t="str">
        <f t="shared" si="199"/>
        <v>Shipped</v>
      </c>
      <c r="I2139" s="4" t="str">
        <f t="shared" si="200"/>
        <v>completed</v>
      </c>
      <c r="J2139" t="s">
        <v>25</v>
      </c>
      <c r="K2139">
        <v>3</v>
      </c>
      <c r="L2139">
        <v>9</v>
      </c>
      <c r="M2139">
        <v>2004</v>
      </c>
      <c r="N2139" t="s">
        <v>181</v>
      </c>
      <c r="O2139">
        <v>80</v>
      </c>
      <c r="P2139" t="s">
        <v>648</v>
      </c>
      <c r="Q2139" t="s">
        <v>126</v>
      </c>
      <c r="R2139" t="s">
        <v>127</v>
      </c>
      <c r="S2139" t="s">
        <v>128</v>
      </c>
      <c r="U2139" s="1" t="str">
        <f t="shared" si="201"/>
        <v>Helsinki</v>
      </c>
      <c r="V2139" t="s">
        <v>129</v>
      </c>
      <c r="X2139">
        <v>21240</v>
      </c>
      <c r="Y2139" s="1" t="str">
        <f t="shared" si="202"/>
        <v>FINLAND</v>
      </c>
      <c r="Z2139" s="4" t="str">
        <f t="shared" si="203"/>
        <v>Finland</v>
      </c>
      <c r="AA2139" t="s">
        <v>130</v>
      </c>
      <c r="AB2139" t="s">
        <v>42</v>
      </c>
      <c r="AC2139" t="s">
        <v>131</v>
      </c>
      <c r="AD2139" t="s">
        <v>132</v>
      </c>
      <c r="AE2139" t="s">
        <v>36</v>
      </c>
    </row>
    <row r="2140" spans="1:31" x14ac:dyDescent="0.3">
      <c r="A2140">
        <v>10310</v>
      </c>
      <c r="B2140">
        <v>49</v>
      </c>
      <c r="C2140">
        <v>97.01</v>
      </c>
      <c r="D2140">
        <v>14</v>
      </c>
      <c r="E2140" s="4" t="str">
        <f t="shared" si="198"/>
        <v>high sales</v>
      </c>
      <c r="F2140">
        <v>4753.49</v>
      </c>
      <c r="G2140" t="s">
        <v>2812</v>
      </c>
      <c r="H2140" s="1" t="str">
        <f t="shared" si="199"/>
        <v>Shipped</v>
      </c>
      <c r="I2140" s="4" t="str">
        <f t="shared" si="200"/>
        <v>completed</v>
      </c>
      <c r="J2140" t="s">
        <v>25</v>
      </c>
      <c r="K2140">
        <v>4</v>
      </c>
      <c r="L2140">
        <v>10</v>
      </c>
      <c r="M2140">
        <v>2004</v>
      </c>
      <c r="N2140" t="s">
        <v>181</v>
      </c>
      <c r="O2140">
        <v>80</v>
      </c>
      <c r="P2140" t="s">
        <v>648</v>
      </c>
      <c r="Q2140" t="s">
        <v>439</v>
      </c>
      <c r="R2140" t="s">
        <v>440</v>
      </c>
      <c r="S2140" t="s">
        <v>441</v>
      </c>
      <c r="U2140" s="1" t="str">
        <f t="shared" si="201"/>
        <v>Koln</v>
      </c>
      <c r="V2140" t="s">
        <v>442</v>
      </c>
      <c r="X2140">
        <v>50739</v>
      </c>
      <c r="Y2140" s="1" t="str">
        <f t="shared" si="202"/>
        <v>GERMANY</v>
      </c>
      <c r="Z2140" s="4" t="str">
        <f t="shared" si="203"/>
        <v>Germany</v>
      </c>
      <c r="AA2140" t="s">
        <v>443</v>
      </c>
      <c r="AB2140" t="s">
        <v>42</v>
      </c>
      <c r="AC2140" t="s">
        <v>444</v>
      </c>
      <c r="AD2140" t="s">
        <v>445</v>
      </c>
      <c r="AE2140" t="s">
        <v>51</v>
      </c>
    </row>
    <row r="2141" spans="1:31" x14ac:dyDescent="0.3">
      <c r="A2141">
        <v>10319</v>
      </c>
      <c r="B2141">
        <v>43</v>
      </c>
      <c r="C2141">
        <v>85.69</v>
      </c>
      <c r="D2141">
        <v>2</v>
      </c>
      <c r="E2141" s="4" t="str">
        <f t="shared" si="198"/>
        <v>low sales</v>
      </c>
      <c r="F2141">
        <v>3684.67</v>
      </c>
      <c r="G2141" t="s">
        <v>2813</v>
      </c>
      <c r="H2141" s="1" t="str">
        <f t="shared" si="199"/>
        <v>Shipped</v>
      </c>
      <c r="I2141" s="4" t="str">
        <f t="shared" si="200"/>
        <v>completed</v>
      </c>
      <c r="J2141" t="s">
        <v>25</v>
      </c>
      <c r="K2141">
        <v>4</v>
      </c>
      <c r="L2141">
        <v>11</v>
      </c>
      <c r="M2141">
        <v>2004</v>
      </c>
      <c r="N2141" t="s">
        <v>181</v>
      </c>
      <c r="O2141">
        <v>80</v>
      </c>
      <c r="P2141" t="s">
        <v>648</v>
      </c>
      <c r="Q2141" t="s">
        <v>507</v>
      </c>
      <c r="R2141">
        <v>2125551957</v>
      </c>
      <c r="S2141" t="s">
        <v>508</v>
      </c>
      <c r="T2141" t="s">
        <v>509</v>
      </c>
      <c r="U2141" s="1" t="str">
        <f t="shared" si="201"/>
        <v>Nyc</v>
      </c>
      <c r="V2141" t="s">
        <v>30</v>
      </c>
      <c r="W2141" t="s">
        <v>31</v>
      </c>
      <c r="X2141">
        <v>10022</v>
      </c>
      <c r="Y2141" s="1" t="str">
        <f t="shared" si="202"/>
        <v>USA</v>
      </c>
      <c r="Z2141" s="4" t="str">
        <f t="shared" si="203"/>
        <v>Usa</v>
      </c>
      <c r="AA2141" t="s">
        <v>32</v>
      </c>
      <c r="AB2141" t="s">
        <v>33</v>
      </c>
      <c r="AC2141" t="s">
        <v>510</v>
      </c>
      <c r="AD2141" t="s">
        <v>511</v>
      </c>
      <c r="AE2141" t="s">
        <v>51</v>
      </c>
    </row>
    <row r="2142" spans="1:31" x14ac:dyDescent="0.3">
      <c r="A2142">
        <v>10331</v>
      </c>
      <c r="B2142">
        <v>41</v>
      </c>
      <c r="C2142">
        <v>100</v>
      </c>
      <c r="D2142">
        <v>2</v>
      </c>
      <c r="E2142" s="4" t="str">
        <f t="shared" si="198"/>
        <v>high sales</v>
      </c>
      <c r="F2142">
        <v>5715.4</v>
      </c>
      <c r="G2142" t="s">
        <v>2814</v>
      </c>
      <c r="H2142" s="1" t="str">
        <f t="shared" si="199"/>
        <v>Shipped</v>
      </c>
      <c r="I2142" s="4" t="str">
        <f t="shared" si="200"/>
        <v>completed</v>
      </c>
      <c r="J2142" t="s">
        <v>25</v>
      </c>
      <c r="K2142">
        <v>4</v>
      </c>
      <c r="L2142">
        <v>11</v>
      </c>
      <c r="M2142">
        <v>2004</v>
      </c>
      <c r="N2142" t="s">
        <v>181</v>
      </c>
      <c r="O2142">
        <v>80</v>
      </c>
      <c r="P2142" t="s">
        <v>648</v>
      </c>
      <c r="Q2142" t="s">
        <v>309</v>
      </c>
      <c r="R2142">
        <v>2155559857</v>
      </c>
      <c r="S2142" t="s">
        <v>310</v>
      </c>
      <c r="U2142" s="1" t="str">
        <f t="shared" si="201"/>
        <v>Philadelphia</v>
      </c>
      <c r="V2142" t="s">
        <v>216</v>
      </c>
      <c r="W2142" t="s">
        <v>142</v>
      </c>
      <c r="X2142">
        <v>71270</v>
      </c>
      <c r="Y2142" s="1" t="str">
        <f t="shared" si="202"/>
        <v>USA</v>
      </c>
      <c r="Z2142" s="4" t="str">
        <f t="shared" si="203"/>
        <v>Usa</v>
      </c>
      <c r="AA2142" t="s">
        <v>32</v>
      </c>
      <c r="AB2142" t="s">
        <v>33</v>
      </c>
      <c r="AC2142" t="s">
        <v>124</v>
      </c>
      <c r="AD2142" t="s">
        <v>311</v>
      </c>
      <c r="AE2142" t="s">
        <v>51</v>
      </c>
    </row>
    <row r="2143" spans="1:31" x14ac:dyDescent="0.3">
      <c r="A2143">
        <v>10343</v>
      </c>
      <c r="B2143">
        <v>30</v>
      </c>
      <c r="C2143">
        <v>100</v>
      </c>
      <c r="D2143">
        <v>1</v>
      </c>
      <c r="E2143" s="4" t="str">
        <f t="shared" si="198"/>
        <v>low sales</v>
      </c>
      <c r="F2143">
        <v>3098.7</v>
      </c>
      <c r="G2143" t="s">
        <v>2815</v>
      </c>
      <c r="H2143" s="1" t="str">
        <f t="shared" si="199"/>
        <v>Shipped</v>
      </c>
      <c r="I2143" s="4" t="str">
        <f t="shared" si="200"/>
        <v>completed</v>
      </c>
      <c r="J2143" t="s">
        <v>25</v>
      </c>
      <c r="K2143">
        <v>4</v>
      </c>
      <c r="L2143">
        <v>11</v>
      </c>
      <c r="M2143">
        <v>2004</v>
      </c>
      <c r="N2143" t="s">
        <v>181</v>
      </c>
      <c r="O2143">
        <v>80</v>
      </c>
      <c r="P2143" t="s">
        <v>648</v>
      </c>
      <c r="Q2143" t="s">
        <v>37</v>
      </c>
      <c r="R2143" t="s">
        <v>38</v>
      </c>
      <c r="S2143" t="s">
        <v>39</v>
      </c>
      <c r="U2143" s="1" t="str">
        <f t="shared" si="201"/>
        <v>Reims</v>
      </c>
      <c r="V2143" t="s">
        <v>40</v>
      </c>
      <c r="X2143">
        <v>51100</v>
      </c>
      <c r="Y2143" s="1" t="str">
        <f t="shared" si="202"/>
        <v>FRANCE</v>
      </c>
      <c r="Z2143" s="4" t="str">
        <f t="shared" si="203"/>
        <v>France</v>
      </c>
      <c r="AA2143" t="s">
        <v>41</v>
      </c>
      <c r="AB2143" t="s">
        <v>42</v>
      </c>
      <c r="AC2143" t="s">
        <v>43</v>
      </c>
      <c r="AD2143" t="s">
        <v>44</v>
      </c>
      <c r="AE2143" t="s">
        <v>51</v>
      </c>
    </row>
    <row r="2144" spans="1:31" x14ac:dyDescent="0.3">
      <c r="A2144">
        <v>10355</v>
      </c>
      <c r="B2144">
        <v>28</v>
      </c>
      <c r="C2144">
        <v>95.39</v>
      </c>
      <c r="D2144">
        <v>9</v>
      </c>
      <c r="E2144" s="4" t="str">
        <f t="shared" si="198"/>
        <v>low sales</v>
      </c>
      <c r="F2144">
        <v>2670.92</v>
      </c>
      <c r="G2144" t="s">
        <v>2816</v>
      </c>
      <c r="H2144" s="1" t="str">
        <f t="shared" si="199"/>
        <v>Shipped</v>
      </c>
      <c r="I2144" s="4" t="str">
        <f t="shared" si="200"/>
        <v>completed</v>
      </c>
      <c r="J2144" t="s">
        <v>25</v>
      </c>
      <c r="K2144">
        <v>4</v>
      </c>
      <c r="L2144">
        <v>12</v>
      </c>
      <c r="M2144">
        <v>2004</v>
      </c>
      <c r="N2144" t="s">
        <v>181</v>
      </c>
      <c r="O2144">
        <v>80</v>
      </c>
      <c r="P2144" t="s">
        <v>648</v>
      </c>
      <c r="Q2144" t="s">
        <v>174</v>
      </c>
      <c r="R2144" t="s">
        <v>175</v>
      </c>
      <c r="S2144" t="s">
        <v>176</v>
      </c>
      <c r="U2144" s="1" t="str">
        <f t="shared" si="201"/>
        <v>Madrid</v>
      </c>
      <c r="V2144" t="s">
        <v>177</v>
      </c>
      <c r="X2144">
        <v>28034</v>
      </c>
      <c r="Y2144" s="1" t="str">
        <f t="shared" si="202"/>
        <v>SPAIN</v>
      </c>
      <c r="Z2144" s="4" t="str">
        <f t="shared" si="203"/>
        <v>Spain</v>
      </c>
      <c r="AA2144" t="s">
        <v>178</v>
      </c>
      <c r="AB2144" t="s">
        <v>42</v>
      </c>
      <c r="AC2144" t="s">
        <v>179</v>
      </c>
      <c r="AD2144" t="s">
        <v>180</v>
      </c>
      <c r="AE2144" t="s">
        <v>36</v>
      </c>
    </row>
    <row r="2145" spans="1:31" x14ac:dyDescent="0.3">
      <c r="A2145">
        <v>10363</v>
      </c>
      <c r="B2145">
        <v>43</v>
      </c>
      <c r="C2145">
        <v>100</v>
      </c>
      <c r="D2145">
        <v>9</v>
      </c>
      <c r="E2145" s="4" t="str">
        <f t="shared" si="198"/>
        <v>high sales</v>
      </c>
      <c r="F2145">
        <v>5154.41</v>
      </c>
      <c r="G2145" t="s">
        <v>2817</v>
      </c>
      <c r="H2145" s="1" t="str">
        <f t="shared" si="199"/>
        <v>Shipped</v>
      </c>
      <c r="I2145" s="4" t="str">
        <f t="shared" si="200"/>
        <v>completed</v>
      </c>
      <c r="J2145" t="s">
        <v>25</v>
      </c>
      <c r="K2145">
        <v>1</v>
      </c>
      <c r="L2145">
        <v>1</v>
      </c>
      <c r="M2145">
        <v>2005</v>
      </c>
      <c r="N2145" t="s">
        <v>181</v>
      </c>
      <c r="O2145">
        <v>80</v>
      </c>
      <c r="P2145" t="s">
        <v>648</v>
      </c>
      <c r="Q2145" t="s">
        <v>467</v>
      </c>
      <c r="R2145" t="s">
        <v>468</v>
      </c>
      <c r="S2145" t="s">
        <v>469</v>
      </c>
      <c r="U2145" s="1" t="str">
        <f t="shared" si="201"/>
        <v>Espoo</v>
      </c>
      <c r="V2145" t="s">
        <v>470</v>
      </c>
      <c r="X2145" t="s">
        <v>471</v>
      </c>
      <c r="Y2145" s="1" t="str">
        <f t="shared" si="202"/>
        <v>FINLAND</v>
      </c>
      <c r="Z2145" s="4" t="str">
        <f t="shared" si="203"/>
        <v>Finland</v>
      </c>
      <c r="AA2145" t="s">
        <v>130</v>
      </c>
      <c r="AB2145" t="s">
        <v>42</v>
      </c>
      <c r="AC2145" t="s">
        <v>472</v>
      </c>
      <c r="AD2145" t="s">
        <v>473</v>
      </c>
      <c r="AE2145" t="s">
        <v>51</v>
      </c>
    </row>
    <row r="2146" spans="1:31" x14ac:dyDescent="0.3">
      <c r="A2146">
        <v>10378</v>
      </c>
      <c r="B2146">
        <v>41</v>
      </c>
      <c r="C2146">
        <v>100</v>
      </c>
      <c r="D2146">
        <v>2</v>
      </c>
      <c r="E2146" s="4" t="str">
        <f t="shared" si="198"/>
        <v>high sales</v>
      </c>
      <c r="F2146">
        <v>4894.17</v>
      </c>
      <c r="G2146" t="s">
        <v>2818</v>
      </c>
      <c r="H2146" s="1" t="str">
        <f t="shared" si="199"/>
        <v>Shipped</v>
      </c>
      <c r="I2146" s="4" t="str">
        <f t="shared" si="200"/>
        <v>completed</v>
      </c>
      <c r="J2146" t="s">
        <v>25</v>
      </c>
      <c r="K2146">
        <v>1</v>
      </c>
      <c r="L2146">
        <v>2</v>
      </c>
      <c r="M2146">
        <v>2005</v>
      </c>
      <c r="N2146" t="s">
        <v>181</v>
      </c>
      <c r="O2146">
        <v>80</v>
      </c>
      <c r="P2146" t="s">
        <v>648</v>
      </c>
      <c r="Q2146" t="s">
        <v>174</v>
      </c>
      <c r="R2146" t="s">
        <v>175</v>
      </c>
      <c r="S2146" t="s">
        <v>176</v>
      </c>
      <c r="U2146" s="1" t="str">
        <f t="shared" si="201"/>
        <v>Madrid</v>
      </c>
      <c r="V2146" t="s">
        <v>177</v>
      </c>
      <c r="X2146">
        <v>28034</v>
      </c>
      <c r="Y2146" s="1" t="str">
        <f t="shared" si="202"/>
        <v>SPAIN</v>
      </c>
      <c r="Z2146" s="4" t="str">
        <f t="shared" si="203"/>
        <v>Spain</v>
      </c>
      <c r="AA2146" t="s">
        <v>178</v>
      </c>
      <c r="AB2146" t="s">
        <v>42</v>
      </c>
      <c r="AC2146" t="s">
        <v>179</v>
      </c>
      <c r="AD2146" t="s">
        <v>180</v>
      </c>
      <c r="AE2146" t="s">
        <v>51</v>
      </c>
    </row>
    <row r="2147" spans="1:31" x14ac:dyDescent="0.3">
      <c r="A2147">
        <v>10390</v>
      </c>
      <c r="B2147">
        <v>30</v>
      </c>
      <c r="C2147">
        <v>82.42</v>
      </c>
      <c r="D2147">
        <v>10</v>
      </c>
      <c r="E2147" s="4" t="str">
        <f t="shared" si="198"/>
        <v>low sales</v>
      </c>
      <c r="F2147">
        <v>2472.6</v>
      </c>
      <c r="G2147" t="s">
        <v>2819</v>
      </c>
      <c r="H2147" s="1" t="str">
        <f t="shared" si="199"/>
        <v>Shipped</v>
      </c>
      <c r="I2147" s="4" t="str">
        <f t="shared" si="200"/>
        <v>completed</v>
      </c>
      <c r="J2147" t="s">
        <v>25</v>
      </c>
      <c r="K2147">
        <v>1</v>
      </c>
      <c r="L2147">
        <v>3</v>
      </c>
      <c r="M2147">
        <v>2005</v>
      </c>
      <c r="N2147" t="s">
        <v>181</v>
      </c>
      <c r="O2147">
        <v>80</v>
      </c>
      <c r="P2147" t="s">
        <v>648</v>
      </c>
      <c r="Q2147" t="s">
        <v>272</v>
      </c>
      <c r="R2147">
        <v>4155551450</v>
      </c>
      <c r="S2147" t="s">
        <v>273</v>
      </c>
      <c r="U2147" s="1" t="str">
        <f t="shared" si="201"/>
        <v>San Rafael</v>
      </c>
      <c r="V2147" t="s">
        <v>274</v>
      </c>
      <c r="W2147" t="s">
        <v>55</v>
      </c>
      <c r="X2147">
        <v>97562</v>
      </c>
      <c r="Y2147" s="1" t="str">
        <f t="shared" si="202"/>
        <v>USA</v>
      </c>
      <c r="Z2147" s="4" t="str">
        <f t="shared" si="203"/>
        <v>Usa</v>
      </c>
      <c r="AA2147" t="s">
        <v>32</v>
      </c>
      <c r="AB2147" t="s">
        <v>33</v>
      </c>
      <c r="AC2147" t="s">
        <v>275</v>
      </c>
      <c r="AD2147" t="s">
        <v>276</v>
      </c>
      <c r="AE2147" t="s">
        <v>36</v>
      </c>
    </row>
    <row r="2148" spans="1:31" x14ac:dyDescent="0.3">
      <c r="A2148">
        <v>10103</v>
      </c>
      <c r="B2148">
        <v>31</v>
      </c>
      <c r="C2148">
        <v>100</v>
      </c>
      <c r="D2148">
        <v>3</v>
      </c>
      <c r="E2148" s="4" t="str">
        <f t="shared" si="198"/>
        <v>low sales</v>
      </c>
      <c r="F2148">
        <v>3224.31</v>
      </c>
      <c r="G2148" t="s">
        <v>2820</v>
      </c>
      <c r="H2148" s="1" t="str">
        <f t="shared" si="199"/>
        <v>Shipped</v>
      </c>
      <c r="I2148" s="4" t="str">
        <f t="shared" si="200"/>
        <v>completed</v>
      </c>
      <c r="J2148" t="s">
        <v>25</v>
      </c>
      <c r="K2148">
        <v>1</v>
      </c>
      <c r="L2148">
        <v>1</v>
      </c>
      <c r="M2148">
        <v>2003</v>
      </c>
      <c r="N2148" t="s">
        <v>504</v>
      </c>
      <c r="O2148">
        <v>96</v>
      </c>
      <c r="P2148" t="s">
        <v>649</v>
      </c>
      <c r="Q2148" t="s">
        <v>133</v>
      </c>
      <c r="R2148" t="s">
        <v>134</v>
      </c>
      <c r="S2148" t="s">
        <v>135</v>
      </c>
      <c r="U2148" s="1" t="str">
        <f t="shared" si="201"/>
        <v>Stavern</v>
      </c>
      <c r="V2148" t="s">
        <v>136</v>
      </c>
      <c r="X2148">
        <v>4110</v>
      </c>
      <c r="Y2148" s="1" t="str">
        <f t="shared" si="202"/>
        <v>NORWAY</v>
      </c>
      <c r="Z2148" s="4" t="str">
        <f t="shared" si="203"/>
        <v>Norway</v>
      </c>
      <c r="AA2148" t="s">
        <v>78</v>
      </c>
      <c r="AB2148" t="s">
        <v>42</v>
      </c>
      <c r="AC2148" t="s">
        <v>137</v>
      </c>
      <c r="AD2148" t="s">
        <v>138</v>
      </c>
      <c r="AE2148" t="s">
        <v>51</v>
      </c>
    </row>
    <row r="2149" spans="1:31" x14ac:dyDescent="0.3">
      <c r="A2149">
        <v>10114</v>
      </c>
      <c r="B2149">
        <v>32</v>
      </c>
      <c r="C2149">
        <v>100</v>
      </c>
      <c r="D2149">
        <v>7</v>
      </c>
      <c r="E2149" s="4" t="str">
        <f t="shared" si="198"/>
        <v>low sales</v>
      </c>
      <c r="F2149">
        <v>3667.52</v>
      </c>
      <c r="G2149" t="s">
        <v>2821</v>
      </c>
      <c r="H2149" s="1" t="str">
        <f t="shared" si="199"/>
        <v>Shipped</v>
      </c>
      <c r="I2149" s="4" t="str">
        <f t="shared" si="200"/>
        <v>completed</v>
      </c>
      <c r="J2149" t="s">
        <v>25</v>
      </c>
      <c r="K2149">
        <v>2</v>
      </c>
      <c r="L2149">
        <v>4</v>
      </c>
      <c r="M2149">
        <v>2003</v>
      </c>
      <c r="N2149" t="s">
        <v>504</v>
      </c>
      <c r="O2149">
        <v>96</v>
      </c>
      <c r="P2149" t="s">
        <v>649</v>
      </c>
      <c r="Q2149" t="s">
        <v>403</v>
      </c>
      <c r="R2149" t="s">
        <v>404</v>
      </c>
      <c r="S2149" t="s">
        <v>405</v>
      </c>
      <c r="U2149" s="1" t="str">
        <f t="shared" si="201"/>
        <v>Paris</v>
      </c>
      <c r="V2149" t="s">
        <v>48</v>
      </c>
      <c r="X2149">
        <v>75012</v>
      </c>
      <c r="Y2149" s="1" t="str">
        <f t="shared" si="202"/>
        <v>FRANCE</v>
      </c>
      <c r="Z2149" s="4" t="str">
        <f t="shared" si="203"/>
        <v>France</v>
      </c>
      <c r="AA2149" t="s">
        <v>41</v>
      </c>
      <c r="AB2149" t="s">
        <v>42</v>
      </c>
      <c r="AC2149" t="s">
        <v>406</v>
      </c>
      <c r="AD2149" t="s">
        <v>407</v>
      </c>
      <c r="AE2149" t="s">
        <v>51</v>
      </c>
    </row>
    <row r="2150" spans="1:31" x14ac:dyDescent="0.3">
      <c r="A2150">
        <v>10126</v>
      </c>
      <c r="B2150">
        <v>43</v>
      </c>
      <c r="C2150">
        <v>96.31</v>
      </c>
      <c r="D2150">
        <v>3</v>
      </c>
      <c r="E2150" s="4" t="str">
        <f t="shared" si="198"/>
        <v>high sales</v>
      </c>
      <c r="F2150">
        <v>4141.33</v>
      </c>
      <c r="G2150" t="s">
        <v>2822</v>
      </c>
      <c r="H2150" s="1" t="str">
        <f t="shared" si="199"/>
        <v>Shipped</v>
      </c>
      <c r="I2150" s="4" t="str">
        <f t="shared" si="200"/>
        <v>completed</v>
      </c>
      <c r="J2150" t="s">
        <v>25</v>
      </c>
      <c r="K2150">
        <v>2</v>
      </c>
      <c r="L2150">
        <v>5</v>
      </c>
      <c r="M2150">
        <v>2003</v>
      </c>
      <c r="N2150" t="s">
        <v>504</v>
      </c>
      <c r="O2150">
        <v>96</v>
      </c>
      <c r="P2150" t="s">
        <v>649</v>
      </c>
      <c r="Q2150" t="s">
        <v>191</v>
      </c>
      <c r="R2150" t="s">
        <v>192</v>
      </c>
      <c r="S2150" t="s">
        <v>193</v>
      </c>
      <c r="U2150" s="1" t="str">
        <f t="shared" si="201"/>
        <v>Madrid</v>
      </c>
      <c r="V2150" t="s">
        <v>177</v>
      </c>
      <c r="X2150">
        <v>28023</v>
      </c>
      <c r="Y2150" s="1" t="str">
        <f t="shared" si="202"/>
        <v>SPAIN</v>
      </c>
      <c r="Z2150" s="4" t="str">
        <f t="shared" si="203"/>
        <v>Spain</v>
      </c>
      <c r="AA2150" t="s">
        <v>178</v>
      </c>
      <c r="AB2150" t="s">
        <v>42</v>
      </c>
      <c r="AC2150" t="s">
        <v>194</v>
      </c>
      <c r="AD2150" t="s">
        <v>195</v>
      </c>
      <c r="AE2150" t="s">
        <v>51</v>
      </c>
    </row>
    <row r="2151" spans="1:31" x14ac:dyDescent="0.3">
      <c r="A2151">
        <v>10140</v>
      </c>
      <c r="B2151">
        <v>26</v>
      </c>
      <c r="C2151">
        <v>100</v>
      </c>
      <c r="D2151">
        <v>3</v>
      </c>
      <c r="E2151" s="4" t="str">
        <f t="shared" si="198"/>
        <v>low sales</v>
      </c>
      <c r="F2151">
        <v>2829.58</v>
      </c>
      <c r="G2151" t="s">
        <v>2823</v>
      </c>
      <c r="H2151" s="1" t="str">
        <f t="shared" si="199"/>
        <v>Shipped</v>
      </c>
      <c r="I2151" s="4" t="str">
        <f t="shared" si="200"/>
        <v>completed</v>
      </c>
      <c r="J2151" t="s">
        <v>25</v>
      </c>
      <c r="K2151">
        <v>3</v>
      </c>
      <c r="L2151">
        <v>7</v>
      </c>
      <c r="M2151">
        <v>2003</v>
      </c>
      <c r="N2151" t="s">
        <v>504</v>
      </c>
      <c r="O2151">
        <v>96</v>
      </c>
      <c r="P2151" t="s">
        <v>649</v>
      </c>
      <c r="Q2151" t="s">
        <v>62</v>
      </c>
      <c r="R2151">
        <v>6505556809</v>
      </c>
      <c r="S2151" t="s">
        <v>63</v>
      </c>
      <c r="U2151" s="1" t="str">
        <f t="shared" si="201"/>
        <v>Burlingame</v>
      </c>
      <c r="V2151" t="s">
        <v>64</v>
      </c>
      <c r="W2151" t="s">
        <v>55</v>
      </c>
      <c r="X2151">
        <v>94217</v>
      </c>
      <c r="Y2151" s="1" t="str">
        <f t="shared" si="202"/>
        <v>USA</v>
      </c>
      <c r="Z2151" s="4" t="str">
        <f t="shared" si="203"/>
        <v>Usa</v>
      </c>
      <c r="AA2151" t="s">
        <v>32</v>
      </c>
      <c r="AB2151" t="s">
        <v>33</v>
      </c>
      <c r="AC2151" t="s">
        <v>65</v>
      </c>
      <c r="AD2151" t="s">
        <v>66</v>
      </c>
      <c r="AE2151" t="s">
        <v>36</v>
      </c>
    </row>
    <row r="2152" spans="1:31" x14ac:dyDescent="0.3">
      <c r="A2152">
        <v>10151</v>
      </c>
      <c r="B2152">
        <v>27</v>
      </c>
      <c r="C2152">
        <v>100</v>
      </c>
      <c r="D2152">
        <v>10</v>
      </c>
      <c r="E2152" s="4" t="str">
        <f t="shared" si="198"/>
        <v>low sales</v>
      </c>
      <c r="F2152">
        <v>3068.55</v>
      </c>
      <c r="G2152" t="s">
        <v>2824</v>
      </c>
      <c r="H2152" s="1" t="str">
        <f t="shared" si="199"/>
        <v>Shipped</v>
      </c>
      <c r="I2152" s="4" t="str">
        <f t="shared" si="200"/>
        <v>completed</v>
      </c>
      <c r="J2152" t="s">
        <v>25</v>
      </c>
      <c r="K2152">
        <v>3</v>
      </c>
      <c r="L2152">
        <v>9</v>
      </c>
      <c r="M2152">
        <v>2003</v>
      </c>
      <c r="N2152" t="s">
        <v>504</v>
      </c>
      <c r="O2152">
        <v>96</v>
      </c>
      <c r="P2152" t="s">
        <v>649</v>
      </c>
      <c r="Q2152" t="s">
        <v>391</v>
      </c>
      <c r="R2152" t="s">
        <v>392</v>
      </c>
      <c r="S2152" t="s">
        <v>393</v>
      </c>
      <c r="U2152" s="1" t="str">
        <f t="shared" si="201"/>
        <v>Oulu</v>
      </c>
      <c r="V2152" t="s">
        <v>394</v>
      </c>
      <c r="X2152">
        <v>90110</v>
      </c>
      <c r="Y2152" s="1" t="str">
        <f t="shared" si="202"/>
        <v>FINLAND</v>
      </c>
      <c r="Z2152" s="4" t="str">
        <f t="shared" si="203"/>
        <v>Finland</v>
      </c>
      <c r="AA2152" t="s">
        <v>130</v>
      </c>
      <c r="AB2152" t="s">
        <v>42</v>
      </c>
      <c r="AC2152" t="s">
        <v>395</v>
      </c>
      <c r="AD2152" t="s">
        <v>396</v>
      </c>
      <c r="AE2152" t="s">
        <v>51</v>
      </c>
    </row>
    <row r="2153" spans="1:31" x14ac:dyDescent="0.3">
      <c r="A2153">
        <v>10164</v>
      </c>
      <c r="B2153">
        <v>24</v>
      </c>
      <c r="C2153">
        <v>100</v>
      </c>
      <c r="D2153">
        <v>1</v>
      </c>
      <c r="E2153" s="4" t="str">
        <f t="shared" si="198"/>
        <v>low sales</v>
      </c>
      <c r="F2153">
        <v>2634.96</v>
      </c>
      <c r="G2153" t="s">
        <v>2825</v>
      </c>
      <c r="H2153" s="1" t="str">
        <f t="shared" si="199"/>
        <v>Resolved</v>
      </c>
      <c r="I2153" s="4" t="str">
        <f t="shared" si="200"/>
        <v>not completed</v>
      </c>
      <c r="J2153" t="s">
        <v>408</v>
      </c>
      <c r="K2153">
        <v>4</v>
      </c>
      <c r="L2153">
        <v>10</v>
      </c>
      <c r="M2153">
        <v>2003</v>
      </c>
      <c r="N2153" t="s">
        <v>504</v>
      </c>
      <c r="O2153">
        <v>96</v>
      </c>
      <c r="P2153" t="s">
        <v>649</v>
      </c>
      <c r="Q2153" t="s">
        <v>409</v>
      </c>
      <c r="R2153" t="s">
        <v>410</v>
      </c>
      <c r="S2153" t="s">
        <v>411</v>
      </c>
      <c r="U2153" s="1" t="str">
        <f t="shared" si="201"/>
        <v>Graz</v>
      </c>
      <c r="V2153" t="s">
        <v>412</v>
      </c>
      <c r="X2153">
        <v>8010</v>
      </c>
      <c r="Y2153" s="1" t="str">
        <f t="shared" si="202"/>
        <v>AUSTRIA</v>
      </c>
      <c r="Z2153" s="4" t="str">
        <f t="shared" si="203"/>
        <v>Austria</v>
      </c>
      <c r="AA2153" t="s">
        <v>148</v>
      </c>
      <c r="AB2153" t="s">
        <v>42</v>
      </c>
      <c r="AC2153" t="s">
        <v>413</v>
      </c>
      <c r="AD2153" t="s">
        <v>414</v>
      </c>
      <c r="AE2153" t="s">
        <v>36</v>
      </c>
    </row>
    <row r="2154" spans="1:31" x14ac:dyDescent="0.3">
      <c r="A2154">
        <v>10175</v>
      </c>
      <c r="B2154">
        <v>22</v>
      </c>
      <c r="C2154">
        <v>100</v>
      </c>
      <c r="D2154">
        <v>8</v>
      </c>
      <c r="E2154" s="4" t="str">
        <f t="shared" si="198"/>
        <v>low sales</v>
      </c>
      <c r="F2154">
        <v>2436.7199999999998</v>
      </c>
      <c r="G2154" t="s">
        <v>2826</v>
      </c>
      <c r="H2154" s="1" t="str">
        <f t="shared" si="199"/>
        <v>Shipped</v>
      </c>
      <c r="I2154" s="4" t="str">
        <f t="shared" si="200"/>
        <v>completed</v>
      </c>
      <c r="J2154" t="s">
        <v>25</v>
      </c>
      <c r="K2154">
        <v>4</v>
      </c>
      <c r="L2154">
        <v>11</v>
      </c>
      <c r="M2154">
        <v>2003</v>
      </c>
      <c r="N2154" t="s">
        <v>504</v>
      </c>
      <c r="O2154">
        <v>96</v>
      </c>
      <c r="P2154" t="s">
        <v>649</v>
      </c>
      <c r="Q2154" t="s">
        <v>329</v>
      </c>
      <c r="R2154" t="s">
        <v>330</v>
      </c>
      <c r="S2154" t="s">
        <v>331</v>
      </c>
      <c r="U2154" s="1" t="str">
        <f t="shared" si="201"/>
        <v>London</v>
      </c>
      <c r="V2154" t="s">
        <v>332</v>
      </c>
      <c r="X2154" t="s">
        <v>333</v>
      </c>
      <c r="Y2154" s="1" t="str">
        <f t="shared" si="202"/>
        <v>UK</v>
      </c>
      <c r="Z2154" s="4" t="str">
        <f t="shared" si="203"/>
        <v>Uk</v>
      </c>
      <c r="AA2154" t="s">
        <v>170</v>
      </c>
      <c r="AB2154" t="s">
        <v>42</v>
      </c>
      <c r="AC2154" t="s">
        <v>61</v>
      </c>
      <c r="AD2154" t="s">
        <v>334</v>
      </c>
      <c r="AE2154" t="s">
        <v>36</v>
      </c>
    </row>
    <row r="2155" spans="1:31" x14ac:dyDescent="0.3">
      <c r="A2155">
        <v>10184</v>
      </c>
      <c r="B2155">
        <v>46</v>
      </c>
      <c r="C2155">
        <v>100</v>
      </c>
      <c r="D2155">
        <v>13</v>
      </c>
      <c r="E2155" s="4" t="str">
        <f t="shared" si="198"/>
        <v>high sales</v>
      </c>
      <c r="F2155">
        <v>4607.3599999999997</v>
      </c>
      <c r="G2155" t="s">
        <v>2827</v>
      </c>
      <c r="H2155" s="1" t="str">
        <f t="shared" si="199"/>
        <v>Shipped</v>
      </c>
      <c r="I2155" s="4" t="str">
        <f t="shared" si="200"/>
        <v>completed</v>
      </c>
      <c r="J2155" t="s">
        <v>25</v>
      </c>
      <c r="K2155">
        <v>4</v>
      </c>
      <c r="L2155">
        <v>11</v>
      </c>
      <c r="M2155">
        <v>2003</v>
      </c>
      <c r="N2155" t="s">
        <v>504</v>
      </c>
      <c r="O2155">
        <v>96</v>
      </c>
      <c r="P2155" t="s">
        <v>649</v>
      </c>
      <c r="Q2155" t="s">
        <v>520</v>
      </c>
      <c r="R2155" t="s">
        <v>521</v>
      </c>
      <c r="S2155" t="s">
        <v>522</v>
      </c>
      <c r="U2155" s="1" t="str">
        <f t="shared" si="201"/>
        <v>Sevilla</v>
      </c>
      <c r="V2155" t="s">
        <v>523</v>
      </c>
      <c r="X2155">
        <v>41101</v>
      </c>
      <c r="Y2155" s="1" t="str">
        <f t="shared" si="202"/>
        <v>SPAIN</v>
      </c>
      <c r="Z2155" s="4" t="str">
        <f t="shared" si="203"/>
        <v>Spain</v>
      </c>
      <c r="AA2155" t="s">
        <v>178</v>
      </c>
      <c r="AB2155" t="s">
        <v>42</v>
      </c>
      <c r="AC2155" t="s">
        <v>524</v>
      </c>
      <c r="AD2155" t="s">
        <v>525</v>
      </c>
      <c r="AE2155" t="s">
        <v>51</v>
      </c>
    </row>
    <row r="2156" spans="1:31" x14ac:dyDescent="0.3">
      <c r="A2156">
        <v>10194</v>
      </c>
      <c r="B2156">
        <v>37</v>
      </c>
      <c r="C2156">
        <v>97.27</v>
      </c>
      <c r="D2156">
        <v>3</v>
      </c>
      <c r="E2156" s="4" t="str">
        <f t="shared" si="198"/>
        <v>low sales</v>
      </c>
      <c r="F2156">
        <v>3598.99</v>
      </c>
      <c r="G2156" t="s">
        <v>2828</v>
      </c>
      <c r="H2156" s="1" t="str">
        <f t="shared" si="199"/>
        <v>Shipped</v>
      </c>
      <c r="I2156" s="4" t="str">
        <f t="shared" si="200"/>
        <v>completed</v>
      </c>
      <c r="J2156" t="s">
        <v>25</v>
      </c>
      <c r="K2156">
        <v>4</v>
      </c>
      <c r="L2156">
        <v>11</v>
      </c>
      <c r="M2156">
        <v>2003</v>
      </c>
      <c r="N2156" t="s">
        <v>504</v>
      </c>
      <c r="O2156">
        <v>96</v>
      </c>
      <c r="P2156" t="s">
        <v>649</v>
      </c>
      <c r="Q2156" t="s">
        <v>219</v>
      </c>
      <c r="R2156" t="s">
        <v>220</v>
      </c>
      <c r="S2156" t="s">
        <v>221</v>
      </c>
      <c r="U2156" s="1" t="str">
        <f t="shared" si="201"/>
        <v>Lyon</v>
      </c>
      <c r="V2156" t="s">
        <v>222</v>
      </c>
      <c r="X2156">
        <v>69004</v>
      </c>
      <c r="Y2156" s="1" t="str">
        <f t="shared" si="202"/>
        <v>FRANCE</v>
      </c>
      <c r="Z2156" s="4" t="str">
        <f t="shared" si="203"/>
        <v>France</v>
      </c>
      <c r="AA2156" t="s">
        <v>41</v>
      </c>
      <c r="AB2156" t="s">
        <v>42</v>
      </c>
      <c r="AC2156" t="s">
        <v>223</v>
      </c>
      <c r="AD2156" t="s">
        <v>224</v>
      </c>
      <c r="AE2156" t="s">
        <v>51</v>
      </c>
    </row>
    <row r="2157" spans="1:31" x14ac:dyDescent="0.3">
      <c r="A2157">
        <v>10207</v>
      </c>
      <c r="B2157">
        <v>49</v>
      </c>
      <c r="C2157">
        <v>80.900000000000006</v>
      </c>
      <c r="D2157">
        <v>14</v>
      </c>
      <c r="E2157" s="4" t="str">
        <f t="shared" si="198"/>
        <v>low sales</v>
      </c>
      <c r="F2157">
        <v>3964.1</v>
      </c>
      <c r="G2157" t="s">
        <v>2829</v>
      </c>
      <c r="H2157" s="1" t="str">
        <f t="shared" si="199"/>
        <v>Shipped</v>
      </c>
      <c r="I2157" s="4" t="str">
        <f t="shared" si="200"/>
        <v>completed</v>
      </c>
      <c r="J2157" t="s">
        <v>25</v>
      </c>
      <c r="K2157">
        <v>4</v>
      </c>
      <c r="L2157">
        <v>12</v>
      </c>
      <c r="M2157">
        <v>2003</v>
      </c>
      <c r="N2157" t="s">
        <v>504</v>
      </c>
      <c r="O2157">
        <v>96</v>
      </c>
      <c r="P2157" t="s">
        <v>649</v>
      </c>
      <c r="Q2157" t="s">
        <v>415</v>
      </c>
      <c r="R2157">
        <v>6175552555</v>
      </c>
      <c r="S2157" t="s">
        <v>416</v>
      </c>
      <c r="U2157" s="1" t="str">
        <f t="shared" si="201"/>
        <v>Boston</v>
      </c>
      <c r="V2157" t="s">
        <v>381</v>
      </c>
      <c r="W2157" t="s">
        <v>123</v>
      </c>
      <c r="X2157">
        <v>51003</v>
      </c>
      <c r="Y2157" s="1" t="str">
        <f t="shared" si="202"/>
        <v>USA</v>
      </c>
      <c r="Z2157" s="4" t="str">
        <f t="shared" si="203"/>
        <v>Usa</v>
      </c>
      <c r="AA2157" t="s">
        <v>32</v>
      </c>
      <c r="AB2157" t="s">
        <v>33</v>
      </c>
      <c r="AC2157" t="s">
        <v>417</v>
      </c>
      <c r="AD2157" t="s">
        <v>276</v>
      </c>
      <c r="AE2157" t="s">
        <v>51</v>
      </c>
    </row>
    <row r="2158" spans="1:31" x14ac:dyDescent="0.3">
      <c r="A2158">
        <v>10217</v>
      </c>
      <c r="B2158">
        <v>21</v>
      </c>
      <c r="C2158">
        <v>100</v>
      </c>
      <c r="D2158">
        <v>3</v>
      </c>
      <c r="E2158" s="4" t="str">
        <f t="shared" si="198"/>
        <v>low sales</v>
      </c>
      <c r="F2158">
        <v>2244.9</v>
      </c>
      <c r="G2158" t="s">
        <v>2830</v>
      </c>
      <c r="H2158" s="1" t="str">
        <f t="shared" si="199"/>
        <v>Shipped</v>
      </c>
      <c r="I2158" s="4" t="str">
        <f t="shared" si="200"/>
        <v>completed</v>
      </c>
      <c r="J2158" t="s">
        <v>25</v>
      </c>
      <c r="K2158">
        <v>1</v>
      </c>
      <c r="L2158">
        <v>2</v>
      </c>
      <c r="M2158">
        <v>2004</v>
      </c>
      <c r="N2158" t="s">
        <v>504</v>
      </c>
      <c r="O2158">
        <v>96</v>
      </c>
      <c r="P2158" t="s">
        <v>649</v>
      </c>
      <c r="Q2158" t="s">
        <v>418</v>
      </c>
      <c r="R2158" t="s">
        <v>419</v>
      </c>
      <c r="S2158" t="s">
        <v>420</v>
      </c>
      <c r="T2158" t="s">
        <v>421</v>
      </c>
      <c r="U2158" s="1" t="str">
        <f t="shared" si="201"/>
        <v>Singapore</v>
      </c>
      <c r="V2158" t="s">
        <v>199</v>
      </c>
      <c r="X2158">
        <v>69045</v>
      </c>
      <c r="Y2158" s="1" t="str">
        <f t="shared" si="202"/>
        <v>SINGAPORE</v>
      </c>
      <c r="Z2158" s="4" t="str">
        <f t="shared" si="203"/>
        <v>Singapore</v>
      </c>
      <c r="AA2158" t="s">
        <v>199</v>
      </c>
      <c r="AB2158" t="s">
        <v>96</v>
      </c>
      <c r="AC2158" t="s">
        <v>422</v>
      </c>
      <c r="AD2158" t="s">
        <v>423</v>
      </c>
      <c r="AE2158" t="s">
        <v>36</v>
      </c>
    </row>
    <row r="2159" spans="1:31" x14ac:dyDescent="0.3">
      <c r="A2159">
        <v>10229</v>
      </c>
      <c r="B2159">
        <v>25</v>
      </c>
      <c r="C2159">
        <v>100</v>
      </c>
      <c r="D2159">
        <v>8</v>
      </c>
      <c r="E2159" s="4" t="str">
        <f t="shared" si="198"/>
        <v>low sales</v>
      </c>
      <c r="F2159">
        <v>2793</v>
      </c>
      <c r="G2159" t="s">
        <v>2831</v>
      </c>
      <c r="H2159" s="1" t="str">
        <f t="shared" si="199"/>
        <v>Shipped</v>
      </c>
      <c r="I2159" s="4" t="str">
        <f t="shared" si="200"/>
        <v>completed</v>
      </c>
      <c r="J2159" t="s">
        <v>25</v>
      </c>
      <c r="K2159">
        <v>1</v>
      </c>
      <c r="L2159">
        <v>3</v>
      </c>
      <c r="M2159">
        <v>2004</v>
      </c>
      <c r="N2159" t="s">
        <v>504</v>
      </c>
      <c r="O2159">
        <v>96</v>
      </c>
      <c r="P2159" t="s">
        <v>649</v>
      </c>
      <c r="Q2159" t="s">
        <v>272</v>
      </c>
      <c r="R2159">
        <v>4155551450</v>
      </c>
      <c r="S2159" t="s">
        <v>273</v>
      </c>
      <c r="U2159" s="1" t="str">
        <f t="shared" si="201"/>
        <v>San Rafael</v>
      </c>
      <c r="V2159" t="s">
        <v>274</v>
      </c>
      <c r="W2159" t="s">
        <v>55</v>
      </c>
      <c r="X2159">
        <v>97562</v>
      </c>
      <c r="Y2159" s="1" t="str">
        <f t="shared" si="202"/>
        <v>USA</v>
      </c>
      <c r="Z2159" s="4" t="str">
        <f t="shared" si="203"/>
        <v>Usa</v>
      </c>
      <c r="AA2159" t="s">
        <v>32</v>
      </c>
      <c r="AB2159" t="s">
        <v>33</v>
      </c>
      <c r="AC2159" t="s">
        <v>275</v>
      </c>
      <c r="AD2159" t="s">
        <v>276</v>
      </c>
      <c r="AE2159" t="s">
        <v>36</v>
      </c>
    </row>
    <row r="2160" spans="1:31" x14ac:dyDescent="0.3">
      <c r="A2160">
        <v>10245</v>
      </c>
      <c r="B2160">
        <v>37</v>
      </c>
      <c r="C2160">
        <v>100</v>
      </c>
      <c r="D2160">
        <v>1</v>
      </c>
      <c r="E2160" s="4" t="str">
        <f t="shared" si="198"/>
        <v>high sales</v>
      </c>
      <c r="F2160">
        <v>4133.6400000000003</v>
      </c>
      <c r="G2160" t="s">
        <v>2832</v>
      </c>
      <c r="H2160" s="1" t="str">
        <f t="shared" si="199"/>
        <v>Shipped</v>
      </c>
      <c r="I2160" s="4" t="str">
        <f t="shared" si="200"/>
        <v>completed</v>
      </c>
      <c r="J2160" t="s">
        <v>25</v>
      </c>
      <c r="K2160">
        <v>2</v>
      </c>
      <c r="L2160">
        <v>5</v>
      </c>
      <c r="M2160">
        <v>2004</v>
      </c>
      <c r="N2160" t="s">
        <v>504</v>
      </c>
      <c r="O2160">
        <v>96</v>
      </c>
      <c r="P2160" t="s">
        <v>649</v>
      </c>
      <c r="Q2160" t="s">
        <v>242</v>
      </c>
      <c r="R2160">
        <v>2035559545</v>
      </c>
      <c r="S2160" t="s">
        <v>243</v>
      </c>
      <c r="U2160" s="1" t="str">
        <f t="shared" si="201"/>
        <v>New Haven</v>
      </c>
      <c r="V2160" t="s">
        <v>244</v>
      </c>
      <c r="W2160" t="s">
        <v>112</v>
      </c>
      <c r="X2160">
        <v>97823</v>
      </c>
      <c r="Y2160" s="1" t="str">
        <f t="shared" si="202"/>
        <v>USA</v>
      </c>
      <c r="Z2160" s="4" t="str">
        <f t="shared" si="203"/>
        <v>Usa</v>
      </c>
      <c r="AA2160" t="s">
        <v>32</v>
      </c>
      <c r="AB2160" t="s">
        <v>33</v>
      </c>
      <c r="AC2160" t="s">
        <v>83</v>
      </c>
      <c r="AD2160" t="s">
        <v>245</v>
      </c>
      <c r="AE2160" t="s">
        <v>51</v>
      </c>
    </row>
    <row r="2161" spans="1:31" x14ac:dyDescent="0.3">
      <c r="A2161">
        <v>10259</v>
      </c>
      <c r="B2161">
        <v>45</v>
      </c>
      <c r="C2161">
        <v>86.68</v>
      </c>
      <c r="D2161">
        <v>11</v>
      </c>
      <c r="E2161" s="4" t="str">
        <f t="shared" si="198"/>
        <v>low sales</v>
      </c>
      <c r="F2161">
        <v>3900.6</v>
      </c>
      <c r="G2161" t="s">
        <v>2833</v>
      </c>
      <c r="H2161" s="1" t="str">
        <f t="shared" si="199"/>
        <v>Shipped</v>
      </c>
      <c r="I2161" s="4" t="str">
        <f t="shared" si="200"/>
        <v>completed</v>
      </c>
      <c r="J2161" t="s">
        <v>25</v>
      </c>
      <c r="K2161">
        <v>2</v>
      </c>
      <c r="L2161">
        <v>6</v>
      </c>
      <c r="M2161">
        <v>2004</v>
      </c>
      <c r="N2161" t="s">
        <v>504</v>
      </c>
      <c r="O2161">
        <v>96</v>
      </c>
      <c r="P2161" t="s">
        <v>649</v>
      </c>
      <c r="Q2161" t="s">
        <v>418</v>
      </c>
      <c r="R2161" t="s">
        <v>419</v>
      </c>
      <c r="S2161" t="s">
        <v>420</v>
      </c>
      <c r="T2161" t="s">
        <v>421</v>
      </c>
      <c r="U2161" s="1" t="str">
        <f t="shared" si="201"/>
        <v>Singapore</v>
      </c>
      <c r="V2161" t="s">
        <v>199</v>
      </c>
      <c r="X2161">
        <v>69045</v>
      </c>
      <c r="Y2161" s="1" t="str">
        <f t="shared" si="202"/>
        <v>SINGAPORE</v>
      </c>
      <c r="Z2161" s="4" t="str">
        <f t="shared" si="203"/>
        <v>Singapore</v>
      </c>
      <c r="AA2161" t="s">
        <v>199</v>
      </c>
      <c r="AB2161" t="s">
        <v>96</v>
      </c>
      <c r="AC2161" t="s">
        <v>422</v>
      </c>
      <c r="AD2161" t="s">
        <v>423</v>
      </c>
      <c r="AE2161" t="s">
        <v>51</v>
      </c>
    </row>
    <row r="2162" spans="1:31" x14ac:dyDescent="0.3">
      <c r="A2162">
        <v>10270</v>
      </c>
      <c r="B2162">
        <v>32</v>
      </c>
      <c r="C2162">
        <v>85.72</v>
      </c>
      <c r="D2162">
        <v>1</v>
      </c>
      <c r="E2162" s="4" t="str">
        <f t="shared" si="198"/>
        <v>low sales</v>
      </c>
      <c r="F2162">
        <v>2743.04</v>
      </c>
      <c r="G2162" t="s">
        <v>2834</v>
      </c>
      <c r="H2162" s="1" t="str">
        <f t="shared" si="199"/>
        <v>Shipped</v>
      </c>
      <c r="I2162" s="4" t="str">
        <f t="shared" si="200"/>
        <v>completed</v>
      </c>
      <c r="J2162" t="s">
        <v>25</v>
      </c>
      <c r="K2162">
        <v>3</v>
      </c>
      <c r="L2162">
        <v>7</v>
      </c>
      <c r="M2162">
        <v>2004</v>
      </c>
      <c r="N2162" t="s">
        <v>504</v>
      </c>
      <c r="O2162">
        <v>96</v>
      </c>
      <c r="P2162" t="s">
        <v>649</v>
      </c>
      <c r="Q2162" t="s">
        <v>152</v>
      </c>
      <c r="R2162" t="s">
        <v>153</v>
      </c>
      <c r="S2162" t="s">
        <v>154</v>
      </c>
      <c r="T2162" t="s">
        <v>155</v>
      </c>
      <c r="U2162" s="1" t="str">
        <f t="shared" si="201"/>
        <v>Chatswood</v>
      </c>
      <c r="V2162" t="s">
        <v>156</v>
      </c>
      <c r="W2162" t="s">
        <v>157</v>
      </c>
      <c r="X2162">
        <v>2067</v>
      </c>
      <c r="Y2162" s="1" t="str">
        <f t="shared" si="202"/>
        <v>AUSTRALIA</v>
      </c>
      <c r="Z2162" s="4" t="str">
        <f t="shared" si="203"/>
        <v>Australia</v>
      </c>
      <c r="AA2162" t="s">
        <v>95</v>
      </c>
      <c r="AB2162" t="s">
        <v>96</v>
      </c>
      <c r="AC2162" t="s">
        <v>158</v>
      </c>
      <c r="AD2162" t="s">
        <v>159</v>
      </c>
      <c r="AE2162" t="s">
        <v>36</v>
      </c>
    </row>
    <row r="2163" spans="1:31" x14ac:dyDescent="0.3">
      <c r="A2163">
        <v>10281</v>
      </c>
      <c r="B2163">
        <v>29</v>
      </c>
      <c r="C2163">
        <v>82.83</v>
      </c>
      <c r="D2163">
        <v>8</v>
      </c>
      <c r="E2163" s="4" t="str">
        <f t="shared" si="198"/>
        <v>low sales</v>
      </c>
      <c r="F2163">
        <v>2402.0700000000002</v>
      </c>
      <c r="G2163" t="s">
        <v>2835</v>
      </c>
      <c r="H2163" s="1" t="str">
        <f t="shared" si="199"/>
        <v>Shipped</v>
      </c>
      <c r="I2163" s="4" t="str">
        <f t="shared" si="200"/>
        <v>completed</v>
      </c>
      <c r="J2163" t="s">
        <v>25</v>
      </c>
      <c r="K2163">
        <v>3</v>
      </c>
      <c r="L2163">
        <v>8</v>
      </c>
      <c r="M2163">
        <v>2004</v>
      </c>
      <c r="N2163" t="s">
        <v>504</v>
      </c>
      <c r="O2163">
        <v>96</v>
      </c>
      <c r="P2163" t="s">
        <v>649</v>
      </c>
      <c r="Q2163" t="s">
        <v>139</v>
      </c>
      <c r="R2163">
        <v>2155551555</v>
      </c>
      <c r="S2163" t="s">
        <v>140</v>
      </c>
      <c r="U2163" s="1" t="str">
        <f t="shared" si="201"/>
        <v>Allentown</v>
      </c>
      <c r="V2163" t="s">
        <v>141</v>
      </c>
      <c r="W2163" t="s">
        <v>142</v>
      </c>
      <c r="X2163">
        <v>70267</v>
      </c>
      <c r="Y2163" s="1" t="str">
        <f t="shared" si="202"/>
        <v>USA</v>
      </c>
      <c r="Z2163" s="4" t="str">
        <f t="shared" si="203"/>
        <v>Usa</v>
      </c>
      <c r="AA2163" t="s">
        <v>32</v>
      </c>
      <c r="AB2163" t="s">
        <v>33</v>
      </c>
      <c r="AC2163" t="s">
        <v>34</v>
      </c>
      <c r="AD2163" t="s">
        <v>143</v>
      </c>
      <c r="AE2163" t="s">
        <v>36</v>
      </c>
    </row>
    <row r="2164" spans="1:31" x14ac:dyDescent="0.3">
      <c r="A2164">
        <v>10291</v>
      </c>
      <c r="B2164">
        <v>26</v>
      </c>
      <c r="C2164">
        <v>83.79</v>
      </c>
      <c r="D2164">
        <v>3</v>
      </c>
      <c r="E2164" s="4" t="str">
        <f t="shared" si="198"/>
        <v>low sales</v>
      </c>
      <c r="F2164">
        <v>2178.54</v>
      </c>
      <c r="G2164" t="s">
        <v>2836</v>
      </c>
      <c r="H2164" s="1" t="str">
        <f t="shared" si="199"/>
        <v>Shipped</v>
      </c>
      <c r="I2164" s="4" t="str">
        <f t="shared" si="200"/>
        <v>completed</v>
      </c>
      <c r="J2164" t="s">
        <v>25</v>
      </c>
      <c r="K2164">
        <v>3</v>
      </c>
      <c r="L2164">
        <v>9</v>
      </c>
      <c r="M2164">
        <v>2004</v>
      </c>
      <c r="N2164" t="s">
        <v>504</v>
      </c>
      <c r="O2164">
        <v>96</v>
      </c>
      <c r="P2164" t="s">
        <v>649</v>
      </c>
      <c r="Q2164" t="s">
        <v>261</v>
      </c>
      <c r="R2164" t="s">
        <v>262</v>
      </c>
      <c r="S2164" t="s">
        <v>263</v>
      </c>
      <c r="U2164" s="1" t="str">
        <f t="shared" si="201"/>
        <v>Boras</v>
      </c>
      <c r="V2164" t="s">
        <v>264</v>
      </c>
      <c r="X2164" t="s">
        <v>265</v>
      </c>
      <c r="Y2164" s="1" t="str">
        <f t="shared" si="202"/>
        <v>SWEDEN</v>
      </c>
      <c r="Z2164" s="4" t="str">
        <f t="shared" si="203"/>
        <v>Sweden</v>
      </c>
      <c r="AA2164" t="s">
        <v>188</v>
      </c>
      <c r="AB2164" t="s">
        <v>42</v>
      </c>
      <c r="AC2164" t="s">
        <v>266</v>
      </c>
      <c r="AD2164" t="s">
        <v>206</v>
      </c>
      <c r="AE2164" t="s">
        <v>36</v>
      </c>
    </row>
    <row r="2165" spans="1:31" x14ac:dyDescent="0.3">
      <c r="A2165">
        <v>10305</v>
      </c>
      <c r="B2165">
        <v>28</v>
      </c>
      <c r="C2165">
        <v>100</v>
      </c>
      <c r="D2165">
        <v>12</v>
      </c>
      <c r="E2165" s="4" t="str">
        <f t="shared" si="198"/>
        <v>low sales</v>
      </c>
      <c r="F2165">
        <v>3155.04</v>
      </c>
      <c r="G2165" t="s">
        <v>2837</v>
      </c>
      <c r="H2165" s="1" t="str">
        <f t="shared" si="199"/>
        <v>Shipped</v>
      </c>
      <c r="I2165" s="4" t="str">
        <f t="shared" si="200"/>
        <v>completed</v>
      </c>
      <c r="J2165" t="s">
        <v>25</v>
      </c>
      <c r="K2165">
        <v>4</v>
      </c>
      <c r="L2165">
        <v>10</v>
      </c>
      <c r="M2165">
        <v>2004</v>
      </c>
      <c r="N2165" t="s">
        <v>504</v>
      </c>
      <c r="O2165">
        <v>96</v>
      </c>
      <c r="P2165" t="s">
        <v>649</v>
      </c>
      <c r="Q2165" t="s">
        <v>120</v>
      </c>
      <c r="R2165">
        <v>6175558555</v>
      </c>
      <c r="S2165" t="s">
        <v>121</v>
      </c>
      <c r="U2165" s="1" t="str">
        <f t="shared" si="201"/>
        <v>Cambridge</v>
      </c>
      <c r="V2165" t="s">
        <v>122</v>
      </c>
      <c r="W2165" t="s">
        <v>123</v>
      </c>
      <c r="X2165">
        <v>51247</v>
      </c>
      <c r="Y2165" s="1" t="str">
        <f t="shared" si="202"/>
        <v>USA</v>
      </c>
      <c r="Z2165" s="4" t="str">
        <f t="shared" si="203"/>
        <v>Usa</v>
      </c>
      <c r="AA2165" t="s">
        <v>32</v>
      </c>
      <c r="AB2165" t="s">
        <v>33</v>
      </c>
      <c r="AC2165" t="s">
        <v>124</v>
      </c>
      <c r="AD2165" t="s">
        <v>125</v>
      </c>
      <c r="AE2165" t="s">
        <v>51</v>
      </c>
    </row>
    <row r="2166" spans="1:31" x14ac:dyDescent="0.3">
      <c r="A2166">
        <v>10313</v>
      </c>
      <c r="B2166">
        <v>27</v>
      </c>
      <c r="C2166">
        <v>87.64</v>
      </c>
      <c r="D2166">
        <v>6</v>
      </c>
      <c r="E2166" s="4" t="str">
        <f t="shared" si="198"/>
        <v>low sales</v>
      </c>
      <c r="F2166">
        <v>2366.2800000000002</v>
      </c>
      <c r="G2166" t="s">
        <v>2838</v>
      </c>
      <c r="H2166" s="1" t="str">
        <f t="shared" si="199"/>
        <v>Shipped</v>
      </c>
      <c r="I2166" s="4" t="str">
        <f t="shared" si="200"/>
        <v>completed</v>
      </c>
      <c r="J2166" t="s">
        <v>25</v>
      </c>
      <c r="K2166">
        <v>4</v>
      </c>
      <c r="L2166">
        <v>10</v>
      </c>
      <c r="M2166">
        <v>2004</v>
      </c>
      <c r="N2166" t="s">
        <v>504</v>
      </c>
      <c r="O2166">
        <v>96</v>
      </c>
      <c r="P2166" t="s">
        <v>649</v>
      </c>
      <c r="Q2166" t="s">
        <v>225</v>
      </c>
      <c r="R2166" t="s">
        <v>226</v>
      </c>
      <c r="S2166" t="s">
        <v>227</v>
      </c>
      <c r="U2166" s="1" t="str">
        <f t="shared" si="201"/>
        <v>Vancouver</v>
      </c>
      <c r="V2166" t="s">
        <v>228</v>
      </c>
      <c r="W2166" t="s">
        <v>229</v>
      </c>
      <c r="X2166" t="s">
        <v>230</v>
      </c>
      <c r="Y2166" s="1" t="str">
        <f t="shared" si="202"/>
        <v>CANADA</v>
      </c>
      <c r="Z2166" s="4" t="str">
        <f t="shared" si="203"/>
        <v>Canada</v>
      </c>
      <c r="AA2166" t="s">
        <v>231</v>
      </c>
      <c r="AB2166" t="s">
        <v>33</v>
      </c>
      <c r="AC2166" t="s">
        <v>232</v>
      </c>
      <c r="AD2166" t="s">
        <v>233</v>
      </c>
      <c r="AE2166" t="s">
        <v>36</v>
      </c>
    </row>
    <row r="2167" spans="1:31" x14ac:dyDescent="0.3">
      <c r="A2167">
        <v>10324</v>
      </c>
      <c r="B2167">
        <v>20</v>
      </c>
      <c r="C2167">
        <v>98.18</v>
      </c>
      <c r="D2167">
        <v>11</v>
      </c>
      <c r="E2167" s="4" t="str">
        <f t="shared" si="198"/>
        <v>low sales</v>
      </c>
      <c r="F2167">
        <v>1963.6</v>
      </c>
      <c r="G2167" t="s">
        <v>2839</v>
      </c>
      <c r="H2167" s="1" t="str">
        <f t="shared" si="199"/>
        <v>Shipped</v>
      </c>
      <c r="I2167" s="4" t="str">
        <f t="shared" si="200"/>
        <v>completed</v>
      </c>
      <c r="J2167" t="s">
        <v>25</v>
      </c>
      <c r="K2167">
        <v>4</v>
      </c>
      <c r="L2167">
        <v>11</v>
      </c>
      <c r="M2167">
        <v>2004</v>
      </c>
      <c r="N2167" t="s">
        <v>504</v>
      </c>
      <c r="O2167">
        <v>96</v>
      </c>
      <c r="P2167" t="s">
        <v>649</v>
      </c>
      <c r="Q2167" t="s">
        <v>99</v>
      </c>
      <c r="R2167">
        <v>2125551500</v>
      </c>
      <c r="S2167" t="s">
        <v>100</v>
      </c>
      <c r="T2167" t="s">
        <v>101</v>
      </c>
      <c r="U2167" s="1" t="str">
        <f t="shared" si="201"/>
        <v>Nyc</v>
      </c>
      <c r="V2167" t="s">
        <v>30</v>
      </c>
      <c r="W2167" t="s">
        <v>31</v>
      </c>
      <c r="X2167">
        <v>10022</v>
      </c>
      <c r="Y2167" s="1" t="str">
        <f t="shared" si="202"/>
        <v>USA</v>
      </c>
      <c r="Z2167" s="4" t="str">
        <f t="shared" si="203"/>
        <v>Usa</v>
      </c>
      <c r="AA2167" t="s">
        <v>32</v>
      </c>
      <c r="AB2167" t="s">
        <v>33</v>
      </c>
      <c r="AC2167" t="s">
        <v>102</v>
      </c>
      <c r="AD2167" t="s">
        <v>103</v>
      </c>
      <c r="AE2167" t="s">
        <v>36</v>
      </c>
    </row>
    <row r="2168" spans="1:31" x14ac:dyDescent="0.3">
      <c r="A2168">
        <v>10335</v>
      </c>
      <c r="B2168">
        <v>44</v>
      </c>
      <c r="C2168">
        <v>100</v>
      </c>
      <c r="D2168">
        <v>1</v>
      </c>
      <c r="E2168" s="4" t="str">
        <f t="shared" si="198"/>
        <v>high sales</v>
      </c>
      <c r="F2168">
        <v>4746.28</v>
      </c>
      <c r="G2168" t="s">
        <v>2840</v>
      </c>
      <c r="H2168" s="1" t="str">
        <f t="shared" si="199"/>
        <v>Shipped</v>
      </c>
      <c r="I2168" s="4" t="str">
        <f t="shared" si="200"/>
        <v>completed</v>
      </c>
      <c r="J2168" t="s">
        <v>25</v>
      </c>
      <c r="K2168">
        <v>4</v>
      </c>
      <c r="L2168">
        <v>11</v>
      </c>
      <c r="M2168">
        <v>2004</v>
      </c>
      <c r="N2168" t="s">
        <v>504</v>
      </c>
      <c r="O2168">
        <v>96</v>
      </c>
      <c r="P2168" t="s">
        <v>649</v>
      </c>
      <c r="Q2168" t="s">
        <v>272</v>
      </c>
      <c r="R2168">
        <v>4155551450</v>
      </c>
      <c r="S2168" t="s">
        <v>273</v>
      </c>
      <c r="U2168" s="1" t="str">
        <f t="shared" si="201"/>
        <v>San Rafael</v>
      </c>
      <c r="V2168" t="s">
        <v>274</v>
      </c>
      <c r="W2168" t="s">
        <v>55</v>
      </c>
      <c r="X2168">
        <v>97562</v>
      </c>
      <c r="Y2168" s="1" t="str">
        <f t="shared" si="202"/>
        <v>USA</v>
      </c>
      <c r="Z2168" s="4" t="str">
        <f t="shared" si="203"/>
        <v>Usa</v>
      </c>
      <c r="AA2168" t="s">
        <v>32</v>
      </c>
      <c r="AB2168" t="s">
        <v>33</v>
      </c>
      <c r="AC2168" t="s">
        <v>275</v>
      </c>
      <c r="AD2168" t="s">
        <v>276</v>
      </c>
      <c r="AE2168" t="s">
        <v>51</v>
      </c>
    </row>
    <row r="2169" spans="1:31" x14ac:dyDescent="0.3">
      <c r="A2169">
        <v>10348</v>
      </c>
      <c r="B2169">
        <v>42</v>
      </c>
      <c r="C2169">
        <v>100</v>
      </c>
      <c r="D2169">
        <v>3</v>
      </c>
      <c r="E2169" s="4" t="str">
        <f t="shared" si="198"/>
        <v>high sales</v>
      </c>
      <c r="F2169">
        <v>6386.94</v>
      </c>
      <c r="G2169" t="s">
        <v>2841</v>
      </c>
      <c r="H2169" s="1" t="str">
        <f t="shared" si="199"/>
        <v>Shipped</v>
      </c>
      <c r="I2169" s="4" t="str">
        <f t="shared" si="200"/>
        <v>completed</v>
      </c>
      <c r="J2169" t="s">
        <v>25</v>
      </c>
      <c r="K2169">
        <v>4</v>
      </c>
      <c r="L2169">
        <v>11</v>
      </c>
      <c r="M2169">
        <v>2004</v>
      </c>
      <c r="N2169" t="s">
        <v>504</v>
      </c>
      <c r="O2169">
        <v>96</v>
      </c>
      <c r="P2169" t="s">
        <v>649</v>
      </c>
      <c r="Q2169" t="s">
        <v>191</v>
      </c>
      <c r="R2169" t="s">
        <v>192</v>
      </c>
      <c r="S2169" t="s">
        <v>193</v>
      </c>
      <c r="U2169" s="1" t="str">
        <f t="shared" si="201"/>
        <v>Madrid</v>
      </c>
      <c r="V2169" t="s">
        <v>177</v>
      </c>
      <c r="X2169">
        <v>28023</v>
      </c>
      <c r="Y2169" s="1" t="str">
        <f t="shared" si="202"/>
        <v>SPAIN</v>
      </c>
      <c r="Z2169" s="4" t="str">
        <f t="shared" si="203"/>
        <v>Spain</v>
      </c>
      <c r="AA2169" t="s">
        <v>178</v>
      </c>
      <c r="AB2169" t="s">
        <v>42</v>
      </c>
      <c r="AC2169" t="s">
        <v>194</v>
      </c>
      <c r="AD2169" t="s">
        <v>195</v>
      </c>
      <c r="AE2169" t="s">
        <v>51</v>
      </c>
    </row>
    <row r="2170" spans="1:31" x14ac:dyDescent="0.3">
      <c r="A2170">
        <v>10358</v>
      </c>
      <c r="B2170">
        <v>41</v>
      </c>
      <c r="C2170">
        <v>100</v>
      </c>
      <c r="D2170">
        <v>1</v>
      </c>
      <c r="E2170" s="4" t="str">
        <f t="shared" si="198"/>
        <v>high sales</v>
      </c>
      <c r="F2170">
        <v>4428</v>
      </c>
      <c r="G2170" t="s">
        <v>2842</v>
      </c>
      <c r="H2170" s="1" t="str">
        <f t="shared" si="199"/>
        <v>Shipped</v>
      </c>
      <c r="I2170" s="4" t="str">
        <f t="shared" si="200"/>
        <v>completed</v>
      </c>
      <c r="J2170" t="s">
        <v>25</v>
      </c>
      <c r="K2170">
        <v>4</v>
      </c>
      <c r="L2170">
        <v>12</v>
      </c>
      <c r="M2170">
        <v>2004</v>
      </c>
      <c r="N2170" t="s">
        <v>504</v>
      </c>
      <c r="O2170">
        <v>96</v>
      </c>
      <c r="P2170" t="s">
        <v>649</v>
      </c>
      <c r="Q2170" t="s">
        <v>174</v>
      </c>
      <c r="R2170" t="s">
        <v>175</v>
      </c>
      <c r="S2170" t="s">
        <v>176</v>
      </c>
      <c r="U2170" s="1" t="str">
        <f t="shared" si="201"/>
        <v>Madrid</v>
      </c>
      <c r="V2170" t="s">
        <v>177</v>
      </c>
      <c r="X2170">
        <v>28034</v>
      </c>
      <c r="Y2170" s="1" t="str">
        <f t="shared" si="202"/>
        <v>SPAIN</v>
      </c>
      <c r="Z2170" s="4" t="str">
        <f t="shared" si="203"/>
        <v>Spain</v>
      </c>
      <c r="AA2170" t="s">
        <v>178</v>
      </c>
      <c r="AB2170" t="s">
        <v>42</v>
      </c>
      <c r="AC2170" t="s">
        <v>179</v>
      </c>
      <c r="AD2170" t="s">
        <v>180</v>
      </c>
      <c r="AE2170" t="s">
        <v>51</v>
      </c>
    </row>
    <row r="2171" spans="1:31" x14ac:dyDescent="0.3">
      <c r="A2171">
        <v>10371</v>
      </c>
      <c r="B2171">
        <v>26</v>
      </c>
      <c r="C2171">
        <v>100</v>
      </c>
      <c r="D2171">
        <v>1</v>
      </c>
      <c r="E2171" s="4" t="str">
        <f t="shared" si="198"/>
        <v>high sales</v>
      </c>
      <c r="F2171">
        <v>4044.04</v>
      </c>
      <c r="G2171" t="s">
        <v>2843</v>
      </c>
      <c r="H2171" s="1" t="str">
        <f t="shared" si="199"/>
        <v>Shipped</v>
      </c>
      <c r="I2171" s="4" t="str">
        <f t="shared" si="200"/>
        <v>completed</v>
      </c>
      <c r="J2171" t="s">
        <v>25</v>
      </c>
      <c r="K2171">
        <v>1</v>
      </c>
      <c r="L2171">
        <v>1</v>
      </c>
      <c r="M2171">
        <v>2005</v>
      </c>
      <c r="N2171" t="s">
        <v>504</v>
      </c>
      <c r="O2171">
        <v>96</v>
      </c>
      <c r="P2171" t="s">
        <v>649</v>
      </c>
      <c r="Q2171" t="s">
        <v>272</v>
      </c>
      <c r="R2171">
        <v>4155551450</v>
      </c>
      <c r="S2171" t="s">
        <v>273</v>
      </c>
      <c r="U2171" s="1" t="str">
        <f t="shared" si="201"/>
        <v>San Rafael</v>
      </c>
      <c r="V2171" t="s">
        <v>274</v>
      </c>
      <c r="W2171" t="s">
        <v>55</v>
      </c>
      <c r="X2171">
        <v>97562</v>
      </c>
      <c r="Y2171" s="1" t="str">
        <f t="shared" si="202"/>
        <v>USA</v>
      </c>
      <c r="Z2171" s="4" t="str">
        <f t="shared" si="203"/>
        <v>Usa</v>
      </c>
      <c r="AA2171" t="s">
        <v>32</v>
      </c>
      <c r="AB2171" t="s">
        <v>33</v>
      </c>
      <c r="AC2171" t="s">
        <v>275</v>
      </c>
      <c r="AD2171" t="s">
        <v>276</v>
      </c>
      <c r="AE2171" t="s">
        <v>51</v>
      </c>
    </row>
    <row r="2172" spans="1:31" x14ac:dyDescent="0.3">
      <c r="A2172">
        <v>10382</v>
      </c>
      <c r="B2172">
        <v>26</v>
      </c>
      <c r="C2172">
        <v>100</v>
      </c>
      <c r="D2172">
        <v>6</v>
      </c>
      <c r="E2172" s="4" t="str">
        <f t="shared" si="198"/>
        <v>low sales</v>
      </c>
      <c r="F2172">
        <v>2708.42</v>
      </c>
      <c r="G2172" t="s">
        <v>2844</v>
      </c>
      <c r="H2172" s="1" t="str">
        <f t="shared" si="199"/>
        <v>Shipped</v>
      </c>
      <c r="I2172" s="4" t="str">
        <f t="shared" si="200"/>
        <v>completed</v>
      </c>
      <c r="J2172" t="s">
        <v>25</v>
      </c>
      <c r="K2172">
        <v>1</v>
      </c>
      <c r="L2172">
        <v>2</v>
      </c>
      <c r="M2172">
        <v>2005</v>
      </c>
      <c r="N2172" t="s">
        <v>504</v>
      </c>
      <c r="O2172">
        <v>96</v>
      </c>
      <c r="P2172" t="s">
        <v>649</v>
      </c>
      <c r="Q2172" t="s">
        <v>272</v>
      </c>
      <c r="R2172">
        <v>4155551450</v>
      </c>
      <c r="S2172" t="s">
        <v>273</v>
      </c>
      <c r="U2172" s="1" t="str">
        <f t="shared" si="201"/>
        <v>San Rafael</v>
      </c>
      <c r="V2172" t="s">
        <v>274</v>
      </c>
      <c r="W2172" t="s">
        <v>55</v>
      </c>
      <c r="X2172">
        <v>97562</v>
      </c>
      <c r="Y2172" s="1" t="str">
        <f t="shared" si="202"/>
        <v>USA</v>
      </c>
      <c r="Z2172" s="4" t="str">
        <f t="shared" si="203"/>
        <v>Usa</v>
      </c>
      <c r="AA2172" t="s">
        <v>32</v>
      </c>
      <c r="AB2172" t="s">
        <v>33</v>
      </c>
      <c r="AC2172" t="s">
        <v>275</v>
      </c>
      <c r="AD2172" t="s">
        <v>276</v>
      </c>
      <c r="AE2172" t="s">
        <v>36</v>
      </c>
    </row>
    <row r="2173" spans="1:31" x14ac:dyDescent="0.3">
      <c r="A2173">
        <v>10411</v>
      </c>
      <c r="B2173">
        <v>26</v>
      </c>
      <c r="C2173">
        <v>100</v>
      </c>
      <c r="D2173">
        <v>1</v>
      </c>
      <c r="E2173" s="4" t="str">
        <f t="shared" si="198"/>
        <v>low sales</v>
      </c>
      <c r="F2173">
        <v>2904.72</v>
      </c>
      <c r="G2173" t="s">
        <v>2845</v>
      </c>
      <c r="H2173" s="1" t="str">
        <f t="shared" si="199"/>
        <v>Shipped</v>
      </c>
      <c r="I2173" s="4" t="str">
        <f t="shared" si="200"/>
        <v>completed</v>
      </c>
      <c r="J2173" t="s">
        <v>25</v>
      </c>
      <c r="K2173">
        <v>2</v>
      </c>
      <c r="L2173">
        <v>5</v>
      </c>
      <c r="M2173">
        <v>2005</v>
      </c>
      <c r="N2173" t="s">
        <v>504</v>
      </c>
      <c r="O2173">
        <v>96</v>
      </c>
      <c r="P2173" t="s">
        <v>649</v>
      </c>
      <c r="Q2173" t="s">
        <v>292</v>
      </c>
      <c r="R2173" t="s">
        <v>293</v>
      </c>
      <c r="S2173" t="s">
        <v>294</v>
      </c>
      <c r="U2173" s="1" t="str">
        <f t="shared" si="201"/>
        <v>Montreal</v>
      </c>
      <c r="V2173" t="s">
        <v>295</v>
      </c>
      <c r="W2173" t="s">
        <v>296</v>
      </c>
      <c r="X2173" t="s">
        <v>297</v>
      </c>
      <c r="Y2173" s="1" t="str">
        <f t="shared" si="202"/>
        <v>CANADA</v>
      </c>
      <c r="Z2173" s="4" t="str">
        <f t="shared" si="203"/>
        <v>Canada</v>
      </c>
      <c r="AA2173" t="s">
        <v>231</v>
      </c>
      <c r="AB2173" t="s">
        <v>33</v>
      </c>
      <c r="AC2173" t="s">
        <v>298</v>
      </c>
      <c r="AD2173" t="s">
        <v>299</v>
      </c>
      <c r="AE2173" t="s">
        <v>36</v>
      </c>
    </row>
    <row r="2174" spans="1:31" x14ac:dyDescent="0.3">
      <c r="A2174">
        <v>10425</v>
      </c>
      <c r="B2174">
        <v>41</v>
      </c>
      <c r="C2174">
        <v>86.68</v>
      </c>
      <c r="D2174">
        <v>11</v>
      </c>
      <c r="E2174" s="4" t="str">
        <f t="shared" si="198"/>
        <v>low sales</v>
      </c>
      <c r="F2174">
        <v>3553.88</v>
      </c>
      <c r="G2174" t="s">
        <v>2846</v>
      </c>
      <c r="H2174" s="1" t="str">
        <f t="shared" si="199"/>
        <v>In Process</v>
      </c>
      <c r="I2174" s="4" t="str">
        <f t="shared" si="200"/>
        <v>not completed</v>
      </c>
      <c r="J2174" t="s">
        <v>300</v>
      </c>
      <c r="K2174">
        <v>2</v>
      </c>
      <c r="L2174">
        <v>5</v>
      </c>
      <c r="M2174">
        <v>2005</v>
      </c>
      <c r="N2174" t="s">
        <v>504</v>
      </c>
      <c r="O2174">
        <v>96</v>
      </c>
      <c r="P2174" t="s">
        <v>649</v>
      </c>
      <c r="Q2174" t="s">
        <v>114</v>
      </c>
      <c r="R2174" t="s">
        <v>115</v>
      </c>
      <c r="S2174" t="s">
        <v>116</v>
      </c>
      <c r="U2174" s="1" t="str">
        <f t="shared" si="201"/>
        <v>Nantes</v>
      </c>
      <c r="V2174" t="s">
        <v>117</v>
      </c>
      <c r="X2174">
        <v>44000</v>
      </c>
      <c r="Y2174" s="1" t="str">
        <f t="shared" si="202"/>
        <v>FRANCE</v>
      </c>
      <c r="Z2174" s="4" t="str">
        <f t="shared" si="203"/>
        <v>France</v>
      </c>
      <c r="AA2174" t="s">
        <v>41</v>
      </c>
      <c r="AB2174" t="s">
        <v>42</v>
      </c>
      <c r="AC2174" t="s">
        <v>118</v>
      </c>
      <c r="AD2174" t="s">
        <v>119</v>
      </c>
      <c r="AE2174" t="s">
        <v>51</v>
      </c>
    </row>
    <row r="2175" spans="1:31" x14ac:dyDescent="0.3">
      <c r="A2175">
        <v>10107</v>
      </c>
      <c r="B2175">
        <v>20</v>
      </c>
      <c r="C2175">
        <v>92.9</v>
      </c>
      <c r="D2175">
        <v>8</v>
      </c>
      <c r="E2175" s="4" t="str">
        <f t="shared" si="198"/>
        <v>low sales</v>
      </c>
      <c r="F2175">
        <v>1858</v>
      </c>
      <c r="G2175" t="s">
        <v>2847</v>
      </c>
      <c r="H2175" s="1" t="str">
        <f t="shared" si="199"/>
        <v>Shipped</v>
      </c>
      <c r="I2175" s="4" t="str">
        <f t="shared" si="200"/>
        <v>completed</v>
      </c>
      <c r="J2175" t="s">
        <v>25</v>
      </c>
      <c r="K2175">
        <v>1</v>
      </c>
      <c r="L2175">
        <v>2</v>
      </c>
      <c r="M2175">
        <v>2003</v>
      </c>
      <c r="N2175" t="s">
        <v>26</v>
      </c>
      <c r="O2175">
        <v>99</v>
      </c>
      <c r="P2175" t="s">
        <v>650</v>
      </c>
      <c r="Q2175" t="s">
        <v>28</v>
      </c>
      <c r="R2175">
        <v>2125557818</v>
      </c>
      <c r="S2175" t="s">
        <v>29</v>
      </c>
      <c r="U2175" s="1" t="str">
        <f t="shared" si="201"/>
        <v>Nyc</v>
      </c>
      <c r="V2175" t="s">
        <v>30</v>
      </c>
      <c r="W2175" t="s">
        <v>31</v>
      </c>
      <c r="X2175">
        <v>10022</v>
      </c>
      <c r="Y2175" s="1" t="str">
        <f t="shared" si="202"/>
        <v>USA</v>
      </c>
      <c r="Z2175" s="4" t="str">
        <f t="shared" si="203"/>
        <v>Usa</v>
      </c>
      <c r="AA2175" t="s">
        <v>32</v>
      </c>
      <c r="AB2175" t="s">
        <v>33</v>
      </c>
      <c r="AC2175" t="s">
        <v>34</v>
      </c>
      <c r="AD2175" t="s">
        <v>35</v>
      </c>
      <c r="AE2175" t="s">
        <v>36</v>
      </c>
    </row>
    <row r="2176" spans="1:31" x14ac:dyDescent="0.3">
      <c r="A2176">
        <v>10120</v>
      </c>
      <c r="B2176">
        <v>22</v>
      </c>
      <c r="C2176">
        <v>100</v>
      </c>
      <c r="D2176">
        <v>6</v>
      </c>
      <c r="E2176" s="4" t="str">
        <f t="shared" si="198"/>
        <v>low sales</v>
      </c>
      <c r="F2176">
        <v>2461.36</v>
      </c>
      <c r="G2176" t="s">
        <v>2848</v>
      </c>
      <c r="H2176" s="1" t="str">
        <f t="shared" si="199"/>
        <v>Shipped</v>
      </c>
      <c r="I2176" s="4" t="str">
        <f t="shared" si="200"/>
        <v>completed</v>
      </c>
      <c r="J2176" t="s">
        <v>25</v>
      </c>
      <c r="K2176">
        <v>2</v>
      </c>
      <c r="L2176">
        <v>4</v>
      </c>
      <c r="M2176">
        <v>2003</v>
      </c>
      <c r="N2176" t="s">
        <v>26</v>
      </c>
      <c r="O2176">
        <v>99</v>
      </c>
      <c r="P2176" t="s">
        <v>650</v>
      </c>
      <c r="Q2176" t="s">
        <v>89</v>
      </c>
      <c r="R2176" t="s">
        <v>90</v>
      </c>
      <c r="S2176" t="s">
        <v>91</v>
      </c>
      <c r="T2176" t="s">
        <v>92</v>
      </c>
      <c r="U2176" s="1" t="str">
        <f t="shared" si="201"/>
        <v>Melbourne</v>
      </c>
      <c r="V2176" t="s">
        <v>93</v>
      </c>
      <c r="W2176" t="s">
        <v>94</v>
      </c>
      <c r="X2176">
        <v>3004</v>
      </c>
      <c r="Y2176" s="1" t="str">
        <f t="shared" si="202"/>
        <v>AUSTRALIA</v>
      </c>
      <c r="Z2176" s="4" t="str">
        <f t="shared" si="203"/>
        <v>Australia</v>
      </c>
      <c r="AA2176" t="s">
        <v>95</v>
      </c>
      <c r="AB2176" t="s">
        <v>96</v>
      </c>
      <c r="AC2176" t="s">
        <v>97</v>
      </c>
      <c r="AD2176" t="s">
        <v>98</v>
      </c>
      <c r="AE2176" t="s">
        <v>36</v>
      </c>
    </row>
    <row r="2177" spans="1:31" x14ac:dyDescent="0.3">
      <c r="A2177">
        <v>10133</v>
      </c>
      <c r="B2177">
        <v>23</v>
      </c>
      <c r="C2177">
        <v>100</v>
      </c>
      <c r="D2177">
        <v>1</v>
      </c>
      <c r="E2177" s="4" t="str">
        <f t="shared" si="198"/>
        <v>low sales</v>
      </c>
      <c r="F2177">
        <v>2642.01</v>
      </c>
      <c r="G2177" t="s">
        <v>2849</v>
      </c>
      <c r="H2177" s="1" t="str">
        <f t="shared" si="199"/>
        <v>Shipped</v>
      </c>
      <c r="I2177" s="4" t="str">
        <f t="shared" si="200"/>
        <v>completed</v>
      </c>
      <c r="J2177" t="s">
        <v>25</v>
      </c>
      <c r="K2177">
        <v>2</v>
      </c>
      <c r="L2177">
        <v>6</v>
      </c>
      <c r="M2177">
        <v>2003</v>
      </c>
      <c r="N2177" t="s">
        <v>26</v>
      </c>
      <c r="O2177">
        <v>99</v>
      </c>
      <c r="P2177" t="s">
        <v>650</v>
      </c>
      <c r="Q2177" t="s">
        <v>174</v>
      </c>
      <c r="R2177" t="s">
        <v>175</v>
      </c>
      <c r="S2177" t="s">
        <v>176</v>
      </c>
      <c r="U2177" s="1" t="str">
        <f t="shared" si="201"/>
        <v>Madrid</v>
      </c>
      <c r="V2177" t="s">
        <v>177</v>
      </c>
      <c r="X2177">
        <v>28034</v>
      </c>
      <c r="Y2177" s="1" t="str">
        <f t="shared" si="202"/>
        <v>SPAIN</v>
      </c>
      <c r="Z2177" s="4" t="str">
        <f t="shared" si="203"/>
        <v>Spain</v>
      </c>
      <c r="AA2177" t="s">
        <v>178</v>
      </c>
      <c r="AB2177" t="s">
        <v>42</v>
      </c>
      <c r="AC2177" t="s">
        <v>179</v>
      </c>
      <c r="AD2177" t="s">
        <v>180</v>
      </c>
      <c r="AE2177" t="s">
        <v>36</v>
      </c>
    </row>
    <row r="2178" spans="1:31" x14ac:dyDescent="0.3">
      <c r="A2178">
        <v>10145</v>
      </c>
      <c r="B2178">
        <v>33</v>
      </c>
      <c r="C2178">
        <v>93.9</v>
      </c>
      <c r="D2178">
        <v>12</v>
      </c>
      <c r="E2178" s="4" t="str">
        <f t="shared" si="198"/>
        <v>low sales</v>
      </c>
      <c r="F2178">
        <v>3098.7</v>
      </c>
      <c r="G2178" t="s">
        <v>2850</v>
      </c>
      <c r="H2178" s="1" t="str">
        <f t="shared" si="199"/>
        <v>Shipped</v>
      </c>
      <c r="I2178" s="4" t="str">
        <f t="shared" si="200"/>
        <v>completed</v>
      </c>
      <c r="J2178" t="s">
        <v>25</v>
      </c>
      <c r="K2178">
        <v>3</v>
      </c>
      <c r="L2178">
        <v>8</v>
      </c>
      <c r="M2178">
        <v>2003</v>
      </c>
      <c r="N2178" t="s">
        <v>26</v>
      </c>
      <c r="O2178">
        <v>99</v>
      </c>
      <c r="P2178" t="s">
        <v>650</v>
      </c>
      <c r="Q2178" t="s">
        <v>52</v>
      </c>
      <c r="R2178">
        <v>6265557265</v>
      </c>
      <c r="S2178" t="s">
        <v>53</v>
      </c>
      <c r="U2178" s="1" t="str">
        <f t="shared" si="201"/>
        <v>Pasadena</v>
      </c>
      <c r="V2178" t="s">
        <v>54</v>
      </c>
      <c r="W2178" t="s">
        <v>55</v>
      </c>
      <c r="X2178">
        <v>90003</v>
      </c>
      <c r="Y2178" s="1" t="str">
        <f t="shared" si="202"/>
        <v>USA</v>
      </c>
      <c r="Z2178" s="4" t="str">
        <f t="shared" si="203"/>
        <v>Usa</v>
      </c>
      <c r="AA2178" t="s">
        <v>32</v>
      </c>
      <c r="AB2178" t="s">
        <v>33</v>
      </c>
      <c r="AC2178" t="s">
        <v>56</v>
      </c>
      <c r="AD2178" t="s">
        <v>57</v>
      </c>
      <c r="AE2178" t="s">
        <v>51</v>
      </c>
    </row>
    <row r="2179" spans="1:31" x14ac:dyDescent="0.3">
      <c r="A2179">
        <v>10168</v>
      </c>
      <c r="B2179">
        <v>28</v>
      </c>
      <c r="C2179">
        <v>100</v>
      </c>
      <c r="D2179">
        <v>7</v>
      </c>
      <c r="E2179" s="4" t="str">
        <f t="shared" ref="E2179:E2242" si="204">IF(F2179&gt;4000,"high sales","low sales")</f>
        <v>low sales</v>
      </c>
      <c r="F2179">
        <v>3244.36</v>
      </c>
      <c r="G2179" t="s">
        <v>2851</v>
      </c>
      <c r="H2179" s="1" t="str">
        <f t="shared" ref="H2179:H2242" si="205">PROPER(TRIM(J2179))</f>
        <v>Shipped</v>
      </c>
      <c r="I2179" s="4" t="str">
        <f t="shared" ref="I2179:I2242" si="206">IF(J2179="shipped","completed","not completed")</f>
        <v>completed</v>
      </c>
      <c r="J2179" t="s">
        <v>25</v>
      </c>
      <c r="K2179">
        <v>4</v>
      </c>
      <c r="L2179">
        <v>10</v>
      </c>
      <c r="M2179">
        <v>2003</v>
      </c>
      <c r="N2179" t="s">
        <v>26</v>
      </c>
      <c r="O2179">
        <v>99</v>
      </c>
      <c r="P2179" t="s">
        <v>650</v>
      </c>
      <c r="Q2179" t="s">
        <v>62</v>
      </c>
      <c r="R2179">
        <v>6505556809</v>
      </c>
      <c r="S2179" t="s">
        <v>63</v>
      </c>
      <c r="U2179" s="1" t="str">
        <f t="shared" ref="U2179:U2242" si="207">PROPER(TRIM(V2179))</f>
        <v>Burlingame</v>
      </c>
      <c r="V2179" t="s">
        <v>64</v>
      </c>
      <c r="W2179" t="s">
        <v>55</v>
      </c>
      <c r="X2179">
        <v>94217</v>
      </c>
      <c r="Y2179" s="1" t="str">
        <f t="shared" ref="Y2179:Y2242" si="208">UPPER(TRIM(AA2179))</f>
        <v>USA</v>
      </c>
      <c r="Z2179" s="4" t="str">
        <f t="shared" ref="Z2179:Z2242" si="209">PROPER(TRIM(AA2179))</f>
        <v>Usa</v>
      </c>
      <c r="AA2179" t="s">
        <v>32</v>
      </c>
      <c r="AB2179" t="s">
        <v>33</v>
      </c>
      <c r="AC2179" t="s">
        <v>65</v>
      </c>
      <c r="AD2179" t="s">
        <v>66</v>
      </c>
      <c r="AE2179" t="s">
        <v>51</v>
      </c>
    </row>
    <row r="2180" spans="1:31" x14ac:dyDescent="0.3">
      <c r="A2180">
        <v>10188</v>
      </c>
      <c r="B2180">
        <v>44</v>
      </c>
      <c r="C2180">
        <v>98.89</v>
      </c>
      <c r="D2180">
        <v>7</v>
      </c>
      <c r="E2180" s="4" t="str">
        <f t="shared" si="204"/>
        <v>high sales</v>
      </c>
      <c r="F2180">
        <v>4351.16</v>
      </c>
      <c r="G2180" t="s">
        <v>2852</v>
      </c>
      <c r="H2180" s="1" t="str">
        <f t="shared" si="205"/>
        <v>Shipped</v>
      </c>
      <c r="I2180" s="4" t="str">
        <f t="shared" si="206"/>
        <v>completed</v>
      </c>
      <c r="J2180" t="s">
        <v>25</v>
      </c>
      <c r="K2180">
        <v>4</v>
      </c>
      <c r="L2180">
        <v>11</v>
      </c>
      <c r="M2180">
        <v>2003</v>
      </c>
      <c r="N2180" t="s">
        <v>26</v>
      </c>
      <c r="O2180">
        <v>99</v>
      </c>
      <c r="P2180" t="s">
        <v>650</v>
      </c>
      <c r="Q2180" t="s">
        <v>73</v>
      </c>
      <c r="R2180" t="s">
        <v>74</v>
      </c>
      <c r="S2180" t="s">
        <v>75</v>
      </c>
      <c r="U2180" s="1" t="str">
        <f t="shared" si="207"/>
        <v>Bergen</v>
      </c>
      <c r="V2180" t="s">
        <v>76</v>
      </c>
      <c r="X2180" t="s">
        <v>77</v>
      </c>
      <c r="Y2180" s="1" t="str">
        <f t="shared" si="208"/>
        <v>NORWAY</v>
      </c>
      <c r="Z2180" s="4" t="str">
        <f t="shared" si="209"/>
        <v>Norway</v>
      </c>
      <c r="AA2180" t="s">
        <v>78</v>
      </c>
      <c r="AB2180" t="s">
        <v>42</v>
      </c>
      <c r="AC2180" t="s">
        <v>79</v>
      </c>
      <c r="AD2180" t="s">
        <v>80</v>
      </c>
      <c r="AE2180" t="s">
        <v>51</v>
      </c>
    </row>
    <row r="2181" spans="1:31" x14ac:dyDescent="0.3">
      <c r="A2181">
        <v>10210</v>
      </c>
      <c r="B2181">
        <v>46</v>
      </c>
      <c r="C2181">
        <v>79.91</v>
      </c>
      <c r="D2181">
        <v>5</v>
      </c>
      <c r="E2181" s="4" t="str">
        <f t="shared" si="204"/>
        <v>low sales</v>
      </c>
      <c r="F2181">
        <v>3675.86</v>
      </c>
      <c r="G2181" t="s">
        <v>2853</v>
      </c>
      <c r="H2181" s="1" t="str">
        <f t="shared" si="205"/>
        <v>Shipped</v>
      </c>
      <c r="I2181" s="4" t="str">
        <f t="shared" si="206"/>
        <v>completed</v>
      </c>
      <c r="J2181" t="s">
        <v>25</v>
      </c>
      <c r="K2181">
        <v>1</v>
      </c>
      <c r="L2181">
        <v>1</v>
      </c>
      <c r="M2181">
        <v>2004</v>
      </c>
      <c r="N2181" t="s">
        <v>26</v>
      </c>
      <c r="O2181">
        <v>99</v>
      </c>
      <c r="P2181" t="s">
        <v>650</v>
      </c>
      <c r="Q2181" t="s">
        <v>302</v>
      </c>
      <c r="R2181" t="s">
        <v>303</v>
      </c>
      <c r="S2181" t="s">
        <v>304</v>
      </c>
      <c r="U2181" s="1" t="str">
        <f t="shared" si="207"/>
        <v>Osaka</v>
      </c>
      <c r="V2181" t="s">
        <v>305</v>
      </c>
      <c r="W2181" t="s">
        <v>305</v>
      </c>
      <c r="X2181" t="s">
        <v>306</v>
      </c>
      <c r="Y2181" s="1" t="str">
        <f t="shared" si="208"/>
        <v>JAPAN</v>
      </c>
      <c r="Z2181" s="4" t="str">
        <f t="shared" si="209"/>
        <v>Japan</v>
      </c>
      <c r="AA2181" t="s">
        <v>200</v>
      </c>
      <c r="AB2181" t="s">
        <v>200</v>
      </c>
      <c r="AC2181" t="s">
        <v>307</v>
      </c>
      <c r="AD2181" t="s">
        <v>308</v>
      </c>
      <c r="AE2181" t="s">
        <v>51</v>
      </c>
    </row>
    <row r="2182" spans="1:31" x14ac:dyDescent="0.3">
      <c r="A2182">
        <v>10223</v>
      </c>
      <c r="B2182">
        <v>21</v>
      </c>
      <c r="C2182">
        <v>100</v>
      </c>
      <c r="D2182">
        <v>7</v>
      </c>
      <c r="E2182" s="4" t="str">
        <f t="shared" si="204"/>
        <v>low sales</v>
      </c>
      <c r="F2182">
        <v>2475.27</v>
      </c>
      <c r="G2182" t="s">
        <v>2854</v>
      </c>
      <c r="H2182" s="1" t="str">
        <f t="shared" si="205"/>
        <v>Shipped</v>
      </c>
      <c r="I2182" s="4" t="str">
        <f t="shared" si="206"/>
        <v>completed</v>
      </c>
      <c r="J2182" t="s">
        <v>25</v>
      </c>
      <c r="K2182">
        <v>1</v>
      </c>
      <c r="L2182">
        <v>2</v>
      </c>
      <c r="M2182">
        <v>2004</v>
      </c>
      <c r="N2182" t="s">
        <v>26</v>
      </c>
      <c r="O2182">
        <v>99</v>
      </c>
      <c r="P2182" t="s">
        <v>650</v>
      </c>
      <c r="Q2182" t="s">
        <v>89</v>
      </c>
      <c r="R2182" t="s">
        <v>90</v>
      </c>
      <c r="S2182" t="s">
        <v>91</v>
      </c>
      <c r="T2182" t="s">
        <v>92</v>
      </c>
      <c r="U2182" s="1" t="str">
        <f t="shared" si="207"/>
        <v>Melbourne</v>
      </c>
      <c r="V2182" t="s">
        <v>93</v>
      </c>
      <c r="W2182" t="s">
        <v>94</v>
      </c>
      <c r="X2182">
        <v>3004</v>
      </c>
      <c r="Y2182" s="1" t="str">
        <f t="shared" si="208"/>
        <v>AUSTRALIA</v>
      </c>
      <c r="Z2182" s="4" t="str">
        <f t="shared" si="209"/>
        <v>Australia</v>
      </c>
      <c r="AA2182" t="s">
        <v>95</v>
      </c>
      <c r="AB2182" t="s">
        <v>96</v>
      </c>
      <c r="AC2182" t="s">
        <v>97</v>
      </c>
      <c r="AD2182" t="s">
        <v>98</v>
      </c>
      <c r="AE2182" t="s">
        <v>36</v>
      </c>
    </row>
    <row r="2183" spans="1:31" x14ac:dyDescent="0.3">
      <c r="A2183">
        <v>10235</v>
      </c>
      <c r="B2183">
        <v>41</v>
      </c>
      <c r="C2183">
        <v>100</v>
      </c>
      <c r="D2183">
        <v>1</v>
      </c>
      <c r="E2183" s="4" t="str">
        <f t="shared" si="204"/>
        <v>high sales</v>
      </c>
      <c r="F2183">
        <v>4177.49</v>
      </c>
      <c r="G2183" t="s">
        <v>2855</v>
      </c>
      <c r="H2183" s="1" t="str">
        <f t="shared" si="205"/>
        <v>Shipped</v>
      </c>
      <c r="I2183" s="4" t="str">
        <f t="shared" si="206"/>
        <v>completed</v>
      </c>
      <c r="J2183" t="s">
        <v>25</v>
      </c>
      <c r="K2183">
        <v>2</v>
      </c>
      <c r="L2183">
        <v>4</v>
      </c>
      <c r="M2183">
        <v>2004</v>
      </c>
      <c r="N2183" t="s">
        <v>26</v>
      </c>
      <c r="O2183">
        <v>99</v>
      </c>
      <c r="P2183" t="s">
        <v>650</v>
      </c>
      <c r="Q2183" t="s">
        <v>373</v>
      </c>
      <c r="R2183" t="s">
        <v>374</v>
      </c>
      <c r="S2183" t="s">
        <v>375</v>
      </c>
      <c r="U2183" s="1" t="str">
        <f t="shared" si="207"/>
        <v>Tsawassen</v>
      </c>
      <c r="V2183" t="s">
        <v>376</v>
      </c>
      <c r="W2183" t="s">
        <v>229</v>
      </c>
      <c r="X2183" t="s">
        <v>377</v>
      </c>
      <c r="Y2183" s="1" t="str">
        <f t="shared" si="208"/>
        <v>CANADA</v>
      </c>
      <c r="Z2183" s="4" t="str">
        <f t="shared" si="209"/>
        <v>Canada</v>
      </c>
      <c r="AA2183" t="s">
        <v>231</v>
      </c>
      <c r="AB2183" t="s">
        <v>33</v>
      </c>
      <c r="AC2183" t="s">
        <v>378</v>
      </c>
      <c r="AD2183" t="s">
        <v>172</v>
      </c>
      <c r="AE2183" t="s">
        <v>51</v>
      </c>
    </row>
    <row r="2184" spans="1:31" x14ac:dyDescent="0.3">
      <c r="A2184">
        <v>10250</v>
      </c>
      <c r="B2184">
        <v>31</v>
      </c>
      <c r="C2184">
        <v>100</v>
      </c>
      <c r="D2184">
        <v>2</v>
      </c>
      <c r="E2184" s="4" t="str">
        <f t="shared" si="204"/>
        <v>low sales</v>
      </c>
      <c r="F2184">
        <v>3282.28</v>
      </c>
      <c r="G2184" t="s">
        <v>2856</v>
      </c>
      <c r="H2184" s="1" t="str">
        <f t="shared" si="205"/>
        <v>Shipped</v>
      </c>
      <c r="I2184" s="4" t="str">
        <f t="shared" si="206"/>
        <v>completed</v>
      </c>
      <c r="J2184" t="s">
        <v>25</v>
      </c>
      <c r="K2184">
        <v>2</v>
      </c>
      <c r="L2184">
        <v>5</v>
      </c>
      <c r="M2184">
        <v>2004</v>
      </c>
      <c r="N2184" t="s">
        <v>26</v>
      </c>
      <c r="O2184">
        <v>99</v>
      </c>
      <c r="P2184" t="s">
        <v>650</v>
      </c>
      <c r="Q2184" t="s">
        <v>397</v>
      </c>
      <c r="R2184">
        <v>4085553659</v>
      </c>
      <c r="S2184" t="s">
        <v>398</v>
      </c>
      <c r="U2184" s="1" t="str">
        <f t="shared" si="207"/>
        <v>San Jose</v>
      </c>
      <c r="V2184" t="s">
        <v>399</v>
      </c>
      <c r="W2184" t="s">
        <v>55</v>
      </c>
      <c r="X2184">
        <v>94217</v>
      </c>
      <c r="Y2184" s="1" t="str">
        <f t="shared" si="208"/>
        <v>USA</v>
      </c>
      <c r="Z2184" s="4" t="str">
        <f t="shared" si="209"/>
        <v>Usa</v>
      </c>
      <c r="AA2184" t="s">
        <v>32</v>
      </c>
      <c r="AB2184" t="s">
        <v>33</v>
      </c>
      <c r="AC2184" t="s">
        <v>102</v>
      </c>
      <c r="AD2184" t="s">
        <v>400</v>
      </c>
      <c r="AE2184" t="s">
        <v>51</v>
      </c>
    </row>
    <row r="2185" spans="1:31" x14ac:dyDescent="0.3">
      <c r="A2185">
        <v>10263</v>
      </c>
      <c r="B2185">
        <v>31</v>
      </c>
      <c r="C2185">
        <v>79.91</v>
      </c>
      <c r="D2185">
        <v>8</v>
      </c>
      <c r="E2185" s="4" t="str">
        <f t="shared" si="204"/>
        <v>low sales</v>
      </c>
      <c r="F2185">
        <v>2477.21</v>
      </c>
      <c r="G2185" t="s">
        <v>2857</v>
      </c>
      <c r="H2185" s="1" t="str">
        <f t="shared" si="205"/>
        <v>Shipped</v>
      </c>
      <c r="I2185" s="4" t="str">
        <f t="shared" si="206"/>
        <v>completed</v>
      </c>
      <c r="J2185" t="s">
        <v>25</v>
      </c>
      <c r="K2185">
        <v>2</v>
      </c>
      <c r="L2185">
        <v>6</v>
      </c>
      <c r="M2185">
        <v>2004</v>
      </c>
      <c r="N2185" t="s">
        <v>26</v>
      </c>
      <c r="O2185">
        <v>99</v>
      </c>
      <c r="P2185" t="s">
        <v>650</v>
      </c>
      <c r="Q2185" t="s">
        <v>109</v>
      </c>
      <c r="R2185">
        <v>2035552570</v>
      </c>
      <c r="S2185" t="s">
        <v>110</v>
      </c>
      <c r="U2185" s="1" t="str">
        <f t="shared" si="207"/>
        <v>Bridgewater</v>
      </c>
      <c r="V2185" t="s">
        <v>111</v>
      </c>
      <c r="W2185" t="s">
        <v>112</v>
      </c>
      <c r="X2185">
        <v>97562</v>
      </c>
      <c r="Y2185" s="1" t="str">
        <f t="shared" si="208"/>
        <v>USA</v>
      </c>
      <c r="Z2185" s="4" t="str">
        <f t="shared" si="209"/>
        <v>Usa</v>
      </c>
      <c r="AA2185" t="s">
        <v>32</v>
      </c>
      <c r="AB2185" t="s">
        <v>33</v>
      </c>
      <c r="AC2185" t="s">
        <v>113</v>
      </c>
      <c r="AD2185" t="s">
        <v>57</v>
      </c>
      <c r="AE2185" t="s">
        <v>36</v>
      </c>
    </row>
    <row r="2186" spans="1:31" x14ac:dyDescent="0.3">
      <c r="A2186">
        <v>10275</v>
      </c>
      <c r="B2186">
        <v>23</v>
      </c>
      <c r="C2186">
        <v>81.91</v>
      </c>
      <c r="D2186">
        <v>7</v>
      </c>
      <c r="E2186" s="4" t="str">
        <f t="shared" si="204"/>
        <v>low sales</v>
      </c>
      <c r="F2186">
        <v>1883.93</v>
      </c>
      <c r="G2186" t="s">
        <v>2858</v>
      </c>
      <c r="H2186" s="1" t="str">
        <f t="shared" si="205"/>
        <v>Shipped</v>
      </c>
      <c r="I2186" s="4" t="str">
        <f t="shared" si="206"/>
        <v>completed</v>
      </c>
      <c r="J2186" t="s">
        <v>25</v>
      </c>
      <c r="K2186">
        <v>3</v>
      </c>
      <c r="L2186">
        <v>7</v>
      </c>
      <c r="M2186">
        <v>2004</v>
      </c>
      <c r="N2186" t="s">
        <v>26</v>
      </c>
      <c r="O2186">
        <v>99</v>
      </c>
      <c r="P2186" t="s">
        <v>650</v>
      </c>
      <c r="Q2186" t="s">
        <v>114</v>
      </c>
      <c r="R2186" t="s">
        <v>115</v>
      </c>
      <c r="S2186" t="s">
        <v>116</v>
      </c>
      <c r="U2186" s="1" t="str">
        <f t="shared" si="207"/>
        <v>Nantes</v>
      </c>
      <c r="V2186" t="s">
        <v>117</v>
      </c>
      <c r="X2186">
        <v>44000</v>
      </c>
      <c r="Y2186" s="1" t="str">
        <f t="shared" si="208"/>
        <v>FRANCE</v>
      </c>
      <c r="Z2186" s="4" t="str">
        <f t="shared" si="209"/>
        <v>France</v>
      </c>
      <c r="AA2186" t="s">
        <v>41</v>
      </c>
      <c r="AB2186" t="s">
        <v>42</v>
      </c>
      <c r="AC2186" t="s">
        <v>118</v>
      </c>
      <c r="AD2186" t="s">
        <v>119</v>
      </c>
      <c r="AE2186" t="s">
        <v>36</v>
      </c>
    </row>
    <row r="2187" spans="1:31" x14ac:dyDescent="0.3">
      <c r="A2187">
        <v>10285</v>
      </c>
      <c r="B2187">
        <v>37</v>
      </c>
      <c r="C2187">
        <v>98.89</v>
      </c>
      <c r="D2187">
        <v>12</v>
      </c>
      <c r="E2187" s="4" t="str">
        <f t="shared" si="204"/>
        <v>low sales</v>
      </c>
      <c r="F2187">
        <v>3658.93</v>
      </c>
      <c r="G2187" t="s">
        <v>2859</v>
      </c>
      <c r="H2187" s="1" t="str">
        <f t="shared" si="205"/>
        <v>Shipped</v>
      </c>
      <c r="I2187" s="4" t="str">
        <f t="shared" si="206"/>
        <v>completed</v>
      </c>
      <c r="J2187" t="s">
        <v>25</v>
      </c>
      <c r="K2187">
        <v>3</v>
      </c>
      <c r="L2187">
        <v>8</v>
      </c>
      <c r="M2187">
        <v>2004</v>
      </c>
      <c r="N2187" t="s">
        <v>26</v>
      </c>
      <c r="O2187">
        <v>99</v>
      </c>
      <c r="P2187" t="s">
        <v>650</v>
      </c>
      <c r="Q2187" t="s">
        <v>120</v>
      </c>
      <c r="R2187">
        <v>6175558555</v>
      </c>
      <c r="S2187" t="s">
        <v>121</v>
      </c>
      <c r="U2187" s="1" t="str">
        <f t="shared" si="207"/>
        <v>Cambridge</v>
      </c>
      <c r="V2187" t="s">
        <v>122</v>
      </c>
      <c r="W2187" t="s">
        <v>123</v>
      </c>
      <c r="X2187">
        <v>51247</v>
      </c>
      <c r="Y2187" s="1" t="str">
        <f t="shared" si="208"/>
        <v>USA</v>
      </c>
      <c r="Z2187" s="4" t="str">
        <f t="shared" si="209"/>
        <v>Usa</v>
      </c>
      <c r="AA2187" t="s">
        <v>32</v>
      </c>
      <c r="AB2187" t="s">
        <v>33</v>
      </c>
      <c r="AC2187" t="s">
        <v>124</v>
      </c>
      <c r="AD2187" t="s">
        <v>125</v>
      </c>
      <c r="AE2187" t="s">
        <v>51</v>
      </c>
    </row>
    <row r="2188" spans="1:31" x14ac:dyDescent="0.3">
      <c r="A2188">
        <v>10297</v>
      </c>
      <c r="B2188">
        <v>26</v>
      </c>
      <c r="C2188">
        <v>100</v>
      </c>
      <c r="D2188">
        <v>2</v>
      </c>
      <c r="E2188" s="4" t="str">
        <f t="shared" si="204"/>
        <v>low sales</v>
      </c>
      <c r="F2188">
        <v>2856.88</v>
      </c>
      <c r="G2188" t="s">
        <v>2860</v>
      </c>
      <c r="H2188" s="1" t="str">
        <f t="shared" si="205"/>
        <v>Shipped</v>
      </c>
      <c r="I2188" s="4" t="str">
        <f t="shared" si="206"/>
        <v>completed</v>
      </c>
      <c r="J2188" t="s">
        <v>25</v>
      </c>
      <c r="K2188">
        <v>3</v>
      </c>
      <c r="L2188">
        <v>9</v>
      </c>
      <c r="M2188">
        <v>2004</v>
      </c>
      <c r="N2188" t="s">
        <v>26</v>
      </c>
      <c r="O2188">
        <v>99</v>
      </c>
      <c r="P2188" t="s">
        <v>650</v>
      </c>
      <c r="Q2188" t="s">
        <v>479</v>
      </c>
      <c r="R2188" t="s">
        <v>480</v>
      </c>
      <c r="S2188" t="s">
        <v>481</v>
      </c>
      <c r="T2188" t="s">
        <v>482</v>
      </c>
      <c r="U2188" s="1" t="str">
        <f t="shared" si="207"/>
        <v>Dublin</v>
      </c>
      <c r="V2188" t="s">
        <v>483</v>
      </c>
      <c r="X2188">
        <v>2</v>
      </c>
      <c r="Y2188" s="1" t="str">
        <f t="shared" si="208"/>
        <v>IRELAND</v>
      </c>
      <c r="Z2188" s="4" t="str">
        <f t="shared" si="209"/>
        <v>Ireland</v>
      </c>
      <c r="AA2188" t="s">
        <v>484</v>
      </c>
      <c r="AB2188" t="s">
        <v>42</v>
      </c>
      <c r="AC2188" t="s">
        <v>485</v>
      </c>
      <c r="AD2188" t="s">
        <v>486</v>
      </c>
      <c r="AE2188" t="s">
        <v>36</v>
      </c>
    </row>
    <row r="2189" spans="1:31" x14ac:dyDescent="0.3">
      <c r="A2189">
        <v>10308</v>
      </c>
      <c r="B2189">
        <v>24</v>
      </c>
      <c r="C2189">
        <v>79.91</v>
      </c>
      <c r="D2189">
        <v>5</v>
      </c>
      <c r="E2189" s="4" t="str">
        <f t="shared" si="204"/>
        <v>low sales</v>
      </c>
      <c r="F2189">
        <v>1917.84</v>
      </c>
      <c r="G2189" t="s">
        <v>2861</v>
      </c>
      <c r="H2189" s="1" t="str">
        <f t="shared" si="205"/>
        <v>Shipped</v>
      </c>
      <c r="I2189" s="4" t="str">
        <f t="shared" si="206"/>
        <v>completed</v>
      </c>
      <c r="J2189" t="s">
        <v>25</v>
      </c>
      <c r="K2189">
        <v>4</v>
      </c>
      <c r="L2189">
        <v>10</v>
      </c>
      <c r="M2189">
        <v>2004</v>
      </c>
      <c r="N2189" t="s">
        <v>26</v>
      </c>
      <c r="O2189">
        <v>99</v>
      </c>
      <c r="P2189" t="s">
        <v>650</v>
      </c>
      <c r="Q2189" t="s">
        <v>317</v>
      </c>
      <c r="R2189">
        <v>9145554562</v>
      </c>
      <c r="S2189" t="s">
        <v>318</v>
      </c>
      <c r="U2189" s="1" t="str">
        <f t="shared" si="207"/>
        <v>White Plains</v>
      </c>
      <c r="V2189" t="s">
        <v>319</v>
      </c>
      <c r="W2189" t="s">
        <v>31</v>
      </c>
      <c r="X2189">
        <v>24067</v>
      </c>
      <c r="Y2189" s="1" t="str">
        <f t="shared" si="208"/>
        <v>USA</v>
      </c>
      <c r="Z2189" s="4" t="str">
        <f t="shared" si="209"/>
        <v>Usa</v>
      </c>
      <c r="AA2189" t="s">
        <v>32</v>
      </c>
      <c r="AB2189" t="s">
        <v>33</v>
      </c>
      <c r="AC2189" t="s">
        <v>102</v>
      </c>
      <c r="AD2189" t="s">
        <v>238</v>
      </c>
      <c r="AE2189" t="s">
        <v>36</v>
      </c>
    </row>
    <row r="2190" spans="1:31" x14ac:dyDescent="0.3">
      <c r="A2190">
        <v>10318</v>
      </c>
      <c r="B2190">
        <v>47</v>
      </c>
      <c r="C2190">
        <v>100</v>
      </c>
      <c r="D2190">
        <v>7</v>
      </c>
      <c r="E2190" s="4" t="str">
        <f t="shared" si="204"/>
        <v>high sales</v>
      </c>
      <c r="F2190">
        <v>5305.36</v>
      </c>
      <c r="G2190" t="s">
        <v>2862</v>
      </c>
      <c r="H2190" s="1" t="str">
        <f t="shared" si="205"/>
        <v>Shipped</v>
      </c>
      <c r="I2190" s="4" t="str">
        <f t="shared" si="206"/>
        <v>completed</v>
      </c>
      <c r="J2190" t="s">
        <v>25</v>
      </c>
      <c r="K2190">
        <v>4</v>
      </c>
      <c r="L2190">
        <v>11</v>
      </c>
      <c r="M2190">
        <v>2004</v>
      </c>
      <c r="N2190" t="s">
        <v>26</v>
      </c>
      <c r="O2190">
        <v>99</v>
      </c>
      <c r="P2190" t="s">
        <v>650</v>
      </c>
      <c r="Q2190" t="s">
        <v>139</v>
      </c>
      <c r="R2190">
        <v>2155551555</v>
      </c>
      <c r="S2190" t="s">
        <v>140</v>
      </c>
      <c r="U2190" s="1" t="str">
        <f t="shared" si="207"/>
        <v>Allentown</v>
      </c>
      <c r="V2190" t="s">
        <v>141</v>
      </c>
      <c r="W2190" t="s">
        <v>142</v>
      </c>
      <c r="X2190">
        <v>70267</v>
      </c>
      <c r="Y2190" s="1" t="str">
        <f t="shared" si="208"/>
        <v>USA</v>
      </c>
      <c r="Z2190" s="4" t="str">
        <f t="shared" si="209"/>
        <v>Usa</v>
      </c>
      <c r="AA2190" t="s">
        <v>32</v>
      </c>
      <c r="AB2190" t="s">
        <v>33</v>
      </c>
      <c r="AC2190" t="s">
        <v>34</v>
      </c>
      <c r="AD2190" t="s">
        <v>143</v>
      </c>
      <c r="AE2190" t="s">
        <v>51</v>
      </c>
    </row>
    <row r="2191" spans="1:31" x14ac:dyDescent="0.3">
      <c r="A2191">
        <v>10329</v>
      </c>
      <c r="B2191">
        <v>45</v>
      </c>
      <c r="C2191">
        <v>63.91</v>
      </c>
      <c r="D2191">
        <v>11</v>
      </c>
      <c r="E2191" s="4" t="str">
        <f t="shared" si="204"/>
        <v>low sales</v>
      </c>
      <c r="F2191">
        <v>2875.95</v>
      </c>
      <c r="G2191" t="s">
        <v>2863</v>
      </c>
      <c r="H2191" s="1" t="str">
        <f t="shared" si="205"/>
        <v>Shipped</v>
      </c>
      <c r="I2191" s="4" t="str">
        <f t="shared" si="206"/>
        <v>completed</v>
      </c>
      <c r="J2191" t="s">
        <v>25</v>
      </c>
      <c r="K2191">
        <v>4</v>
      </c>
      <c r="L2191">
        <v>11</v>
      </c>
      <c r="M2191">
        <v>2004</v>
      </c>
      <c r="N2191" t="s">
        <v>26</v>
      </c>
      <c r="O2191">
        <v>99</v>
      </c>
      <c r="P2191" t="s">
        <v>650</v>
      </c>
      <c r="Q2191" t="s">
        <v>28</v>
      </c>
      <c r="R2191">
        <v>2125557818</v>
      </c>
      <c r="S2191" t="s">
        <v>29</v>
      </c>
      <c r="U2191" s="1" t="str">
        <f t="shared" si="207"/>
        <v>Nyc</v>
      </c>
      <c r="V2191" t="s">
        <v>30</v>
      </c>
      <c r="W2191" t="s">
        <v>31</v>
      </c>
      <c r="X2191">
        <v>10022</v>
      </c>
      <c r="Y2191" s="1" t="str">
        <f t="shared" si="208"/>
        <v>USA</v>
      </c>
      <c r="Z2191" s="4" t="str">
        <f t="shared" si="209"/>
        <v>Usa</v>
      </c>
      <c r="AA2191" t="s">
        <v>32</v>
      </c>
      <c r="AB2191" t="s">
        <v>33</v>
      </c>
      <c r="AC2191" t="s">
        <v>34</v>
      </c>
      <c r="AD2191" t="s">
        <v>35</v>
      </c>
      <c r="AE2191" t="s">
        <v>36</v>
      </c>
    </row>
    <row r="2192" spans="1:31" x14ac:dyDescent="0.3">
      <c r="A2192">
        <v>10340</v>
      </c>
      <c r="B2192">
        <v>55</v>
      </c>
      <c r="C2192">
        <v>100</v>
      </c>
      <c r="D2192">
        <v>2</v>
      </c>
      <c r="E2192" s="4" t="str">
        <f t="shared" si="204"/>
        <v>high sales</v>
      </c>
      <c r="F2192">
        <v>6482.85</v>
      </c>
      <c r="G2192" t="s">
        <v>2864</v>
      </c>
      <c r="H2192" s="1" t="str">
        <f t="shared" si="205"/>
        <v>Shipped</v>
      </c>
      <c r="I2192" s="4" t="str">
        <f t="shared" si="206"/>
        <v>completed</v>
      </c>
      <c r="J2192" t="s">
        <v>25</v>
      </c>
      <c r="K2192">
        <v>4</v>
      </c>
      <c r="L2192">
        <v>11</v>
      </c>
      <c r="M2192">
        <v>2004</v>
      </c>
      <c r="N2192" t="s">
        <v>26</v>
      </c>
      <c r="O2192">
        <v>99</v>
      </c>
      <c r="P2192" t="s">
        <v>650</v>
      </c>
      <c r="Q2192" t="s">
        <v>352</v>
      </c>
      <c r="R2192" t="s">
        <v>353</v>
      </c>
      <c r="S2192" t="s">
        <v>354</v>
      </c>
      <c r="U2192" s="1" t="str">
        <f t="shared" si="207"/>
        <v>Barcelona</v>
      </c>
      <c r="V2192" t="s">
        <v>355</v>
      </c>
      <c r="X2192">
        <v>8022</v>
      </c>
      <c r="Y2192" s="1" t="str">
        <f t="shared" si="208"/>
        <v>SPAIN</v>
      </c>
      <c r="Z2192" s="4" t="str">
        <f t="shared" si="209"/>
        <v>Spain</v>
      </c>
      <c r="AA2192" t="s">
        <v>178</v>
      </c>
      <c r="AB2192" t="s">
        <v>42</v>
      </c>
      <c r="AC2192" t="s">
        <v>356</v>
      </c>
      <c r="AD2192" t="s">
        <v>357</v>
      </c>
      <c r="AE2192" t="s">
        <v>51</v>
      </c>
    </row>
    <row r="2193" spans="1:31" x14ac:dyDescent="0.3">
      <c r="A2193">
        <v>10353</v>
      </c>
      <c r="B2193">
        <v>46</v>
      </c>
      <c r="C2193">
        <v>81.17</v>
      </c>
      <c r="D2193">
        <v>5</v>
      </c>
      <c r="E2193" s="4" t="str">
        <f t="shared" si="204"/>
        <v>low sales</v>
      </c>
      <c r="F2193">
        <v>3733.82</v>
      </c>
      <c r="G2193" t="s">
        <v>2865</v>
      </c>
      <c r="H2193" s="1" t="str">
        <f t="shared" si="205"/>
        <v>Shipped</v>
      </c>
      <c r="I2193" s="4" t="str">
        <f t="shared" si="206"/>
        <v>completed</v>
      </c>
      <c r="J2193" t="s">
        <v>25</v>
      </c>
      <c r="K2193">
        <v>4</v>
      </c>
      <c r="L2193">
        <v>12</v>
      </c>
      <c r="M2193">
        <v>2004</v>
      </c>
      <c r="N2193" t="s">
        <v>26</v>
      </c>
      <c r="O2193">
        <v>99</v>
      </c>
      <c r="P2193" t="s">
        <v>650</v>
      </c>
      <c r="Q2193" t="s">
        <v>568</v>
      </c>
      <c r="R2193">
        <v>2035554407</v>
      </c>
      <c r="S2193" t="s">
        <v>569</v>
      </c>
      <c r="U2193" s="1" t="str">
        <f t="shared" si="207"/>
        <v>Glendale</v>
      </c>
      <c r="V2193" t="s">
        <v>516</v>
      </c>
      <c r="W2193" t="s">
        <v>112</v>
      </c>
      <c r="X2193">
        <v>97561</v>
      </c>
      <c r="Y2193" s="1" t="str">
        <f t="shared" si="208"/>
        <v>USA</v>
      </c>
      <c r="Z2193" s="4" t="str">
        <f t="shared" si="209"/>
        <v>Usa</v>
      </c>
      <c r="AA2193" t="s">
        <v>32</v>
      </c>
      <c r="AB2193" t="s">
        <v>33</v>
      </c>
      <c r="AC2193" t="s">
        <v>570</v>
      </c>
      <c r="AD2193" t="s">
        <v>571</v>
      </c>
      <c r="AE2193" t="s">
        <v>51</v>
      </c>
    </row>
    <row r="2194" spans="1:31" x14ac:dyDescent="0.3">
      <c r="A2194">
        <v>10363</v>
      </c>
      <c r="B2194">
        <v>50</v>
      </c>
      <c r="C2194">
        <v>100</v>
      </c>
      <c r="D2194">
        <v>2</v>
      </c>
      <c r="E2194" s="4" t="str">
        <f t="shared" si="204"/>
        <v>high sales</v>
      </c>
      <c r="F2194">
        <v>6576.5</v>
      </c>
      <c r="G2194" t="s">
        <v>2866</v>
      </c>
      <c r="H2194" s="1" t="str">
        <f t="shared" si="205"/>
        <v>Shipped</v>
      </c>
      <c r="I2194" s="4" t="str">
        <f t="shared" si="206"/>
        <v>completed</v>
      </c>
      <c r="J2194" t="s">
        <v>25</v>
      </c>
      <c r="K2194">
        <v>1</v>
      </c>
      <c r="L2194">
        <v>1</v>
      </c>
      <c r="M2194">
        <v>2005</v>
      </c>
      <c r="N2194" t="s">
        <v>26</v>
      </c>
      <c r="O2194">
        <v>99</v>
      </c>
      <c r="P2194" t="s">
        <v>650</v>
      </c>
      <c r="Q2194" t="s">
        <v>467</v>
      </c>
      <c r="R2194" t="s">
        <v>468</v>
      </c>
      <c r="S2194" t="s">
        <v>469</v>
      </c>
      <c r="U2194" s="1" t="str">
        <f t="shared" si="207"/>
        <v>Espoo</v>
      </c>
      <c r="V2194" t="s">
        <v>470</v>
      </c>
      <c r="X2194" t="s">
        <v>471</v>
      </c>
      <c r="Y2194" s="1" t="str">
        <f t="shared" si="208"/>
        <v>FINLAND</v>
      </c>
      <c r="Z2194" s="4" t="str">
        <f t="shared" si="209"/>
        <v>Finland</v>
      </c>
      <c r="AA2194" t="s">
        <v>130</v>
      </c>
      <c r="AB2194" t="s">
        <v>42</v>
      </c>
      <c r="AC2194" t="s">
        <v>472</v>
      </c>
      <c r="AD2194" t="s">
        <v>473</v>
      </c>
      <c r="AE2194" t="s">
        <v>51</v>
      </c>
    </row>
    <row r="2195" spans="1:31" x14ac:dyDescent="0.3">
      <c r="A2195">
        <v>10375</v>
      </c>
      <c r="B2195">
        <v>37</v>
      </c>
      <c r="C2195">
        <v>100</v>
      </c>
      <c r="D2195">
        <v>3</v>
      </c>
      <c r="E2195" s="4" t="str">
        <f t="shared" si="204"/>
        <v>high sales</v>
      </c>
      <c r="F2195">
        <v>6353.27</v>
      </c>
      <c r="G2195" t="s">
        <v>2867</v>
      </c>
      <c r="H2195" s="1" t="str">
        <f t="shared" si="205"/>
        <v>Shipped</v>
      </c>
      <c r="I2195" s="4" t="str">
        <f t="shared" si="206"/>
        <v>completed</v>
      </c>
      <c r="J2195" t="s">
        <v>25</v>
      </c>
      <c r="K2195">
        <v>1</v>
      </c>
      <c r="L2195">
        <v>2</v>
      </c>
      <c r="M2195">
        <v>2005</v>
      </c>
      <c r="N2195" t="s">
        <v>26</v>
      </c>
      <c r="O2195">
        <v>99</v>
      </c>
      <c r="P2195" t="s">
        <v>650</v>
      </c>
      <c r="Q2195" t="s">
        <v>114</v>
      </c>
      <c r="R2195" t="s">
        <v>115</v>
      </c>
      <c r="S2195" t="s">
        <v>116</v>
      </c>
      <c r="U2195" s="1" t="str">
        <f t="shared" si="207"/>
        <v>Nantes</v>
      </c>
      <c r="V2195" t="s">
        <v>117</v>
      </c>
      <c r="X2195">
        <v>44000</v>
      </c>
      <c r="Y2195" s="1" t="str">
        <f t="shared" si="208"/>
        <v>FRANCE</v>
      </c>
      <c r="Z2195" s="4" t="str">
        <f t="shared" si="209"/>
        <v>France</v>
      </c>
      <c r="AA2195" t="s">
        <v>41</v>
      </c>
      <c r="AB2195" t="s">
        <v>42</v>
      </c>
      <c r="AC2195" t="s">
        <v>118</v>
      </c>
      <c r="AD2195" t="s">
        <v>119</v>
      </c>
      <c r="AE2195" t="s">
        <v>51</v>
      </c>
    </row>
    <row r="2196" spans="1:31" x14ac:dyDescent="0.3">
      <c r="A2196">
        <v>10387</v>
      </c>
      <c r="B2196">
        <v>44</v>
      </c>
      <c r="C2196">
        <v>94.9</v>
      </c>
      <c r="D2196">
        <v>1</v>
      </c>
      <c r="E2196" s="4" t="str">
        <f t="shared" si="204"/>
        <v>high sales</v>
      </c>
      <c r="F2196">
        <v>4175.6000000000004</v>
      </c>
      <c r="G2196" t="s">
        <v>2868</v>
      </c>
      <c r="H2196" s="1" t="str">
        <f t="shared" si="205"/>
        <v>Shipped</v>
      </c>
      <c r="I2196" s="4" t="str">
        <f t="shared" si="206"/>
        <v>completed</v>
      </c>
      <c r="J2196" t="s">
        <v>25</v>
      </c>
      <c r="K2196">
        <v>1</v>
      </c>
      <c r="L2196">
        <v>3</v>
      </c>
      <c r="M2196">
        <v>2005</v>
      </c>
      <c r="N2196" t="s">
        <v>26</v>
      </c>
      <c r="O2196">
        <v>99</v>
      </c>
      <c r="P2196" t="s">
        <v>650</v>
      </c>
      <c r="Q2196" t="s">
        <v>196</v>
      </c>
      <c r="R2196" t="s">
        <v>197</v>
      </c>
      <c r="S2196" t="s">
        <v>198</v>
      </c>
      <c r="U2196" s="1" t="str">
        <f t="shared" si="207"/>
        <v>Singapore</v>
      </c>
      <c r="V2196" t="s">
        <v>199</v>
      </c>
      <c r="X2196">
        <v>79903</v>
      </c>
      <c r="Y2196" s="1" t="str">
        <f t="shared" si="208"/>
        <v>SINGAPORE</v>
      </c>
      <c r="Z2196" s="4" t="str">
        <f t="shared" si="209"/>
        <v>Singapore</v>
      </c>
      <c r="AA2196" t="s">
        <v>199</v>
      </c>
      <c r="AB2196" t="s">
        <v>200</v>
      </c>
      <c r="AC2196" t="s">
        <v>201</v>
      </c>
      <c r="AD2196" t="s">
        <v>202</v>
      </c>
      <c r="AE2196" t="s">
        <v>51</v>
      </c>
    </row>
    <row r="2197" spans="1:31" x14ac:dyDescent="0.3">
      <c r="A2197">
        <v>10401</v>
      </c>
      <c r="B2197">
        <v>49</v>
      </c>
      <c r="C2197">
        <v>100</v>
      </c>
      <c r="D2197">
        <v>1</v>
      </c>
      <c r="E2197" s="4" t="str">
        <f t="shared" si="204"/>
        <v>high sales</v>
      </c>
      <c r="F2197">
        <v>4992.6099999999997</v>
      </c>
      <c r="G2197" t="s">
        <v>2869</v>
      </c>
      <c r="H2197" s="1" t="str">
        <f t="shared" si="205"/>
        <v>On Hold</v>
      </c>
      <c r="I2197" s="4" t="str">
        <f t="shared" si="206"/>
        <v>not completed</v>
      </c>
      <c r="J2197" t="s">
        <v>401</v>
      </c>
      <c r="K2197">
        <v>2</v>
      </c>
      <c r="L2197">
        <v>4</v>
      </c>
      <c r="M2197">
        <v>2005</v>
      </c>
      <c r="N2197" t="s">
        <v>26</v>
      </c>
      <c r="O2197">
        <v>99</v>
      </c>
      <c r="P2197" t="s">
        <v>650</v>
      </c>
      <c r="Q2197" t="s">
        <v>104</v>
      </c>
      <c r="R2197">
        <v>2015559350</v>
      </c>
      <c r="S2197" t="s">
        <v>105</v>
      </c>
      <c r="U2197" s="1" t="str">
        <f t="shared" si="207"/>
        <v>Newark</v>
      </c>
      <c r="V2197" t="s">
        <v>106</v>
      </c>
      <c r="W2197" t="s">
        <v>107</v>
      </c>
      <c r="X2197">
        <v>94019</v>
      </c>
      <c r="Y2197" s="1" t="str">
        <f t="shared" si="208"/>
        <v>USA</v>
      </c>
      <c r="Z2197" s="4" t="str">
        <f t="shared" si="209"/>
        <v>Usa</v>
      </c>
      <c r="AA2197" t="s">
        <v>32</v>
      </c>
      <c r="AB2197" t="s">
        <v>33</v>
      </c>
      <c r="AC2197" t="s">
        <v>61</v>
      </c>
      <c r="AD2197" t="s">
        <v>108</v>
      </c>
      <c r="AE2197" t="s">
        <v>51</v>
      </c>
    </row>
    <row r="2198" spans="1:31" x14ac:dyDescent="0.3">
      <c r="A2198">
        <v>10416</v>
      </c>
      <c r="B2198">
        <v>45</v>
      </c>
      <c r="C2198">
        <v>100</v>
      </c>
      <c r="D2198">
        <v>2</v>
      </c>
      <c r="E2198" s="4" t="str">
        <f t="shared" si="204"/>
        <v>high sales</v>
      </c>
      <c r="F2198">
        <v>4764.6000000000004</v>
      </c>
      <c r="G2198" t="s">
        <v>2870</v>
      </c>
      <c r="H2198" s="1" t="str">
        <f t="shared" si="205"/>
        <v>Shipped</v>
      </c>
      <c r="I2198" s="4" t="str">
        <f t="shared" si="206"/>
        <v>completed</v>
      </c>
      <c r="J2198" t="s">
        <v>25</v>
      </c>
      <c r="K2198">
        <v>2</v>
      </c>
      <c r="L2198">
        <v>5</v>
      </c>
      <c r="M2198">
        <v>2005</v>
      </c>
      <c r="N2198" t="s">
        <v>26</v>
      </c>
      <c r="O2198">
        <v>99</v>
      </c>
      <c r="P2198" t="s">
        <v>650</v>
      </c>
      <c r="Q2198" t="s">
        <v>452</v>
      </c>
      <c r="R2198" t="s">
        <v>453</v>
      </c>
      <c r="S2198" t="s">
        <v>454</v>
      </c>
      <c r="U2198" s="1" t="str">
        <f t="shared" si="207"/>
        <v>Reggio Emilia</v>
      </c>
      <c r="V2198" t="s">
        <v>455</v>
      </c>
      <c r="X2198">
        <v>42100</v>
      </c>
      <c r="Y2198" s="1" t="str">
        <f t="shared" si="208"/>
        <v>ITALY</v>
      </c>
      <c r="Z2198" s="4" t="str">
        <f t="shared" si="209"/>
        <v>Italy</v>
      </c>
      <c r="AA2198" t="s">
        <v>258</v>
      </c>
      <c r="AB2198" t="s">
        <v>42</v>
      </c>
      <c r="AC2198" t="s">
        <v>456</v>
      </c>
      <c r="AD2198" t="s">
        <v>457</v>
      </c>
      <c r="AE2198" t="s">
        <v>51</v>
      </c>
    </row>
    <row r="2199" spans="1:31" x14ac:dyDescent="0.3">
      <c r="A2199">
        <v>10108</v>
      </c>
      <c r="B2199">
        <v>27</v>
      </c>
      <c r="C2199">
        <v>43.45</v>
      </c>
      <c r="D2199">
        <v>13</v>
      </c>
      <c r="E2199" s="4" t="str">
        <f t="shared" si="204"/>
        <v>low sales</v>
      </c>
      <c r="F2199">
        <v>1173.1500000000001</v>
      </c>
      <c r="G2199" t="s">
        <v>2871</v>
      </c>
      <c r="H2199" s="1" t="str">
        <f t="shared" si="205"/>
        <v>Shipped</v>
      </c>
      <c r="I2199" s="4" t="str">
        <f t="shared" si="206"/>
        <v>completed</v>
      </c>
      <c r="J2199" t="s">
        <v>25</v>
      </c>
      <c r="K2199">
        <v>1</v>
      </c>
      <c r="L2199">
        <v>3</v>
      </c>
      <c r="M2199">
        <v>2003</v>
      </c>
      <c r="N2199" t="s">
        <v>26</v>
      </c>
      <c r="O2199">
        <v>40</v>
      </c>
      <c r="P2199" t="s">
        <v>651</v>
      </c>
      <c r="Q2199" t="s">
        <v>425</v>
      </c>
      <c r="R2199" t="s">
        <v>426</v>
      </c>
      <c r="S2199" t="s">
        <v>427</v>
      </c>
      <c r="U2199" s="1" t="str">
        <f t="shared" si="207"/>
        <v>Makati City</v>
      </c>
      <c r="V2199" t="s">
        <v>428</v>
      </c>
      <c r="X2199" t="s">
        <v>429</v>
      </c>
      <c r="Y2199" s="1" t="str">
        <f t="shared" si="208"/>
        <v>PHILIPPINES</v>
      </c>
      <c r="Z2199" s="4" t="str">
        <f t="shared" si="209"/>
        <v>Philippines</v>
      </c>
      <c r="AA2199" t="s">
        <v>430</v>
      </c>
      <c r="AB2199" t="s">
        <v>200</v>
      </c>
      <c r="AC2199" t="s">
        <v>431</v>
      </c>
      <c r="AD2199" t="s">
        <v>432</v>
      </c>
      <c r="AE2199" t="s">
        <v>36</v>
      </c>
    </row>
    <row r="2200" spans="1:31" x14ac:dyDescent="0.3">
      <c r="A2200">
        <v>10122</v>
      </c>
      <c r="B2200">
        <v>31</v>
      </c>
      <c r="C2200">
        <v>44.66</v>
      </c>
      <c r="D2200">
        <v>17</v>
      </c>
      <c r="E2200" s="4" t="str">
        <f t="shared" si="204"/>
        <v>low sales</v>
      </c>
      <c r="F2200">
        <v>1384.46</v>
      </c>
      <c r="G2200" t="s">
        <v>2872</v>
      </c>
      <c r="H2200" s="1" t="str">
        <f t="shared" si="205"/>
        <v>Shipped</v>
      </c>
      <c r="I2200" s="4" t="str">
        <f t="shared" si="206"/>
        <v>completed</v>
      </c>
      <c r="J2200" t="s">
        <v>25</v>
      </c>
      <c r="K2200">
        <v>2</v>
      </c>
      <c r="L2200">
        <v>5</v>
      </c>
      <c r="M2200">
        <v>2003</v>
      </c>
      <c r="N2200" t="s">
        <v>26</v>
      </c>
      <c r="O2200">
        <v>40</v>
      </c>
      <c r="P2200" t="s">
        <v>651</v>
      </c>
      <c r="Q2200" t="s">
        <v>433</v>
      </c>
      <c r="R2200" t="s">
        <v>434</v>
      </c>
      <c r="S2200" t="s">
        <v>435</v>
      </c>
      <c r="U2200" s="1" t="str">
        <f t="shared" si="207"/>
        <v>Marseille</v>
      </c>
      <c r="V2200" t="s">
        <v>436</v>
      </c>
      <c r="X2200">
        <v>13008</v>
      </c>
      <c r="Y2200" s="1" t="str">
        <f t="shared" si="208"/>
        <v>FRANCE</v>
      </c>
      <c r="Z2200" s="4" t="str">
        <f t="shared" si="209"/>
        <v>France</v>
      </c>
      <c r="AA2200" t="s">
        <v>41</v>
      </c>
      <c r="AB2200" t="s">
        <v>42</v>
      </c>
      <c r="AC2200" t="s">
        <v>437</v>
      </c>
      <c r="AD2200" t="s">
        <v>438</v>
      </c>
      <c r="AE2200" t="s">
        <v>36</v>
      </c>
    </row>
    <row r="2201" spans="1:31" x14ac:dyDescent="0.3">
      <c r="A2201">
        <v>10135</v>
      </c>
      <c r="B2201">
        <v>33</v>
      </c>
      <c r="C2201">
        <v>40.229999999999997</v>
      </c>
      <c r="D2201">
        <v>14</v>
      </c>
      <c r="E2201" s="4" t="str">
        <f t="shared" si="204"/>
        <v>low sales</v>
      </c>
      <c r="F2201">
        <v>1327.59</v>
      </c>
      <c r="G2201" t="s">
        <v>2873</v>
      </c>
      <c r="H2201" s="1" t="str">
        <f t="shared" si="205"/>
        <v>Shipped</v>
      </c>
      <c r="I2201" s="4" t="str">
        <f t="shared" si="206"/>
        <v>completed</v>
      </c>
      <c r="J2201" t="s">
        <v>25</v>
      </c>
      <c r="K2201">
        <v>3</v>
      </c>
      <c r="L2201">
        <v>7</v>
      </c>
      <c r="M2201">
        <v>2003</v>
      </c>
      <c r="N2201" t="s">
        <v>26</v>
      </c>
      <c r="O2201">
        <v>40</v>
      </c>
      <c r="P2201" t="s">
        <v>651</v>
      </c>
      <c r="Q2201" t="s">
        <v>272</v>
      </c>
      <c r="R2201">
        <v>4155551450</v>
      </c>
      <c r="S2201" t="s">
        <v>273</v>
      </c>
      <c r="U2201" s="1" t="str">
        <f t="shared" si="207"/>
        <v>San Rafael</v>
      </c>
      <c r="V2201" t="s">
        <v>274</v>
      </c>
      <c r="W2201" t="s">
        <v>55</v>
      </c>
      <c r="X2201">
        <v>97562</v>
      </c>
      <c r="Y2201" s="1" t="str">
        <f t="shared" si="208"/>
        <v>USA</v>
      </c>
      <c r="Z2201" s="4" t="str">
        <f t="shared" si="209"/>
        <v>Usa</v>
      </c>
      <c r="AA2201" t="s">
        <v>32</v>
      </c>
      <c r="AB2201" t="s">
        <v>33</v>
      </c>
      <c r="AC2201" t="s">
        <v>275</v>
      </c>
      <c r="AD2201" t="s">
        <v>276</v>
      </c>
      <c r="AE2201" t="s">
        <v>36</v>
      </c>
    </row>
    <row r="2202" spans="1:31" x14ac:dyDescent="0.3">
      <c r="A2202">
        <v>10145</v>
      </c>
      <c r="B2202">
        <v>31</v>
      </c>
      <c r="C2202">
        <v>35.799999999999997</v>
      </c>
      <c r="D2202">
        <v>1</v>
      </c>
      <c r="E2202" s="4" t="str">
        <f t="shared" si="204"/>
        <v>low sales</v>
      </c>
      <c r="F2202">
        <v>1109.8</v>
      </c>
      <c r="G2202" t="s">
        <v>2874</v>
      </c>
      <c r="H2202" s="1" t="str">
        <f t="shared" si="205"/>
        <v>Shipped</v>
      </c>
      <c r="I2202" s="4" t="str">
        <f t="shared" si="206"/>
        <v>completed</v>
      </c>
      <c r="J2202" t="s">
        <v>25</v>
      </c>
      <c r="K2202">
        <v>3</v>
      </c>
      <c r="L2202">
        <v>8</v>
      </c>
      <c r="M2202">
        <v>2003</v>
      </c>
      <c r="N2202" t="s">
        <v>26</v>
      </c>
      <c r="O2202">
        <v>40</v>
      </c>
      <c r="P2202" t="s">
        <v>651</v>
      </c>
      <c r="Q2202" t="s">
        <v>52</v>
      </c>
      <c r="R2202">
        <v>6265557265</v>
      </c>
      <c r="S2202" t="s">
        <v>53</v>
      </c>
      <c r="U2202" s="1" t="str">
        <f t="shared" si="207"/>
        <v>Pasadena</v>
      </c>
      <c r="V2202" t="s">
        <v>54</v>
      </c>
      <c r="W2202" t="s">
        <v>55</v>
      </c>
      <c r="X2202">
        <v>90003</v>
      </c>
      <c r="Y2202" s="1" t="str">
        <f t="shared" si="208"/>
        <v>USA</v>
      </c>
      <c r="Z2202" s="4" t="str">
        <f t="shared" si="209"/>
        <v>Usa</v>
      </c>
      <c r="AA2202" t="s">
        <v>32</v>
      </c>
      <c r="AB2202" t="s">
        <v>33</v>
      </c>
      <c r="AC2202" t="s">
        <v>56</v>
      </c>
      <c r="AD2202" t="s">
        <v>57</v>
      </c>
      <c r="AE2202" t="s">
        <v>36</v>
      </c>
    </row>
    <row r="2203" spans="1:31" x14ac:dyDescent="0.3">
      <c r="A2203">
        <v>10159</v>
      </c>
      <c r="B2203">
        <v>35</v>
      </c>
      <c r="C2203">
        <v>35.4</v>
      </c>
      <c r="D2203">
        <v>9</v>
      </c>
      <c r="E2203" s="4" t="str">
        <f t="shared" si="204"/>
        <v>low sales</v>
      </c>
      <c r="F2203">
        <v>1239</v>
      </c>
      <c r="G2203" t="s">
        <v>2875</v>
      </c>
      <c r="H2203" s="1" t="str">
        <f t="shared" si="205"/>
        <v>Shipped</v>
      </c>
      <c r="I2203" s="4" t="str">
        <f t="shared" si="206"/>
        <v>completed</v>
      </c>
      <c r="J2203" t="s">
        <v>25</v>
      </c>
      <c r="K2203">
        <v>4</v>
      </c>
      <c r="L2203">
        <v>10</v>
      </c>
      <c r="M2203">
        <v>2003</v>
      </c>
      <c r="N2203" t="s">
        <v>26</v>
      </c>
      <c r="O2203">
        <v>40</v>
      </c>
      <c r="P2203" t="s">
        <v>651</v>
      </c>
      <c r="Q2203" t="s">
        <v>58</v>
      </c>
      <c r="R2203">
        <v>6505551386</v>
      </c>
      <c r="S2203" t="s">
        <v>59</v>
      </c>
      <c r="U2203" s="1" t="str">
        <f t="shared" si="207"/>
        <v>San Francisco</v>
      </c>
      <c r="V2203" t="s">
        <v>60</v>
      </c>
      <c r="W2203" t="s">
        <v>55</v>
      </c>
      <c r="Y2203" s="1" t="str">
        <f t="shared" si="208"/>
        <v>USA</v>
      </c>
      <c r="Z2203" s="4" t="str">
        <f t="shared" si="209"/>
        <v>Usa</v>
      </c>
      <c r="AA2203" t="s">
        <v>32</v>
      </c>
      <c r="AB2203" t="s">
        <v>33</v>
      </c>
      <c r="AC2203" t="s">
        <v>61</v>
      </c>
      <c r="AD2203" t="s">
        <v>57</v>
      </c>
      <c r="AE2203" t="s">
        <v>36</v>
      </c>
    </row>
    <row r="2204" spans="1:31" x14ac:dyDescent="0.3">
      <c r="A2204">
        <v>10169</v>
      </c>
      <c r="B2204">
        <v>26</v>
      </c>
      <c r="C2204">
        <v>39.83</v>
      </c>
      <c r="D2204">
        <v>9</v>
      </c>
      <c r="E2204" s="4" t="str">
        <f t="shared" si="204"/>
        <v>low sales</v>
      </c>
      <c r="F2204">
        <v>1035.58</v>
      </c>
      <c r="G2204" t="s">
        <v>2876</v>
      </c>
      <c r="H2204" s="1" t="str">
        <f t="shared" si="205"/>
        <v>Shipped</v>
      </c>
      <c r="I2204" s="4" t="str">
        <f t="shared" si="206"/>
        <v>completed</v>
      </c>
      <c r="J2204" t="s">
        <v>25</v>
      </c>
      <c r="K2204">
        <v>4</v>
      </c>
      <c r="L2204">
        <v>11</v>
      </c>
      <c r="M2204">
        <v>2003</v>
      </c>
      <c r="N2204" t="s">
        <v>26</v>
      </c>
      <c r="O2204">
        <v>40</v>
      </c>
      <c r="P2204" t="s">
        <v>651</v>
      </c>
      <c r="Q2204" t="s">
        <v>285</v>
      </c>
      <c r="R2204" t="s">
        <v>286</v>
      </c>
      <c r="S2204" t="s">
        <v>287</v>
      </c>
      <c r="T2204" t="s">
        <v>288</v>
      </c>
      <c r="U2204" s="1" t="str">
        <f t="shared" si="207"/>
        <v>North Sydney</v>
      </c>
      <c r="V2204" t="s">
        <v>289</v>
      </c>
      <c r="W2204" t="s">
        <v>157</v>
      </c>
      <c r="X2204">
        <v>2060</v>
      </c>
      <c r="Y2204" s="1" t="str">
        <f t="shared" si="208"/>
        <v>AUSTRALIA</v>
      </c>
      <c r="Z2204" s="4" t="str">
        <f t="shared" si="209"/>
        <v>Australia</v>
      </c>
      <c r="AA2204" t="s">
        <v>95</v>
      </c>
      <c r="AB2204" t="s">
        <v>96</v>
      </c>
      <c r="AC2204" t="s">
        <v>290</v>
      </c>
      <c r="AD2204" t="s">
        <v>291</v>
      </c>
      <c r="AE2204" t="s">
        <v>36</v>
      </c>
    </row>
    <row r="2205" spans="1:31" x14ac:dyDescent="0.3">
      <c r="A2205">
        <v>10180</v>
      </c>
      <c r="B2205">
        <v>34</v>
      </c>
      <c r="C2205">
        <v>45.46</v>
      </c>
      <c r="D2205">
        <v>4</v>
      </c>
      <c r="E2205" s="4" t="str">
        <f t="shared" si="204"/>
        <v>low sales</v>
      </c>
      <c r="F2205">
        <v>1545.64</v>
      </c>
      <c r="G2205" t="s">
        <v>2877</v>
      </c>
      <c r="H2205" s="1" t="str">
        <f t="shared" si="205"/>
        <v>Shipped</v>
      </c>
      <c r="I2205" s="4" t="str">
        <f t="shared" si="206"/>
        <v>completed</v>
      </c>
      <c r="J2205" t="s">
        <v>25</v>
      </c>
      <c r="K2205">
        <v>4</v>
      </c>
      <c r="L2205">
        <v>11</v>
      </c>
      <c r="M2205">
        <v>2003</v>
      </c>
      <c r="N2205" t="s">
        <v>26</v>
      </c>
      <c r="O2205">
        <v>40</v>
      </c>
      <c r="P2205" t="s">
        <v>651</v>
      </c>
      <c r="Q2205" t="s">
        <v>67</v>
      </c>
      <c r="R2205" t="s">
        <v>68</v>
      </c>
      <c r="S2205" t="s">
        <v>69</v>
      </c>
      <c r="U2205" s="1" t="str">
        <f t="shared" si="207"/>
        <v>Lille</v>
      </c>
      <c r="V2205" t="s">
        <v>70</v>
      </c>
      <c r="X2205">
        <v>59000</v>
      </c>
      <c r="Y2205" s="1" t="str">
        <f t="shared" si="208"/>
        <v>FRANCE</v>
      </c>
      <c r="Z2205" s="4" t="str">
        <f t="shared" si="209"/>
        <v>France</v>
      </c>
      <c r="AA2205" t="s">
        <v>41</v>
      </c>
      <c r="AB2205" t="s">
        <v>42</v>
      </c>
      <c r="AC2205" t="s">
        <v>71</v>
      </c>
      <c r="AD2205" t="s">
        <v>72</v>
      </c>
      <c r="AE2205" t="s">
        <v>36</v>
      </c>
    </row>
    <row r="2206" spans="1:31" x14ac:dyDescent="0.3">
      <c r="A2206">
        <v>10190</v>
      </c>
      <c r="B2206">
        <v>46</v>
      </c>
      <c r="C2206">
        <v>32.99</v>
      </c>
      <c r="D2206">
        <v>1</v>
      </c>
      <c r="E2206" s="4" t="str">
        <f t="shared" si="204"/>
        <v>low sales</v>
      </c>
      <c r="F2206">
        <v>1517.54</v>
      </c>
      <c r="G2206" t="s">
        <v>2878</v>
      </c>
      <c r="H2206" s="1" t="str">
        <f t="shared" si="205"/>
        <v>Shipped</v>
      </c>
      <c r="I2206" s="4" t="str">
        <f t="shared" si="206"/>
        <v>completed</v>
      </c>
      <c r="J2206" t="s">
        <v>25</v>
      </c>
      <c r="K2206">
        <v>4</v>
      </c>
      <c r="L2206">
        <v>11</v>
      </c>
      <c r="M2206">
        <v>2003</v>
      </c>
      <c r="N2206" t="s">
        <v>26</v>
      </c>
      <c r="O2206">
        <v>40</v>
      </c>
      <c r="P2206" t="s">
        <v>651</v>
      </c>
      <c r="Q2206" t="s">
        <v>174</v>
      </c>
      <c r="R2206" t="s">
        <v>175</v>
      </c>
      <c r="S2206" t="s">
        <v>176</v>
      </c>
      <c r="U2206" s="1" t="str">
        <f t="shared" si="207"/>
        <v>Madrid</v>
      </c>
      <c r="V2206" t="s">
        <v>177</v>
      </c>
      <c r="X2206">
        <v>28034</v>
      </c>
      <c r="Y2206" s="1" t="str">
        <f t="shared" si="208"/>
        <v>SPAIN</v>
      </c>
      <c r="Z2206" s="4" t="str">
        <f t="shared" si="209"/>
        <v>Spain</v>
      </c>
      <c r="AA2206" t="s">
        <v>178</v>
      </c>
      <c r="AB2206" t="s">
        <v>42</v>
      </c>
      <c r="AC2206" t="s">
        <v>179</v>
      </c>
      <c r="AD2206" t="s">
        <v>180</v>
      </c>
      <c r="AE2206" t="s">
        <v>36</v>
      </c>
    </row>
    <row r="2207" spans="1:31" x14ac:dyDescent="0.3">
      <c r="A2207">
        <v>10211</v>
      </c>
      <c r="B2207">
        <v>41</v>
      </c>
      <c r="C2207">
        <v>42.24</v>
      </c>
      <c r="D2207">
        <v>9</v>
      </c>
      <c r="E2207" s="4" t="str">
        <f t="shared" si="204"/>
        <v>low sales</v>
      </c>
      <c r="F2207">
        <v>1731.84</v>
      </c>
      <c r="G2207" t="s">
        <v>2879</v>
      </c>
      <c r="H2207" s="1" t="str">
        <f t="shared" si="205"/>
        <v>Shipped</v>
      </c>
      <c r="I2207" s="4" t="str">
        <f t="shared" si="206"/>
        <v>completed</v>
      </c>
      <c r="J2207" t="s">
        <v>25</v>
      </c>
      <c r="K2207">
        <v>1</v>
      </c>
      <c r="L2207">
        <v>1</v>
      </c>
      <c r="M2207">
        <v>2004</v>
      </c>
      <c r="N2207" t="s">
        <v>26</v>
      </c>
      <c r="O2207">
        <v>40</v>
      </c>
      <c r="P2207" t="s">
        <v>651</v>
      </c>
      <c r="Q2207" t="s">
        <v>84</v>
      </c>
      <c r="R2207" t="s">
        <v>85</v>
      </c>
      <c r="S2207" t="s">
        <v>86</v>
      </c>
      <c r="U2207" s="1" t="str">
        <f t="shared" si="207"/>
        <v>Paris</v>
      </c>
      <c r="V2207" t="s">
        <v>48</v>
      </c>
      <c r="X2207">
        <v>75016</v>
      </c>
      <c r="Y2207" s="1" t="str">
        <f t="shared" si="208"/>
        <v>FRANCE</v>
      </c>
      <c r="Z2207" s="4" t="str">
        <f t="shared" si="209"/>
        <v>France</v>
      </c>
      <c r="AA2207" t="s">
        <v>41</v>
      </c>
      <c r="AB2207" t="s">
        <v>42</v>
      </c>
      <c r="AC2207" t="s">
        <v>87</v>
      </c>
      <c r="AD2207" t="s">
        <v>88</v>
      </c>
      <c r="AE2207" t="s">
        <v>36</v>
      </c>
    </row>
    <row r="2208" spans="1:31" x14ac:dyDescent="0.3">
      <c r="A2208">
        <v>10224</v>
      </c>
      <c r="B2208">
        <v>43</v>
      </c>
      <c r="C2208">
        <v>39.43</v>
      </c>
      <c r="D2208">
        <v>2</v>
      </c>
      <c r="E2208" s="4" t="str">
        <f t="shared" si="204"/>
        <v>low sales</v>
      </c>
      <c r="F2208">
        <v>1695.49</v>
      </c>
      <c r="G2208" t="s">
        <v>2880</v>
      </c>
      <c r="H2208" s="1" t="str">
        <f t="shared" si="205"/>
        <v>Shipped</v>
      </c>
      <c r="I2208" s="4" t="str">
        <f t="shared" si="206"/>
        <v>completed</v>
      </c>
      <c r="J2208" t="s">
        <v>25</v>
      </c>
      <c r="K2208">
        <v>1</v>
      </c>
      <c r="L2208">
        <v>2</v>
      </c>
      <c r="M2208">
        <v>2004</v>
      </c>
      <c r="N2208" t="s">
        <v>26</v>
      </c>
      <c r="O2208">
        <v>40</v>
      </c>
      <c r="P2208" t="s">
        <v>651</v>
      </c>
      <c r="Q2208" t="s">
        <v>67</v>
      </c>
      <c r="R2208" t="s">
        <v>68</v>
      </c>
      <c r="S2208" t="s">
        <v>69</v>
      </c>
      <c r="U2208" s="1" t="str">
        <f t="shared" si="207"/>
        <v>Lille</v>
      </c>
      <c r="V2208" t="s">
        <v>70</v>
      </c>
      <c r="X2208">
        <v>59000</v>
      </c>
      <c r="Y2208" s="1" t="str">
        <f t="shared" si="208"/>
        <v>FRANCE</v>
      </c>
      <c r="Z2208" s="4" t="str">
        <f t="shared" si="209"/>
        <v>France</v>
      </c>
      <c r="AA2208" t="s">
        <v>41</v>
      </c>
      <c r="AB2208" t="s">
        <v>42</v>
      </c>
      <c r="AC2208" t="s">
        <v>71</v>
      </c>
      <c r="AD2208" t="s">
        <v>72</v>
      </c>
      <c r="AE2208" t="s">
        <v>36</v>
      </c>
    </row>
    <row r="2209" spans="1:31" x14ac:dyDescent="0.3">
      <c r="A2209">
        <v>10237</v>
      </c>
      <c r="B2209">
        <v>26</v>
      </c>
      <c r="C2209">
        <v>40.229999999999997</v>
      </c>
      <c r="D2209">
        <v>2</v>
      </c>
      <c r="E2209" s="4" t="str">
        <f t="shared" si="204"/>
        <v>low sales</v>
      </c>
      <c r="F2209">
        <v>1045.98</v>
      </c>
      <c r="G2209" t="s">
        <v>2881</v>
      </c>
      <c r="H2209" s="1" t="str">
        <f t="shared" si="205"/>
        <v>Shipped</v>
      </c>
      <c r="I2209" s="4" t="str">
        <f t="shared" si="206"/>
        <v>completed</v>
      </c>
      <c r="J2209" t="s">
        <v>25</v>
      </c>
      <c r="K2209">
        <v>2</v>
      </c>
      <c r="L2209">
        <v>4</v>
      </c>
      <c r="M2209">
        <v>2004</v>
      </c>
      <c r="N2209" t="s">
        <v>26</v>
      </c>
      <c r="O2209">
        <v>40</v>
      </c>
      <c r="P2209" t="s">
        <v>651</v>
      </c>
      <c r="Q2209" t="s">
        <v>99</v>
      </c>
      <c r="R2209">
        <v>2125551500</v>
      </c>
      <c r="S2209" t="s">
        <v>100</v>
      </c>
      <c r="T2209" t="s">
        <v>101</v>
      </c>
      <c r="U2209" s="1" t="str">
        <f t="shared" si="207"/>
        <v>Nyc</v>
      </c>
      <c r="V2209" t="s">
        <v>30</v>
      </c>
      <c r="W2209" t="s">
        <v>31</v>
      </c>
      <c r="X2209">
        <v>10022</v>
      </c>
      <c r="Y2209" s="1" t="str">
        <f t="shared" si="208"/>
        <v>USA</v>
      </c>
      <c r="Z2209" s="4" t="str">
        <f t="shared" si="209"/>
        <v>Usa</v>
      </c>
      <c r="AA2209" t="s">
        <v>32</v>
      </c>
      <c r="AB2209" t="s">
        <v>33</v>
      </c>
      <c r="AC2209" t="s">
        <v>102</v>
      </c>
      <c r="AD2209" t="s">
        <v>103</v>
      </c>
      <c r="AE2209" t="s">
        <v>36</v>
      </c>
    </row>
    <row r="2210" spans="1:31" x14ac:dyDescent="0.3">
      <c r="A2210">
        <v>10252</v>
      </c>
      <c r="B2210">
        <v>36</v>
      </c>
      <c r="C2210">
        <v>48.28</v>
      </c>
      <c r="D2210">
        <v>6</v>
      </c>
      <c r="E2210" s="4" t="str">
        <f t="shared" si="204"/>
        <v>low sales</v>
      </c>
      <c r="F2210">
        <v>1738.08</v>
      </c>
      <c r="G2210" t="s">
        <v>2882</v>
      </c>
      <c r="H2210" s="1" t="str">
        <f t="shared" si="205"/>
        <v>Shipped</v>
      </c>
      <c r="I2210" s="4" t="str">
        <f t="shared" si="206"/>
        <v>completed</v>
      </c>
      <c r="J2210" t="s">
        <v>25</v>
      </c>
      <c r="K2210">
        <v>2</v>
      </c>
      <c r="L2210">
        <v>5</v>
      </c>
      <c r="M2210">
        <v>2004</v>
      </c>
      <c r="N2210" t="s">
        <v>26</v>
      </c>
      <c r="O2210">
        <v>40</v>
      </c>
      <c r="P2210" t="s">
        <v>651</v>
      </c>
      <c r="Q2210" t="s">
        <v>84</v>
      </c>
      <c r="R2210" t="s">
        <v>85</v>
      </c>
      <c r="S2210" t="s">
        <v>86</v>
      </c>
      <c r="U2210" s="1" t="str">
        <f t="shared" si="207"/>
        <v>Paris</v>
      </c>
      <c r="V2210" t="s">
        <v>48</v>
      </c>
      <c r="X2210">
        <v>75016</v>
      </c>
      <c r="Y2210" s="1" t="str">
        <f t="shared" si="208"/>
        <v>FRANCE</v>
      </c>
      <c r="Z2210" s="4" t="str">
        <f t="shared" si="209"/>
        <v>France</v>
      </c>
      <c r="AA2210" t="s">
        <v>41</v>
      </c>
      <c r="AB2210" t="s">
        <v>42</v>
      </c>
      <c r="AC2210" t="s">
        <v>87</v>
      </c>
      <c r="AD2210" t="s">
        <v>88</v>
      </c>
      <c r="AE2210" t="s">
        <v>36</v>
      </c>
    </row>
    <row r="2211" spans="1:31" x14ac:dyDescent="0.3">
      <c r="A2211">
        <v>10264</v>
      </c>
      <c r="B2211">
        <v>20</v>
      </c>
      <c r="C2211">
        <v>32.590000000000003</v>
      </c>
      <c r="D2211">
        <v>4</v>
      </c>
      <c r="E2211" s="4" t="str">
        <f t="shared" si="204"/>
        <v>low sales</v>
      </c>
      <c r="F2211">
        <v>651.79999999999995</v>
      </c>
      <c r="G2211" t="s">
        <v>2883</v>
      </c>
      <c r="H2211" s="1" t="str">
        <f t="shared" si="205"/>
        <v>Shipped</v>
      </c>
      <c r="I2211" s="4" t="str">
        <f t="shared" si="206"/>
        <v>completed</v>
      </c>
      <c r="J2211" t="s">
        <v>25</v>
      </c>
      <c r="K2211">
        <v>2</v>
      </c>
      <c r="L2211">
        <v>6</v>
      </c>
      <c r="M2211">
        <v>2004</v>
      </c>
      <c r="N2211" t="s">
        <v>26</v>
      </c>
      <c r="O2211">
        <v>40</v>
      </c>
      <c r="P2211" t="s">
        <v>651</v>
      </c>
      <c r="Q2211" t="s">
        <v>379</v>
      </c>
      <c r="R2211">
        <v>6175559555</v>
      </c>
      <c r="S2211" t="s">
        <v>380</v>
      </c>
      <c r="U2211" s="1" t="str">
        <f t="shared" si="207"/>
        <v>Boston</v>
      </c>
      <c r="V2211" t="s">
        <v>381</v>
      </c>
      <c r="W2211" t="s">
        <v>123</v>
      </c>
      <c r="X2211">
        <v>51003</v>
      </c>
      <c r="Y2211" s="1" t="str">
        <f t="shared" si="208"/>
        <v>USA</v>
      </c>
      <c r="Z2211" s="4" t="str">
        <f t="shared" si="209"/>
        <v>Usa</v>
      </c>
      <c r="AA2211" t="s">
        <v>32</v>
      </c>
      <c r="AB2211" t="s">
        <v>33</v>
      </c>
      <c r="AC2211" t="s">
        <v>382</v>
      </c>
      <c r="AD2211" t="s">
        <v>66</v>
      </c>
      <c r="AE2211" t="s">
        <v>36</v>
      </c>
    </row>
    <row r="2212" spans="1:31" x14ac:dyDescent="0.3">
      <c r="A2212">
        <v>10276</v>
      </c>
      <c r="B2212">
        <v>27</v>
      </c>
      <c r="C2212">
        <v>36.61</v>
      </c>
      <c r="D2212">
        <v>10</v>
      </c>
      <c r="E2212" s="4" t="str">
        <f t="shared" si="204"/>
        <v>low sales</v>
      </c>
      <c r="F2212">
        <v>988.47</v>
      </c>
      <c r="G2212" t="s">
        <v>2884</v>
      </c>
      <c r="H2212" s="1" t="str">
        <f t="shared" si="205"/>
        <v>Shipped</v>
      </c>
      <c r="I2212" s="4" t="str">
        <f t="shared" si="206"/>
        <v>completed</v>
      </c>
      <c r="J2212" t="s">
        <v>25</v>
      </c>
      <c r="K2212">
        <v>3</v>
      </c>
      <c r="L2212">
        <v>8</v>
      </c>
      <c r="M2212">
        <v>2004</v>
      </c>
      <c r="N2212" t="s">
        <v>26</v>
      </c>
      <c r="O2212">
        <v>40</v>
      </c>
      <c r="P2212" t="s">
        <v>651</v>
      </c>
      <c r="Q2212" t="s">
        <v>458</v>
      </c>
      <c r="R2212">
        <v>6175557555</v>
      </c>
      <c r="S2212" t="s">
        <v>459</v>
      </c>
      <c r="U2212" s="1" t="str">
        <f t="shared" si="207"/>
        <v>Brickhaven</v>
      </c>
      <c r="V2212" t="s">
        <v>283</v>
      </c>
      <c r="W2212" t="s">
        <v>123</v>
      </c>
      <c r="X2212">
        <v>58339</v>
      </c>
      <c r="Y2212" s="1" t="str">
        <f t="shared" si="208"/>
        <v>USA</v>
      </c>
      <c r="Z2212" s="4" t="str">
        <f t="shared" si="209"/>
        <v>Usa</v>
      </c>
      <c r="AA2212" t="s">
        <v>32</v>
      </c>
      <c r="AB2212" t="s">
        <v>33</v>
      </c>
      <c r="AC2212" t="s">
        <v>460</v>
      </c>
      <c r="AD2212" t="s">
        <v>461</v>
      </c>
      <c r="AE2212" t="s">
        <v>36</v>
      </c>
    </row>
    <row r="2213" spans="1:31" x14ac:dyDescent="0.3">
      <c r="A2213">
        <v>10285</v>
      </c>
      <c r="B2213">
        <v>37</v>
      </c>
      <c r="C2213">
        <v>41.03</v>
      </c>
      <c r="D2213">
        <v>1</v>
      </c>
      <c r="E2213" s="4" t="str">
        <f t="shared" si="204"/>
        <v>low sales</v>
      </c>
      <c r="F2213">
        <v>1518.11</v>
      </c>
      <c r="G2213" t="s">
        <v>2885</v>
      </c>
      <c r="H2213" s="1" t="str">
        <f t="shared" si="205"/>
        <v>Shipped</v>
      </c>
      <c r="I2213" s="4" t="str">
        <f t="shared" si="206"/>
        <v>completed</v>
      </c>
      <c r="J2213" t="s">
        <v>25</v>
      </c>
      <c r="K2213">
        <v>3</v>
      </c>
      <c r="L2213">
        <v>8</v>
      </c>
      <c r="M2213">
        <v>2004</v>
      </c>
      <c r="N2213" t="s">
        <v>26</v>
      </c>
      <c r="O2213">
        <v>40</v>
      </c>
      <c r="P2213" t="s">
        <v>651</v>
      </c>
      <c r="Q2213" t="s">
        <v>120</v>
      </c>
      <c r="R2213">
        <v>6175558555</v>
      </c>
      <c r="S2213" t="s">
        <v>121</v>
      </c>
      <c r="U2213" s="1" t="str">
        <f t="shared" si="207"/>
        <v>Cambridge</v>
      </c>
      <c r="V2213" t="s">
        <v>122</v>
      </c>
      <c r="W2213" t="s">
        <v>123</v>
      </c>
      <c r="X2213">
        <v>51247</v>
      </c>
      <c r="Y2213" s="1" t="str">
        <f t="shared" si="208"/>
        <v>USA</v>
      </c>
      <c r="Z2213" s="4" t="str">
        <f t="shared" si="209"/>
        <v>Usa</v>
      </c>
      <c r="AA2213" t="s">
        <v>32</v>
      </c>
      <c r="AB2213" t="s">
        <v>33</v>
      </c>
      <c r="AC2213" t="s">
        <v>124</v>
      </c>
      <c r="AD2213" t="s">
        <v>125</v>
      </c>
      <c r="AE2213" t="s">
        <v>36</v>
      </c>
    </row>
    <row r="2214" spans="1:31" x14ac:dyDescent="0.3">
      <c r="A2214">
        <v>10299</v>
      </c>
      <c r="B2214">
        <v>24</v>
      </c>
      <c r="C2214">
        <v>42.24</v>
      </c>
      <c r="D2214">
        <v>4</v>
      </c>
      <c r="E2214" s="4" t="str">
        <f t="shared" si="204"/>
        <v>low sales</v>
      </c>
      <c r="F2214">
        <v>1013.76</v>
      </c>
      <c r="G2214" t="s">
        <v>2886</v>
      </c>
      <c r="H2214" s="1" t="str">
        <f t="shared" si="205"/>
        <v>Shipped</v>
      </c>
      <c r="I2214" s="4" t="str">
        <f t="shared" si="206"/>
        <v>completed</v>
      </c>
      <c r="J2214" t="s">
        <v>25</v>
      </c>
      <c r="K2214">
        <v>3</v>
      </c>
      <c r="L2214">
        <v>9</v>
      </c>
      <c r="M2214">
        <v>2004</v>
      </c>
      <c r="N2214" t="s">
        <v>26</v>
      </c>
      <c r="O2214">
        <v>40</v>
      </c>
      <c r="P2214" t="s">
        <v>651</v>
      </c>
      <c r="Q2214" t="s">
        <v>126</v>
      </c>
      <c r="R2214" t="s">
        <v>127</v>
      </c>
      <c r="S2214" t="s">
        <v>128</v>
      </c>
      <c r="U2214" s="1" t="str">
        <f t="shared" si="207"/>
        <v>Helsinki</v>
      </c>
      <c r="V2214" t="s">
        <v>129</v>
      </c>
      <c r="X2214">
        <v>21240</v>
      </c>
      <c r="Y2214" s="1" t="str">
        <f t="shared" si="208"/>
        <v>FINLAND</v>
      </c>
      <c r="Z2214" s="4" t="str">
        <f t="shared" si="209"/>
        <v>Finland</v>
      </c>
      <c r="AA2214" t="s">
        <v>130</v>
      </c>
      <c r="AB2214" t="s">
        <v>42</v>
      </c>
      <c r="AC2214" t="s">
        <v>131</v>
      </c>
      <c r="AD2214" t="s">
        <v>132</v>
      </c>
      <c r="AE2214" t="s">
        <v>36</v>
      </c>
    </row>
    <row r="2215" spans="1:31" x14ac:dyDescent="0.3">
      <c r="A2215">
        <v>10310</v>
      </c>
      <c r="B2215">
        <v>36</v>
      </c>
      <c r="C2215">
        <v>43.05</v>
      </c>
      <c r="D2215">
        <v>17</v>
      </c>
      <c r="E2215" s="4" t="str">
        <f t="shared" si="204"/>
        <v>low sales</v>
      </c>
      <c r="F2215">
        <v>1549.8</v>
      </c>
      <c r="G2215" t="s">
        <v>2887</v>
      </c>
      <c r="H2215" s="1" t="str">
        <f t="shared" si="205"/>
        <v>Shipped</v>
      </c>
      <c r="I2215" s="4" t="str">
        <f t="shared" si="206"/>
        <v>completed</v>
      </c>
      <c r="J2215" t="s">
        <v>25</v>
      </c>
      <c r="K2215">
        <v>4</v>
      </c>
      <c r="L2215">
        <v>10</v>
      </c>
      <c r="M2215">
        <v>2004</v>
      </c>
      <c r="N2215" t="s">
        <v>26</v>
      </c>
      <c r="O2215">
        <v>40</v>
      </c>
      <c r="P2215" t="s">
        <v>651</v>
      </c>
      <c r="Q2215" t="s">
        <v>439</v>
      </c>
      <c r="R2215" t="s">
        <v>440</v>
      </c>
      <c r="S2215" t="s">
        <v>441</v>
      </c>
      <c r="U2215" s="1" t="str">
        <f t="shared" si="207"/>
        <v>Koln</v>
      </c>
      <c r="V2215" t="s">
        <v>442</v>
      </c>
      <c r="X2215">
        <v>50739</v>
      </c>
      <c r="Y2215" s="1" t="str">
        <f t="shared" si="208"/>
        <v>GERMANY</v>
      </c>
      <c r="Z2215" s="4" t="str">
        <f t="shared" si="209"/>
        <v>Germany</v>
      </c>
      <c r="AA2215" t="s">
        <v>443</v>
      </c>
      <c r="AB2215" t="s">
        <v>42</v>
      </c>
      <c r="AC2215" t="s">
        <v>444</v>
      </c>
      <c r="AD2215" t="s">
        <v>445</v>
      </c>
      <c r="AE2215" t="s">
        <v>36</v>
      </c>
    </row>
    <row r="2216" spans="1:31" x14ac:dyDescent="0.3">
      <c r="A2216">
        <v>10319</v>
      </c>
      <c r="B2216">
        <v>29</v>
      </c>
      <c r="C2216">
        <v>38.22</v>
      </c>
      <c r="D2216">
        <v>5</v>
      </c>
      <c r="E2216" s="4" t="str">
        <f t="shared" si="204"/>
        <v>low sales</v>
      </c>
      <c r="F2216">
        <v>1108.3800000000001</v>
      </c>
      <c r="G2216" t="s">
        <v>2888</v>
      </c>
      <c r="H2216" s="1" t="str">
        <f t="shared" si="205"/>
        <v>Shipped</v>
      </c>
      <c r="I2216" s="4" t="str">
        <f t="shared" si="206"/>
        <v>completed</v>
      </c>
      <c r="J2216" t="s">
        <v>25</v>
      </c>
      <c r="K2216">
        <v>4</v>
      </c>
      <c r="L2216">
        <v>11</v>
      </c>
      <c r="M2216">
        <v>2004</v>
      </c>
      <c r="N2216" t="s">
        <v>26</v>
      </c>
      <c r="O2216">
        <v>40</v>
      </c>
      <c r="P2216" t="s">
        <v>651</v>
      </c>
      <c r="Q2216" t="s">
        <v>507</v>
      </c>
      <c r="R2216">
        <v>2125551957</v>
      </c>
      <c r="S2216" t="s">
        <v>508</v>
      </c>
      <c r="T2216" t="s">
        <v>509</v>
      </c>
      <c r="U2216" s="1" t="str">
        <f t="shared" si="207"/>
        <v>Nyc</v>
      </c>
      <c r="V2216" t="s">
        <v>30</v>
      </c>
      <c r="W2216" t="s">
        <v>31</v>
      </c>
      <c r="X2216">
        <v>10022</v>
      </c>
      <c r="Y2216" s="1" t="str">
        <f t="shared" si="208"/>
        <v>USA</v>
      </c>
      <c r="Z2216" s="4" t="str">
        <f t="shared" si="209"/>
        <v>Usa</v>
      </c>
      <c r="AA2216" t="s">
        <v>32</v>
      </c>
      <c r="AB2216" t="s">
        <v>33</v>
      </c>
      <c r="AC2216" t="s">
        <v>510</v>
      </c>
      <c r="AD2216" t="s">
        <v>511</v>
      </c>
      <c r="AE2216" t="s">
        <v>36</v>
      </c>
    </row>
    <row r="2217" spans="1:31" x14ac:dyDescent="0.3">
      <c r="A2217">
        <v>10331</v>
      </c>
      <c r="B2217">
        <v>28</v>
      </c>
      <c r="C2217">
        <v>100</v>
      </c>
      <c r="D2217">
        <v>3</v>
      </c>
      <c r="E2217" s="4" t="str">
        <f t="shared" si="204"/>
        <v>high sales</v>
      </c>
      <c r="F2217">
        <v>4102.5600000000004</v>
      </c>
      <c r="G2217" t="s">
        <v>2889</v>
      </c>
      <c r="H2217" s="1" t="str">
        <f t="shared" si="205"/>
        <v>Shipped</v>
      </c>
      <c r="I2217" s="4" t="str">
        <f t="shared" si="206"/>
        <v>completed</v>
      </c>
      <c r="J2217" t="s">
        <v>25</v>
      </c>
      <c r="K2217">
        <v>4</v>
      </c>
      <c r="L2217">
        <v>11</v>
      </c>
      <c r="M2217">
        <v>2004</v>
      </c>
      <c r="N2217" t="s">
        <v>26</v>
      </c>
      <c r="O2217">
        <v>40</v>
      </c>
      <c r="P2217" t="s">
        <v>651</v>
      </c>
      <c r="Q2217" t="s">
        <v>309</v>
      </c>
      <c r="R2217">
        <v>2155559857</v>
      </c>
      <c r="S2217" t="s">
        <v>310</v>
      </c>
      <c r="U2217" s="1" t="str">
        <f t="shared" si="207"/>
        <v>Philadelphia</v>
      </c>
      <c r="V2217" t="s">
        <v>216</v>
      </c>
      <c r="W2217" t="s">
        <v>142</v>
      </c>
      <c r="X2217">
        <v>71270</v>
      </c>
      <c r="Y2217" s="1" t="str">
        <f t="shared" si="208"/>
        <v>USA</v>
      </c>
      <c r="Z2217" s="4" t="str">
        <f t="shared" si="209"/>
        <v>Usa</v>
      </c>
      <c r="AA2217" t="s">
        <v>32</v>
      </c>
      <c r="AB2217" t="s">
        <v>33</v>
      </c>
      <c r="AC2217" t="s">
        <v>124</v>
      </c>
      <c r="AD2217" t="s">
        <v>311</v>
      </c>
      <c r="AE2217" t="s">
        <v>51</v>
      </c>
    </row>
    <row r="2218" spans="1:31" x14ac:dyDescent="0.3">
      <c r="A2218">
        <v>10343</v>
      </c>
      <c r="B2218">
        <v>29</v>
      </c>
      <c r="C2218">
        <v>100</v>
      </c>
      <c r="D2218">
        <v>5</v>
      </c>
      <c r="E2218" s="4" t="str">
        <f t="shared" si="204"/>
        <v>low sales</v>
      </c>
      <c r="F2218">
        <v>3713.16</v>
      </c>
      <c r="G2218" t="s">
        <v>2890</v>
      </c>
      <c r="H2218" s="1" t="str">
        <f t="shared" si="205"/>
        <v>Shipped</v>
      </c>
      <c r="I2218" s="4" t="str">
        <f t="shared" si="206"/>
        <v>completed</v>
      </c>
      <c r="J2218" t="s">
        <v>25</v>
      </c>
      <c r="K2218">
        <v>4</v>
      </c>
      <c r="L2218">
        <v>11</v>
      </c>
      <c r="M2218">
        <v>2004</v>
      </c>
      <c r="N2218" t="s">
        <v>26</v>
      </c>
      <c r="O2218">
        <v>40</v>
      </c>
      <c r="P2218" t="s">
        <v>651</v>
      </c>
      <c r="Q2218" t="s">
        <v>37</v>
      </c>
      <c r="R2218" t="s">
        <v>38</v>
      </c>
      <c r="S2218" t="s">
        <v>39</v>
      </c>
      <c r="U2218" s="1" t="str">
        <f t="shared" si="207"/>
        <v>Reims</v>
      </c>
      <c r="V2218" t="s">
        <v>40</v>
      </c>
      <c r="X2218">
        <v>51100</v>
      </c>
      <c r="Y2218" s="1" t="str">
        <f t="shared" si="208"/>
        <v>FRANCE</v>
      </c>
      <c r="Z2218" s="4" t="str">
        <f t="shared" si="209"/>
        <v>France</v>
      </c>
      <c r="AA2218" t="s">
        <v>41</v>
      </c>
      <c r="AB2218" t="s">
        <v>42</v>
      </c>
      <c r="AC2218" t="s">
        <v>43</v>
      </c>
      <c r="AD2218" t="s">
        <v>44</v>
      </c>
      <c r="AE2218" t="s">
        <v>51</v>
      </c>
    </row>
    <row r="2219" spans="1:31" x14ac:dyDescent="0.3">
      <c r="A2219">
        <v>10355</v>
      </c>
      <c r="B2219">
        <v>38</v>
      </c>
      <c r="C2219">
        <v>39.83</v>
      </c>
      <c r="D2219">
        <v>10</v>
      </c>
      <c r="E2219" s="4" t="str">
        <f t="shared" si="204"/>
        <v>low sales</v>
      </c>
      <c r="F2219">
        <v>1513.54</v>
      </c>
      <c r="G2219" t="s">
        <v>2891</v>
      </c>
      <c r="H2219" s="1" t="str">
        <f t="shared" si="205"/>
        <v>Shipped</v>
      </c>
      <c r="I2219" s="4" t="str">
        <f t="shared" si="206"/>
        <v>completed</v>
      </c>
      <c r="J2219" t="s">
        <v>25</v>
      </c>
      <c r="K2219">
        <v>4</v>
      </c>
      <c r="L2219">
        <v>12</v>
      </c>
      <c r="M2219">
        <v>2004</v>
      </c>
      <c r="N2219" t="s">
        <v>26</v>
      </c>
      <c r="O2219">
        <v>40</v>
      </c>
      <c r="P2219" t="s">
        <v>651</v>
      </c>
      <c r="Q2219" t="s">
        <v>174</v>
      </c>
      <c r="R2219" t="s">
        <v>175</v>
      </c>
      <c r="S2219" t="s">
        <v>176</v>
      </c>
      <c r="U2219" s="1" t="str">
        <f t="shared" si="207"/>
        <v>Madrid</v>
      </c>
      <c r="V2219" t="s">
        <v>177</v>
      </c>
      <c r="X2219">
        <v>28034</v>
      </c>
      <c r="Y2219" s="1" t="str">
        <f t="shared" si="208"/>
        <v>SPAIN</v>
      </c>
      <c r="Z2219" s="4" t="str">
        <f t="shared" si="209"/>
        <v>Spain</v>
      </c>
      <c r="AA2219" t="s">
        <v>178</v>
      </c>
      <c r="AB2219" t="s">
        <v>42</v>
      </c>
      <c r="AC2219" t="s">
        <v>179</v>
      </c>
      <c r="AD2219" t="s">
        <v>180</v>
      </c>
      <c r="AE2219" t="s">
        <v>36</v>
      </c>
    </row>
    <row r="2220" spans="1:31" x14ac:dyDescent="0.3">
      <c r="A2220">
        <v>10364</v>
      </c>
      <c r="B2220">
        <v>48</v>
      </c>
      <c r="C2220">
        <v>48.28</v>
      </c>
      <c r="D2220">
        <v>1</v>
      </c>
      <c r="E2220" s="4" t="str">
        <f t="shared" si="204"/>
        <v>low sales</v>
      </c>
      <c r="F2220">
        <v>2317.44</v>
      </c>
      <c r="G2220" t="s">
        <v>2892</v>
      </c>
      <c r="H2220" s="1" t="str">
        <f t="shared" si="205"/>
        <v>Shipped</v>
      </c>
      <c r="I2220" s="4" t="str">
        <f t="shared" si="206"/>
        <v>completed</v>
      </c>
      <c r="J2220" t="s">
        <v>25</v>
      </c>
      <c r="K2220">
        <v>1</v>
      </c>
      <c r="L2220">
        <v>1</v>
      </c>
      <c r="M2220">
        <v>2005</v>
      </c>
      <c r="N2220" t="s">
        <v>26</v>
      </c>
      <c r="O2220">
        <v>40</v>
      </c>
      <c r="P2220" t="s">
        <v>651</v>
      </c>
      <c r="Q2220" t="s">
        <v>433</v>
      </c>
      <c r="R2220" t="s">
        <v>434</v>
      </c>
      <c r="S2220" t="s">
        <v>435</v>
      </c>
      <c r="U2220" s="1" t="str">
        <f t="shared" si="207"/>
        <v>Marseille</v>
      </c>
      <c r="V2220" t="s">
        <v>436</v>
      </c>
      <c r="X2220">
        <v>13008</v>
      </c>
      <c r="Y2220" s="1" t="str">
        <f t="shared" si="208"/>
        <v>FRANCE</v>
      </c>
      <c r="Z2220" s="4" t="str">
        <f t="shared" si="209"/>
        <v>France</v>
      </c>
      <c r="AA2220" t="s">
        <v>41</v>
      </c>
      <c r="AB2220" t="s">
        <v>42</v>
      </c>
      <c r="AC2220" t="s">
        <v>437</v>
      </c>
      <c r="AD2220" t="s">
        <v>438</v>
      </c>
      <c r="AE2220" t="s">
        <v>36</v>
      </c>
    </row>
    <row r="2221" spans="1:31" x14ac:dyDescent="0.3">
      <c r="A2221">
        <v>10378</v>
      </c>
      <c r="B2221">
        <v>40</v>
      </c>
      <c r="C2221">
        <v>82.46</v>
      </c>
      <c r="D2221">
        <v>1</v>
      </c>
      <c r="E2221" s="4" t="str">
        <f t="shared" si="204"/>
        <v>low sales</v>
      </c>
      <c r="F2221">
        <v>3298.4</v>
      </c>
      <c r="G2221" t="s">
        <v>2893</v>
      </c>
      <c r="H2221" s="1" t="str">
        <f t="shared" si="205"/>
        <v>Shipped</v>
      </c>
      <c r="I2221" s="4" t="str">
        <f t="shared" si="206"/>
        <v>completed</v>
      </c>
      <c r="J2221" t="s">
        <v>25</v>
      </c>
      <c r="K2221">
        <v>1</v>
      </c>
      <c r="L2221">
        <v>2</v>
      </c>
      <c r="M2221">
        <v>2005</v>
      </c>
      <c r="N2221" t="s">
        <v>26</v>
      </c>
      <c r="O2221">
        <v>40</v>
      </c>
      <c r="P2221" t="s">
        <v>651</v>
      </c>
      <c r="Q2221" t="s">
        <v>174</v>
      </c>
      <c r="R2221" t="s">
        <v>175</v>
      </c>
      <c r="S2221" t="s">
        <v>176</v>
      </c>
      <c r="U2221" s="1" t="str">
        <f t="shared" si="207"/>
        <v>Madrid</v>
      </c>
      <c r="V2221" t="s">
        <v>177</v>
      </c>
      <c r="X2221">
        <v>28034</v>
      </c>
      <c r="Y2221" s="1" t="str">
        <f t="shared" si="208"/>
        <v>SPAIN</v>
      </c>
      <c r="Z2221" s="4" t="str">
        <f t="shared" si="209"/>
        <v>Spain</v>
      </c>
      <c r="AA2221" t="s">
        <v>178</v>
      </c>
      <c r="AB2221" t="s">
        <v>42</v>
      </c>
      <c r="AC2221" t="s">
        <v>179</v>
      </c>
      <c r="AD2221" t="s">
        <v>180</v>
      </c>
      <c r="AE2221" t="s">
        <v>51</v>
      </c>
    </row>
    <row r="2222" spans="1:31" x14ac:dyDescent="0.3">
      <c r="A2222">
        <v>10390</v>
      </c>
      <c r="B2222">
        <v>41</v>
      </c>
      <c r="C2222">
        <v>44.56</v>
      </c>
      <c r="D2222">
        <v>11</v>
      </c>
      <c r="E2222" s="4" t="str">
        <f t="shared" si="204"/>
        <v>low sales</v>
      </c>
      <c r="F2222">
        <v>1826.96</v>
      </c>
      <c r="G2222" t="s">
        <v>2894</v>
      </c>
      <c r="H2222" s="1" t="str">
        <f t="shared" si="205"/>
        <v>Shipped</v>
      </c>
      <c r="I2222" s="4" t="str">
        <f t="shared" si="206"/>
        <v>completed</v>
      </c>
      <c r="J2222" t="s">
        <v>25</v>
      </c>
      <c r="K2222">
        <v>1</v>
      </c>
      <c r="L2222">
        <v>3</v>
      </c>
      <c r="M2222">
        <v>2005</v>
      </c>
      <c r="N2222" t="s">
        <v>26</v>
      </c>
      <c r="O2222">
        <v>40</v>
      </c>
      <c r="P2222" t="s">
        <v>651</v>
      </c>
      <c r="Q2222" t="s">
        <v>272</v>
      </c>
      <c r="R2222">
        <v>4155551450</v>
      </c>
      <c r="S2222" t="s">
        <v>273</v>
      </c>
      <c r="U2222" s="1" t="str">
        <f t="shared" si="207"/>
        <v>San Rafael</v>
      </c>
      <c r="V2222" t="s">
        <v>274</v>
      </c>
      <c r="W2222" t="s">
        <v>55</v>
      </c>
      <c r="X2222">
        <v>97562</v>
      </c>
      <c r="Y2222" s="1" t="str">
        <f t="shared" si="208"/>
        <v>USA</v>
      </c>
      <c r="Z2222" s="4" t="str">
        <f t="shared" si="209"/>
        <v>Usa</v>
      </c>
      <c r="AA2222" t="s">
        <v>32</v>
      </c>
      <c r="AB2222" t="s">
        <v>33</v>
      </c>
      <c r="AC2222" t="s">
        <v>275</v>
      </c>
      <c r="AD2222" t="s">
        <v>276</v>
      </c>
      <c r="AE2222" t="s">
        <v>36</v>
      </c>
    </row>
    <row r="2223" spans="1:31" x14ac:dyDescent="0.3">
      <c r="A2223">
        <v>10403</v>
      </c>
      <c r="B2223">
        <v>30</v>
      </c>
      <c r="C2223">
        <v>40.229999999999997</v>
      </c>
      <c r="D2223">
        <v>2</v>
      </c>
      <c r="E2223" s="4" t="str">
        <f t="shared" si="204"/>
        <v>low sales</v>
      </c>
      <c r="F2223">
        <v>1206.9000000000001</v>
      </c>
      <c r="G2223" t="s">
        <v>2895</v>
      </c>
      <c r="H2223" s="1" t="str">
        <f t="shared" si="205"/>
        <v>Shipped</v>
      </c>
      <c r="I2223" s="4" t="str">
        <f t="shared" si="206"/>
        <v>completed</v>
      </c>
      <c r="J2223" t="s">
        <v>25</v>
      </c>
      <c r="K2223">
        <v>2</v>
      </c>
      <c r="L2223">
        <v>4</v>
      </c>
      <c r="M2223">
        <v>2005</v>
      </c>
      <c r="N2223" t="s">
        <v>26</v>
      </c>
      <c r="O2223">
        <v>40</v>
      </c>
      <c r="P2223" t="s">
        <v>651</v>
      </c>
      <c r="Q2223" t="s">
        <v>165</v>
      </c>
      <c r="R2223" t="s">
        <v>166</v>
      </c>
      <c r="S2223" t="s">
        <v>167</v>
      </c>
      <c r="U2223" s="1" t="str">
        <f t="shared" si="207"/>
        <v>Liverpool</v>
      </c>
      <c r="V2223" t="s">
        <v>168</v>
      </c>
      <c r="X2223" t="s">
        <v>169</v>
      </c>
      <c r="Y2223" s="1" t="str">
        <f t="shared" si="208"/>
        <v>UK</v>
      </c>
      <c r="Z2223" s="4" t="str">
        <f t="shared" si="209"/>
        <v>Uk</v>
      </c>
      <c r="AA2223" t="s">
        <v>170</v>
      </c>
      <c r="AB2223" t="s">
        <v>42</v>
      </c>
      <c r="AC2223" t="s">
        <v>171</v>
      </c>
      <c r="AD2223" t="s">
        <v>172</v>
      </c>
      <c r="AE2223" t="s">
        <v>36</v>
      </c>
    </row>
    <row r="2224" spans="1:31" x14ac:dyDescent="0.3">
      <c r="A2224">
        <v>10104</v>
      </c>
      <c r="B2224">
        <v>35</v>
      </c>
      <c r="C2224">
        <v>47.62</v>
      </c>
      <c r="D2224">
        <v>11</v>
      </c>
      <c r="E2224" s="4" t="str">
        <f t="shared" si="204"/>
        <v>low sales</v>
      </c>
      <c r="F2224">
        <v>1666.7</v>
      </c>
      <c r="G2224" t="s">
        <v>2896</v>
      </c>
      <c r="H2224" s="1" t="str">
        <f t="shared" si="205"/>
        <v>Shipped</v>
      </c>
      <c r="I2224" s="4" t="str">
        <f t="shared" si="206"/>
        <v>completed</v>
      </c>
      <c r="J2224" t="s">
        <v>25</v>
      </c>
      <c r="K2224">
        <v>1</v>
      </c>
      <c r="L2224">
        <v>1</v>
      </c>
      <c r="M2224">
        <v>2003</v>
      </c>
      <c r="N2224" t="s">
        <v>504</v>
      </c>
      <c r="O2224">
        <v>54</v>
      </c>
      <c r="P2224" t="s">
        <v>652</v>
      </c>
      <c r="Q2224" t="s">
        <v>174</v>
      </c>
      <c r="R2224" t="s">
        <v>175</v>
      </c>
      <c r="S2224" t="s">
        <v>176</v>
      </c>
      <c r="U2224" s="1" t="str">
        <f t="shared" si="207"/>
        <v>Madrid</v>
      </c>
      <c r="V2224" t="s">
        <v>177</v>
      </c>
      <c r="X2224">
        <v>28034</v>
      </c>
      <c r="Y2224" s="1" t="str">
        <f t="shared" si="208"/>
        <v>SPAIN</v>
      </c>
      <c r="Z2224" s="4" t="str">
        <f t="shared" si="209"/>
        <v>Spain</v>
      </c>
      <c r="AA2224" t="s">
        <v>178</v>
      </c>
      <c r="AB2224" t="s">
        <v>42</v>
      </c>
      <c r="AC2224" t="s">
        <v>179</v>
      </c>
      <c r="AD2224" t="s">
        <v>180</v>
      </c>
      <c r="AE2224" t="s">
        <v>36</v>
      </c>
    </row>
    <row r="2225" spans="1:31" x14ac:dyDescent="0.3">
      <c r="A2225">
        <v>10114</v>
      </c>
      <c r="B2225">
        <v>28</v>
      </c>
      <c r="C2225">
        <v>55.73</v>
      </c>
      <c r="D2225">
        <v>2</v>
      </c>
      <c r="E2225" s="4" t="str">
        <f t="shared" si="204"/>
        <v>low sales</v>
      </c>
      <c r="F2225">
        <v>1560.44</v>
      </c>
      <c r="G2225" t="s">
        <v>2897</v>
      </c>
      <c r="H2225" s="1" t="str">
        <f t="shared" si="205"/>
        <v>Shipped</v>
      </c>
      <c r="I2225" s="4" t="str">
        <f t="shared" si="206"/>
        <v>completed</v>
      </c>
      <c r="J2225" t="s">
        <v>25</v>
      </c>
      <c r="K2225">
        <v>2</v>
      </c>
      <c r="L2225">
        <v>4</v>
      </c>
      <c r="M2225">
        <v>2003</v>
      </c>
      <c r="N2225" t="s">
        <v>504</v>
      </c>
      <c r="O2225">
        <v>54</v>
      </c>
      <c r="P2225" t="s">
        <v>652</v>
      </c>
      <c r="Q2225" t="s">
        <v>403</v>
      </c>
      <c r="R2225" t="s">
        <v>404</v>
      </c>
      <c r="S2225" t="s">
        <v>405</v>
      </c>
      <c r="U2225" s="1" t="str">
        <f t="shared" si="207"/>
        <v>Paris</v>
      </c>
      <c r="V2225" t="s">
        <v>48</v>
      </c>
      <c r="X2225">
        <v>75012</v>
      </c>
      <c r="Y2225" s="1" t="str">
        <f t="shared" si="208"/>
        <v>FRANCE</v>
      </c>
      <c r="Z2225" s="4" t="str">
        <f t="shared" si="209"/>
        <v>France</v>
      </c>
      <c r="AA2225" t="s">
        <v>41</v>
      </c>
      <c r="AB2225" t="s">
        <v>42</v>
      </c>
      <c r="AC2225" t="s">
        <v>406</v>
      </c>
      <c r="AD2225" t="s">
        <v>407</v>
      </c>
      <c r="AE2225" t="s">
        <v>36</v>
      </c>
    </row>
    <row r="2226" spans="1:31" x14ac:dyDescent="0.3">
      <c r="A2226">
        <v>10127</v>
      </c>
      <c r="B2226">
        <v>45</v>
      </c>
      <c r="C2226">
        <v>51.95</v>
      </c>
      <c r="D2226">
        <v>13</v>
      </c>
      <c r="E2226" s="4" t="str">
        <f t="shared" si="204"/>
        <v>low sales</v>
      </c>
      <c r="F2226">
        <v>2337.75</v>
      </c>
      <c r="G2226" t="s">
        <v>2898</v>
      </c>
      <c r="H2226" s="1" t="str">
        <f t="shared" si="205"/>
        <v>Shipped</v>
      </c>
      <c r="I2226" s="4" t="str">
        <f t="shared" si="206"/>
        <v>completed</v>
      </c>
      <c r="J2226" t="s">
        <v>25</v>
      </c>
      <c r="K2226">
        <v>2</v>
      </c>
      <c r="L2226">
        <v>6</v>
      </c>
      <c r="M2226">
        <v>2003</v>
      </c>
      <c r="N2226" t="s">
        <v>504</v>
      </c>
      <c r="O2226">
        <v>54</v>
      </c>
      <c r="P2226" t="s">
        <v>652</v>
      </c>
      <c r="Q2226" t="s">
        <v>475</v>
      </c>
      <c r="R2226">
        <v>2125557413</v>
      </c>
      <c r="S2226" t="s">
        <v>476</v>
      </c>
      <c r="T2226" t="s">
        <v>477</v>
      </c>
      <c r="U2226" s="1" t="str">
        <f t="shared" si="207"/>
        <v>Nyc</v>
      </c>
      <c r="V2226" t="s">
        <v>30</v>
      </c>
      <c r="W2226" t="s">
        <v>31</v>
      </c>
      <c r="X2226">
        <v>10022</v>
      </c>
      <c r="Y2226" s="1" t="str">
        <f t="shared" si="208"/>
        <v>USA</v>
      </c>
      <c r="Z2226" s="4" t="str">
        <f t="shared" si="209"/>
        <v>Usa</v>
      </c>
      <c r="AA2226" t="s">
        <v>32</v>
      </c>
      <c r="AB2226" t="s">
        <v>33</v>
      </c>
      <c r="AC2226" t="s">
        <v>56</v>
      </c>
      <c r="AD2226" t="s">
        <v>478</v>
      </c>
      <c r="AE2226" t="s">
        <v>36</v>
      </c>
    </row>
    <row r="2227" spans="1:31" x14ac:dyDescent="0.3">
      <c r="A2227">
        <v>10141</v>
      </c>
      <c r="B2227">
        <v>24</v>
      </c>
      <c r="C2227">
        <v>45.99</v>
      </c>
      <c r="D2227">
        <v>7</v>
      </c>
      <c r="E2227" s="4" t="str">
        <f t="shared" si="204"/>
        <v>low sales</v>
      </c>
      <c r="F2227">
        <v>1103.76</v>
      </c>
      <c r="G2227" t="s">
        <v>2899</v>
      </c>
      <c r="H2227" s="1" t="str">
        <f t="shared" si="205"/>
        <v>Shipped</v>
      </c>
      <c r="I2227" s="4" t="str">
        <f t="shared" si="206"/>
        <v>completed</v>
      </c>
      <c r="J2227" t="s">
        <v>25</v>
      </c>
      <c r="K2227">
        <v>3</v>
      </c>
      <c r="L2227">
        <v>8</v>
      </c>
      <c r="M2227">
        <v>2003</v>
      </c>
      <c r="N2227" t="s">
        <v>504</v>
      </c>
      <c r="O2227">
        <v>54</v>
      </c>
      <c r="P2227" t="s">
        <v>652</v>
      </c>
      <c r="Q2227" t="s">
        <v>467</v>
      </c>
      <c r="R2227" t="s">
        <v>468</v>
      </c>
      <c r="S2227" t="s">
        <v>469</v>
      </c>
      <c r="U2227" s="1" t="str">
        <f t="shared" si="207"/>
        <v>Espoo</v>
      </c>
      <c r="V2227" t="s">
        <v>470</v>
      </c>
      <c r="X2227" t="s">
        <v>471</v>
      </c>
      <c r="Y2227" s="1" t="str">
        <f t="shared" si="208"/>
        <v>FINLAND</v>
      </c>
      <c r="Z2227" s="4" t="str">
        <f t="shared" si="209"/>
        <v>Finland</v>
      </c>
      <c r="AA2227" t="s">
        <v>130</v>
      </c>
      <c r="AB2227" t="s">
        <v>42</v>
      </c>
      <c r="AC2227" t="s">
        <v>472</v>
      </c>
      <c r="AD2227" t="s">
        <v>473</v>
      </c>
      <c r="AE2227" t="s">
        <v>36</v>
      </c>
    </row>
    <row r="2228" spans="1:31" x14ac:dyDescent="0.3">
      <c r="A2228">
        <v>10151</v>
      </c>
      <c r="B2228">
        <v>41</v>
      </c>
      <c r="C2228">
        <v>63.85</v>
      </c>
      <c r="D2228">
        <v>5</v>
      </c>
      <c r="E2228" s="4" t="str">
        <f t="shared" si="204"/>
        <v>low sales</v>
      </c>
      <c r="F2228">
        <v>2617.85</v>
      </c>
      <c r="G2228" t="s">
        <v>2900</v>
      </c>
      <c r="H2228" s="1" t="str">
        <f t="shared" si="205"/>
        <v>Shipped</v>
      </c>
      <c r="I2228" s="4" t="str">
        <f t="shared" si="206"/>
        <v>completed</v>
      </c>
      <c r="J2228" t="s">
        <v>25</v>
      </c>
      <c r="K2228">
        <v>3</v>
      </c>
      <c r="L2228">
        <v>9</v>
      </c>
      <c r="M2228">
        <v>2003</v>
      </c>
      <c r="N2228" t="s">
        <v>504</v>
      </c>
      <c r="O2228">
        <v>54</v>
      </c>
      <c r="P2228" t="s">
        <v>652</v>
      </c>
      <c r="Q2228" t="s">
        <v>391</v>
      </c>
      <c r="R2228" t="s">
        <v>392</v>
      </c>
      <c r="S2228" t="s">
        <v>393</v>
      </c>
      <c r="U2228" s="1" t="str">
        <f t="shared" si="207"/>
        <v>Oulu</v>
      </c>
      <c r="V2228" t="s">
        <v>394</v>
      </c>
      <c r="X2228">
        <v>90110</v>
      </c>
      <c r="Y2228" s="1" t="str">
        <f t="shared" si="208"/>
        <v>FINLAND</v>
      </c>
      <c r="Z2228" s="4" t="str">
        <f t="shared" si="209"/>
        <v>Finland</v>
      </c>
      <c r="AA2228" t="s">
        <v>130</v>
      </c>
      <c r="AB2228" t="s">
        <v>42</v>
      </c>
      <c r="AC2228" t="s">
        <v>395</v>
      </c>
      <c r="AD2228" t="s">
        <v>396</v>
      </c>
      <c r="AE2228" t="s">
        <v>36</v>
      </c>
    </row>
    <row r="2229" spans="1:31" x14ac:dyDescent="0.3">
      <c r="A2229">
        <v>10165</v>
      </c>
      <c r="B2229">
        <v>48</v>
      </c>
      <c r="C2229">
        <v>45.99</v>
      </c>
      <c r="D2229">
        <v>14</v>
      </c>
      <c r="E2229" s="4" t="str">
        <f t="shared" si="204"/>
        <v>low sales</v>
      </c>
      <c r="F2229">
        <v>2207.52</v>
      </c>
      <c r="G2229" t="s">
        <v>2901</v>
      </c>
      <c r="H2229" s="1" t="str">
        <f t="shared" si="205"/>
        <v>Shipped</v>
      </c>
      <c r="I2229" s="4" t="str">
        <f t="shared" si="206"/>
        <v>completed</v>
      </c>
      <c r="J2229" t="s">
        <v>25</v>
      </c>
      <c r="K2229">
        <v>4</v>
      </c>
      <c r="L2229">
        <v>10</v>
      </c>
      <c r="M2229">
        <v>2003</v>
      </c>
      <c r="N2229" t="s">
        <v>504</v>
      </c>
      <c r="O2229">
        <v>54</v>
      </c>
      <c r="P2229" t="s">
        <v>652</v>
      </c>
      <c r="Q2229" t="s">
        <v>196</v>
      </c>
      <c r="R2229" t="s">
        <v>197</v>
      </c>
      <c r="S2229" t="s">
        <v>198</v>
      </c>
      <c r="U2229" s="1" t="str">
        <f t="shared" si="207"/>
        <v>Singapore</v>
      </c>
      <c r="V2229" t="s">
        <v>199</v>
      </c>
      <c r="X2229">
        <v>79903</v>
      </c>
      <c r="Y2229" s="1" t="str">
        <f t="shared" si="208"/>
        <v>SINGAPORE</v>
      </c>
      <c r="Z2229" s="4" t="str">
        <f t="shared" si="209"/>
        <v>Singapore</v>
      </c>
      <c r="AA2229" t="s">
        <v>199</v>
      </c>
      <c r="AB2229" t="s">
        <v>200</v>
      </c>
      <c r="AC2229" t="s">
        <v>201</v>
      </c>
      <c r="AD2229" t="s">
        <v>202</v>
      </c>
      <c r="AE2229" t="s">
        <v>36</v>
      </c>
    </row>
    <row r="2230" spans="1:31" x14ac:dyDescent="0.3">
      <c r="A2230">
        <v>10175</v>
      </c>
      <c r="B2230">
        <v>50</v>
      </c>
      <c r="C2230">
        <v>63.31</v>
      </c>
      <c r="D2230">
        <v>3</v>
      </c>
      <c r="E2230" s="4" t="str">
        <f t="shared" si="204"/>
        <v>low sales</v>
      </c>
      <c r="F2230">
        <v>3165.5</v>
      </c>
      <c r="G2230" t="s">
        <v>2902</v>
      </c>
      <c r="H2230" s="1" t="str">
        <f t="shared" si="205"/>
        <v>Shipped</v>
      </c>
      <c r="I2230" s="4" t="str">
        <f t="shared" si="206"/>
        <v>completed</v>
      </c>
      <c r="J2230" t="s">
        <v>25</v>
      </c>
      <c r="K2230">
        <v>4</v>
      </c>
      <c r="L2230">
        <v>11</v>
      </c>
      <c r="M2230">
        <v>2003</v>
      </c>
      <c r="N2230" t="s">
        <v>504</v>
      </c>
      <c r="O2230">
        <v>54</v>
      </c>
      <c r="P2230" t="s">
        <v>652</v>
      </c>
      <c r="Q2230" t="s">
        <v>329</v>
      </c>
      <c r="R2230" t="s">
        <v>330</v>
      </c>
      <c r="S2230" t="s">
        <v>331</v>
      </c>
      <c r="U2230" s="1" t="str">
        <f t="shared" si="207"/>
        <v>London</v>
      </c>
      <c r="V2230" t="s">
        <v>332</v>
      </c>
      <c r="X2230" t="s">
        <v>333</v>
      </c>
      <c r="Y2230" s="1" t="str">
        <f t="shared" si="208"/>
        <v>UK</v>
      </c>
      <c r="Z2230" s="4" t="str">
        <f t="shared" si="209"/>
        <v>Uk</v>
      </c>
      <c r="AA2230" t="s">
        <v>170</v>
      </c>
      <c r="AB2230" t="s">
        <v>42</v>
      </c>
      <c r="AC2230" t="s">
        <v>61</v>
      </c>
      <c r="AD2230" t="s">
        <v>334</v>
      </c>
      <c r="AE2230" t="s">
        <v>51</v>
      </c>
    </row>
    <row r="2231" spans="1:31" x14ac:dyDescent="0.3">
      <c r="A2231">
        <v>10184</v>
      </c>
      <c r="B2231">
        <v>33</v>
      </c>
      <c r="C2231">
        <v>62.77</v>
      </c>
      <c r="D2231">
        <v>8</v>
      </c>
      <c r="E2231" s="4" t="str">
        <f t="shared" si="204"/>
        <v>low sales</v>
      </c>
      <c r="F2231">
        <v>2071.41</v>
      </c>
      <c r="G2231" t="s">
        <v>2903</v>
      </c>
      <c r="H2231" s="1" t="str">
        <f t="shared" si="205"/>
        <v>Shipped</v>
      </c>
      <c r="I2231" s="4" t="str">
        <f t="shared" si="206"/>
        <v>completed</v>
      </c>
      <c r="J2231" t="s">
        <v>25</v>
      </c>
      <c r="K2231">
        <v>4</v>
      </c>
      <c r="L2231">
        <v>11</v>
      </c>
      <c r="M2231">
        <v>2003</v>
      </c>
      <c r="N2231" t="s">
        <v>504</v>
      </c>
      <c r="O2231">
        <v>54</v>
      </c>
      <c r="P2231" t="s">
        <v>652</v>
      </c>
      <c r="Q2231" t="s">
        <v>520</v>
      </c>
      <c r="R2231" t="s">
        <v>521</v>
      </c>
      <c r="S2231" t="s">
        <v>522</v>
      </c>
      <c r="U2231" s="1" t="str">
        <f t="shared" si="207"/>
        <v>Sevilla</v>
      </c>
      <c r="V2231" t="s">
        <v>523</v>
      </c>
      <c r="X2231">
        <v>41101</v>
      </c>
      <c r="Y2231" s="1" t="str">
        <f t="shared" si="208"/>
        <v>SPAIN</v>
      </c>
      <c r="Z2231" s="4" t="str">
        <f t="shared" si="209"/>
        <v>Spain</v>
      </c>
      <c r="AA2231" t="s">
        <v>178</v>
      </c>
      <c r="AB2231" t="s">
        <v>42</v>
      </c>
      <c r="AC2231" t="s">
        <v>524</v>
      </c>
      <c r="AD2231" t="s">
        <v>525</v>
      </c>
      <c r="AE2231" t="s">
        <v>36</v>
      </c>
    </row>
    <row r="2232" spans="1:31" x14ac:dyDescent="0.3">
      <c r="A2232">
        <v>10195</v>
      </c>
      <c r="B2232">
        <v>32</v>
      </c>
      <c r="C2232">
        <v>43.29</v>
      </c>
      <c r="D2232">
        <v>8</v>
      </c>
      <c r="E2232" s="4" t="str">
        <f t="shared" si="204"/>
        <v>low sales</v>
      </c>
      <c r="F2232">
        <v>1385.28</v>
      </c>
      <c r="G2232" t="s">
        <v>2904</v>
      </c>
      <c r="H2232" s="1" t="str">
        <f t="shared" si="205"/>
        <v>Shipped</v>
      </c>
      <c r="I2232" s="4" t="str">
        <f t="shared" si="206"/>
        <v>completed</v>
      </c>
      <c r="J2232" t="s">
        <v>25</v>
      </c>
      <c r="K2232">
        <v>4</v>
      </c>
      <c r="L2232">
        <v>11</v>
      </c>
      <c r="M2232">
        <v>2003</v>
      </c>
      <c r="N2232" t="s">
        <v>504</v>
      </c>
      <c r="O2232">
        <v>54</v>
      </c>
      <c r="P2232" t="s">
        <v>652</v>
      </c>
      <c r="Q2232" t="s">
        <v>317</v>
      </c>
      <c r="R2232">
        <v>9145554562</v>
      </c>
      <c r="S2232" t="s">
        <v>318</v>
      </c>
      <c r="U2232" s="1" t="str">
        <f t="shared" si="207"/>
        <v>White Plains</v>
      </c>
      <c r="V2232" t="s">
        <v>319</v>
      </c>
      <c r="W2232" t="s">
        <v>31</v>
      </c>
      <c r="X2232">
        <v>24067</v>
      </c>
      <c r="Y2232" s="1" t="str">
        <f t="shared" si="208"/>
        <v>USA</v>
      </c>
      <c r="Z2232" s="4" t="str">
        <f t="shared" si="209"/>
        <v>Usa</v>
      </c>
      <c r="AA2232" t="s">
        <v>32</v>
      </c>
      <c r="AB2232" t="s">
        <v>33</v>
      </c>
      <c r="AC2232" t="s">
        <v>102</v>
      </c>
      <c r="AD2232" t="s">
        <v>238</v>
      </c>
      <c r="AE2232" t="s">
        <v>36</v>
      </c>
    </row>
    <row r="2233" spans="1:31" x14ac:dyDescent="0.3">
      <c r="A2233">
        <v>10207</v>
      </c>
      <c r="B2233">
        <v>27</v>
      </c>
      <c r="C2233">
        <v>60.06</v>
      </c>
      <c r="D2233">
        <v>9</v>
      </c>
      <c r="E2233" s="4" t="str">
        <f t="shared" si="204"/>
        <v>low sales</v>
      </c>
      <c r="F2233">
        <v>1621.62</v>
      </c>
      <c r="G2233" t="s">
        <v>2905</v>
      </c>
      <c r="H2233" s="1" t="str">
        <f t="shared" si="205"/>
        <v>Shipped</v>
      </c>
      <c r="I2233" s="4" t="str">
        <f t="shared" si="206"/>
        <v>completed</v>
      </c>
      <c r="J2233" t="s">
        <v>25</v>
      </c>
      <c r="K2233">
        <v>4</v>
      </c>
      <c r="L2233">
        <v>12</v>
      </c>
      <c r="M2233">
        <v>2003</v>
      </c>
      <c r="N2233" t="s">
        <v>504</v>
      </c>
      <c r="O2233">
        <v>54</v>
      </c>
      <c r="P2233" t="s">
        <v>652</v>
      </c>
      <c r="Q2233" t="s">
        <v>415</v>
      </c>
      <c r="R2233">
        <v>6175552555</v>
      </c>
      <c r="S2233" t="s">
        <v>416</v>
      </c>
      <c r="U2233" s="1" t="str">
        <f t="shared" si="207"/>
        <v>Boston</v>
      </c>
      <c r="V2233" t="s">
        <v>381</v>
      </c>
      <c r="W2233" t="s">
        <v>123</v>
      </c>
      <c r="X2233">
        <v>51003</v>
      </c>
      <c r="Y2233" s="1" t="str">
        <f t="shared" si="208"/>
        <v>USA</v>
      </c>
      <c r="Z2233" s="4" t="str">
        <f t="shared" si="209"/>
        <v>Usa</v>
      </c>
      <c r="AA2233" t="s">
        <v>32</v>
      </c>
      <c r="AB2233" t="s">
        <v>33</v>
      </c>
      <c r="AC2233" t="s">
        <v>417</v>
      </c>
      <c r="AD2233" t="s">
        <v>276</v>
      </c>
      <c r="AE2233" t="s">
        <v>36</v>
      </c>
    </row>
    <row r="2234" spans="1:31" x14ac:dyDescent="0.3">
      <c r="A2234">
        <v>10219</v>
      </c>
      <c r="B2234">
        <v>35</v>
      </c>
      <c r="C2234">
        <v>55.19</v>
      </c>
      <c r="D2234">
        <v>4</v>
      </c>
      <c r="E2234" s="4" t="str">
        <f t="shared" si="204"/>
        <v>low sales</v>
      </c>
      <c r="F2234">
        <v>1931.65</v>
      </c>
      <c r="G2234" t="s">
        <v>2906</v>
      </c>
      <c r="H2234" s="1" t="str">
        <f t="shared" si="205"/>
        <v>Shipped</v>
      </c>
      <c r="I2234" s="4" t="str">
        <f t="shared" si="206"/>
        <v>completed</v>
      </c>
      <c r="J2234" t="s">
        <v>25</v>
      </c>
      <c r="K2234">
        <v>1</v>
      </c>
      <c r="L2234">
        <v>2</v>
      </c>
      <c r="M2234">
        <v>2004</v>
      </c>
      <c r="N2234" t="s">
        <v>504</v>
      </c>
      <c r="O2234">
        <v>54</v>
      </c>
      <c r="P2234" t="s">
        <v>652</v>
      </c>
      <c r="Q2234" t="s">
        <v>526</v>
      </c>
      <c r="R2234">
        <v>4155554312</v>
      </c>
      <c r="S2234" t="s">
        <v>527</v>
      </c>
      <c r="U2234" s="1" t="str">
        <f t="shared" si="207"/>
        <v>Brisbane</v>
      </c>
      <c r="V2234" t="s">
        <v>528</v>
      </c>
      <c r="W2234" t="s">
        <v>55</v>
      </c>
      <c r="X2234">
        <v>94217</v>
      </c>
      <c r="Y2234" s="1" t="str">
        <f t="shared" si="208"/>
        <v>USA</v>
      </c>
      <c r="Z2234" s="4" t="str">
        <f t="shared" si="209"/>
        <v>Usa</v>
      </c>
      <c r="AA2234" t="s">
        <v>32</v>
      </c>
      <c r="AB2234" t="s">
        <v>33</v>
      </c>
      <c r="AC2234" t="s">
        <v>529</v>
      </c>
      <c r="AD2234" t="s">
        <v>400</v>
      </c>
      <c r="AE2234" t="s">
        <v>36</v>
      </c>
    </row>
    <row r="2235" spans="1:31" x14ac:dyDescent="0.3">
      <c r="A2235">
        <v>10229</v>
      </c>
      <c r="B2235">
        <v>23</v>
      </c>
      <c r="C2235">
        <v>54.11</v>
      </c>
      <c r="D2235">
        <v>3</v>
      </c>
      <c r="E2235" s="4" t="str">
        <f t="shared" si="204"/>
        <v>low sales</v>
      </c>
      <c r="F2235">
        <v>1244.53</v>
      </c>
      <c r="G2235" t="s">
        <v>2907</v>
      </c>
      <c r="H2235" s="1" t="str">
        <f t="shared" si="205"/>
        <v>Shipped</v>
      </c>
      <c r="I2235" s="4" t="str">
        <f t="shared" si="206"/>
        <v>completed</v>
      </c>
      <c r="J2235" t="s">
        <v>25</v>
      </c>
      <c r="K2235">
        <v>1</v>
      </c>
      <c r="L2235">
        <v>3</v>
      </c>
      <c r="M2235">
        <v>2004</v>
      </c>
      <c r="N2235" t="s">
        <v>504</v>
      </c>
      <c r="O2235">
        <v>54</v>
      </c>
      <c r="P2235" t="s">
        <v>652</v>
      </c>
      <c r="Q2235" t="s">
        <v>272</v>
      </c>
      <c r="R2235">
        <v>4155551450</v>
      </c>
      <c r="S2235" t="s">
        <v>273</v>
      </c>
      <c r="U2235" s="1" t="str">
        <f t="shared" si="207"/>
        <v>San Rafael</v>
      </c>
      <c r="V2235" t="s">
        <v>274</v>
      </c>
      <c r="W2235" t="s">
        <v>55</v>
      </c>
      <c r="X2235">
        <v>97562</v>
      </c>
      <c r="Y2235" s="1" t="str">
        <f t="shared" si="208"/>
        <v>USA</v>
      </c>
      <c r="Z2235" s="4" t="str">
        <f t="shared" si="209"/>
        <v>Usa</v>
      </c>
      <c r="AA2235" t="s">
        <v>32</v>
      </c>
      <c r="AB2235" t="s">
        <v>33</v>
      </c>
      <c r="AC2235" t="s">
        <v>275</v>
      </c>
      <c r="AD2235" t="s">
        <v>276</v>
      </c>
      <c r="AE2235" t="s">
        <v>36</v>
      </c>
    </row>
    <row r="2236" spans="1:31" x14ac:dyDescent="0.3">
      <c r="A2236">
        <v>10246</v>
      </c>
      <c r="B2236">
        <v>35</v>
      </c>
      <c r="C2236">
        <v>48.7</v>
      </c>
      <c r="D2236">
        <v>7</v>
      </c>
      <c r="E2236" s="4" t="str">
        <f t="shared" si="204"/>
        <v>low sales</v>
      </c>
      <c r="F2236">
        <v>1704.5</v>
      </c>
      <c r="G2236" t="s">
        <v>2908</v>
      </c>
      <c r="H2236" s="1" t="str">
        <f t="shared" si="205"/>
        <v>Shipped</v>
      </c>
      <c r="I2236" s="4" t="str">
        <f t="shared" si="206"/>
        <v>completed</v>
      </c>
      <c r="J2236" t="s">
        <v>25</v>
      </c>
      <c r="K2236">
        <v>2</v>
      </c>
      <c r="L2236">
        <v>5</v>
      </c>
      <c r="M2236">
        <v>2004</v>
      </c>
      <c r="N2236" t="s">
        <v>504</v>
      </c>
      <c r="O2236">
        <v>54</v>
      </c>
      <c r="P2236" t="s">
        <v>652</v>
      </c>
      <c r="Q2236" t="s">
        <v>174</v>
      </c>
      <c r="R2236" t="s">
        <v>175</v>
      </c>
      <c r="S2236" t="s">
        <v>176</v>
      </c>
      <c r="U2236" s="1" t="str">
        <f t="shared" si="207"/>
        <v>Madrid</v>
      </c>
      <c r="V2236" t="s">
        <v>177</v>
      </c>
      <c r="X2236">
        <v>28034</v>
      </c>
      <c r="Y2236" s="1" t="str">
        <f t="shared" si="208"/>
        <v>SPAIN</v>
      </c>
      <c r="Z2236" s="4" t="str">
        <f t="shared" si="209"/>
        <v>Spain</v>
      </c>
      <c r="AA2236" t="s">
        <v>178</v>
      </c>
      <c r="AB2236" t="s">
        <v>42</v>
      </c>
      <c r="AC2236" t="s">
        <v>179</v>
      </c>
      <c r="AD2236" t="s">
        <v>180</v>
      </c>
      <c r="AE2236" t="s">
        <v>36</v>
      </c>
    </row>
    <row r="2237" spans="1:31" x14ac:dyDescent="0.3">
      <c r="A2237">
        <v>10259</v>
      </c>
      <c r="B2237">
        <v>40</v>
      </c>
      <c r="C2237">
        <v>43.83</v>
      </c>
      <c r="D2237">
        <v>6</v>
      </c>
      <c r="E2237" s="4" t="str">
        <f t="shared" si="204"/>
        <v>low sales</v>
      </c>
      <c r="F2237">
        <v>1753.2</v>
      </c>
      <c r="G2237" t="s">
        <v>2909</v>
      </c>
      <c r="H2237" s="1" t="str">
        <f t="shared" si="205"/>
        <v>Shipped</v>
      </c>
      <c r="I2237" s="4" t="str">
        <f t="shared" si="206"/>
        <v>completed</v>
      </c>
      <c r="J2237" t="s">
        <v>25</v>
      </c>
      <c r="K2237">
        <v>2</v>
      </c>
      <c r="L2237">
        <v>6</v>
      </c>
      <c r="M2237">
        <v>2004</v>
      </c>
      <c r="N2237" t="s">
        <v>504</v>
      </c>
      <c r="O2237">
        <v>54</v>
      </c>
      <c r="P2237" t="s">
        <v>652</v>
      </c>
      <c r="Q2237" t="s">
        <v>418</v>
      </c>
      <c r="R2237" t="s">
        <v>419</v>
      </c>
      <c r="S2237" t="s">
        <v>420</v>
      </c>
      <c r="T2237" t="s">
        <v>421</v>
      </c>
      <c r="U2237" s="1" t="str">
        <f t="shared" si="207"/>
        <v>Singapore</v>
      </c>
      <c r="V2237" t="s">
        <v>199</v>
      </c>
      <c r="X2237">
        <v>69045</v>
      </c>
      <c r="Y2237" s="1" t="str">
        <f t="shared" si="208"/>
        <v>SINGAPORE</v>
      </c>
      <c r="Z2237" s="4" t="str">
        <f t="shared" si="209"/>
        <v>Singapore</v>
      </c>
      <c r="AA2237" t="s">
        <v>199</v>
      </c>
      <c r="AB2237" t="s">
        <v>96</v>
      </c>
      <c r="AC2237" t="s">
        <v>422</v>
      </c>
      <c r="AD2237" t="s">
        <v>423</v>
      </c>
      <c r="AE2237" t="s">
        <v>36</v>
      </c>
    </row>
    <row r="2238" spans="1:31" x14ac:dyDescent="0.3">
      <c r="A2238">
        <v>10271</v>
      </c>
      <c r="B2238">
        <v>35</v>
      </c>
      <c r="C2238">
        <v>47.62</v>
      </c>
      <c r="D2238">
        <v>7</v>
      </c>
      <c r="E2238" s="4" t="str">
        <f t="shared" si="204"/>
        <v>low sales</v>
      </c>
      <c r="F2238">
        <v>1666.7</v>
      </c>
      <c r="G2238" t="s">
        <v>2910</v>
      </c>
      <c r="H2238" s="1" t="str">
        <f t="shared" si="205"/>
        <v>Shipped</v>
      </c>
      <c r="I2238" s="4" t="str">
        <f t="shared" si="206"/>
        <v>completed</v>
      </c>
      <c r="J2238" t="s">
        <v>25</v>
      </c>
      <c r="K2238">
        <v>3</v>
      </c>
      <c r="L2238">
        <v>7</v>
      </c>
      <c r="M2238">
        <v>2004</v>
      </c>
      <c r="N2238" t="s">
        <v>504</v>
      </c>
      <c r="O2238">
        <v>54</v>
      </c>
      <c r="P2238" t="s">
        <v>652</v>
      </c>
      <c r="Q2238" t="s">
        <v>272</v>
      </c>
      <c r="R2238">
        <v>4155551450</v>
      </c>
      <c r="S2238" t="s">
        <v>273</v>
      </c>
      <c r="U2238" s="1" t="str">
        <f t="shared" si="207"/>
        <v>San Rafael</v>
      </c>
      <c r="V2238" t="s">
        <v>274</v>
      </c>
      <c r="W2238" t="s">
        <v>55</v>
      </c>
      <c r="X2238">
        <v>97562</v>
      </c>
      <c r="Y2238" s="1" t="str">
        <f t="shared" si="208"/>
        <v>USA</v>
      </c>
      <c r="Z2238" s="4" t="str">
        <f t="shared" si="209"/>
        <v>Usa</v>
      </c>
      <c r="AA2238" t="s">
        <v>32</v>
      </c>
      <c r="AB2238" t="s">
        <v>33</v>
      </c>
      <c r="AC2238" t="s">
        <v>275</v>
      </c>
      <c r="AD2238" t="s">
        <v>276</v>
      </c>
      <c r="AE2238" t="s">
        <v>36</v>
      </c>
    </row>
    <row r="2239" spans="1:31" x14ac:dyDescent="0.3">
      <c r="A2239">
        <v>10281</v>
      </c>
      <c r="B2239">
        <v>31</v>
      </c>
      <c r="C2239">
        <v>55.19</v>
      </c>
      <c r="D2239">
        <v>3</v>
      </c>
      <c r="E2239" s="4" t="str">
        <f t="shared" si="204"/>
        <v>low sales</v>
      </c>
      <c r="F2239">
        <v>1710.89</v>
      </c>
      <c r="G2239" t="s">
        <v>2911</v>
      </c>
      <c r="H2239" s="1" t="str">
        <f t="shared" si="205"/>
        <v>Shipped</v>
      </c>
      <c r="I2239" s="4" t="str">
        <f t="shared" si="206"/>
        <v>completed</v>
      </c>
      <c r="J2239" t="s">
        <v>25</v>
      </c>
      <c r="K2239">
        <v>3</v>
      </c>
      <c r="L2239">
        <v>8</v>
      </c>
      <c r="M2239">
        <v>2004</v>
      </c>
      <c r="N2239" t="s">
        <v>504</v>
      </c>
      <c r="O2239">
        <v>54</v>
      </c>
      <c r="P2239" t="s">
        <v>652</v>
      </c>
      <c r="Q2239" t="s">
        <v>139</v>
      </c>
      <c r="R2239">
        <v>2155551555</v>
      </c>
      <c r="S2239" t="s">
        <v>140</v>
      </c>
      <c r="U2239" s="1" t="str">
        <f t="shared" si="207"/>
        <v>Allentown</v>
      </c>
      <c r="V2239" t="s">
        <v>141</v>
      </c>
      <c r="W2239" t="s">
        <v>142</v>
      </c>
      <c r="X2239">
        <v>70267</v>
      </c>
      <c r="Y2239" s="1" t="str">
        <f t="shared" si="208"/>
        <v>USA</v>
      </c>
      <c r="Z2239" s="4" t="str">
        <f t="shared" si="209"/>
        <v>Usa</v>
      </c>
      <c r="AA2239" t="s">
        <v>32</v>
      </c>
      <c r="AB2239" t="s">
        <v>33</v>
      </c>
      <c r="AC2239" t="s">
        <v>34</v>
      </c>
      <c r="AD2239" t="s">
        <v>143</v>
      </c>
      <c r="AE2239" t="s">
        <v>36</v>
      </c>
    </row>
    <row r="2240" spans="1:31" x14ac:dyDescent="0.3">
      <c r="A2240">
        <v>10292</v>
      </c>
      <c r="B2240">
        <v>50</v>
      </c>
      <c r="C2240">
        <v>46.53</v>
      </c>
      <c r="D2240">
        <v>10</v>
      </c>
      <c r="E2240" s="4" t="str">
        <f t="shared" si="204"/>
        <v>low sales</v>
      </c>
      <c r="F2240">
        <v>2326.5</v>
      </c>
      <c r="G2240" t="s">
        <v>2912</v>
      </c>
      <c r="H2240" s="1" t="str">
        <f t="shared" si="205"/>
        <v>Shipped</v>
      </c>
      <c r="I2240" s="4" t="str">
        <f t="shared" si="206"/>
        <v>completed</v>
      </c>
      <c r="J2240" t="s">
        <v>25</v>
      </c>
      <c r="K2240">
        <v>3</v>
      </c>
      <c r="L2240">
        <v>9</v>
      </c>
      <c r="M2240">
        <v>2004</v>
      </c>
      <c r="N2240" t="s">
        <v>504</v>
      </c>
      <c r="O2240">
        <v>54</v>
      </c>
      <c r="P2240" t="s">
        <v>652</v>
      </c>
      <c r="Q2240" t="s">
        <v>28</v>
      </c>
      <c r="R2240">
        <v>2125557818</v>
      </c>
      <c r="S2240" t="s">
        <v>29</v>
      </c>
      <c r="U2240" s="1" t="str">
        <f t="shared" si="207"/>
        <v>Nyc</v>
      </c>
      <c r="V2240" t="s">
        <v>30</v>
      </c>
      <c r="W2240" t="s">
        <v>31</v>
      </c>
      <c r="X2240">
        <v>10022</v>
      </c>
      <c r="Y2240" s="1" t="str">
        <f t="shared" si="208"/>
        <v>USA</v>
      </c>
      <c r="Z2240" s="4" t="str">
        <f t="shared" si="209"/>
        <v>Usa</v>
      </c>
      <c r="AA2240" t="s">
        <v>32</v>
      </c>
      <c r="AB2240" t="s">
        <v>33</v>
      </c>
      <c r="AC2240" t="s">
        <v>34</v>
      </c>
      <c r="AD2240" t="s">
        <v>35</v>
      </c>
      <c r="AE2240" t="s">
        <v>36</v>
      </c>
    </row>
    <row r="2241" spans="1:31" x14ac:dyDescent="0.3">
      <c r="A2241">
        <v>10305</v>
      </c>
      <c r="B2241">
        <v>40</v>
      </c>
      <c r="C2241">
        <v>57.9</v>
      </c>
      <c r="D2241">
        <v>7</v>
      </c>
      <c r="E2241" s="4" t="str">
        <f t="shared" si="204"/>
        <v>low sales</v>
      </c>
      <c r="F2241">
        <v>2316</v>
      </c>
      <c r="G2241" t="s">
        <v>2913</v>
      </c>
      <c r="H2241" s="1" t="str">
        <f t="shared" si="205"/>
        <v>Shipped</v>
      </c>
      <c r="I2241" s="4" t="str">
        <f t="shared" si="206"/>
        <v>completed</v>
      </c>
      <c r="J2241" t="s">
        <v>25</v>
      </c>
      <c r="K2241">
        <v>4</v>
      </c>
      <c r="L2241">
        <v>10</v>
      </c>
      <c r="M2241">
        <v>2004</v>
      </c>
      <c r="N2241" t="s">
        <v>504</v>
      </c>
      <c r="O2241">
        <v>54</v>
      </c>
      <c r="P2241" t="s">
        <v>652</v>
      </c>
      <c r="Q2241" t="s">
        <v>120</v>
      </c>
      <c r="R2241">
        <v>6175558555</v>
      </c>
      <c r="S2241" t="s">
        <v>121</v>
      </c>
      <c r="U2241" s="1" t="str">
        <f t="shared" si="207"/>
        <v>Cambridge</v>
      </c>
      <c r="V2241" t="s">
        <v>122</v>
      </c>
      <c r="W2241" t="s">
        <v>123</v>
      </c>
      <c r="X2241">
        <v>51247</v>
      </c>
      <c r="Y2241" s="1" t="str">
        <f t="shared" si="208"/>
        <v>USA</v>
      </c>
      <c r="Z2241" s="4" t="str">
        <f t="shared" si="209"/>
        <v>Usa</v>
      </c>
      <c r="AA2241" t="s">
        <v>32</v>
      </c>
      <c r="AB2241" t="s">
        <v>33</v>
      </c>
      <c r="AC2241" t="s">
        <v>124</v>
      </c>
      <c r="AD2241" t="s">
        <v>125</v>
      </c>
      <c r="AE2241" t="s">
        <v>36</v>
      </c>
    </row>
    <row r="2242" spans="1:31" x14ac:dyDescent="0.3">
      <c r="A2242">
        <v>10313</v>
      </c>
      <c r="B2242">
        <v>38</v>
      </c>
      <c r="C2242">
        <v>45.45</v>
      </c>
      <c r="D2242">
        <v>1</v>
      </c>
      <c r="E2242" s="4" t="str">
        <f t="shared" si="204"/>
        <v>low sales</v>
      </c>
      <c r="F2242">
        <v>1727.1</v>
      </c>
      <c r="G2242" t="s">
        <v>2914</v>
      </c>
      <c r="H2242" s="1" t="str">
        <f t="shared" si="205"/>
        <v>Shipped</v>
      </c>
      <c r="I2242" s="4" t="str">
        <f t="shared" si="206"/>
        <v>completed</v>
      </c>
      <c r="J2242" t="s">
        <v>25</v>
      </c>
      <c r="K2242">
        <v>4</v>
      </c>
      <c r="L2242">
        <v>10</v>
      </c>
      <c r="M2242">
        <v>2004</v>
      </c>
      <c r="N2242" t="s">
        <v>504</v>
      </c>
      <c r="O2242">
        <v>54</v>
      </c>
      <c r="P2242" t="s">
        <v>652</v>
      </c>
      <c r="Q2242" t="s">
        <v>225</v>
      </c>
      <c r="R2242" t="s">
        <v>226</v>
      </c>
      <c r="S2242" t="s">
        <v>227</v>
      </c>
      <c r="U2242" s="1" t="str">
        <f t="shared" si="207"/>
        <v>Vancouver</v>
      </c>
      <c r="V2242" t="s">
        <v>228</v>
      </c>
      <c r="W2242" t="s">
        <v>229</v>
      </c>
      <c r="X2242" t="s">
        <v>230</v>
      </c>
      <c r="Y2242" s="1" t="str">
        <f t="shared" si="208"/>
        <v>CANADA</v>
      </c>
      <c r="Z2242" s="4" t="str">
        <f t="shared" si="209"/>
        <v>Canada</v>
      </c>
      <c r="AA2242" t="s">
        <v>231</v>
      </c>
      <c r="AB2242" t="s">
        <v>33</v>
      </c>
      <c r="AC2242" t="s">
        <v>232</v>
      </c>
      <c r="AD2242" t="s">
        <v>233</v>
      </c>
      <c r="AE2242" t="s">
        <v>36</v>
      </c>
    </row>
    <row r="2243" spans="1:31" x14ac:dyDescent="0.3">
      <c r="A2243">
        <v>10325</v>
      </c>
      <c r="B2243">
        <v>38</v>
      </c>
      <c r="C2243">
        <v>100</v>
      </c>
      <c r="D2243">
        <v>3</v>
      </c>
      <c r="E2243" s="4" t="str">
        <f t="shared" ref="E2243:E2306" si="210">IF(F2243&gt;4000,"high sales","low sales")</f>
        <v>high sales</v>
      </c>
      <c r="F2243">
        <v>8844.1200000000008</v>
      </c>
      <c r="G2243" t="s">
        <v>2915</v>
      </c>
      <c r="H2243" s="1" t="str">
        <f t="shared" ref="H2243:H2306" si="211">PROPER(TRIM(J2243))</f>
        <v>Shipped</v>
      </c>
      <c r="I2243" s="4" t="str">
        <f t="shared" ref="I2243:I2306" si="212">IF(J2243="shipped","completed","not completed")</f>
        <v>completed</v>
      </c>
      <c r="J2243" t="s">
        <v>25</v>
      </c>
      <c r="K2243">
        <v>4</v>
      </c>
      <c r="L2243">
        <v>11</v>
      </c>
      <c r="M2243">
        <v>2004</v>
      </c>
      <c r="N2243" t="s">
        <v>504</v>
      </c>
      <c r="O2243">
        <v>54</v>
      </c>
      <c r="P2243" t="s">
        <v>652</v>
      </c>
      <c r="Q2243" t="s">
        <v>133</v>
      </c>
      <c r="R2243" t="s">
        <v>134</v>
      </c>
      <c r="S2243" t="s">
        <v>135</v>
      </c>
      <c r="U2243" s="1" t="str">
        <f t="shared" ref="U2243:U2306" si="213">PROPER(TRIM(V2243))</f>
        <v>Stavern</v>
      </c>
      <c r="V2243" t="s">
        <v>136</v>
      </c>
      <c r="X2243">
        <v>4110</v>
      </c>
      <c r="Y2243" s="1" t="str">
        <f t="shared" ref="Y2243:Y2306" si="214">UPPER(TRIM(AA2243))</f>
        <v>NORWAY</v>
      </c>
      <c r="Z2243" s="4" t="str">
        <f t="shared" ref="Z2243:Z2306" si="215">PROPER(TRIM(AA2243))</f>
        <v>Norway</v>
      </c>
      <c r="AA2243" t="s">
        <v>78</v>
      </c>
      <c r="AB2243" t="s">
        <v>42</v>
      </c>
      <c r="AC2243" t="s">
        <v>137</v>
      </c>
      <c r="AD2243" t="s">
        <v>138</v>
      </c>
      <c r="AE2243" t="s">
        <v>151</v>
      </c>
    </row>
    <row r="2244" spans="1:31" x14ac:dyDescent="0.3">
      <c r="A2244">
        <v>10335</v>
      </c>
      <c r="B2244">
        <v>40</v>
      </c>
      <c r="C2244">
        <v>60.6</v>
      </c>
      <c r="D2244">
        <v>3</v>
      </c>
      <c r="E2244" s="4" t="str">
        <f t="shared" si="210"/>
        <v>low sales</v>
      </c>
      <c r="F2244">
        <v>2424</v>
      </c>
      <c r="G2244" t="s">
        <v>2916</v>
      </c>
      <c r="H2244" s="1" t="str">
        <f t="shared" si="211"/>
        <v>Shipped</v>
      </c>
      <c r="I2244" s="4" t="str">
        <f t="shared" si="212"/>
        <v>completed</v>
      </c>
      <c r="J2244" t="s">
        <v>25</v>
      </c>
      <c r="K2244">
        <v>4</v>
      </c>
      <c r="L2244">
        <v>11</v>
      </c>
      <c r="M2244">
        <v>2004</v>
      </c>
      <c r="N2244" t="s">
        <v>504</v>
      </c>
      <c r="O2244">
        <v>54</v>
      </c>
      <c r="P2244" t="s">
        <v>652</v>
      </c>
      <c r="Q2244" t="s">
        <v>272</v>
      </c>
      <c r="R2244">
        <v>4155551450</v>
      </c>
      <c r="S2244" t="s">
        <v>273</v>
      </c>
      <c r="U2244" s="1" t="str">
        <f t="shared" si="213"/>
        <v>San Rafael</v>
      </c>
      <c r="V2244" t="s">
        <v>274</v>
      </c>
      <c r="W2244" t="s">
        <v>55</v>
      </c>
      <c r="X2244">
        <v>97562</v>
      </c>
      <c r="Y2244" s="1" t="str">
        <f t="shared" si="214"/>
        <v>USA</v>
      </c>
      <c r="Z2244" s="4" t="str">
        <f t="shared" si="215"/>
        <v>Usa</v>
      </c>
      <c r="AA2244" t="s">
        <v>32</v>
      </c>
      <c r="AB2244" t="s">
        <v>33</v>
      </c>
      <c r="AC2244" t="s">
        <v>275</v>
      </c>
      <c r="AD2244" t="s">
        <v>276</v>
      </c>
      <c r="AE2244" t="s">
        <v>36</v>
      </c>
    </row>
    <row r="2245" spans="1:31" x14ac:dyDescent="0.3">
      <c r="A2245">
        <v>10349</v>
      </c>
      <c r="B2245">
        <v>33</v>
      </c>
      <c r="C2245">
        <v>46.53</v>
      </c>
      <c r="D2245">
        <v>1</v>
      </c>
      <c r="E2245" s="4" t="str">
        <f t="shared" si="210"/>
        <v>low sales</v>
      </c>
      <c r="F2245">
        <v>1535.49</v>
      </c>
      <c r="G2245" t="s">
        <v>2917</v>
      </c>
      <c r="H2245" s="1" t="str">
        <f t="shared" si="211"/>
        <v>Shipped</v>
      </c>
      <c r="I2245" s="4" t="str">
        <f t="shared" si="212"/>
        <v>completed</v>
      </c>
      <c r="J2245" t="s">
        <v>25</v>
      </c>
      <c r="K2245">
        <v>4</v>
      </c>
      <c r="L2245">
        <v>12</v>
      </c>
      <c r="M2245">
        <v>2004</v>
      </c>
      <c r="N2245" t="s">
        <v>504</v>
      </c>
      <c r="O2245">
        <v>54</v>
      </c>
      <c r="P2245" t="s">
        <v>652</v>
      </c>
      <c r="Q2245" t="s">
        <v>475</v>
      </c>
      <c r="R2245">
        <v>2125557413</v>
      </c>
      <c r="S2245" t="s">
        <v>476</v>
      </c>
      <c r="T2245" t="s">
        <v>477</v>
      </c>
      <c r="U2245" s="1" t="str">
        <f t="shared" si="213"/>
        <v>Nyc</v>
      </c>
      <c r="V2245" t="s">
        <v>30</v>
      </c>
      <c r="W2245" t="s">
        <v>31</v>
      </c>
      <c r="X2245">
        <v>10022</v>
      </c>
      <c r="Y2245" s="1" t="str">
        <f t="shared" si="214"/>
        <v>USA</v>
      </c>
      <c r="Z2245" s="4" t="str">
        <f t="shared" si="215"/>
        <v>Usa</v>
      </c>
      <c r="AA2245" t="s">
        <v>32</v>
      </c>
      <c r="AB2245" t="s">
        <v>33</v>
      </c>
      <c r="AC2245" t="s">
        <v>56</v>
      </c>
      <c r="AD2245" t="s">
        <v>478</v>
      </c>
      <c r="AE2245" t="s">
        <v>36</v>
      </c>
    </row>
    <row r="2246" spans="1:31" x14ac:dyDescent="0.3">
      <c r="A2246">
        <v>10359</v>
      </c>
      <c r="B2246">
        <v>36</v>
      </c>
      <c r="C2246">
        <v>100</v>
      </c>
      <c r="D2246">
        <v>3</v>
      </c>
      <c r="E2246" s="4" t="str">
        <f t="shared" si="210"/>
        <v>high sales</v>
      </c>
      <c r="F2246">
        <v>6358.68</v>
      </c>
      <c r="G2246" t="s">
        <v>2918</v>
      </c>
      <c r="H2246" s="1" t="str">
        <f t="shared" si="211"/>
        <v>Shipped</v>
      </c>
      <c r="I2246" s="4" t="str">
        <f t="shared" si="212"/>
        <v>completed</v>
      </c>
      <c r="J2246" t="s">
        <v>25</v>
      </c>
      <c r="K2246">
        <v>4</v>
      </c>
      <c r="L2246">
        <v>12</v>
      </c>
      <c r="M2246">
        <v>2004</v>
      </c>
      <c r="N2246" t="s">
        <v>504</v>
      </c>
      <c r="O2246">
        <v>54</v>
      </c>
      <c r="P2246" t="s">
        <v>652</v>
      </c>
      <c r="Q2246" t="s">
        <v>37</v>
      </c>
      <c r="R2246" t="s">
        <v>38</v>
      </c>
      <c r="S2246" t="s">
        <v>39</v>
      </c>
      <c r="U2246" s="1" t="str">
        <f t="shared" si="213"/>
        <v>Reims</v>
      </c>
      <c r="V2246" t="s">
        <v>40</v>
      </c>
      <c r="X2246">
        <v>51100</v>
      </c>
      <c r="Y2246" s="1" t="str">
        <f t="shared" si="214"/>
        <v>FRANCE</v>
      </c>
      <c r="Z2246" s="4" t="str">
        <f t="shared" si="215"/>
        <v>France</v>
      </c>
      <c r="AA2246" t="s">
        <v>41</v>
      </c>
      <c r="AB2246" t="s">
        <v>42</v>
      </c>
      <c r="AC2246" t="s">
        <v>43</v>
      </c>
      <c r="AD2246" t="s">
        <v>44</v>
      </c>
      <c r="AE2246" t="s">
        <v>51</v>
      </c>
    </row>
    <row r="2247" spans="1:31" x14ac:dyDescent="0.3">
      <c r="A2247">
        <v>10371</v>
      </c>
      <c r="B2247">
        <v>20</v>
      </c>
      <c r="C2247">
        <v>66.47</v>
      </c>
      <c r="D2247">
        <v>2</v>
      </c>
      <c r="E2247" s="4" t="str">
        <f t="shared" si="210"/>
        <v>low sales</v>
      </c>
      <c r="F2247">
        <v>1329.4</v>
      </c>
      <c r="G2247" t="s">
        <v>2919</v>
      </c>
      <c r="H2247" s="1" t="str">
        <f t="shared" si="211"/>
        <v>Shipped</v>
      </c>
      <c r="I2247" s="4" t="str">
        <f t="shared" si="212"/>
        <v>completed</v>
      </c>
      <c r="J2247" t="s">
        <v>25</v>
      </c>
      <c r="K2247">
        <v>1</v>
      </c>
      <c r="L2247">
        <v>1</v>
      </c>
      <c r="M2247">
        <v>2005</v>
      </c>
      <c r="N2247" t="s">
        <v>504</v>
      </c>
      <c r="O2247">
        <v>54</v>
      </c>
      <c r="P2247" t="s">
        <v>652</v>
      </c>
      <c r="Q2247" t="s">
        <v>272</v>
      </c>
      <c r="R2247">
        <v>4155551450</v>
      </c>
      <c r="S2247" t="s">
        <v>273</v>
      </c>
      <c r="U2247" s="1" t="str">
        <f t="shared" si="213"/>
        <v>San Rafael</v>
      </c>
      <c r="V2247" t="s">
        <v>274</v>
      </c>
      <c r="W2247" t="s">
        <v>55</v>
      </c>
      <c r="X2247">
        <v>97562</v>
      </c>
      <c r="Y2247" s="1" t="str">
        <f t="shared" si="214"/>
        <v>USA</v>
      </c>
      <c r="Z2247" s="4" t="str">
        <f t="shared" si="215"/>
        <v>Usa</v>
      </c>
      <c r="AA2247" t="s">
        <v>32</v>
      </c>
      <c r="AB2247" t="s">
        <v>33</v>
      </c>
      <c r="AC2247" t="s">
        <v>275</v>
      </c>
      <c r="AD2247" t="s">
        <v>276</v>
      </c>
      <c r="AE2247" t="s">
        <v>36</v>
      </c>
    </row>
    <row r="2248" spans="1:31" x14ac:dyDescent="0.3">
      <c r="A2248">
        <v>10383</v>
      </c>
      <c r="B2248">
        <v>32</v>
      </c>
      <c r="C2248">
        <v>53.18</v>
      </c>
      <c r="D2248">
        <v>5</v>
      </c>
      <c r="E2248" s="4" t="str">
        <f t="shared" si="210"/>
        <v>low sales</v>
      </c>
      <c r="F2248">
        <v>1701.76</v>
      </c>
      <c r="G2248" t="s">
        <v>2920</v>
      </c>
      <c r="H2248" s="1" t="str">
        <f t="shared" si="211"/>
        <v>Shipped</v>
      </c>
      <c r="I2248" s="4" t="str">
        <f t="shared" si="212"/>
        <v>completed</v>
      </c>
      <c r="J2248" t="s">
        <v>25</v>
      </c>
      <c r="K2248">
        <v>1</v>
      </c>
      <c r="L2248">
        <v>2</v>
      </c>
      <c r="M2248">
        <v>2005</v>
      </c>
      <c r="N2248" t="s">
        <v>504</v>
      </c>
      <c r="O2248">
        <v>54</v>
      </c>
      <c r="P2248" t="s">
        <v>652</v>
      </c>
      <c r="Q2248" t="s">
        <v>174</v>
      </c>
      <c r="R2248" t="s">
        <v>175</v>
      </c>
      <c r="S2248" t="s">
        <v>176</v>
      </c>
      <c r="U2248" s="1" t="str">
        <f t="shared" si="213"/>
        <v>Madrid</v>
      </c>
      <c r="V2248" t="s">
        <v>177</v>
      </c>
      <c r="X2248">
        <v>28034</v>
      </c>
      <c r="Y2248" s="1" t="str">
        <f t="shared" si="214"/>
        <v>SPAIN</v>
      </c>
      <c r="Z2248" s="4" t="str">
        <f t="shared" si="215"/>
        <v>Spain</v>
      </c>
      <c r="AA2248" t="s">
        <v>178</v>
      </c>
      <c r="AB2248" t="s">
        <v>42</v>
      </c>
      <c r="AC2248" t="s">
        <v>179</v>
      </c>
      <c r="AD2248" t="s">
        <v>180</v>
      </c>
      <c r="AE2248" t="s">
        <v>36</v>
      </c>
    </row>
    <row r="2249" spans="1:31" x14ac:dyDescent="0.3">
      <c r="A2249">
        <v>10394</v>
      </c>
      <c r="B2249">
        <v>36</v>
      </c>
      <c r="C2249">
        <v>62.77</v>
      </c>
      <c r="D2249">
        <v>3</v>
      </c>
      <c r="E2249" s="4" t="str">
        <f t="shared" si="210"/>
        <v>low sales</v>
      </c>
      <c r="F2249">
        <v>2259.7199999999998</v>
      </c>
      <c r="G2249" t="s">
        <v>2921</v>
      </c>
      <c r="H2249" s="1" t="str">
        <f t="shared" si="211"/>
        <v>Shipped</v>
      </c>
      <c r="I2249" s="4" t="str">
        <f t="shared" si="212"/>
        <v>completed</v>
      </c>
      <c r="J2249" t="s">
        <v>25</v>
      </c>
      <c r="K2249">
        <v>1</v>
      </c>
      <c r="L2249">
        <v>3</v>
      </c>
      <c r="M2249">
        <v>2005</v>
      </c>
      <c r="N2249" t="s">
        <v>504</v>
      </c>
      <c r="O2249">
        <v>54</v>
      </c>
      <c r="P2249" t="s">
        <v>652</v>
      </c>
      <c r="Q2249" t="s">
        <v>174</v>
      </c>
      <c r="R2249" t="s">
        <v>175</v>
      </c>
      <c r="S2249" t="s">
        <v>176</v>
      </c>
      <c r="U2249" s="1" t="str">
        <f t="shared" si="213"/>
        <v>Madrid</v>
      </c>
      <c r="V2249" t="s">
        <v>177</v>
      </c>
      <c r="X2249">
        <v>28034</v>
      </c>
      <c r="Y2249" s="1" t="str">
        <f t="shared" si="214"/>
        <v>SPAIN</v>
      </c>
      <c r="Z2249" s="4" t="str">
        <f t="shared" si="215"/>
        <v>Spain</v>
      </c>
      <c r="AA2249" t="s">
        <v>178</v>
      </c>
      <c r="AB2249" t="s">
        <v>42</v>
      </c>
      <c r="AC2249" t="s">
        <v>179</v>
      </c>
      <c r="AD2249" t="s">
        <v>180</v>
      </c>
      <c r="AE2249" t="s">
        <v>36</v>
      </c>
    </row>
    <row r="2250" spans="1:31" x14ac:dyDescent="0.3">
      <c r="A2250">
        <v>10412</v>
      </c>
      <c r="B2250">
        <v>19</v>
      </c>
      <c r="C2250">
        <v>48.7</v>
      </c>
      <c r="D2250">
        <v>7</v>
      </c>
      <c r="E2250" s="4" t="str">
        <f t="shared" si="210"/>
        <v>low sales</v>
      </c>
      <c r="F2250">
        <v>925.3</v>
      </c>
      <c r="G2250" t="s">
        <v>2922</v>
      </c>
      <c r="H2250" s="1" t="str">
        <f t="shared" si="211"/>
        <v>Shipped</v>
      </c>
      <c r="I2250" s="4" t="str">
        <f t="shared" si="212"/>
        <v>completed</v>
      </c>
      <c r="J2250" t="s">
        <v>25</v>
      </c>
      <c r="K2250">
        <v>2</v>
      </c>
      <c r="L2250">
        <v>5</v>
      </c>
      <c r="M2250">
        <v>2005</v>
      </c>
      <c r="N2250" t="s">
        <v>504</v>
      </c>
      <c r="O2250">
        <v>54</v>
      </c>
      <c r="P2250" t="s">
        <v>652</v>
      </c>
      <c r="Q2250" t="s">
        <v>174</v>
      </c>
      <c r="R2250" t="s">
        <v>175</v>
      </c>
      <c r="S2250" t="s">
        <v>176</v>
      </c>
      <c r="U2250" s="1" t="str">
        <f t="shared" si="213"/>
        <v>Madrid</v>
      </c>
      <c r="V2250" t="s">
        <v>177</v>
      </c>
      <c r="X2250">
        <v>28034</v>
      </c>
      <c r="Y2250" s="1" t="str">
        <f t="shared" si="214"/>
        <v>SPAIN</v>
      </c>
      <c r="Z2250" s="4" t="str">
        <f t="shared" si="215"/>
        <v>Spain</v>
      </c>
      <c r="AA2250" t="s">
        <v>178</v>
      </c>
      <c r="AB2250" t="s">
        <v>42</v>
      </c>
      <c r="AC2250" t="s">
        <v>179</v>
      </c>
      <c r="AD2250" t="s">
        <v>180</v>
      </c>
      <c r="AE2250" t="s">
        <v>36</v>
      </c>
    </row>
    <row r="2251" spans="1:31" x14ac:dyDescent="0.3">
      <c r="A2251">
        <v>10425</v>
      </c>
      <c r="B2251">
        <v>11</v>
      </c>
      <c r="C2251">
        <v>43.83</v>
      </c>
      <c r="D2251">
        <v>6</v>
      </c>
      <c r="E2251" s="4" t="str">
        <f t="shared" si="210"/>
        <v>low sales</v>
      </c>
      <c r="F2251">
        <v>482.13</v>
      </c>
      <c r="G2251" t="s">
        <v>2923</v>
      </c>
      <c r="H2251" s="1" t="str">
        <f t="shared" si="211"/>
        <v>In Process</v>
      </c>
      <c r="I2251" s="4" t="str">
        <f t="shared" si="212"/>
        <v>not completed</v>
      </c>
      <c r="J2251" t="s">
        <v>300</v>
      </c>
      <c r="K2251">
        <v>2</v>
      </c>
      <c r="L2251">
        <v>5</v>
      </c>
      <c r="M2251">
        <v>2005</v>
      </c>
      <c r="N2251" t="s">
        <v>504</v>
      </c>
      <c r="O2251">
        <v>54</v>
      </c>
      <c r="P2251" t="s">
        <v>652</v>
      </c>
      <c r="Q2251" t="s">
        <v>114</v>
      </c>
      <c r="R2251" t="s">
        <v>115</v>
      </c>
      <c r="S2251" t="s">
        <v>116</v>
      </c>
      <c r="U2251" s="1" t="str">
        <f t="shared" si="213"/>
        <v>Nantes</v>
      </c>
      <c r="V2251" t="s">
        <v>117</v>
      </c>
      <c r="X2251">
        <v>44000</v>
      </c>
      <c r="Y2251" s="1" t="str">
        <f t="shared" si="214"/>
        <v>FRANCE</v>
      </c>
      <c r="Z2251" s="4" t="str">
        <f t="shared" si="215"/>
        <v>France</v>
      </c>
      <c r="AA2251" t="s">
        <v>41</v>
      </c>
      <c r="AB2251" t="s">
        <v>42</v>
      </c>
      <c r="AC2251" t="s">
        <v>118</v>
      </c>
      <c r="AD2251" t="s">
        <v>119</v>
      </c>
      <c r="AE2251" t="s">
        <v>36</v>
      </c>
    </row>
    <row r="2252" spans="1:31" x14ac:dyDescent="0.3">
      <c r="A2252">
        <v>10104</v>
      </c>
      <c r="B2252">
        <v>49</v>
      </c>
      <c r="C2252">
        <v>65.87</v>
      </c>
      <c r="D2252">
        <v>4</v>
      </c>
      <c r="E2252" s="4" t="str">
        <f t="shared" si="210"/>
        <v>low sales</v>
      </c>
      <c r="F2252">
        <v>3227.63</v>
      </c>
      <c r="G2252" t="s">
        <v>2924</v>
      </c>
      <c r="H2252" s="1" t="str">
        <f t="shared" si="211"/>
        <v>Shipped</v>
      </c>
      <c r="I2252" s="4" t="str">
        <f t="shared" si="212"/>
        <v>completed</v>
      </c>
      <c r="J2252" t="s">
        <v>25</v>
      </c>
      <c r="K2252">
        <v>1</v>
      </c>
      <c r="L2252">
        <v>1</v>
      </c>
      <c r="M2252">
        <v>2003</v>
      </c>
      <c r="N2252" t="s">
        <v>605</v>
      </c>
      <c r="O2252">
        <v>62</v>
      </c>
      <c r="P2252" t="s">
        <v>653</v>
      </c>
      <c r="Q2252" t="s">
        <v>174</v>
      </c>
      <c r="R2252" t="s">
        <v>175</v>
      </c>
      <c r="S2252" t="s">
        <v>176</v>
      </c>
      <c r="U2252" s="1" t="str">
        <f t="shared" si="213"/>
        <v>Madrid</v>
      </c>
      <c r="V2252" t="s">
        <v>177</v>
      </c>
      <c r="X2252">
        <v>28034</v>
      </c>
      <c r="Y2252" s="1" t="str">
        <f t="shared" si="214"/>
        <v>SPAIN</v>
      </c>
      <c r="Z2252" s="4" t="str">
        <f t="shared" si="215"/>
        <v>Spain</v>
      </c>
      <c r="AA2252" t="s">
        <v>178</v>
      </c>
      <c r="AB2252" t="s">
        <v>42</v>
      </c>
      <c r="AC2252" t="s">
        <v>179</v>
      </c>
      <c r="AD2252" t="s">
        <v>180</v>
      </c>
      <c r="AE2252" t="s">
        <v>51</v>
      </c>
    </row>
    <row r="2253" spans="1:31" x14ac:dyDescent="0.3">
      <c r="A2253">
        <v>10116</v>
      </c>
      <c r="B2253">
        <v>27</v>
      </c>
      <c r="C2253">
        <v>63.38</v>
      </c>
      <c r="D2253">
        <v>1</v>
      </c>
      <c r="E2253" s="4" t="str">
        <f t="shared" si="210"/>
        <v>low sales</v>
      </c>
      <c r="F2253">
        <v>1711.26</v>
      </c>
      <c r="G2253" t="s">
        <v>2925</v>
      </c>
      <c r="H2253" s="1" t="str">
        <f t="shared" si="211"/>
        <v>Shipped</v>
      </c>
      <c r="I2253" s="4" t="str">
        <f t="shared" si="212"/>
        <v>completed</v>
      </c>
      <c r="J2253" t="s">
        <v>25</v>
      </c>
      <c r="K2253">
        <v>2</v>
      </c>
      <c r="L2253">
        <v>4</v>
      </c>
      <c r="M2253">
        <v>2003</v>
      </c>
      <c r="N2253" t="s">
        <v>605</v>
      </c>
      <c r="O2253">
        <v>62</v>
      </c>
      <c r="P2253" t="s">
        <v>653</v>
      </c>
      <c r="Q2253" t="s">
        <v>577</v>
      </c>
      <c r="R2253" t="s">
        <v>578</v>
      </c>
      <c r="S2253" t="s">
        <v>579</v>
      </c>
      <c r="U2253" s="1" t="str">
        <f t="shared" si="213"/>
        <v>Charleroi</v>
      </c>
      <c r="V2253" t="s">
        <v>580</v>
      </c>
      <c r="X2253" t="s">
        <v>581</v>
      </c>
      <c r="Y2253" s="1" t="str">
        <f t="shared" si="214"/>
        <v>BELGIUM</v>
      </c>
      <c r="Z2253" s="4" t="str">
        <f t="shared" si="215"/>
        <v>Belgium</v>
      </c>
      <c r="AA2253" t="s">
        <v>370</v>
      </c>
      <c r="AB2253" t="s">
        <v>42</v>
      </c>
      <c r="AC2253" t="s">
        <v>582</v>
      </c>
      <c r="AD2253" t="s">
        <v>583</v>
      </c>
      <c r="AE2253" t="s">
        <v>36</v>
      </c>
    </row>
    <row r="2254" spans="1:31" x14ac:dyDescent="0.3">
      <c r="A2254">
        <v>10127</v>
      </c>
      <c r="B2254">
        <v>29</v>
      </c>
      <c r="C2254">
        <v>70.84</v>
      </c>
      <c r="D2254">
        <v>6</v>
      </c>
      <c r="E2254" s="4" t="str">
        <f t="shared" si="210"/>
        <v>low sales</v>
      </c>
      <c r="F2254">
        <v>2054.36</v>
      </c>
      <c r="G2254" t="s">
        <v>2926</v>
      </c>
      <c r="H2254" s="1" t="str">
        <f t="shared" si="211"/>
        <v>Shipped</v>
      </c>
      <c r="I2254" s="4" t="str">
        <f t="shared" si="212"/>
        <v>completed</v>
      </c>
      <c r="J2254" t="s">
        <v>25</v>
      </c>
      <c r="K2254">
        <v>2</v>
      </c>
      <c r="L2254">
        <v>6</v>
      </c>
      <c r="M2254">
        <v>2003</v>
      </c>
      <c r="N2254" t="s">
        <v>605</v>
      </c>
      <c r="O2254">
        <v>62</v>
      </c>
      <c r="P2254" t="s">
        <v>653</v>
      </c>
      <c r="Q2254" t="s">
        <v>475</v>
      </c>
      <c r="R2254">
        <v>2125557413</v>
      </c>
      <c r="S2254" t="s">
        <v>476</v>
      </c>
      <c r="T2254" t="s">
        <v>477</v>
      </c>
      <c r="U2254" s="1" t="str">
        <f t="shared" si="213"/>
        <v>Nyc</v>
      </c>
      <c r="V2254" t="s">
        <v>30</v>
      </c>
      <c r="W2254" t="s">
        <v>31</v>
      </c>
      <c r="X2254">
        <v>10022</v>
      </c>
      <c r="Y2254" s="1" t="str">
        <f t="shared" si="214"/>
        <v>USA</v>
      </c>
      <c r="Z2254" s="4" t="str">
        <f t="shared" si="215"/>
        <v>Usa</v>
      </c>
      <c r="AA2254" t="s">
        <v>32</v>
      </c>
      <c r="AB2254" t="s">
        <v>33</v>
      </c>
      <c r="AC2254" t="s">
        <v>56</v>
      </c>
      <c r="AD2254" t="s">
        <v>478</v>
      </c>
      <c r="AE2254" t="s">
        <v>36</v>
      </c>
    </row>
    <row r="2255" spans="1:31" x14ac:dyDescent="0.3">
      <c r="A2255">
        <v>10142</v>
      </c>
      <c r="B2255">
        <v>42</v>
      </c>
      <c r="C2255">
        <v>74.569999999999993</v>
      </c>
      <c r="D2255">
        <v>16</v>
      </c>
      <c r="E2255" s="4" t="str">
        <f t="shared" si="210"/>
        <v>low sales</v>
      </c>
      <c r="F2255">
        <v>3131.94</v>
      </c>
      <c r="G2255" t="s">
        <v>2927</v>
      </c>
      <c r="H2255" s="1" t="str">
        <f t="shared" si="211"/>
        <v>Shipped</v>
      </c>
      <c r="I2255" s="4" t="str">
        <f t="shared" si="212"/>
        <v>completed</v>
      </c>
      <c r="J2255" t="s">
        <v>25</v>
      </c>
      <c r="K2255">
        <v>3</v>
      </c>
      <c r="L2255">
        <v>8</v>
      </c>
      <c r="M2255">
        <v>2003</v>
      </c>
      <c r="N2255" t="s">
        <v>605</v>
      </c>
      <c r="O2255">
        <v>62</v>
      </c>
      <c r="P2255" t="s">
        <v>653</v>
      </c>
      <c r="Q2255" t="s">
        <v>272</v>
      </c>
      <c r="R2255">
        <v>4155551450</v>
      </c>
      <c r="S2255" t="s">
        <v>273</v>
      </c>
      <c r="U2255" s="1" t="str">
        <f t="shared" si="213"/>
        <v>San Rafael</v>
      </c>
      <c r="V2255" t="s">
        <v>274</v>
      </c>
      <c r="W2255" t="s">
        <v>55</v>
      </c>
      <c r="X2255">
        <v>97562</v>
      </c>
      <c r="Y2255" s="1" t="str">
        <f t="shared" si="214"/>
        <v>USA</v>
      </c>
      <c r="Z2255" s="4" t="str">
        <f t="shared" si="215"/>
        <v>Usa</v>
      </c>
      <c r="AA2255" t="s">
        <v>32</v>
      </c>
      <c r="AB2255" t="s">
        <v>33</v>
      </c>
      <c r="AC2255" t="s">
        <v>275</v>
      </c>
      <c r="AD2255" t="s">
        <v>276</v>
      </c>
      <c r="AE2255" t="s">
        <v>51</v>
      </c>
    </row>
    <row r="2256" spans="1:31" x14ac:dyDescent="0.3">
      <c r="A2256">
        <v>10152</v>
      </c>
      <c r="B2256">
        <v>33</v>
      </c>
      <c r="C2256">
        <v>50.95</v>
      </c>
      <c r="D2256">
        <v>2</v>
      </c>
      <c r="E2256" s="4" t="str">
        <f t="shared" si="210"/>
        <v>low sales</v>
      </c>
      <c r="F2256">
        <v>1681.35</v>
      </c>
      <c r="G2256" t="s">
        <v>2928</v>
      </c>
      <c r="H2256" s="1" t="str">
        <f t="shared" si="211"/>
        <v>Shipped</v>
      </c>
      <c r="I2256" s="4" t="str">
        <f t="shared" si="212"/>
        <v>completed</v>
      </c>
      <c r="J2256" t="s">
        <v>25</v>
      </c>
      <c r="K2256">
        <v>3</v>
      </c>
      <c r="L2256">
        <v>9</v>
      </c>
      <c r="M2256">
        <v>2003</v>
      </c>
      <c r="N2256" t="s">
        <v>605</v>
      </c>
      <c r="O2256">
        <v>62</v>
      </c>
      <c r="P2256" t="s">
        <v>653</v>
      </c>
      <c r="Q2256" t="s">
        <v>207</v>
      </c>
      <c r="R2256" t="s">
        <v>208</v>
      </c>
      <c r="S2256" t="s">
        <v>209</v>
      </c>
      <c r="U2256" s="1" t="str">
        <f t="shared" si="213"/>
        <v>South Brisbane</v>
      </c>
      <c r="V2256" t="s">
        <v>210</v>
      </c>
      <c r="W2256" t="s">
        <v>211</v>
      </c>
      <c r="X2256">
        <v>4101</v>
      </c>
      <c r="Y2256" s="1" t="str">
        <f t="shared" si="214"/>
        <v>AUSTRALIA</v>
      </c>
      <c r="Z2256" s="4" t="str">
        <f t="shared" si="215"/>
        <v>Australia</v>
      </c>
      <c r="AA2256" t="s">
        <v>95</v>
      </c>
      <c r="AB2256" t="s">
        <v>96</v>
      </c>
      <c r="AC2256" t="s">
        <v>212</v>
      </c>
      <c r="AD2256" t="s">
        <v>213</v>
      </c>
      <c r="AE2256" t="s">
        <v>36</v>
      </c>
    </row>
    <row r="2257" spans="1:31" x14ac:dyDescent="0.3">
      <c r="A2257">
        <v>10165</v>
      </c>
      <c r="B2257">
        <v>44</v>
      </c>
      <c r="C2257">
        <v>53.44</v>
      </c>
      <c r="D2257">
        <v>7</v>
      </c>
      <c r="E2257" s="4" t="str">
        <f t="shared" si="210"/>
        <v>low sales</v>
      </c>
      <c r="F2257">
        <v>2351.36</v>
      </c>
      <c r="G2257" t="s">
        <v>2929</v>
      </c>
      <c r="H2257" s="1" t="str">
        <f t="shared" si="211"/>
        <v>Shipped</v>
      </c>
      <c r="I2257" s="4" t="str">
        <f t="shared" si="212"/>
        <v>completed</v>
      </c>
      <c r="J2257" t="s">
        <v>25</v>
      </c>
      <c r="K2257">
        <v>4</v>
      </c>
      <c r="L2257">
        <v>10</v>
      </c>
      <c r="M2257">
        <v>2003</v>
      </c>
      <c r="N2257" t="s">
        <v>605</v>
      </c>
      <c r="O2257">
        <v>62</v>
      </c>
      <c r="P2257" t="s">
        <v>653</v>
      </c>
      <c r="Q2257" t="s">
        <v>196</v>
      </c>
      <c r="R2257" t="s">
        <v>197</v>
      </c>
      <c r="S2257" t="s">
        <v>198</v>
      </c>
      <c r="U2257" s="1" t="str">
        <f t="shared" si="213"/>
        <v>Singapore</v>
      </c>
      <c r="V2257" t="s">
        <v>199</v>
      </c>
      <c r="X2257">
        <v>79903</v>
      </c>
      <c r="Y2257" s="1" t="str">
        <f t="shared" si="214"/>
        <v>SINGAPORE</v>
      </c>
      <c r="Z2257" s="4" t="str">
        <f t="shared" si="215"/>
        <v>Singapore</v>
      </c>
      <c r="AA2257" t="s">
        <v>199</v>
      </c>
      <c r="AB2257" t="s">
        <v>200</v>
      </c>
      <c r="AC2257" t="s">
        <v>201</v>
      </c>
      <c r="AD2257" t="s">
        <v>202</v>
      </c>
      <c r="AE2257" t="s">
        <v>36</v>
      </c>
    </row>
    <row r="2258" spans="1:31" x14ac:dyDescent="0.3">
      <c r="A2258">
        <v>10176</v>
      </c>
      <c r="B2258">
        <v>22</v>
      </c>
      <c r="C2258">
        <v>64</v>
      </c>
      <c r="D2258">
        <v>6</v>
      </c>
      <c r="E2258" s="4" t="str">
        <f t="shared" si="210"/>
        <v>low sales</v>
      </c>
      <c r="F2258">
        <v>1408</v>
      </c>
      <c r="G2258" t="s">
        <v>2930</v>
      </c>
      <c r="H2258" s="1" t="str">
        <f t="shared" si="211"/>
        <v>Shipped</v>
      </c>
      <c r="I2258" s="4" t="str">
        <f t="shared" si="212"/>
        <v>completed</v>
      </c>
      <c r="J2258" t="s">
        <v>25</v>
      </c>
      <c r="K2258">
        <v>4</v>
      </c>
      <c r="L2258">
        <v>11</v>
      </c>
      <c r="M2258">
        <v>2003</v>
      </c>
      <c r="N2258" t="s">
        <v>605</v>
      </c>
      <c r="O2258">
        <v>62</v>
      </c>
      <c r="P2258" t="s">
        <v>653</v>
      </c>
      <c r="Q2258" t="s">
        <v>452</v>
      </c>
      <c r="R2258" t="s">
        <v>453</v>
      </c>
      <c r="S2258" t="s">
        <v>454</v>
      </c>
      <c r="U2258" s="1" t="str">
        <f t="shared" si="213"/>
        <v>Reggio Emilia</v>
      </c>
      <c r="V2258" t="s">
        <v>455</v>
      </c>
      <c r="X2258">
        <v>42100</v>
      </c>
      <c r="Y2258" s="1" t="str">
        <f t="shared" si="214"/>
        <v>ITALY</v>
      </c>
      <c r="Z2258" s="4" t="str">
        <f t="shared" si="215"/>
        <v>Italy</v>
      </c>
      <c r="AA2258" t="s">
        <v>258</v>
      </c>
      <c r="AB2258" t="s">
        <v>42</v>
      </c>
      <c r="AC2258" t="s">
        <v>456</v>
      </c>
      <c r="AD2258" t="s">
        <v>457</v>
      </c>
      <c r="AE2258" t="s">
        <v>36</v>
      </c>
    </row>
    <row r="2259" spans="1:31" x14ac:dyDescent="0.3">
      <c r="A2259">
        <v>10184</v>
      </c>
      <c r="B2259">
        <v>48</v>
      </c>
      <c r="C2259">
        <v>50.95</v>
      </c>
      <c r="D2259">
        <v>1</v>
      </c>
      <c r="E2259" s="4" t="str">
        <f t="shared" si="210"/>
        <v>low sales</v>
      </c>
      <c r="F2259">
        <v>2445.6</v>
      </c>
      <c r="G2259" t="s">
        <v>2931</v>
      </c>
      <c r="H2259" s="1" t="str">
        <f t="shared" si="211"/>
        <v>Shipped</v>
      </c>
      <c r="I2259" s="4" t="str">
        <f t="shared" si="212"/>
        <v>completed</v>
      </c>
      <c r="J2259" t="s">
        <v>25</v>
      </c>
      <c r="K2259">
        <v>4</v>
      </c>
      <c r="L2259">
        <v>11</v>
      </c>
      <c r="M2259">
        <v>2003</v>
      </c>
      <c r="N2259" t="s">
        <v>605</v>
      </c>
      <c r="O2259">
        <v>62</v>
      </c>
      <c r="P2259" t="s">
        <v>653</v>
      </c>
      <c r="Q2259" t="s">
        <v>520</v>
      </c>
      <c r="R2259" t="s">
        <v>521</v>
      </c>
      <c r="S2259" t="s">
        <v>522</v>
      </c>
      <c r="U2259" s="1" t="str">
        <f t="shared" si="213"/>
        <v>Sevilla</v>
      </c>
      <c r="V2259" t="s">
        <v>523</v>
      </c>
      <c r="X2259">
        <v>41101</v>
      </c>
      <c r="Y2259" s="1" t="str">
        <f t="shared" si="214"/>
        <v>SPAIN</v>
      </c>
      <c r="Z2259" s="4" t="str">
        <f t="shared" si="215"/>
        <v>Spain</v>
      </c>
      <c r="AA2259" t="s">
        <v>178</v>
      </c>
      <c r="AB2259" t="s">
        <v>42</v>
      </c>
      <c r="AC2259" t="s">
        <v>524</v>
      </c>
      <c r="AD2259" t="s">
        <v>525</v>
      </c>
      <c r="AE2259" t="s">
        <v>36</v>
      </c>
    </row>
    <row r="2260" spans="1:31" x14ac:dyDescent="0.3">
      <c r="A2260">
        <v>10195</v>
      </c>
      <c r="B2260">
        <v>33</v>
      </c>
      <c r="C2260">
        <v>54.68</v>
      </c>
      <c r="D2260">
        <v>1</v>
      </c>
      <c r="E2260" s="4" t="str">
        <f t="shared" si="210"/>
        <v>low sales</v>
      </c>
      <c r="F2260">
        <v>1804.44</v>
      </c>
      <c r="G2260" t="s">
        <v>2932</v>
      </c>
      <c r="H2260" s="1" t="str">
        <f t="shared" si="211"/>
        <v>Shipped</v>
      </c>
      <c r="I2260" s="4" t="str">
        <f t="shared" si="212"/>
        <v>completed</v>
      </c>
      <c r="J2260" t="s">
        <v>25</v>
      </c>
      <c r="K2260">
        <v>4</v>
      </c>
      <c r="L2260">
        <v>11</v>
      </c>
      <c r="M2260">
        <v>2003</v>
      </c>
      <c r="N2260" t="s">
        <v>605</v>
      </c>
      <c r="O2260">
        <v>62</v>
      </c>
      <c r="P2260" t="s">
        <v>653</v>
      </c>
      <c r="Q2260" t="s">
        <v>317</v>
      </c>
      <c r="R2260">
        <v>9145554562</v>
      </c>
      <c r="S2260" t="s">
        <v>318</v>
      </c>
      <c r="U2260" s="1" t="str">
        <f t="shared" si="213"/>
        <v>White Plains</v>
      </c>
      <c r="V2260" t="s">
        <v>319</v>
      </c>
      <c r="W2260" t="s">
        <v>31</v>
      </c>
      <c r="X2260">
        <v>24067</v>
      </c>
      <c r="Y2260" s="1" t="str">
        <f t="shared" si="214"/>
        <v>USA</v>
      </c>
      <c r="Z2260" s="4" t="str">
        <f t="shared" si="215"/>
        <v>Usa</v>
      </c>
      <c r="AA2260" t="s">
        <v>32</v>
      </c>
      <c r="AB2260" t="s">
        <v>33</v>
      </c>
      <c r="AC2260" t="s">
        <v>102</v>
      </c>
      <c r="AD2260" t="s">
        <v>238</v>
      </c>
      <c r="AE2260" t="s">
        <v>36</v>
      </c>
    </row>
    <row r="2261" spans="1:31" x14ac:dyDescent="0.3">
      <c r="A2261">
        <v>10207</v>
      </c>
      <c r="B2261">
        <v>45</v>
      </c>
      <c r="C2261">
        <v>56.55</v>
      </c>
      <c r="D2261">
        <v>2</v>
      </c>
      <c r="E2261" s="4" t="str">
        <f t="shared" si="210"/>
        <v>low sales</v>
      </c>
      <c r="F2261">
        <v>2544.75</v>
      </c>
      <c r="G2261" t="s">
        <v>2933</v>
      </c>
      <c r="H2261" s="1" t="str">
        <f t="shared" si="211"/>
        <v>Shipped</v>
      </c>
      <c r="I2261" s="4" t="str">
        <f t="shared" si="212"/>
        <v>completed</v>
      </c>
      <c r="J2261" t="s">
        <v>25</v>
      </c>
      <c r="K2261">
        <v>4</v>
      </c>
      <c r="L2261">
        <v>12</v>
      </c>
      <c r="M2261">
        <v>2003</v>
      </c>
      <c r="N2261" t="s">
        <v>605</v>
      </c>
      <c r="O2261">
        <v>62</v>
      </c>
      <c r="P2261" t="s">
        <v>653</v>
      </c>
      <c r="Q2261" t="s">
        <v>415</v>
      </c>
      <c r="R2261">
        <v>6175552555</v>
      </c>
      <c r="S2261" t="s">
        <v>416</v>
      </c>
      <c r="U2261" s="1" t="str">
        <f t="shared" si="213"/>
        <v>Boston</v>
      </c>
      <c r="V2261" t="s">
        <v>381</v>
      </c>
      <c r="W2261" t="s">
        <v>123</v>
      </c>
      <c r="X2261">
        <v>51003</v>
      </c>
      <c r="Y2261" s="1" t="str">
        <f t="shared" si="214"/>
        <v>USA</v>
      </c>
      <c r="Z2261" s="4" t="str">
        <f t="shared" si="215"/>
        <v>Usa</v>
      </c>
      <c r="AA2261" t="s">
        <v>32</v>
      </c>
      <c r="AB2261" t="s">
        <v>33</v>
      </c>
      <c r="AC2261" t="s">
        <v>417</v>
      </c>
      <c r="AD2261" t="s">
        <v>276</v>
      </c>
      <c r="AE2261" t="s">
        <v>36</v>
      </c>
    </row>
    <row r="2262" spans="1:31" x14ac:dyDescent="0.3">
      <c r="A2262">
        <v>10220</v>
      </c>
      <c r="B2262">
        <v>20</v>
      </c>
      <c r="C2262">
        <v>52.82</v>
      </c>
      <c r="D2262">
        <v>6</v>
      </c>
      <c r="E2262" s="4" t="str">
        <f t="shared" si="210"/>
        <v>low sales</v>
      </c>
      <c r="F2262">
        <v>1056.4000000000001</v>
      </c>
      <c r="G2262" t="s">
        <v>2934</v>
      </c>
      <c r="H2262" s="1" t="str">
        <f t="shared" si="211"/>
        <v>Shipped</v>
      </c>
      <c r="I2262" s="4" t="str">
        <f t="shared" si="212"/>
        <v>completed</v>
      </c>
      <c r="J2262" t="s">
        <v>25</v>
      </c>
      <c r="K2262">
        <v>1</v>
      </c>
      <c r="L2262">
        <v>2</v>
      </c>
      <c r="M2262">
        <v>2004</v>
      </c>
      <c r="N2262" t="s">
        <v>605</v>
      </c>
      <c r="O2262">
        <v>62</v>
      </c>
      <c r="P2262" t="s">
        <v>653</v>
      </c>
      <c r="Q2262" t="s">
        <v>479</v>
      </c>
      <c r="R2262" t="s">
        <v>480</v>
      </c>
      <c r="S2262" t="s">
        <v>481</v>
      </c>
      <c r="T2262" t="s">
        <v>482</v>
      </c>
      <c r="U2262" s="1" t="str">
        <f t="shared" si="213"/>
        <v>Dublin</v>
      </c>
      <c r="V2262" t="s">
        <v>483</v>
      </c>
      <c r="X2262">
        <v>2</v>
      </c>
      <c r="Y2262" s="1" t="str">
        <f t="shared" si="214"/>
        <v>IRELAND</v>
      </c>
      <c r="Z2262" s="4" t="str">
        <f t="shared" si="215"/>
        <v>Ireland</v>
      </c>
      <c r="AA2262" t="s">
        <v>484</v>
      </c>
      <c r="AB2262" t="s">
        <v>42</v>
      </c>
      <c r="AC2262" t="s">
        <v>485</v>
      </c>
      <c r="AD2262" t="s">
        <v>486</v>
      </c>
      <c r="AE2262" t="s">
        <v>36</v>
      </c>
    </row>
    <row r="2263" spans="1:31" x14ac:dyDescent="0.3">
      <c r="A2263">
        <v>10230</v>
      </c>
      <c r="B2263">
        <v>46</v>
      </c>
      <c r="C2263">
        <v>60.9</v>
      </c>
      <c r="D2263">
        <v>4</v>
      </c>
      <c r="E2263" s="4" t="str">
        <f t="shared" si="210"/>
        <v>low sales</v>
      </c>
      <c r="F2263">
        <v>2801.4</v>
      </c>
      <c r="G2263" t="s">
        <v>2935</v>
      </c>
      <c r="H2263" s="1" t="str">
        <f t="shared" si="211"/>
        <v>Shipped</v>
      </c>
      <c r="I2263" s="4" t="str">
        <f t="shared" si="212"/>
        <v>completed</v>
      </c>
      <c r="J2263" t="s">
        <v>25</v>
      </c>
      <c r="K2263">
        <v>1</v>
      </c>
      <c r="L2263">
        <v>3</v>
      </c>
      <c r="M2263">
        <v>2004</v>
      </c>
      <c r="N2263" t="s">
        <v>605</v>
      </c>
      <c r="O2263">
        <v>62</v>
      </c>
      <c r="P2263" t="s">
        <v>653</v>
      </c>
      <c r="Q2263" t="s">
        <v>462</v>
      </c>
      <c r="R2263" t="s">
        <v>463</v>
      </c>
      <c r="S2263" t="s">
        <v>464</v>
      </c>
      <c r="U2263" s="1" t="str">
        <f t="shared" si="213"/>
        <v>Frankfurt</v>
      </c>
      <c r="V2263" t="s">
        <v>465</v>
      </c>
      <c r="X2263">
        <v>60528</v>
      </c>
      <c r="Y2263" s="1" t="str">
        <f t="shared" si="214"/>
        <v>GERMANY</v>
      </c>
      <c r="Z2263" s="4" t="str">
        <f t="shared" si="215"/>
        <v>Germany</v>
      </c>
      <c r="AA2263" t="s">
        <v>443</v>
      </c>
      <c r="AB2263" t="s">
        <v>42</v>
      </c>
      <c r="AC2263" t="s">
        <v>466</v>
      </c>
      <c r="AD2263" t="s">
        <v>414</v>
      </c>
      <c r="AE2263" t="s">
        <v>36</v>
      </c>
    </row>
    <row r="2264" spans="1:31" x14ac:dyDescent="0.3">
      <c r="A2264">
        <v>10247</v>
      </c>
      <c r="B2264">
        <v>40</v>
      </c>
      <c r="C2264">
        <v>49.71</v>
      </c>
      <c r="D2264">
        <v>6</v>
      </c>
      <c r="E2264" s="4" t="str">
        <f t="shared" si="210"/>
        <v>low sales</v>
      </c>
      <c r="F2264">
        <v>1988.4</v>
      </c>
      <c r="G2264" t="s">
        <v>2936</v>
      </c>
      <c r="H2264" s="1" t="str">
        <f t="shared" si="211"/>
        <v>Shipped</v>
      </c>
      <c r="I2264" s="4" t="str">
        <f t="shared" si="212"/>
        <v>completed</v>
      </c>
      <c r="J2264" t="s">
        <v>25</v>
      </c>
      <c r="K2264">
        <v>2</v>
      </c>
      <c r="L2264">
        <v>5</v>
      </c>
      <c r="M2264">
        <v>2004</v>
      </c>
      <c r="N2264" t="s">
        <v>605</v>
      </c>
      <c r="O2264">
        <v>62</v>
      </c>
      <c r="P2264" t="s">
        <v>653</v>
      </c>
      <c r="Q2264" t="s">
        <v>467</v>
      </c>
      <c r="R2264" t="s">
        <v>468</v>
      </c>
      <c r="S2264" t="s">
        <v>469</v>
      </c>
      <c r="U2264" s="1" t="str">
        <f t="shared" si="213"/>
        <v>Espoo</v>
      </c>
      <c r="V2264" t="s">
        <v>470</v>
      </c>
      <c r="X2264" t="s">
        <v>471</v>
      </c>
      <c r="Y2264" s="1" t="str">
        <f t="shared" si="214"/>
        <v>FINLAND</v>
      </c>
      <c r="Z2264" s="4" t="str">
        <f t="shared" si="215"/>
        <v>Finland</v>
      </c>
      <c r="AA2264" t="s">
        <v>130</v>
      </c>
      <c r="AB2264" t="s">
        <v>42</v>
      </c>
      <c r="AC2264" t="s">
        <v>472</v>
      </c>
      <c r="AD2264" t="s">
        <v>473</v>
      </c>
      <c r="AE2264" t="s">
        <v>36</v>
      </c>
    </row>
    <row r="2265" spans="1:31" x14ac:dyDescent="0.3">
      <c r="A2265">
        <v>10272</v>
      </c>
      <c r="B2265">
        <v>45</v>
      </c>
      <c r="C2265">
        <v>64.63</v>
      </c>
      <c r="D2265">
        <v>6</v>
      </c>
      <c r="E2265" s="4" t="str">
        <f t="shared" si="210"/>
        <v>low sales</v>
      </c>
      <c r="F2265">
        <v>2908.35</v>
      </c>
      <c r="G2265" t="s">
        <v>2937</v>
      </c>
      <c r="H2265" s="1" t="str">
        <f t="shared" si="211"/>
        <v>Shipped</v>
      </c>
      <c r="I2265" s="4" t="str">
        <f t="shared" si="212"/>
        <v>completed</v>
      </c>
      <c r="J2265" t="s">
        <v>25</v>
      </c>
      <c r="K2265">
        <v>3</v>
      </c>
      <c r="L2265">
        <v>7</v>
      </c>
      <c r="M2265">
        <v>2004</v>
      </c>
      <c r="N2265" t="s">
        <v>605</v>
      </c>
      <c r="O2265">
        <v>62</v>
      </c>
      <c r="P2265" t="s">
        <v>653</v>
      </c>
      <c r="Q2265" t="s">
        <v>139</v>
      </c>
      <c r="R2265">
        <v>2155551555</v>
      </c>
      <c r="S2265" t="s">
        <v>140</v>
      </c>
      <c r="U2265" s="1" t="str">
        <f t="shared" si="213"/>
        <v>Allentown</v>
      </c>
      <c r="V2265" t="s">
        <v>141</v>
      </c>
      <c r="W2265" t="s">
        <v>142</v>
      </c>
      <c r="X2265">
        <v>70267</v>
      </c>
      <c r="Y2265" s="1" t="str">
        <f t="shared" si="214"/>
        <v>USA</v>
      </c>
      <c r="Z2265" s="4" t="str">
        <f t="shared" si="215"/>
        <v>Usa</v>
      </c>
      <c r="AA2265" t="s">
        <v>32</v>
      </c>
      <c r="AB2265" t="s">
        <v>33</v>
      </c>
      <c r="AC2265" t="s">
        <v>34</v>
      </c>
      <c r="AD2265" t="s">
        <v>143</v>
      </c>
      <c r="AE2265" t="s">
        <v>36</v>
      </c>
    </row>
    <row r="2266" spans="1:31" x14ac:dyDescent="0.3">
      <c r="A2266">
        <v>10282</v>
      </c>
      <c r="B2266">
        <v>36</v>
      </c>
      <c r="C2266">
        <v>59.65</v>
      </c>
      <c r="D2266">
        <v>9</v>
      </c>
      <c r="E2266" s="4" t="str">
        <f t="shared" si="210"/>
        <v>low sales</v>
      </c>
      <c r="F2266">
        <v>2147.4</v>
      </c>
      <c r="G2266" t="s">
        <v>2938</v>
      </c>
      <c r="H2266" s="1" t="str">
        <f t="shared" si="211"/>
        <v>Shipped</v>
      </c>
      <c r="I2266" s="4" t="str">
        <f t="shared" si="212"/>
        <v>completed</v>
      </c>
      <c r="J2266" t="s">
        <v>25</v>
      </c>
      <c r="K2266">
        <v>3</v>
      </c>
      <c r="L2266">
        <v>8</v>
      </c>
      <c r="M2266">
        <v>2004</v>
      </c>
      <c r="N2266" t="s">
        <v>605</v>
      </c>
      <c r="O2266">
        <v>62</v>
      </c>
      <c r="P2266" t="s">
        <v>653</v>
      </c>
      <c r="Q2266" t="s">
        <v>272</v>
      </c>
      <c r="R2266">
        <v>4155551450</v>
      </c>
      <c r="S2266" t="s">
        <v>273</v>
      </c>
      <c r="U2266" s="1" t="str">
        <f t="shared" si="213"/>
        <v>San Rafael</v>
      </c>
      <c r="V2266" t="s">
        <v>274</v>
      </c>
      <c r="W2266" t="s">
        <v>55</v>
      </c>
      <c r="X2266">
        <v>97562</v>
      </c>
      <c r="Y2266" s="1" t="str">
        <f t="shared" si="214"/>
        <v>USA</v>
      </c>
      <c r="Z2266" s="4" t="str">
        <f t="shared" si="215"/>
        <v>Usa</v>
      </c>
      <c r="AA2266" t="s">
        <v>32</v>
      </c>
      <c r="AB2266" t="s">
        <v>33</v>
      </c>
      <c r="AC2266" t="s">
        <v>275</v>
      </c>
      <c r="AD2266" t="s">
        <v>276</v>
      </c>
      <c r="AE2266" t="s">
        <v>36</v>
      </c>
    </row>
    <row r="2267" spans="1:31" x14ac:dyDescent="0.3">
      <c r="A2267">
        <v>10292</v>
      </c>
      <c r="B2267">
        <v>31</v>
      </c>
      <c r="C2267">
        <v>67.73</v>
      </c>
      <c r="D2267">
        <v>3</v>
      </c>
      <c r="E2267" s="4" t="str">
        <f t="shared" si="210"/>
        <v>low sales</v>
      </c>
      <c r="F2267">
        <v>2099.63</v>
      </c>
      <c r="G2267" t="s">
        <v>2939</v>
      </c>
      <c r="H2267" s="1" t="str">
        <f t="shared" si="211"/>
        <v>Shipped</v>
      </c>
      <c r="I2267" s="4" t="str">
        <f t="shared" si="212"/>
        <v>completed</v>
      </c>
      <c r="J2267" t="s">
        <v>25</v>
      </c>
      <c r="K2267">
        <v>3</v>
      </c>
      <c r="L2267">
        <v>9</v>
      </c>
      <c r="M2267">
        <v>2004</v>
      </c>
      <c r="N2267" t="s">
        <v>605</v>
      </c>
      <c r="O2267">
        <v>62</v>
      </c>
      <c r="P2267" t="s">
        <v>653</v>
      </c>
      <c r="Q2267" t="s">
        <v>28</v>
      </c>
      <c r="R2267">
        <v>2125557818</v>
      </c>
      <c r="S2267" t="s">
        <v>29</v>
      </c>
      <c r="U2267" s="1" t="str">
        <f t="shared" si="213"/>
        <v>Nyc</v>
      </c>
      <c r="V2267" t="s">
        <v>30</v>
      </c>
      <c r="W2267" t="s">
        <v>31</v>
      </c>
      <c r="X2267">
        <v>10022</v>
      </c>
      <c r="Y2267" s="1" t="str">
        <f t="shared" si="214"/>
        <v>USA</v>
      </c>
      <c r="Z2267" s="4" t="str">
        <f t="shared" si="215"/>
        <v>Usa</v>
      </c>
      <c r="AA2267" t="s">
        <v>32</v>
      </c>
      <c r="AB2267" t="s">
        <v>33</v>
      </c>
      <c r="AC2267" t="s">
        <v>34</v>
      </c>
      <c r="AD2267" t="s">
        <v>35</v>
      </c>
      <c r="AE2267" t="s">
        <v>36</v>
      </c>
    </row>
    <row r="2268" spans="1:31" x14ac:dyDescent="0.3">
      <c r="A2268">
        <v>10306</v>
      </c>
      <c r="B2268">
        <v>46</v>
      </c>
      <c r="C2268">
        <v>50.33</v>
      </c>
      <c r="D2268">
        <v>17</v>
      </c>
      <c r="E2268" s="4" t="str">
        <f t="shared" si="210"/>
        <v>low sales</v>
      </c>
      <c r="F2268">
        <v>2315.1799999999998</v>
      </c>
      <c r="G2268" t="s">
        <v>2940</v>
      </c>
      <c r="H2268" s="1" t="str">
        <f t="shared" si="211"/>
        <v>Shipped</v>
      </c>
      <c r="I2268" s="4" t="str">
        <f t="shared" si="212"/>
        <v>completed</v>
      </c>
      <c r="J2268" t="s">
        <v>25</v>
      </c>
      <c r="K2268">
        <v>4</v>
      </c>
      <c r="L2268">
        <v>10</v>
      </c>
      <c r="M2268">
        <v>2004</v>
      </c>
      <c r="N2268" t="s">
        <v>605</v>
      </c>
      <c r="O2268">
        <v>62</v>
      </c>
      <c r="P2268" t="s">
        <v>653</v>
      </c>
      <c r="Q2268" t="s">
        <v>492</v>
      </c>
      <c r="R2268" t="s">
        <v>493</v>
      </c>
      <c r="S2268" t="s">
        <v>494</v>
      </c>
      <c r="U2268" s="1" t="str">
        <f t="shared" si="213"/>
        <v>Manchester</v>
      </c>
      <c r="V2268" t="s">
        <v>495</v>
      </c>
      <c r="X2268" t="s">
        <v>496</v>
      </c>
      <c r="Y2268" s="1" t="str">
        <f t="shared" si="214"/>
        <v>UK</v>
      </c>
      <c r="Z2268" s="4" t="str">
        <f t="shared" si="215"/>
        <v>Uk</v>
      </c>
      <c r="AA2268" t="s">
        <v>170</v>
      </c>
      <c r="AB2268" t="s">
        <v>42</v>
      </c>
      <c r="AC2268" t="s">
        <v>497</v>
      </c>
      <c r="AD2268" t="s">
        <v>94</v>
      </c>
      <c r="AE2268" t="s">
        <v>36</v>
      </c>
    </row>
    <row r="2269" spans="1:31" x14ac:dyDescent="0.3">
      <c r="A2269">
        <v>10314</v>
      </c>
      <c r="B2269">
        <v>35</v>
      </c>
      <c r="C2269">
        <v>66.489999999999995</v>
      </c>
      <c r="D2269">
        <v>9</v>
      </c>
      <c r="E2269" s="4" t="str">
        <f t="shared" si="210"/>
        <v>low sales</v>
      </c>
      <c r="F2269">
        <v>2327.15</v>
      </c>
      <c r="G2269" t="s">
        <v>2941</v>
      </c>
      <c r="H2269" s="1" t="str">
        <f t="shared" si="211"/>
        <v>Shipped</v>
      </c>
      <c r="I2269" s="4" t="str">
        <f t="shared" si="212"/>
        <v>completed</v>
      </c>
      <c r="J2269" t="s">
        <v>25</v>
      </c>
      <c r="K2269">
        <v>4</v>
      </c>
      <c r="L2269">
        <v>10</v>
      </c>
      <c r="M2269">
        <v>2004</v>
      </c>
      <c r="N2269" t="s">
        <v>605</v>
      </c>
      <c r="O2269">
        <v>62</v>
      </c>
      <c r="P2269" t="s">
        <v>653</v>
      </c>
      <c r="Q2269" t="s">
        <v>498</v>
      </c>
      <c r="R2269" t="s">
        <v>499</v>
      </c>
      <c r="S2269" t="s">
        <v>500</v>
      </c>
      <c r="U2269" s="1" t="str">
        <f t="shared" si="213"/>
        <v>Aaarhus</v>
      </c>
      <c r="V2269" t="s">
        <v>501</v>
      </c>
      <c r="X2269">
        <v>8200</v>
      </c>
      <c r="Y2269" s="1" t="str">
        <f t="shared" si="214"/>
        <v>DENMARK</v>
      </c>
      <c r="Z2269" s="4" t="str">
        <f t="shared" si="215"/>
        <v>Denmark</v>
      </c>
      <c r="AA2269" t="s">
        <v>326</v>
      </c>
      <c r="AB2269" t="s">
        <v>42</v>
      </c>
      <c r="AC2269" t="s">
        <v>502</v>
      </c>
      <c r="AD2269" t="s">
        <v>503</v>
      </c>
      <c r="AE2269" t="s">
        <v>36</v>
      </c>
    </row>
    <row r="2270" spans="1:31" x14ac:dyDescent="0.3">
      <c r="A2270">
        <v>10325</v>
      </c>
      <c r="B2270">
        <v>28</v>
      </c>
      <c r="C2270">
        <v>100</v>
      </c>
      <c r="D2270">
        <v>2</v>
      </c>
      <c r="E2270" s="4" t="str">
        <f t="shared" si="210"/>
        <v>high sales</v>
      </c>
      <c r="F2270">
        <v>5377.4</v>
      </c>
      <c r="G2270" t="s">
        <v>2942</v>
      </c>
      <c r="H2270" s="1" t="str">
        <f t="shared" si="211"/>
        <v>Shipped</v>
      </c>
      <c r="I2270" s="4" t="str">
        <f t="shared" si="212"/>
        <v>completed</v>
      </c>
      <c r="J2270" t="s">
        <v>25</v>
      </c>
      <c r="K2270">
        <v>4</v>
      </c>
      <c r="L2270">
        <v>11</v>
      </c>
      <c r="M2270">
        <v>2004</v>
      </c>
      <c r="N2270" t="s">
        <v>605</v>
      </c>
      <c r="O2270">
        <v>62</v>
      </c>
      <c r="P2270" t="s">
        <v>653</v>
      </c>
      <c r="Q2270" t="s">
        <v>133</v>
      </c>
      <c r="R2270" t="s">
        <v>134</v>
      </c>
      <c r="S2270" t="s">
        <v>135</v>
      </c>
      <c r="U2270" s="1" t="str">
        <f t="shared" si="213"/>
        <v>Stavern</v>
      </c>
      <c r="V2270" t="s">
        <v>136</v>
      </c>
      <c r="X2270">
        <v>4110</v>
      </c>
      <c r="Y2270" s="1" t="str">
        <f t="shared" si="214"/>
        <v>NORWAY</v>
      </c>
      <c r="Z2270" s="4" t="str">
        <f t="shared" si="215"/>
        <v>Norway</v>
      </c>
      <c r="AA2270" t="s">
        <v>78</v>
      </c>
      <c r="AB2270" t="s">
        <v>42</v>
      </c>
      <c r="AC2270" t="s">
        <v>137</v>
      </c>
      <c r="AD2270" t="s">
        <v>138</v>
      </c>
      <c r="AE2270" t="s">
        <v>51</v>
      </c>
    </row>
    <row r="2271" spans="1:31" x14ac:dyDescent="0.3">
      <c r="A2271">
        <v>10336</v>
      </c>
      <c r="B2271">
        <v>31</v>
      </c>
      <c r="C2271">
        <v>84.71</v>
      </c>
      <c r="D2271">
        <v>9</v>
      </c>
      <c r="E2271" s="4" t="str">
        <f t="shared" si="210"/>
        <v>low sales</v>
      </c>
      <c r="F2271">
        <v>2626.01</v>
      </c>
      <c r="G2271" t="s">
        <v>2943</v>
      </c>
      <c r="H2271" s="1" t="str">
        <f t="shared" si="211"/>
        <v>Shipped</v>
      </c>
      <c r="I2271" s="4" t="str">
        <f t="shared" si="212"/>
        <v>completed</v>
      </c>
      <c r="J2271" t="s">
        <v>25</v>
      </c>
      <c r="K2271">
        <v>4</v>
      </c>
      <c r="L2271">
        <v>11</v>
      </c>
      <c r="M2271">
        <v>2004</v>
      </c>
      <c r="N2271" t="s">
        <v>605</v>
      </c>
      <c r="O2271">
        <v>62</v>
      </c>
      <c r="P2271" t="s">
        <v>653</v>
      </c>
      <c r="Q2271" t="s">
        <v>403</v>
      </c>
      <c r="R2271" t="s">
        <v>404</v>
      </c>
      <c r="S2271" t="s">
        <v>405</v>
      </c>
      <c r="U2271" s="1" t="str">
        <f t="shared" si="213"/>
        <v>Paris</v>
      </c>
      <c r="V2271" t="s">
        <v>48</v>
      </c>
      <c r="X2271">
        <v>75012</v>
      </c>
      <c r="Y2271" s="1" t="str">
        <f t="shared" si="214"/>
        <v>FRANCE</v>
      </c>
      <c r="Z2271" s="4" t="str">
        <f t="shared" si="215"/>
        <v>France</v>
      </c>
      <c r="AA2271" t="s">
        <v>41</v>
      </c>
      <c r="AB2271" t="s">
        <v>42</v>
      </c>
      <c r="AC2271" t="s">
        <v>406</v>
      </c>
      <c r="AD2271" t="s">
        <v>407</v>
      </c>
      <c r="AE2271" t="s">
        <v>36</v>
      </c>
    </row>
    <row r="2272" spans="1:31" x14ac:dyDescent="0.3">
      <c r="A2272">
        <v>10350</v>
      </c>
      <c r="B2272">
        <v>27</v>
      </c>
      <c r="C2272">
        <v>100</v>
      </c>
      <c r="D2272">
        <v>14</v>
      </c>
      <c r="E2272" s="4" t="str">
        <f t="shared" si="210"/>
        <v>high sales</v>
      </c>
      <c r="F2272">
        <v>4406.3999999999996</v>
      </c>
      <c r="G2272" t="s">
        <v>2944</v>
      </c>
      <c r="H2272" s="1" t="str">
        <f t="shared" si="211"/>
        <v>Shipped</v>
      </c>
      <c r="I2272" s="4" t="str">
        <f t="shared" si="212"/>
        <v>completed</v>
      </c>
      <c r="J2272" t="s">
        <v>25</v>
      </c>
      <c r="K2272">
        <v>4</v>
      </c>
      <c r="L2272">
        <v>12</v>
      </c>
      <c r="M2272">
        <v>2004</v>
      </c>
      <c r="N2272" t="s">
        <v>605</v>
      </c>
      <c r="O2272">
        <v>62</v>
      </c>
      <c r="P2272" t="s">
        <v>653</v>
      </c>
      <c r="Q2272" t="s">
        <v>174</v>
      </c>
      <c r="R2272" t="s">
        <v>175</v>
      </c>
      <c r="S2272" t="s">
        <v>176</v>
      </c>
      <c r="U2272" s="1" t="str">
        <f t="shared" si="213"/>
        <v>Madrid</v>
      </c>
      <c r="V2272" t="s">
        <v>177</v>
      </c>
      <c r="X2272">
        <v>28034</v>
      </c>
      <c r="Y2272" s="1" t="str">
        <f t="shared" si="214"/>
        <v>SPAIN</v>
      </c>
      <c r="Z2272" s="4" t="str">
        <f t="shared" si="215"/>
        <v>Spain</v>
      </c>
      <c r="AA2272" t="s">
        <v>178</v>
      </c>
      <c r="AB2272" t="s">
        <v>42</v>
      </c>
      <c r="AC2272" t="s">
        <v>179</v>
      </c>
      <c r="AD2272" t="s">
        <v>180</v>
      </c>
      <c r="AE2272" t="s">
        <v>51</v>
      </c>
    </row>
    <row r="2273" spans="1:31" x14ac:dyDescent="0.3">
      <c r="A2273">
        <v>10359</v>
      </c>
      <c r="B2273">
        <v>22</v>
      </c>
      <c r="C2273">
        <v>100</v>
      </c>
      <c r="D2273">
        <v>1</v>
      </c>
      <c r="E2273" s="4" t="str">
        <f t="shared" si="210"/>
        <v>high sales</v>
      </c>
      <c r="F2273">
        <v>4301.22</v>
      </c>
      <c r="G2273" t="s">
        <v>2945</v>
      </c>
      <c r="H2273" s="1" t="str">
        <f t="shared" si="211"/>
        <v>Shipped</v>
      </c>
      <c r="I2273" s="4" t="str">
        <f t="shared" si="212"/>
        <v>completed</v>
      </c>
      <c r="J2273" t="s">
        <v>25</v>
      </c>
      <c r="K2273">
        <v>4</v>
      </c>
      <c r="L2273">
        <v>12</v>
      </c>
      <c r="M2273">
        <v>2004</v>
      </c>
      <c r="N2273" t="s">
        <v>605</v>
      </c>
      <c r="O2273">
        <v>62</v>
      </c>
      <c r="P2273" t="s">
        <v>653</v>
      </c>
      <c r="Q2273" t="s">
        <v>37</v>
      </c>
      <c r="R2273" t="s">
        <v>38</v>
      </c>
      <c r="S2273" t="s">
        <v>39</v>
      </c>
      <c r="U2273" s="1" t="str">
        <f t="shared" si="213"/>
        <v>Reims</v>
      </c>
      <c r="V2273" t="s">
        <v>40</v>
      </c>
      <c r="X2273">
        <v>51100</v>
      </c>
      <c r="Y2273" s="1" t="str">
        <f t="shared" si="214"/>
        <v>FRANCE</v>
      </c>
      <c r="Z2273" s="4" t="str">
        <f t="shared" si="215"/>
        <v>France</v>
      </c>
      <c r="AA2273" t="s">
        <v>41</v>
      </c>
      <c r="AB2273" t="s">
        <v>42</v>
      </c>
      <c r="AC2273" t="s">
        <v>43</v>
      </c>
      <c r="AD2273" t="s">
        <v>44</v>
      </c>
      <c r="AE2273" t="s">
        <v>51</v>
      </c>
    </row>
    <row r="2274" spans="1:31" x14ac:dyDescent="0.3">
      <c r="A2274">
        <v>10371</v>
      </c>
      <c r="B2274">
        <v>30</v>
      </c>
      <c r="C2274">
        <v>99.55</v>
      </c>
      <c r="D2274">
        <v>11</v>
      </c>
      <c r="E2274" s="4" t="str">
        <f t="shared" si="210"/>
        <v>low sales</v>
      </c>
      <c r="F2274">
        <v>2986.5</v>
      </c>
      <c r="G2274" t="s">
        <v>2946</v>
      </c>
      <c r="H2274" s="1" t="str">
        <f t="shared" si="211"/>
        <v>Shipped</v>
      </c>
      <c r="I2274" s="4" t="str">
        <f t="shared" si="212"/>
        <v>completed</v>
      </c>
      <c r="J2274" t="s">
        <v>25</v>
      </c>
      <c r="K2274">
        <v>1</v>
      </c>
      <c r="L2274">
        <v>1</v>
      </c>
      <c r="M2274">
        <v>2005</v>
      </c>
      <c r="N2274" t="s">
        <v>605</v>
      </c>
      <c r="O2274">
        <v>62</v>
      </c>
      <c r="P2274" t="s">
        <v>653</v>
      </c>
      <c r="Q2274" t="s">
        <v>272</v>
      </c>
      <c r="R2274">
        <v>4155551450</v>
      </c>
      <c r="S2274" t="s">
        <v>273</v>
      </c>
      <c r="U2274" s="1" t="str">
        <f t="shared" si="213"/>
        <v>San Rafael</v>
      </c>
      <c r="V2274" t="s">
        <v>274</v>
      </c>
      <c r="W2274" t="s">
        <v>55</v>
      </c>
      <c r="X2274">
        <v>97562</v>
      </c>
      <c r="Y2274" s="1" t="str">
        <f t="shared" si="214"/>
        <v>USA</v>
      </c>
      <c r="Z2274" s="4" t="str">
        <f t="shared" si="215"/>
        <v>Usa</v>
      </c>
      <c r="AA2274" t="s">
        <v>32</v>
      </c>
      <c r="AB2274" t="s">
        <v>33</v>
      </c>
      <c r="AC2274" t="s">
        <v>275</v>
      </c>
      <c r="AD2274" t="s">
        <v>276</v>
      </c>
      <c r="AE2274" t="s">
        <v>36</v>
      </c>
    </row>
    <row r="2275" spans="1:31" x14ac:dyDescent="0.3">
      <c r="A2275">
        <v>10383</v>
      </c>
      <c r="B2275">
        <v>44</v>
      </c>
      <c r="C2275">
        <v>36.07</v>
      </c>
      <c r="D2275">
        <v>8</v>
      </c>
      <c r="E2275" s="4" t="str">
        <f t="shared" si="210"/>
        <v>low sales</v>
      </c>
      <c r="F2275">
        <v>1587.08</v>
      </c>
      <c r="G2275" t="s">
        <v>2947</v>
      </c>
      <c r="H2275" s="1" t="str">
        <f t="shared" si="211"/>
        <v>Shipped</v>
      </c>
      <c r="I2275" s="4" t="str">
        <f t="shared" si="212"/>
        <v>completed</v>
      </c>
      <c r="J2275" t="s">
        <v>25</v>
      </c>
      <c r="K2275">
        <v>1</v>
      </c>
      <c r="L2275">
        <v>2</v>
      </c>
      <c r="M2275">
        <v>2005</v>
      </c>
      <c r="N2275" t="s">
        <v>605</v>
      </c>
      <c r="O2275">
        <v>62</v>
      </c>
      <c r="P2275" t="s">
        <v>653</v>
      </c>
      <c r="Q2275" t="s">
        <v>174</v>
      </c>
      <c r="R2275" t="s">
        <v>175</v>
      </c>
      <c r="S2275" t="s">
        <v>176</v>
      </c>
      <c r="U2275" s="1" t="str">
        <f t="shared" si="213"/>
        <v>Madrid</v>
      </c>
      <c r="V2275" t="s">
        <v>177</v>
      </c>
      <c r="X2275">
        <v>28034</v>
      </c>
      <c r="Y2275" s="1" t="str">
        <f t="shared" si="214"/>
        <v>SPAIN</v>
      </c>
      <c r="Z2275" s="4" t="str">
        <f t="shared" si="215"/>
        <v>Spain</v>
      </c>
      <c r="AA2275" t="s">
        <v>178</v>
      </c>
      <c r="AB2275" t="s">
        <v>42</v>
      </c>
      <c r="AC2275" t="s">
        <v>179</v>
      </c>
      <c r="AD2275" t="s">
        <v>180</v>
      </c>
      <c r="AE2275" t="s">
        <v>36</v>
      </c>
    </row>
    <row r="2276" spans="1:31" x14ac:dyDescent="0.3">
      <c r="A2276">
        <v>10394</v>
      </c>
      <c r="B2276">
        <v>30</v>
      </c>
      <c r="C2276">
        <v>60.28</v>
      </c>
      <c r="D2276">
        <v>4</v>
      </c>
      <c r="E2276" s="4" t="str">
        <f t="shared" si="210"/>
        <v>low sales</v>
      </c>
      <c r="F2276">
        <v>1808.4</v>
      </c>
      <c r="G2276" t="s">
        <v>2948</v>
      </c>
      <c r="H2276" s="1" t="str">
        <f t="shared" si="211"/>
        <v>Shipped</v>
      </c>
      <c r="I2276" s="4" t="str">
        <f t="shared" si="212"/>
        <v>completed</v>
      </c>
      <c r="J2276" t="s">
        <v>25</v>
      </c>
      <c r="K2276">
        <v>1</v>
      </c>
      <c r="L2276">
        <v>3</v>
      </c>
      <c r="M2276">
        <v>2005</v>
      </c>
      <c r="N2276" t="s">
        <v>605</v>
      </c>
      <c r="O2276">
        <v>62</v>
      </c>
      <c r="P2276" t="s">
        <v>653</v>
      </c>
      <c r="Q2276" t="s">
        <v>174</v>
      </c>
      <c r="R2276" t="s">
        <v>175</v>
      </c>
      <c r="S2276" t="s">
        <v>176</v>
      </c>
      <c r="U2276" s="1" t="str">
        <f t="shared" si="213"/>
        <v>Madrid</v>
      </c>
      <c r="V2276" t="s">
        <v>177</v>
      </c>
      <c r="X2276">
        <v>28034</v>
      </c>
      <c r="Y2276" s="1" t="str">
        <f t="shared" si="214"/>
        <v>SPAIN</v>
      </c>
      <c r="Z2276" s="4" t="str">
        <f t="shared" si="215"/>
        <v>Spain</v>
      </c>
      <c r="AA2276" t="s">
        <v>178</v>
      </c>
      <c r="AB2276" t="s">
        <v>42</v>
      </c>
      <c r="AC2276" t="s">
        <v>179</v>
      </c>
      <c r="AD2276" t="s">
        <v>180</v>
      </c>
      <c r="AE2276" t="s">
        <v>36</v>
      </c>
    </row>
    <row r="2277" spans="1:31" x14ac:dyDescent="0.3">
      <c r="A2277">
        <v>10413</v>
      </c>
      <c r="B2277">
        <v>24</v>
      </c>
      <c r="C2277">
        <v>49.71</v>
      </c>
      <c r="D2277">
        <v>6</v>
      </c>
      <c r="E2277" s="4" t="str">
        <f t="shared" si="210"/>
        <v>low sales</v>
      </c>
      <c r="F2277">
        <v>1193.04</v>
      </c>
      <c r="G2277" t="s">
        <v>2949</v>
      </c>
      <c r="H2277" s="1" t="str">
        <f t="shared" si="211"/>
        <v>Shipped</v>
      </c>
      <c r="I2277" s="4" t="str">
        <f t="shared" si="212"/>
        <v>completed</v>
      </c>
      <c r="J2277" t="s">
        <v>25</v>
      </c>
      <c r="K2277">
        <v>2</v>
      </c>
      <c r="L2277">
        <v>5</v>
      </c>
      <c r="M2277">
        <v>2005</v>
      </c>
      <c r="N2277" t="s">
        <v>605</v>
      </c>
      <c r="O2277">
        <v>62</v>
      </c>
      <c r="P2277" t="s">
        <v>653</v>
      </c>
      <c r="Q2277" t="s">
        <v>109</v>
      </c>
      <c r="R2277">
        <v>2035552570</v>
      </c>
      <c r="S2277" t="s">
        <v>110</v>
      </c>
      <c r="U2277" s="1" t="str">
        <f t="shared" si="213"/>
        <v>Bridgewater</v>
      </c>
      <c r="V2277" t="s">
        <v>111</v>
      </c>
      <c r="W2277" t="s">
        <v>112</v>
      </c>
      <c r="X2277">
        <v>97562</v>
      </c>
      <c r="Y2277" s="1" t="str">
        <f t="shared" si="214"/>
        <v>USA</v>
      </c>
      <c r="Z2277" s="4" t="str">
        <f t="shared" si="215"/>
        <v>Usa</v>
      </c>
      <c r="AA2277" t="s">
        <v>32</v>
      </c>
      <c r="AB2277" t="s">
        <v>33</v>
      </c>
      <c r="AC2277" t="s">
        <v>113</v>
      </c>
      <c r="AD2277" t="s">
        <v>57</v>
      </c>
      <c r="AE2277" t="s">
        <v>36</v>
      </c>
    </row>
    <row r="2278" spans="1:31" x14ac:dyDescent="0.3">
      <c r="A2278">
        <v>10103</v>
      </c>
      <c r="B2278">
        <v>45</v>
      </c>
      <c r="C2278">
        <v>75.63</v>
      </c>
      <c r="D2278">
        <v>7</v>
      </c>
      <c r="E2278" s="4" t="str">
        <f t="shared" si="210"/>
        <v>low sales</v>
      </c>
      <c r="F2278">
        <v>3403.35</v>
      </c>
      <c r="G2278" t="s">
        <v>2950</v>
      </c>
      <c r="H2278" s="1" t="str">
        <f t="shared" si="211"/>
        <v>Shipped</v>
      </c>
      <c r="I2278" s="4" t="str">
        <f t="shared" si="212"/>
        <v>completed</v>
      </c>
      <c r="J2278" t="s">
        <v>25</v>
      </c>
      <c r="K2278">
        <v>1</v>
      </c>
      <c r="L2278">
        <v>1</v>
      </c>
      <c r="M2278">
        <v>2003</v>
      </c>
      <c r="N2278" t="s">
        <v>504</v>
      </c>
      <c r="O2278">
        <v>64</v>
      </c>
      <c r="P2278" t="s">
        <v>654</v>
      </c>
      <c r="Q2278" t="s">
        <v>133</v>
      </c>
      <c r="R2278" t="s">
        <v>134</v>
      </c>
      <c r="S2278" t="s">
        <v>135</v>
      </c>
      <c r="U2278" s="1" t="str">
        <f t="shared" si="213"/>
        <v>Stavern</v>
      </c>
      <c r="V2278" t="s">
        <v>136</v>
      </c>
      <c r="X2278">
        <v>4110</v>
      </c>
      <c r="Y2278" s="1" t="str">
        <f t="shared" si="214"/>
        <v>NORWAY</v>
      </c>
      <c r="Z2278" s="4" t="str">
        <f t="shared" si="215"/>
        <v>Norway</v>
      </c>
      <c r="AA2278" t="s">
        <v>78</v>
      </c>
      <c r="AB2278" t="s">
        <v>42</v>
      </c>
      <c r="AC2278" t="s">
        <v>137</v>
      </c>
      <c r="AD2278" t="s">
        <v>138</v>
      </c>
      <c r="AE2278" t="s">
        <v>51</v>
      </c>
    </row>
    <row r="2279" spans="1:31" x14ac:dyDescent="0.3">
      <c r="A2279">
        <v>10113</v>
      </c>
      <c r="B2279">
        <v>23</v>
      </c>
      <c r="C2279">
        <v>68.52</v>
      </c>
      <c r="D2279">
        <v>1</v>
      </c>
      <c r="E2279" s="4" t="str">
        <f t="shared" si="210"/>
        <v>low sales</v>
      </c>
      <c r="F2279">
        <v>1575.96</v>
      </c>
      <c r="G2279" t="s">
        <v>2951</v>
      </c>
      <c r="H2279" s="1" t="str">
        <f t="shared" si="211"/>
        <v>Shipped</v>
      </c>
      <c r="I2279" s="4" t="str">
        <f t="shared" si="212"/>
        <v>completed</v>
      </c>
      <c r="J2279" t="s">
        <v>25</v>
      </c>
      <c r="K2279">
        <v>1</v>
      </c>
      <c r="L2279">
        <v>3</v>
      </c>
      <c r="M2279">
        <v>2003</v>
      </c>
      <c r="N2279" t="s">
        <v>504</v>
      </c>
      <c r="O2279">
        <v>64</v>
      </c>
      <c r="P2279" t="s">
        <v>654</v>
      </c>
      <c r="Q2279" t="s">
        <v>272</v>
      </c>
      <c r="R2279">
        <v>4155551450</v>
      </c>
      <c r="S2279" t="s">
        <v>273</v>
      </c>
      <c r="U2279" s="1" t="str">
        <f t="shared" si="213"/>
        <v>San Rafael</v>
      </c>
      <c r="V2279" t="s">
        <v>274</v>
      </c>
      <c r="W2279" t="s">
        <v>55</v>
      </c>
      <c r="X2279">
        <v>97562</v>
      </c>
      <c r="Y2279" s="1" t="str">
        <f t="shared" si="214"/>
        <v>USA</v>
      </c>
      <c r="Z2279" s="4" t="str">
        <f t="shared" si="215"/>
        <v>Usa</v>
      </c>
      <c r="AA2279" t="s">
        <v>32</v>
      </c>
      <c r="AB2279" t="s">
        <v>33</v>
      </c>
      <c r="AC2279" t="s">
        <v>275</v>
      </c>
      <c r="AD2279" t="s">
        <v>276</v>
      </c>
      <c r="AE2279" t="s">
        <v>36</v>
      </c>
    </row>
    <row r="2280" spans="1:31" x14ac:dyDescent="0.3">
      <c r="A2280">
        <v>10126</v>
      </c>
      <c r="B2280">
        <v>26</v>
      </c>
      <c r="C2280">
        <v>62.7</v>
      </c>
      <c r="D2280">
        <v>7</v>
      </c>
      <c r="E2280" s="4" t="str">
        <f t="shared" si="210"/>
        <v>low sales</v>
      </c>
      <c r="F2280">
        <v>1630.2</v>
      </c>
      <c r="G2280" t="s">
        <v>2952</v>
      </c>
      <c r="H2280" s="1" t="str">
        <f t="shared" si="211"/>
        <v>Shipped</v>
      </c>
      <c r="I2280" s="4" t="str">
        <f t="shared" si="212"/>
        <v>completed</v>
      </c>
      <c r="J2280" t="s">
        <v>25</v>
      </c>
      <c r="K2280">
        <v>2</v>
      </c>
      <c r="L2280">
        <v>5</v>
      </c>
      <c r="M2280">
        <v>2003</v>
      </c>
      <c r="N2280" t="s">
        <v>504</v>
      </c>
      <c r="O2280">
        <v>64</v>
      </c>
      <c r="P2280" t="s">
        <v>654</v>
      </c>
      <c r="Q2280" t="s">
        <v>191</v>
      </c>
      <c r="R2280" t="s">
        <v>192</v>
      </c>
      <c r="S2280" t="s">
        <v>193</v>
      </c>
      <c r="U2280" s="1" t="str">
        <f t="shared" si="213"/>
        <v>Madrid</v>
      </c>
      <c r="V2280" t="s">
        <v>177</v>
      </c>
      <c r="X2280">
        <v>28023</v>
      </c>
      <c r="Y2280" s="1" t="str">
        <f t="shared" si="214"/>
        <v>SPAIN</v>
      </c>
      <c r="Z2280" s="4" t="str">
        <f t="shared" si="215"/>
        <v>Spain</v>
      </c>
      <c r="AA2280" t="s">
        <v>178</v>
      </c>
      <c r="AB2280" t="s">
        <v>42</v>
      </c>
      <c r="AC2280" t="s">
        <v>194</v>
      </c>
      <c r="AD2280" t="s">
        <v>195</v>
      </c>
      <c r="AE2280" t="s">
        <v>36</v>
      </c>
    </row>
    <row r="2281" spans="1:31" x14ac:dyDescent="0.3">
      <c r="A2281">
        <v>10140</v>
      </c>
      <c r="B2281">
        <v>28</v>
      </c>
      <c r="C2281">
        <v>60.76</v>
      </c>
      <c r="D2281">
        <v>7</v>
      </c>
      <c r="E2281" s="4" t="str">
        <f t="shared" si="210"/>
        <v>low sales</v>
      </c>
      <c r="F2281">
        <v>1701.28</v>
      </c>
      <c r="G2281" t="s">
        <v>2953</v>
      </c>
      <c r="H2281" s="1" t="str">
        <f t="shared" si="211"/>
        <v>Shipped</v>
      </c>
      <c r="I2281" s="4" t="str">
        <f t="shared" si="212"/>
        <v>completed</v>
      </c>
      <c r="J2281" t="s">
        <v>25</v>
      </c>
      <c r="K2281">
        <v>3</v>
      </c>
      <c r="L2281">
        <v>7</v>
      </c>
      <c r="M2281">
        <v>2003</v>
      </c>
      <c r="N2281" t="s">
        <v>504</v>
      </c>
      <c r="O2281">
        <v>64</v>
      </c>
      <c r="P2281" t="s">
        <v>654</v>
      </c>
      <c r="Q2281" t="s">
        <v>62</v>
      </c>
      <c r="R2281">
        <v>6505556809</v>
      </c>
      <c r="S2281" t="s">
        <v>63</v>
      </c>
      <c r="U2281" s="1" t="str">
        <f t="shared" si="213"/>
        <v>Burlingame</v>
      </c>
      <c r="V2281" t="s">
        <v>64</v>
      </c>
      <c r="W2281" t="s">
        <v>55</v>
      </c>
      <c r="X2281">
        <v>94217</v>
      </c>
      <c r="Y2281" s="1" t="str">
        <f t="shared" si="214"/>
        <v>USA</v>
      </c>
      <c r="Z2281" s="4" t="str">
        <f t="shared" si="215"/>
        <v>Usa</v>
      </c>
      <c r="AA2281" t="s">
        <v>32</v>
      </c>
      <c r="AB2281" t="s">
        <v>33</v>
      </c>
      <c r="AC2281" t="s">
        <v>65</v>
      </c>
      <c r="AD2281" t="s">
        <v>66</v>
      </c>
      <c r="AE2281" t="s">
        <v>36</v>
      </c>
    </row>
    <row r="2282" spans="1:31" x14ac:dyDescent="0.3">
      <c r="A2282">
        <v>10150</v>
      </c>
      <c r="B2282">
        <v>49</v>
      </c>
      <c r="C2282">
        <v>58.18</v>
      </c>
      <c r="D2282">
        <v>4</v>
      </c>
      <c r="E2282" s="4" t="str">
        <f t="shared" si="210"/>
        <v>low sales</v>
      </c>
      <c r="F2282">
        <v>2850.82</v>
      </c>
      <c r="G2282" t="s">
        <v>2954</v>
      </c>
      <c r="H2282" s="1" t="str">
        <f t="shared" si="211"/>
        <v>Shipped</v>
      </c>
      <c r="I2282" s="4" t="str">
        <f t="shared" si="212"/>
        <v>completed</v>
      </c>
      <c r="J2282" t="s">
        <v>25</v>
      </c>
      <c r="K2282">
        <v>3</v>
      </c>
      <c r="L2282">
        <v>9</v>
      </c>
      <c r="M2282">
        <v>2003</v>
      </c>
      <c r="N2282" t="s">
        <v>504</v>
      </c>
      <c r="O2282">
        <v>64</v>
      </c>
      <c r="P2282" t="s">
        <v>654</v>
      </c>
      <c r="Q2282" t="s">
        <v>196</v>
      </c>
      <c r="R2282" t="s">
        <v>197</v>
      </c>
      <c r="S2282" t="s">
        <v>198</v>
      </c>
      <c r="U2282" s="1" t="str">
        <f t="shared" si="213"/>
        <v>Singapore</v>
      </c>
      <c r="V2282" t="s">
        <v>199</v>
      </c>
      <c r="X2282">
        <v>79903</v>
      </c>
      <c r="Y2282" s="1" t="str">
        <f t="shared" si="214"/>
        <v>SINGAPORE</v>
      </c>
      <c r="Z2282" s="4" t="str">
        <f t="shared" si="215"/>
        <v>Singapore</v>
      </c>
      <c r="AA2282" t="s">
        <v>199</v>
      </c>
      <c r="AB2282" t="s">
        <v>200</v>
      </c>
      <c r="AC2282" t="s">
        <v>201</v>
      </c>
      <c r="AD2282" t="s">
        <v>202</v>
      </c>
      <c r="AE2282" t="s">
        <v>36</v>
      </c>
    </row>
    <row r="2283" spans="1:31" x14ac:dyDescent="0.3">
      <c r="A2283">
        <v>10164</v>
      </c>
      <c r="B2283">
        <v>49</v>
      </c>
      <c r="C2283">
        <v>54.94</v>
      </c>
      <c r="D2283">
        <v>5</v>
      </c>
      <c r="E2283" s="4" t="str">
        <f t="shared" si="210"/>
        <v>low sales</v>
      </c>
      <c r="F2283">
        <v>2692.06</v>
      </c>
      <c r="G2283" t="s">
        <v>2955</v>
      </c>
      <c r="H2283" s="1" t="str">
        <f t="shared" si="211"/>
        <v>Resolved</v>
      </c>
      <c r="I2283" s="4" t="str">
        <f t="shared" si="212"/>
        <v>not completed</v>
      </c>
      <c r="J2283" t="s">
        <v>408</v>
      </c>
      <c r="K2283">
        <v>4</v>
      </c>
      <c r="L2283">
        <v>10</v>
      </c>
      <c r="M2283">
        <v>2003</v>
      </c>
      <c r="N2283" t="s">
        <v>504</v>
      </c>
      <c r="O2283">
        <v>64</v>
      </c>
      <c r="P2283" t="s">
        <v>654</v>
      </c>
      <c r="Q2283" t="s">
        <v>409</v>
      </c>
      <c r="R2283" t="s">
        <v>410</v>
      </c>
      <c r="S2283" t="s">
        <v>411</v>
      </c>
      <c r="U2283" s="1" t="str">
        <f t="shared" si="213"/>
        <v>Graz</v>
      </c>
      <c r="V2283" t="s">
        <v>412</v>
      </c>
      <c r="X2283">
        <v>8010</v>
      </c>
      <c r="Y2283" s="1" t="str">
        <f t="shared" si="214"/>
        <v>AUSTRIA</v>
      </c>
      <c r="Z2283" s="4" t="str">
        <f t="shared" si="215"/>
        <v>Austria</v>
      </c>
      <c r="AA2283" t="s">
        <v>148</v>
      </c>
      <c r="AB2283" t="s">
        <v>42</v>
      </c>
      <c r="AC2283" t="s">
        <v>413</v>
      </c>
      <c r="AD2283" t="s">
        <v>414</v>
      </c>
      <c r="AE2283" t="s">
        <v>36</v>
      </c>
    </row>
    <row r="2284" spans="1:31" x14ac:dyDescent="0.3">
      <c r="A2284">
        <v>10175</v>
      </c>
      <c r="B2284">
        <v>29</v>
      </c>
      <c r="C2284">
        <v>74.98</v>
      </c>
      <c r="D2284">
        <v>12</v>
      </c>
      <c r="E2284" s="4" t="str">
        <f t="shared" si="210"/>
        <v>low sales</v>
      </c>
      <c r="F2284">
        <v>2174.42</v>
      </c>
      <c r="G2284" t="s">
        <v>2956</v>
      </c>
      <c r="H2284" s="1" t="str">
        <f t="shared" si="211"/>
        <v>Shipped</v>
      </c>
      <c r="I2284" s="4" t="str">
        <f t="shared" si="212"/>
        <v>completed</v>
      </c>
      <c r="J2284" t="s">
        <v>25</v>
      </c>
      <c r="K2284">
        <v>4</v>
      </c>
      <c r="L2284">
        <v>11</v>
      </c>
      <c r="M2284">
        <v>2003</v>
      </c>
      <c r="N2284" t="s">
        <v>504</v>
      </c>
      <c r="O2284">
        <v>64</v>
      </c>
      <c r="P2284" t="s">
        <v>654</v>
      </c>
      <c r="Q2284" t="s">
        <v>329</v>
      </c>
      <c r="R2284" t="s">
        <v>330</v>
      </c>
      <c r="S2284" t="s">
        <v>331</v>
      </c>
      <c r="U2284" s="1" t="str">
        <f t="shared" si="213"/>
        <v>London</v>
      </c>
      <c r="V2284" t="s">
        <v>332</v>
      </c>
      <c r="X2284" t="s">
        <v>333</v>
      </c>
      <c r="Y2284" s="1" t="str">
        <f t="shared" si="214"/>
        <v>UK</v>
      </c>
      <c r="Z2284" s="4" t="str">
        <f t="shared" si="215"/>
        <v>Uk</v>
      </c>
      <c r="AA2284" t="s">
        <v>170</v>
      </c>
      <c r="AB2284" t="s">
        <v>42</v>
      </c>
      <c r="AC2284" t="s">
        <v>61</v>
      </c>
      <c r="AD2284" t="s">
        <v>334</v>
      </c>
      <c r="AE2284" t="s">
        <v>36</v>
      </c>
    </row>
    <row r="2285" spans="1:31" x14ac:dyDescent="0.3">
      <c r="A2285">
        <v>10183</v>
      </c>
      <c r="B2285">
        <v>49</v>
      </c>
      <c r="C2285">
        <v>64.64</v>
      </c>
      <c r="D2285">
        <v>4</v>
      </c>
      <c r="E2285" s="4" t="str">
        <f t="shared" si="210"/>
        <v>low sales</v>
      </c>
      <c r="F2285">
        <v>3167.36</v>
      </c>
      <c r="G2285" t="s">
        <v>2957</v>
      </c>
      <c r="H2285" s="1" t="str">
        <f t="shared" si="211"/>
        <v>Shipped</v>
      </c>
      <c r="I2285" s="4" t="str">
        <f t="shared" si="212"/>
        <v>completed</v>
      </c>
      <c r="J2285" t="s">
        <v>25</v>
      </c>
      <c r="K2285">
        <v>4</v>
      </c>
      <c r="L2285">
        <v>11</v>
      </c>
      <c r="M2285">
        <v>2003</v>
      </c>
      <c r="N2285" t="s">
        <v>504</v>
      </c>
      <c r="O2285">
        <v>64</v>
      </c>
      <c r="P2285" t="s">
        <v>654</v>
      </c>
      <c r="Q2285" t="s">
        <v>214</v>
      </c>
      <c r="R2285">
        <v>2155554695</v>
      </c>
      <c r="S2285" t="s">
        <v>215</v>
      </c>
      <c r="U2285" s="1" t="str">
        <f t="shared" si="213"/>
        <v>Philadelphia</v>
      </c>
      <c r="V2285" t="s">
        <v>216</v>
      </c>
      <c r="W2285" t="s">
        <v>142</v>
      </c>
      <c r="X2285">
        <v>71270</v>
      </c>
      <c r="Y2285" s="1" t="str">
        <f t="shared" si="214"/>
        <v>USA</v>
      </c>
      <c r="Z2285" s="4" t="str">
        <f t="shared" si="215"/>
        <v>Usa</v>
      </c>
      <c r="AA2285" t="s">
        <v>32</v>
      </c>
      <c r="AB2285" t="s">
        <v>33</v>
      </c>
      <c r="AC2285" t="s">
        <v>217</v>
      </c>
      <c r="AD2285" t="s">
        <v>218</v>
      </c>
      <c r="AE2285" t="s">
        <v>51</v>
      </c>
    </row>
    <row r="2286" spans="1:31" x14ac:dyDescent="0.3">
      <c r="A2286">
        <v>10194</v>
      </c>
      <c r="B2286">
        <v>39</v>
      </c>
      <c r="C2286">
        <v>54.94</v>
      </c>
      <c r="D2286">
        <v>7</v>
      </c>
      <c r="E2286" s="4" t="str">
        <f t="shared" si="210"/>
        <v>low sales</v>
      </c>
      <c r="F2286">
        <v>2142.66</v>
      </c>
      <c r="G2286" t="s">
        <v>2958</v>
      </c>
      <c r="H2286" s="1" t="str">
        <f t="shared" si="211"/>
        <v>Shipped</v>
      </c>
      <c r="I2286" s="4" t="str">
        <f t="shared" si="212"/>
        <v>completed</v>
      </c>
      <c r="J2286" t="s">
        <v>25</v>
      </c>
      <c r="K2286">
        <v>4</v>
      </c>
      <c r="L2286">
        <v>11</v>
      </c>
      <c r="M2286">
        <v>2003</v>
      </c>
      <c r="N2286" t="s">
        <v>504</v>
      </c>
      <c r="O2286">
        <v>64</v>
      </c>
      <c r="P2286" t="s">
        <v>654</v>
      </c>
      <c r="Q2286" t="s">
        <v>219</v>
      </c>
      <c r="R2286" t="s">
        <v>220</v>
      </c>
      <c r="S2286" t="s">
        <v>221</v>
      </c>
      <c r="U2286" s="1" t="str">
        <f t="shared" si="213"/>
        <v>Lyon</v>
      </c>
      <c r="V2286" t="s">
        <v>222</v>
      </c>
      <c r="X2286">
        <v>69004</v>
      </c>
      <c r="Y2286" s="1" t="str">
        <f t="shared" si="214"/>
        <v>FRANCE</v>
      </c>
      <c r="Z2286" s="4" t="str">
        <f t="shared" si="215"/>
        <v>France</v>
      </c>
      <c r="AA2286" t="s">
        <v>41</v>
      </c>
      <c r="AB2286" t="s">
        <v>42</v>
      </c>
      <c r="AC2286" t="s">
        <v>223</v>
      </c>
      <c r="AD2286" t="s">
        <v>224</v>
      </c>
      <c r="AE2286" t="s">
        <v>36</v>
      </c>
    </row>
    <row r="2287" spans="1:31" x14ac:dyDescent="0.3">
      <c r="A2287">
        <v>10206</v>
      </c>
      <c r="B2287">
        <v>36</v>
      </c>
      <c r="C2287">
        <v>58.82</v>
      </c>
      <c r="D2287">
        <v>2</v>
      </c>
      <c r="E2287" s="4" t="str">
        <f t="shared" si="210"/>
        <v>low sales</v>
      </c>
      <c r="F2287">
        <v>2117.52</v>
      </c>
      <c r="G2287" t="s">
        <v>2959</v>
      </c>
      <c r="H2287" s="1" t="str">
        <f t="shared" si="211"/>
        <v>Shipped</v>
      </c>
      <c r="I2287" s="4" t="str">
        <f t="shared" si="212"/>
        <v>completed</v>
      </c>
      <c r="J2287" t="s">
        <v>25</v>
      </c>
      <c r="K2287">
        <v>4</v>
      </c>
      <c r="L2287">
        <v>12</v>
      </c>
      <c r="M2287">
        <v>2003</v>
      </c>
      <c r="N2287" t="s">
        <v>504</v>
      </c>
      <c r="O2287">
        <v>64</v>
      </c>
      <c r="P2287" t="s">
        <v>654</v>
      </c>
      <c r="Q2287" t="s">
        <v>225</v>
      </c>
      <c r="R2287" t="s">
        <v>226</v>
      </c>
      <c r="S2287" t="s">
        <v>227</v>
      </c>
      <c r="U2287" s="1" t="str">
        <f t="shared" si="213"/>
        <v>Vancouver</v>
      </c>
      <c r="V2287" t="s">
        <v>228</v>
      </c>
      <c r="W2287" t="s">
        <v>229</v>
      </c>
      <c r="X2287" t="s">
        <v>230</v>
      </c>
      <c r="Y2287" s="1" t="str">
        <f t="shared" si="214"/>
        <v>CANADA</v>
      </c>
      <c r="Z2287" s="4" t="str">
        <f t="shared" si="215"/>
        <v>Canada</v>
      </c>
      <c r="AA2287" t="s">
        <v>231</v>
      </c>
      <c r="AB2287" t="s">
        <v>33</v>
      </c>
      <c r="AC2287" t="s">
        <v>232</v>
      </c>
      <c r="AD2287" t="s">
        <v>233</v>
      </c>
      <c r="AE2287" t="s">
        <v>36</v>
      </c>
    </row>
    <row r="2288" spans="1:31" x14ac:dyDescent="0.3">
      <c r="A2288">
        <v>10217</v>
      </c>
      <c r="B2288">
        <v>39</v>
      </c>
      <c r="C2288">
        <v>62.05</v>
      </c>
      <c r="D2288">
        <v>7</v>
      </c>
      <c r="E2288" s="4" t="str">
        <f t="shared" si="210"/>
        <v>low sales</v>
      </c>
      <c r="F2288">
        <v>2419.9499999999998</v>
      </c>
      <c r="G2288" t="s">
        <v>2960</v>
      </c>
      <c r="H2288" s="1" t="str">
        <f t="shared" si="211"/>
        <v>Shipped</v>
      </c>
      <c r="I2288" s="4" t="str">
        <f t="shared" si="212"/>
        <v>completed</v>
      </c>
      <c r="J2288" t="s">
        <v>25</v>
      </c>
      <c r="K2288">
        <v>1</v>
      </c>
      <c r="L2288">
        <v>2</v>
      </c>
      <c r="M2288">
        <v>2004</v>
      </c>
      <c r="N2288" t="s">
        <v>504</v>
      </c>
      <c r="O2288">
        <v>64</v>
      </c>
      <c r="P2288" t="s">
        <v>654</v>
      </c>
      <c r="Q2288" t="s">
        <v>418</v>
      </c>
      <c r="R2288" t="s">
        <v>419</v>
      </c>
      <c r="S2288" t="s">
        <v>420</v>
      </c>
      <c r="T2288" t="s">
        <v>421</v>
      </c>
      <c r="U2288" s="1" t="str">
        <f t="shared" si="213"/>
        <v>Singapore</v>
      </c>
      <c r="V2288" t="s">
        <v>199</v>
      </c>
      <c r="X2288">
        <v>69045</v>
      </c>
      <c r="Y2288" s="1" t="str">
        <f t="shared" si="214"/>
        <v>SINGAPORE</v>
      </c>
      <c r="Z2288" s="4" t="str">
        <f t="shared" si="215"/>
        <v>Singapore</v>
      </c>
      <c r="AA2288" t="s">
        <v>199</v>
      </c>
      <c r="AB2288" t="s">
        <v>96</v>
      </c>
      <c r="AC2288" t="s">
        <v>422</v>
      </c>
      <c r="AD2288" t="s">
        <v>423</v>
      </c>
      <c r="AE2288" t="s">
        <v>36</v>
      </c>
    </row>
    <row r="2289" spans="1:31" x14ac:dyDescent="0.3">
      <c r="A2289">
        <v>10229</v>
      </c>
      <c r="B2289">
        <v>30</v>
      </c>
      <c r="C2289">
        <v>73.040000000000006</v>
      </c>
      <c r="D2289">
        <v>12</v>
      </c>
      <c r="E2289" s="4" t="str">
        <f t="shared" si="210"/>
        <v>low sales</v>
      </c>
      <c r="F2289">
        <v>2191.1999999999998</v>
      </c>
      <c r="G2289" t="s">
        <v>2961</v>
      </c>
      <c r="H2289" s="1" t="str">
        <f t="shared" si="211"/>
        <v>Shipped</v>
      </c>
      <c r="I2289" s="4" t="str">
        <f t="shared" si="212"/>
        <v>completed</v>
      </c>
      <c r="J2289" t="s">
        <v>25</v>
      </c>
      <c r="K2289">
        <v>1</v>
      </c>
      <c r="L2289">
        <v>3</v>
      </c>
      <c r="M2289">
        <v>2004</v>
      </c>
      <c r="N2289" t="s">
        <v>504</v>
      </c>
      <c r="O2289">
        <v>64</v>
      </c>
      <c r="P2289" t="s">
        <v>654</v>
      </c>
      <c r="Q2289" t="s">
        <v>272</v>
      </c>
      <c r="R2289">
        <v>4155551450</v>
      </c>
      <c r="S2289" t="s">
        <v>273</v>
      </c>
      <c r="U2289" s="1" t="str">
        <f t="shared" si="213"/>
        <v>San Rafael</v>
      </c>
      <c r="V2289" t="s">
        <v>274</v>
      </c>
      <c r="W2289" t="s">
        <v>55</v>
      </c>
      <c r="X2289">
        <v>97562</v>
      </c>
      <c r="Y2289" s="1" t="str">
        <f t="shared" si="214"/>
        <v>USA</v>
      </c>
      <c r="Z2289" s="4" t="str">
        <f t="shared" si="215"/>
        <v>Usa</v>
      </c>
      <c r="AA2289" t="s">
        <v>32</v>
      </c>
      <c r="AB2289" t="s">
        <v>33</v>
      </c>
      <c r="AC2289" t="s">
        <v>275</v>
      </c>
      <c r="AD2289" t="s">
        <v>276</v>
      </c>
      <c r="AE2289" t="s">
        <v>36</v>
      </c>
    </row>
    <row r="2290" spans="1:31" x14ac:dyDescent="0.3">
      <c r="A2290">
        <v>10245</v>
      </c>
      <c r="B2290">
        <v>44</v>
      </c>
      <c r="C2290">
        <v>69.16</v>
      </c>
      <c r="D2290">
        <v>5</v>
      </c>
      <c r="E2290" s="4" t="str">
        <f t="shared" si="210"/>
        <v>low sales</v>
      </c>
      <c r="F2290">
        <v>3043.04</v>
      </c>
      <c r="G2290" t="s">
        <v>2962</v>
      </c>
      <c r="H2290" s="1" t="str">
        <f t="shared" si="211"/>
        <v>Shipped</v>
      </c>
      <c r="I2290" s="4" t="str">
        <f t="shared" si="212"/>
        <v>completed</v>
      </c>
      <c r="J2290" t="s">
        <v>25</v>
      </c>
      <c r="K2290">
        <v>2</v>
      </c>
      <c r="L2290">
        <v>5</v>
      </c>
      <c r="M2290">
        <v>2004</v>
      </c>
      <c r="N2290" t="s">
        <v>504</v>
      </c>
      <c r="O2290">
        <v>64</v>
      </c>
      <c r="P2290" t="s">
        <v>654</v>
      </c>
      <c r="Q2290" t="s">
        <v>242</v>
      </c>
      <c r="R2290">
        <v>2035559545</v>
      </c>
      <c r="S2290" t="s">
        <v>243</v>
      </c>
      <c r="U2290" s="1" t="str">
        <f t="shared" si="213"/>
        <v>New Haven</v>
      </c>
      <c r="V2290" t="s">
        <v>244</v>
      </c>
      <c r="W2290" t="s">
        <v>112</v>
      </c>
      <c r="X2290">
        <v>97823</v>
      </c>
      <c r="Y2290" s="1" t="str">
        <f t="shared" si="214"/>
        <v>USA</v>
      </c>
      <c r="Z2290" s="4" t="str">
        <f t="shared" si="215"/>
        <v>Usa</v>
      </c>
      <c r="AA2290" t="s">
        <v>32</v>
      </c>
      <c r="AB2290" t="s">
        <v>33</v>
      </c>
      <c r="AC2290" t="s">
        <v>83</v>
      </c>
      <c r="AD2290" t="s">
        <v>245</v>
      </c>
      <c r="AE2290" t="s">
        <v>51</v>
      </c>
    </row>
    <row r="2291" spans="1:31" x14ac:dyDescent="0.3">
      <c r="A2291">
        <v>10258</v>
      </c>
      <c r="B2291">
        <v>20</v>
      </c>
      <c r="C2291">
        <v>61.41</v>
      </c>
      <c r="D2291">
        <v>2</v>
      </c>
      <c r="E2291" s="4" t="str">
        <f t="shared" si="210"/>
        <v>low sales</v>
      </c>
      <c r="F2291">
        <v>1228.2</v>
      </c>
      <c r="G2291" t="s">
        <v>2963</v>
      </c>
      <c r="H2291" s="1" t="str">
        <f t="shared" si="211"/>
        <v>Shipped</v>
      </c>
      <c r="I2291" s="4" t="str">
        <f t="shared" si="212"/>
        <v>completed</v>
      </c>
      <c r="J2291" t="s">
        <v>25</v>
      </c>
      <c r="K2291">
        <v>2</v>
      </c>
      <c r="L2291">
        <v>6</v>
      </c>
      <c r="M2291">
        <v>2004</v>
      </c>
      <c r="N2291" t="s">
        <v>504</v>
      </c>
      <c r="O2291">
        <v>64</v>
      </c>
      <c r="P2291" t="s">
        <v>654</v>
      </c>
      <c r="Q2291" t="s">
        <v>246</v>
      </c>
      <c r="R2291" t="s">
        <v>247</v>
      </c>
      <c r="S2291" t="s">
        <v>248</v>
      </c>
      <c r="U2291" s="1" t="str">
        <f t="shared" si="213"/>
        <v>Minato-Ku</v>
      </c>
      <c r="V2291" t="s">
        <v>249</v>
      </c>
      <c r="W2291" t="s">
        <v>250</v>
      </c>
      <c r="X2291" t="s">
        <v>251</v>
      </c>
      <c r="Y2291" s="1" t="str">
        <f t="shared" si="214"/>
        <v>JAPAN</v>
      </c>
      <c r="Z2291" s="4" t="str">
        <f t="shared" si="215"/>
        <v>Japan</v>
      </c>
      <c r="AA2291" t="s">
        <v>200</v>
      </c>
      <c r="AB2291" t="s">
        <v>200</v>
      </c>
      <c r="AC2291" t="s">
        <v>252</v>
      </c>
      <c r="AD2291" t="s">
        <v>253</v>
      </c>
      <c r="AE2291" t="s">
        <v>36</v>
      </c>
    </row>
    <row r="2292" spans="1:31" x14ac:dyDescent="0.3">
      <c r="A2292">
        <v>10270</v>
      </c>
      <c r="B2292">
        <v>21</v>
      </c>
      <c r="C2292">
        <v>63.35</v>
      </c>
      <c r="D2292">
        <v>5</v>
      </c>
      <c r="E2292" s="4" t="str">
        <f t="shared" si="210"/>
        <v>low sales</v>
      </c>
      <c r="F2292">
        <v>1330.35</v>
      </c>
      <c r="G2292" t="s">
        <v>2964</v>
      </c>
      <c r="H2292" s="1" t="str">
        <f t="shared" si="211"/>
        <v>Shipped</v>
      </c>
      <c r="I2292" s="4" t="str">
        <f t="shared" si="212"/>
        <v>completed</v>
      </c>
      <c r="J2292" t="s">
        <v>25</v>
      </c>
      <c r="K2292">
        <v>3</v>
      </c>
      <c r="L2292">
        <v>7</v>
      </c>
      <c r="M2292">
        <v>2004</v>
      </c>
      <c r="N2292" t="s">
        <v>504</v>
      </c>
      <c r="O2292">
        <v>64</v>
      </c>
      <c r="P2292" t="s">
        <v>654</v>
      </c>
      <c r="Q2292" t="s">
        <v>152</v>
      </c>
      <c r="R2292" t="s">
        <v>153</v>
      </c>
      <c r="S2292" t="s">
        <v>154</v>
      </c>
      <c r="T2292" t="s">
        <v>155</v>
      </c>
      <c r="U2292" s="1" t="str">
        <f t="shared" si="213"/>
        <v>Chatswood</v>
      </c>
      <c r="V2292" t="s">
        <v>156</v>
      </c>
      <c r="W2292" t="s">
        <v>157</v>
      </c>
      <c r="X2292">
        <v>2067</v>
      </c>
      <c r="Y2292" s="1" t="str">
        <f t="shared" si="214"/>
        <v>AUSTRALIA</v>
      </c>
      <c r="Z2292" s="4" t="str">
        <f t="shared" si="215"/>
        <v>Australia</v>
      </c>
      <c r="AA2292" t="s">
        <v>95</v>
      </c>
      <c r="AB2292" t="s">
        <v>96</v>
      </c>
      <c r="AC2292" t="s">
        <v>158</v>
      </c>
      <c r="AD2292" t="s">
        <v>159</v>
      </c>
      <c r="AE2292" t="s">
        <v>36</v>
      </c>
    </row>
    <row r="2293" spans="1:31" x14ac:dyDescent="0.3">
      <c r="A2293">
        <v>10281</v>
      </c>
      <c r="B2293">
        <v>36</v>
      </c>
      <c r="C2293">
        <v>77.569999999999993</v>
      </c>
      <c r="D2293">
        <v>12</v>
      </c>
      <c r="E2293" s="4" t="str">
        <f t="shared" si="210"/>
        <v>low sales</v>
      </c>
      <c r="F2293">
        <v>2792.52</v>
      </c>
      <c r="G2293" t="s">
        <v>2965</v>
      </c>
      <c r="H2293" s="1" t="str">
        <f t="shared" si="211"/>
        <v>Shipped</v>
      </c>
      <c r="I2293" s="4" t="str">
        <f t="shared" si="212"/>
        <v>completed</v>
      </c>
      <c r="J2293" t="s">
        <v>25</v>
      </c>
      <c r="K2293">
        <v>3</v>
      </c>
      <c r="L2293">
        <v>8</v>
      </c>
      <c r="M2293">
        <v>2004</v>
      </c>
      <c r="N2293" t="s">
        <v>504</v>
      </c>
      <c r="O2293">
        <v>64</v>
      </c>
      <c r="P2293" t="s">
        <v>654</v>
      </c>
      <c r="Q2293" t="s">
        <v>139</v>
      </c>
      <c r="R2293">
        <v>2155551555</v>
      </c>
      <c r="S2293" t="s">
        <v>140</v>
      </c>
      <c r="U2293" s="1" t="str">
        <f t="shared" si="213"/>
        <v>Allentown</v>
      </c>
      <c r="V2293" t="s">
        <v>141</v>
      </c>
      <c r="W2293" t="s">
        <v>142</v>
      </c>
      <c r="X2293">
        <v>70267</v>
      </c>
      <c r="Y2293" s="1" t="str">
        <f t="shared" si="214"/>
        <v>USA</v>
      </c>
      <c r="Z2293" s="4" t="str">
        <f t="shared" si="215"/>
        <v>Usa</v>
      </c>
      <c r="AA2293" t="s">
        <v>32</v>
      </c>
      <c r="AB2293" t="s">
        <v>33</v>
      </c>
      <c r="AC2293" t="s">
        <v>34</v>
      </c>
      <c r="AD2293" t="s">
        <v>143</v>
      </c>
      <c r="AE2293" t="s">
        <v>36</v>
      </c>
    </row>
    <row r="2294" spans="1:31" x14ac:dyDescent="0.3">
      <c r="A2294">
        <v>10291</v>
      </c>
      <c r="B2294">
        <v>32</v>
      </c>
      <c r="C2294">
        <v>71.75</v>
      </c>
      <c r="D2294">
        <v>7</v>
      </c>
      <c r="E2294" s="4" t="str">
        <f t="shared" si="210"/>
        <v>low sales</v>
      </c>
      <c r="F2294">
        <v>2296</v>
      </c>
      <c r="G2294" t="s">
        <v>2966</v>
      </c>
      <c r="H2294" s="1" t="str">
        <f t="shared" si="211"/>
        <v>Shipped</v>
      </c>
      <c r="I2294" s="4" t="str">
        <f t="shared" si="212"/>
        <v>completed</v>
      </c>
      <c r="J2294" t="s">
        <v>25</v>
      </c>
      <c r="K2294">
        <v>3</v>
      </c>
      <c r="L2294">
        <v>9</v>
      </c>
      <c r="M2294">
        <v>2004</v>
      </c>
      <c r="N2294" t="s">
        <v>504</v>
      </c>
      <c r="O2294">
        <v>64</v>
      </c>
      <c r="P2294" t="s">
        <v>654</v>
      </c>
      <c r="Q2294" t="s">
        <v>261</v>
      </c>
      <c r="R2294" t="s">
        <v>262</v>
      </c>
      <c r="S2294" t="s">
        <v>263</v>
      </c>
      <c r="U2294" s="1" t="str">
        <f t="shared" si="213"/>
        <v>Boras</v>
      </c>
      <c r="V2294" t="s">
        <v>264</v>
      </c>
      <c r="X2294" t="s">
        <v>265</v>
      </c>
      <c r="Y2294" s="1" t="str">
        <f t="shared" si="214"/>
        <v>SWEDEN</v>
      </c>
      <c r="Z2294" s="4" t="str">
        <f t="shared" si="215"/>
        <v>Sweden</v>
      </c>
      <c r="AA2294" t="s">
        <v>188</v>
      </c>
      <c r="AB2294" t="s">
        <v>42</v>
      </c>
      <c r="AC2294" t="s">
        <v>266</v>
      </c>
      <c r="AD2294" t="s">
        <v>206</v>
      </c>
      <c r="AE2294" t="s">
        <v>36</v>
      </c>
    </row>
    <row r="2295" spans="1:31" x14ac:dyDescent="0.3">
      <c r="A2295">
        <v>10304</v>
      </c>
      <c r="B2295">
        <v>36</v>
      </c>
      <c r="C2295">
        <v>73.040000000000006</v>
      </c>
      <c r="D2295">
        <v>2</v>
      </c>
      <c r="E2295" s="4" t="str">
        <f t="shared" si="210"/>
        <v>low sales</v>
      </c>
      <c r="F2295">
        <v>2629.44</v>
      </c>
      <c r="G2295" t="s">
        <v>2967</v>
      </c>
      <c r="H2295" s="1" t="str">
        <f t="shared" si="211"/>
        <v>Shipped</v>
      </c>
      <c r="I2295" s="4" t="str">
        <f t="shared" si="212"/>
        <v>completed</v>
      </c>
      <c r="J2295" t="s">
        <v>25</v>
      </c>
      <c r="K2295">
        <v>4</v>
      </c>
      <c r="L2295">
        <v>10</v>
      </c>
      <c r="M2295">
        <v>2004</v>
      </c>
      <c r="N2295" t="s">
        <v>504</v>
      </c>
      <c r="O2295">
        <v>64</v>
      </c>
      <c r="P2295" t="s">
        <v>654</v>
      </c>
      <c r="Q2295" t="s">
        <v>267</v>
      </c>
      <c r="R2295" t="s">
        <v>268</v>
      </c>
      <c r="S2295" t="s">
        <v>269</v>
      </c>
      <c r="U2295" s="1" t="str">
        <f t="shared" si="213"/>
        <v>Versailles</v>
      </c>
      <c r="V2295" t="s">
        <v>270</v>
      </c>
      <c r="X2295">
        <v>78000</v>
      </c>
      <c r="Y2295" s="1" t="str">
        <f t="shared" si="214"/>
        <v>FRANCE</v>
      </c>
      <c r="Z2295" s="4" t="str">
        <f t="shared" si="215"/>
        <v>France</v>
      </c>
      <c r="AA2295" t="s">
        <v>41</v>
      </c>
      <c r="AB2295" t="s">
        <v>42</v>
      </c>
      <c r="AC2295" t="s">
        <v>271</v>
      </c>
      <c r="AD2295" t="s">
        <v>50</v>
      </c>
      <c r="AE2295" t="s">
        <v>36</v>
      </c>
    </row>
    <row r="2296" spans="1:31" x14ac:dyDescent="0.3">
      <c r="A2296">
        <v>10313</v>
      </c>
      <c r="B2296">
        <v>34</v>
      </c>
      <c r="C2296">
        <v>56.24</v>
      </c>
      <c r="D2296">
        <v>10</v>
      </c>
      <c r="E2296" s="4" t="str">
        <f t="shared" si="210"/>
        <v>low sales</v>
      </c>
      <c r="F2296">
        <v>1912.16</v>
      </c>
      <c r="G2296" t="s">
        <v>2968</v>
      </c>
      <c r="H2296" s="1" t="str">
        <f t="shared" si="211"/>
        <v>Shipped</v>
      </c>
      <c r="I2296" s="4" t="str">
        <f t="shared" si="212"/>
        <v>completed</v>
      </c>
      <c r="J2296" t="s">
        <v>25</v>
      </c>
      <c r="K2296">
        <v>4</v>
      </c>
      <c r="L2296">
        <v>10</v>
      </c>
      <c r="M2296">
        <v>2004</v>
      </c>
      <c r="N2296" t="s">
        <v>504</v>
      </c>
      <c r="O2296">
        <v>64</v>
      </c>
      <c r="P2296" t="s">
        <v>654</v>
      </c>
      <c r="Q2296" t="s">
        <v>225</v>
      </c>
      <c r="R2296" t="s">
        <v>226</v>
      </c>
      <c r="S2296" t="s">
        <v>227</v>
      </c>
      <c r="U2296" s="1" t="str">
        <f t="shared" si="213"/>
        <v>Vancouver</v>
      </c>
      <c r="V2296" t="s">
        <v>228</v>
      </c>
      <c r="W2296" t="s">
        <v>229</v>
      </c>
      <c r="X2296" t="s">
        <v>230</v>
      </c>
      <c r="Y2296" s="1" t="str">
        <f t="shared" si="214"/>
        <v>CANADA</v>
      </c>
      <c r="Z2296" s="4" t="str">
        <f t="shared" si="215"/>
        <v>Canada</v>
      </c>
      <c r="AA2296" t="s">
        <v>231</v>
      </c>
      <c r="AB2296" t="s">
        <v>33</v>
      </c>
      <c r="AC2296" t="s">
        <v>232</v>
      </c>
      <c r="AD2296" t="s">
        <v>233</v>
      </c>
      <c r="AE2296" t="s">
        <v>36</v>
      </c>
    </row>
    <row r="2297" spans="1:31" x14ac:dyDescent="0.3">
      <c r="A2297">
        <v>10324</v>
      </c>
      <c r="B2297">
        <v>48</v>
      </c>
      <c r="C2297">
        <v>100</v>
      </c>
      <c r="D2297">
        <v>4</v>
      </c>
      <c r="E2297" s="4" t="str">
        <f t="shared" si="210"/>
        <v>high sales</v>
      </c>
      <c r="F2297">
        <v>8209.44</v>
      </c>
      <c r="G2297" t="s">
        <v>2969</v>
      </c>
      <c r="H2297" s="1" t="str">
        <f t="shared" si="211"/>
        <v>Shipped</v>
      </c>
      <c r="I2297" s="4" t="str">
        <f t="shared" si="212"/>
        <v>completed</v>
      </c>
      <c r="J2297" t="s">
        <v>25</v>
      </c>
      <c r="K2297">
        <v>4</v>
      </c>
      <c r="L2297">
        <v>11</v>
      </c>
      <c r="M2297">
        <v>2004</v>
      </c>
      <c r="N2297" t="s">
        <v>504</v>
      </c>
      <c r="O2297">
        <v>64</v>
      </c>
      <c r="P2297" t="s">
        <v>654</v>
      </c>
      <c r="Q2297" t="s">
        <v>99</v>
      </c>
      <c r="R2297">
        <v>2125551500</v>
      </c>
      <c r="S2297" t="s">
        <v>100</v>
      </c>
      <c r="T2297" t="s">
        <v>101</v>
      </c>
      <c r="U2297" s="1" t="str">
        <f t="shared" si="213"/>
        <v>Nyc</v>
      </c>
      <c r="V2297" t="s">
        <v>30</v>
      </c>
      <c r="W2297" t="s">
        <v>31</v>
      </c>
      <c r="X2297">
        <v>10022</v>
      </c>
      <c r="Y2297" s="1" t="str">
        <f t="shared" si="214"/>
        <v>USA</v>
      </c>
      <c r="Z2297" s="4" t="str">
        <f t="shared" si="215"/>
        <v>Usa</v>
      </c>
      <c r="AA2297" t="s">
        <v>32</v>
      </c>
      <c r="AB2297" t="s">
        <v>33</v>
      </c>
      <c r="AC2297" t="s">
        <v>102</v>
      </c>
      <c r="AD2297" t="s">
        <v>103</v>
      </c>
      <c r="AE2297" t="s">
        <v>151</v>
      </c>
    </row>
    <row r="2298" spans="1:31" x14ac:dyDescent="0.3">
      <c r="A2298">
        <v>10333</v>
      </c>
      <c r="B2298">
        <v>33</v>
      </c>
      <c r="C2298">
        <v>73.69</v>
      </c>
      <c r="D2298">
        <v>4</v>
      </c>
      <c r="E2298" s="4" t="str">
        <f t="shared" si="210"/>
        <v>low sales</v>
      </c>
      <c r="F2298">
        <v>2431.77</v>
      </c>
      <c r="G2298" t="s">
        <v>2970</v>
      </c>
      <c r="H2298" s="1" t="str">
        <f t="shared" si="211"/>
        <v>Shipped</v>
      </c>
      <c r="I2298" s="4" t="str">
        <f t="shared" si="212"/>
        <v>completed</v>
      </c>
      <c r="J2298" t="s">
        <v>25</v>
      </c>
      <c r="K2298">
        <v>4</v>
      </c>
      <c r="L2298">
        <v>11</v>
      </c>
      <c r="M2298">
        <v>2004</v>
      </c>
      <c r="N2298" t="s">
        <v>504</v>
      </c>
      <c r="O2298">
        <v>64</v>
      </c>
      <c r="P2298" t="s">
        <v>654</v>
      </c>
      <c r="Q2298" t="s">
        <v>81</v>
      </c>
      <c r="R2298">
        <v>6505555787</v>
      </c>
      <c r="S2298" t="s">
        <v>82</v>
      </c>
      <c r="U2298" s="1" t="str">
        <f t="shared" si="213"/>
        <v>San Francisco</v>
      </c>
      <c r="V2298" t="s">
        <v>60</v>
      </c>
      <c r="W2298" t="s">
        <v>55</v>
      </c>
      <c r="Y2298" s="1" t="str">
        <f t="shared" si="214"/>
        <v>USA</v>
      </c>
      <c r="Z2298" s="4" t="str">
        <f t="shared" si="215"/>
        <v>Usa</v>
      </c>
      <c r="AA2298" t="s">
        <v>32</v>
      </c>
      <c r="AB2298" t="s">
        <v>33</v>
      </c>
      <c r="AC2298" t="s">
        <v>83</v>
      </c>
      <c r="AD2298" t="s">
        <v>57</v>
      </c>
      <c r="AE2298" t="s">
        <v>36</v>
      </c>
    </row>
    <row r="2299" spans="1:31" x14ac:dyDescent="0.3">
      <c r="A2299">
        <v>10348</v>
      </c>
      <c r="B2299">
        <v>31</v>
      </c>
      <c r="C2299">
        <v>100</v>
      </c>
      <c r="D2299">
        <v>5</v>
      </c>
      <c r="E2299" s="4" t="str">
        <f t="shared" si="210"/>
        <v>low sales</v>
      </c>
      <c r="F2299">
        <v>3139.99</v>
      </c>
      <c r="G2299" t="s">
        <v>2971</v>
      </c>
      <c r="H2299" s="1" t="str">
        <f t="shared" si="211"/>
        <v>Shipped</v>
      </c>
      <c r="I2299" s="4" t="str">
        <f t="shared" si="212"/>
        <v>completed</v>
      </c>
      <c r="J2299" t="s">
        <v>25</v>
      </c>
      <c r="K2299">
        <v>4</v>
      </c>
      <c r="L2299">
        <v>11</v>
      </c>
      <c r="M2299">
        <v>2004</v>
      </c>
      <c r="N2299" t="s">
        <v>504</v>
      </c>
      <c r="O2299">
        <v>64</v>
      </c>
      <c r="P2299" t="s">
        <v>654</v>
      </c>
      <c r="Q2299" t="s">
        <v>191</v>
      </c>
      <c r="R2299" t="s">
        <v>192</v>
      </c>
      <c r="S2299" t="s">
        <v>193</v>
      </c>
      <c r="U2299" s="1" t="str">
        <f t="shared" si="213"/>
        <v>Madrid</v>
      </c>
      <c r="V2299" t="s">
        <v>177</v>
      </c>
      <c r="X2299">
        <v>28023</v>
      </c>
      <c r="Y2299" s="1" t="str">
        <f t="shared" si="214"/>
        <v>SPAIN</v>
      </c>
      <c r="Z2299" s="4" t="str">
        <f t="shared" si="215"/>
        <v>Spain</v>
      </c>
      <c r="AA2299" t="s">
        <v>178</v>
      </c>
      <c r="AB2299" t="s">
        <v>42</v>
      </c>
      <c r="AC2299" t="s">
        <v>194</v>
      </c>
      <c r="AD2299" t="s">
        <v>195</v>
      </c>
      <c r="AE2299" t="s">
        <v>51</v>
      </c>
    </row>
    <row r="2300" spans="1:31" x14ac:dyDescent="0.3">
      <c r="A2300">
        <v>10358</v>
      </c>
      <c r="B2300">
        <v>36</v>
      </c>
      <c r="C2300">
        <v>100</v>
      </c>
      <c r="D2300">
        <v>2</v>
      </c>
      <c r="E2300" s="4" t="str">
        <f t="shared" si="210"/>
        <v>high sales</v>
      </c>
      <c r="F2300">
        <v>5669.64</v>
      </c>
      <c r="G2300" t="s">
        <v>2972</v>
      </c>
      <c r="H2300" s="1" t="str">
        <f t="shared" si="211"/>
        <v>Shipped</v>
      </c>
      <c r="I2300" s="4" t="str">
        <f t="shared" si="212"/>
        <v>completed</v>
      </c>
      <c r="J2300" t="s">
        <v>25</v>
      </c>
      <c r="K2300">
        <v>4</v>
      </c>
      <c r="L2300">
        <v>12</v>
      </c>
      <c r="M2300">
        <v>2004</v>
      </c>
      <c r="N2300" t="s">
        <v>504</v>
      </c>
      <c r="O2300">
        <v>64</v>
      </c>
      <c r="P2300" t="s">
        <v>654</v>
      </c>
      <c r="Q2300" t="s">
        <v>174</v>
      </c>
      <c r="R2300" t="s">
        <v>175</v>
      </c>
      <c r="S2300" t="s">
        <v>176</v>
      </c>
      <c r="U2300" s="1" t="str">
        <f t="shared" si="213"/>
        <v>Madrid</v>
      </c>
      <c r="V2300" t="s">
        <v>177</v>
      </c>
      <c r="X2300">
        <v>28034</v>
      </c>
      <c r="Y2300" s="1" t="str">
        <f t="shared" si="214"/>
        <v>SPAIN</v>
      </c>
      <c r="Z2300" s="4" t="str">
        <f t="shared" si="215"/>
        <v>Spain</v>
      </c>
      <c r="AA2300" t="s">
        <v>178</v>
      </c>
      <c r="AB2300" t="s">
        <v>42</v>
      </c>
      <c r="AC2300" t="s">
        <v>179</v>
      </c>
      <c r="AD2300" t="s">
        <v>180</v>
      </c>
      <c r="AE2300" t="s">
        <v>51</v>
      </c>
    </row>
    <row r="2301" spans="1:31" x14ac:dyDescent="0.3">
      <c r="A2301">
        <v>10370</v>
      </c>
      <c r="B2301">
        <v>25</v>
      </c>
      <c r="C2301">
        <v>100</v>
      </c>
      <c r="D2301">
        <v>3</v>
      </c>
      <c r="E2301" s="4" t="str">
        <f t="shared" si="210"/>
        <v>low sales</v>
      </c>
      <c r="F2301">
        <v>3160.25</v>
      </c>
      <c r="G2301" t="s">
        <v>2973</v>
      </c>
      <c r="H2301" s="1" t="str">
        <f t="shared" si="211"/>
        <v>Shipped</v>
      </c>
      <c r="I2301" s="4" t="str">
        <f t="shared" si="212"/>
        <v>completed</v>
      </c>
      <c r="J2301" t="s">
        <v>25</v>
      </c>
      <c r="K2301">
        <v>1</v>
      </c>
      <c r="L2301">
        <v>1</v>
      </c>
      <c r="M2301">
        <v>2005</v>
      </c>
      <c r="N2301" t="s">
        <v>504</v>
      </c>
      <c r="O2301">
        <v>64</v>
      </c>
      <c r="P2301" t="s">
        <v>654</v>
      </c>
      <c r="Q2301" t="s">
        <v>285</v>
      </c>
      <c r="R2301" t="s">
        <v>286</v>
      </c>
      <c r="S2301" t="s">
        <v>287</v>
      </c>
      <c r="T2301" t="s">
        <v>288</v>
      </c>
      <c r="U2301" s="1" t="str">
        <f t="shared" si="213"/>
        <v>North Sydney</v>
      </c>
      <c r="V2301" t="s">
        <v>289</v>
      </c>
      <c r="W2301" t="s">
        <v>157</v>
      </c>
      <c r="X2301">
        <v>2060</v>
      </c>
      <c r="Y2301" s="1" t="str">
        <f t="shared" si="214"/>
        <v>AUSTRALIA</v>
      </c>
      <c r="Z2301" s="4" t="str">
        <f t="shared" si="215"/>
        <v>Australia</v>
      </c>
      <c r="AA2301" t="s">
        <v>95</v>
      </c>
      <c r="AB2301" t="s">
        <v>96</v>
      </c>
      <c r="AC2301" t="s">
        <v>290</v>
      </c>
      <c r="AD2301" t="s">
        <v>291</v>
      </c>
      <c r="AE2301" t="s">
        <v>51</v>
      </c>
    </row>
    <row r="2302" spans="1:31" x14ac:dyDescent="0.3">
      <c r="A2302">
        <v>10382</v>
      </c>
      <c r="B2302">
        <v>48</v>
      </c>
      <c r="C2302">
        <v>100</v>
      </c>
      <c r="D2302">
        <v>8</v>
      </c>
      <c r="E2302" s="4" t="str">
        <f t="shared" si="210"/>
        <v>high sales</v>
      </c>
      <c r="F2302">
        <v>6799.68</v>
      </c>
      <c r="G2302" t="s">
        <v>2974</v>
      </c>
      <c r="H2302" s="1" t="str">
        <f t="shared" si="211"/>
        <v>Shipped</v>
      </c>
      <c r="I2302" s="4" t="str">
        <f t="shared" si="212"/>
        <v>completed</v>
      </c>
      <c r="J2302" t="s">
        <v>25</v>
      </c>
      <c r="K2302">
        <v>1</v>
      </c>
      <c r="L2302">
        <v>2</v>
      </c>
      <c r="M2302">
        <v>2005</v>
      </c>
      <c r="N2302" t="s">
        <v>504</v>
      </c>
      <c r="O2302">
        <v>64</v>
      </c>
      <c r="P2302" t="s">
        <v>654</v>
      </c>
      <c r="Q2302" t="s">
        <v>272</v>
      </c>
      <c r="R2302">
        <v>4155551450</v>
      </c>
      <c r="S2302" t="s">
        <v>273</v>
      </c>
      <c r="U2302" s="1" t="str">
        <f t="shared" si="213"/>
        <v>San Rafael</v>
      </c>
      <c r="V2302" t="s">
        <v>274</v>
      </c>
      <c r="W2302" t="s">
        <v>55</v>
      </c>
      <c r="X2302">
        <v>97562</v>
      </c>
      <c r="Y2302" s="1" t="str">
        <f t="shared" si="214"/>
        <v>USA</v>
      </c>
      <c r="Z2302" s="4" t="str">
        <f t="shared" si="215"/>
        <v>Usa</v>
      </c>
      <c r="AA2302" t="s">
        <v>32</v>
      </c>
      <c r="AB2302" t="s">
        <v>33</v>
      </c>
      <c r="AC2302" t="s">
        <v>275</v>
      </c>
      <c r="AD2302" t="s">
        <v>276</v>
      </c>
      <c r="AE2302" t="s">
        <v>51</v>
      </c>
    </row>
    <row r="2303" spans="1:31" x14ac:dyDescent="0.3">
      <c r="A2303">
        <v>10411</v>
      </c>
      <c r="B2303">
        <v>27</v>
      </c>
      <c r="C2303">
        <v>69.16</v>
      </c>
      <c r="D2303">
        <v>5</v>
      </c>
      <c r="E2303" s="4" t="str">
        <f t="shared" si="210"/>
        <v>low sales</v>
      </c>
      <c r="F2303">
        <v>1867.32</v>
      </c>
      <c r="G2303" t="s">
        <v>2975</v>
      </c>
      <c r="H2303" s="1" t="str">
        <f t="shared" si="211"/>
        <v>Shipped</v>
      </c>
      <c r="I2303" s="4" t="str">
        <f t="shared" si="212"/>
        <v>completed</v>
      </c>
      <c r="J2303" t="s">
        <v>25</v>
      </c>
      <c r="K2303">
        <v>2</v>
      </c>
      <c r="L2303">
        <v>5</v>
      </c>
      <c r="M2303">
        <v>2005</v>
      </c>
      <c r="N2303" t="s">
        <v>504</v>
      </c>
      <c r="O2303">
        <v>64</v>
      </c>
      <c r="P2303" t="s">
        <v>654</v>
      </c>
      <c r="Q2303" t="s">
        <v>292</v>
      </c>
      <c r="R2303" t="s">
        <v>293</v>
      </c>
      <c r="S2303" t="s">
        <v>294</v>
      </c>
      <c r="U2303" s="1" t="str">
        <f t="shared" si="213"/>
        <v>Montreal</v>
      </c>
      <c r="V2303" t="s">
        <v>295</v>
      </c>
      <c r="W2303" t="s">
        <v>296</v>
      </c>
      <c r="X2303" t="s">
        <v>297</v>
      </c>
      <c r="Y2303" s="1" t="str">
        <f t="shared" si="214"/>
        <v>CANADA</v>
      </c>
      <c r="Z2303" s="4" t="str">
        <f t="shared" si="215"/>
        <v>Canada</v>
      </c>
      <c r="AA2303" t="s">
        <v>231</v>
      </c>
      <c r="AB2303" t="s">
        <v>33</v>
      </c>
      <c r="AC2303" t="s">
        <v>298</v>
      </c>
      <c r="AD2303" t="s">
        <v>299</v>
      </c>
      <c r="AE2303" t="s">
        <v>36</v>
      </c>
    </row>
    <row r="2304" spans="1:31" x14ac:dyDescent="0.3">
      <c r="A2304">
        <v>10424</v>
      </c>
      <c r="B2304">
        <v>44</v>
      </c>
      <c r="C2304">
        <v>61.41</v>
      </c>
      <c r="D2304">
        <v>2</v>
      </c>
      <c r="E2304" s="4" t="str">
        <f t="shared" si="210"/>
        <v>low sales</v>
      </c>
      <c r="F2304">
        <v>2702.04</v>
      </c>
      <c r="G2304" t="s">
        <v>2976</v>
      </c>
      <c r="H2304" s="1" t="str">
        <f t="shared" si="211"/>
        <v>In Process</v>
      </c>
      <c r="I2304" s="4" t="str">
        <f t="shared" si="212"/>
        <v>not completed</v>
      </c>
      <c r="J2304" t="s">
        <v>300</v>
      </c>
      <c r="K2304">
        <v>2</v>
      </c>
      <c r="L2304">
        <v>5</v>
      </c>
      <c r="M2304">
        <v>2005</v>
      </c>
      <c r="N2304" t="s">
        <v>504</v>
      </c>
      <c r="O2304">
        <v>64</v>
      </c>
      <c r="P2304" t="s">
        <v>654</v>
      </c>
      <c r="Q2304" t="s">
        <v>174</v>
      </c>
      <c r="R2304" t="s">
        <v>175</v>
      </c>
      <c r="S2304" t="s">
        <v>176</v>
      </c>
      <c r="U2304" s="1" t="str">
        <f t="shared" si="213"/>
        <v>Madrid</v>
      </c>
      <c r="V2304" t="s">
        <v>177</v>
      </c>
      <c r="X2304">
        <v>28034</v>
      </c>
      <c r="Y2304" s="1" t="str">
        <f t="shared" si="214"/>
        <v>SPAIN</v>
      </c>
      <c r="Z2304" s="4" t="str">
        <f t="shared" si="215"/>
        <v>Spain</v>
      </c>
      <c r="AA2304" t="s">
        <v>178</v>
      </c>
      <c r="AB2304" t="s">
        <v>42</v>
      </c>
      <c r="AC2304" t="s">
        <v>179</v>
      </c>
      <c r="AD2304" t="s">
        <v>180</v>
      </c>
      <c r="AE2304" t="s">
        <v>36</v>
      </c>
    </row>
    <row r="2305" spans="1:31" x14ac:dyDescent="0.3">
      <c r="A2305">
        <v>10106</v>
      </c>
      <c r="B2305">
        <v>33</v>
      </c>
      <c r="C2305">
        <v>72.92</v>
      </c>
      <c r="D2305">
        <v>5</v>
      </c>
      <c r="E2305" s="4" t="str">
        <f t="shared" si="210"/>
        <v>low sales</v>
      </c>
      <c r="F2305">
        <v>2406.36</v>
      </c>
      <c r="G2305" t="s">
        <v>2977</v>
      </c>
      <c r="H2305" s="1" t="str">
        <f t="shared" si="211"/>
        <v>Shipped</v>
      </c>
      <c r="I2305" s="4" t="str">
        <f t="shared" si="212"/>
        <v>completed</v>
      </c>
      <c r="J2305" t="s">
        <v>25</v>
      </c>
      <c r="K2305">
        <v>1</v>
      </c>
      <c r="L2305">
        <v>2</v>
      </c>
      <c r="M2305">
        <v>2003</v>
      </c>
      <c r="N2305" t="s">
        <v>550</v>
      </c>
      <c r="O2305">
        <v>68</v>
      </c>
      <c r="P2305" t="s">
        <v>655</v>
      </c>
      <c r="Q2305" t="s">
        <v>552</v>
      </c>
      <c r="R2305" t="s">
        <v>553</v>
      </c>
      <c r="S2305" t="s">
        <v>554</v>
      </c>
      <c r="U2305" s="1" t="str">
        <f t="shared" si="213"/>
        <v>Bergamo</v>
      </c>
      <c r="V2305" t="s">
        <v>555</v>
      </c>
      <c r="X2305">
        <v>24100</v>
      </c>
      <c r="Y2305" s="1" t="str">
        <f t="shared" si="214"/>
        <v>ITALY</v>
      </c>
      <c r="Z2305" s="4" t="str">
        <f t="shared" si="215"/>
        <v>Italy</v>
      </c>
      <c r="AA2305" t="s">
        <v>258</v>
      </c>
      <c r="AB2305" t="s">
        <v>42</v>
      </c>
      <c r="AC2305" t="s">
        <v>556</v>
      </c>
      <c r="AD2305" t="s">
        <v>557</v>
      </c>
      <c r="AE2305" t="s">
        <v>36</v>
      </c>
    </row>
    <row r="2306" spans="1:31" x14ac:dyDescent="0.3">
      <c r="A2306">
        <v>10120</v>
      </c>
      <c r="B2306">
        <v>29</v>
      </c>
      <c r="C2306">
        <v>72.23</v>
      </c>
      <c r="D2306">
        <v>11</v>
      </c>
      <c r="E2306" s="4" t="str">
        <f t="shared" si="210"/>
        <v>low sales</v>
      </c>
      <c r="F2306">
        <v>2094.67</v>
      </c>
      <c r="G2306" t="s">
        <v>2978</v>
      </c>
      <c r="H2306" s="1" t="str">
        <f t="shared" si="211"/>
        <v>Shipped</v>
      </c>
      <c r="I2306" s="4" t="str">
        <f t="shared" si="212"/>
        <v>completed</v>
      </c>
      <c r="J2306" t="s">
        <v>25</v>
      </c>
      <c r="K2306">
        <v>2</v>
      </c>
      <c r="L2306">
        <v>4</v>
      </c>
      <c r="M2306">
        <v>2003</v>
      </c>
      <c r="N2306" t="s">
        <v>550</v>
      </c>
      <c r="O2306">
        <v>68</v>
      </c>
      <c r="P2306" t="s">
        <v>655</v>
      </c>
      <c r="Q2306" t="s">
        <v>89</v>
      </c>
      <c r="R2306" t="s">
        <v>90</v>
      </c>
      <c r="S2306" t="s">
        <v>91</v>
      </c>
      <c r="T2306" t="s">
        <v>92</v>
      </c>
      <c r="U2306" s="1" t="str">
        <f t="shared" si="213"/>
        <v>Melbourne</v>
      </c>
      <c r="V2306" t="s">
        <v>93</v>
      </c>
      <c r="W2306" t="s">
        <v>94</v>
      </c>
      <c r="X2306">
        <v>3004</v>
      </c>
      <c r="Y2306" s="1" t="str">
        <f t="shared" si="214"/>
        <v>AUSTRALIA</v>
      </c>
      <c r="Z2306" s="4" t="str">
        <f t="shared" si="215"/>
        <v>Australia</v>
      </c>
      <c r="AA2306" t="s">
        <v>95</v>
      </c>
      <c r="AB2306" t="s">
        <v>96</v>
      </c>
      <c r="AC2306" t="s">
        <v>97</v>
      </c>
      <c r="AD2306" t="s">
        <v>98</v>
      </c>
      <c r="AE2306" t="s">
        <v>36</v>
      </c>
    </row>
    <row r="2307" spans="1:31" x14ac:dyDescent="0.3">
      <c r="A2307">
        <v>10133</v>
      </c>
      <c r="B2307">
        <v>49</v>
      </c>
      <c r="C2307">
        <v>57.1</v>
      </c>
      <c r="D2307">
        <v>6</v>
      </c>
      <c r="E2307" s="4" t="str">
        <f t="shared" ref="E2307:E2370" si="216">IF(F2307&gt;4000,"high sales","low sales")</f>
        <v>low sales</v>
      </c>
      <c r="F2307">
        <v>2797.9</v>
      </c>
      <c r="G2307" t="s">
        <v>2979</v>
      </c>
      <c r="H2307" s="1" t="str">
        <f t="shared" ref="H2307:H2370" si="217">PROPER(TRIM(J2307))</f>
        <v>Shipped</v>
      </c>
      <c r="I2307" s="4" t="str">
        <f t="shared" ref="I2307:I2370" si="218">IF(J2307="shipped","completed","not completed")</f>
        <v>completed</v>
      </c>
      <c r="J2307" t="s">
        <v>25</v>
      </c>
      <c r="K2307">
        <v>2</v>
      </c>
      <c r="L2307">
        <v>6</v>
      </c>
      <c r="M2307">
        <v>2003</v>
      </c>
      <c r="N2307" t="s">
        <v>550</v>
      </c>
      <c r="O2307">
        <v>68</v>
      </c>
      <c r="P2307" t="s">
        <v>655</v>
      </c>
      <c r="Q2307" t="s">
        <v>174</v>
      </c>
      <c r="R2307" t="s">
        <v>175</v>
      </c>
      <c r="S2307" t="s">
        <v>176</v>
      </c>
      <c r="U2307" s="1" t="str">
        <f t="shared" ref="U2307:U2370" si="219">PROPER(TRIM(V2307))</f>
        <v>Madrid</v>
      </c>
      <c r="V2307" t="s">
        <v>177</v>
      </c>
      <c r="X2307">
        <v>28034</v>
      </c>
      <c r="Y2307" s="1" t="str">
        <f t="shared" ref="Y2307:Y2370" si="220">UPPER(TRIM(AA2307))</f>
        <v>SPAIN</v>
      </c>
      <c r="Z2307" s="4" t="str">
        <f t="shared" ref="Z2307:Z2370" si="221">PROPER(TRIM(AA2307))</f>
        <v>Spain</v>
      </c>
      <c r="AA2307" t="s">
        <v>178</v>
      </c>
      <c r="AB2307" t="s">
        <v>42</v>
      </c>
      <c r="AC2307" t="s">
        <v>179</v>
      </c>
      <c r="AD2307" t="s">
        <v>180</v>
      </c>
      <c r="AE2307" t="s">
        <v>36</v>
      </c>
    </row>
    <row r="2308" spans="1:31" x14ac:dyDescent="0.3">
      <c r="A2308">
        <v>10144</v>
      </c>
      <c r="B2308">
        <v>20</v>
      </c>
      <c r="C2308">
        <v>81.86</v>
      </c>
      <c r="D2308">
        <v>1</v>
      </c>
      <c r="E2308" s="4" t="str">
        <f t="shared" si="216"/>
        <v>low sales</v>
      </c>
      <c r="F2308">
        <v>1637.2</v>
      </c>
      <c r="G2308" t="s">
        <v>2980</v>
      </c>
      <c r="H2308" s="1" t="str">
        <f t="shared" si="217"/>
        <v>Shipped</v>
      </c>
      <c r="I2308" s="4" t="str">
        <f t="shared" si="218"/>
        <v>completed</v>
      </c>
      <c r="J2308" t="s">
        <v>25</v>
      </c>
      <c r="K2308">
        <v>3</v>
      </c>
      <c r="L2308">
        <v>8</v>
      </c>
      <c r="M2308">
        <v>2003</v>
      </c>
      <c r="N2308" t="s">
        <v>550</v>
      </c>
      <c r="O2308">
        <v>68</v>
      </c>
      <c r="P2308" t="s">
        <v>655</v>
      </c>
      <c r="Q2308" t="s">
        <v>577</v>
      </c>
      <c r="R2308" t="s">
        <v>578</v>
      </c>
      <c r="S2308" t="s">
        <v>579</v>
      </c>
      <c r="U2308" s="1" t="str">
        <f t="shared" si="219"/>
        <v>Charleroi</v>
      </c>
      <c r="V2308" t="s">
        <v>580</v>
      </c>
      <c r="X2308" t="s">
        <v>581</v>
      </c>
      <c r="Y2308" s="1" t="str">
        <f t="shared" si="220"/>
        <v>BELGIUM</v>
      </c>
      <c r="Z2308" s="4" t="str">
        <f t="shared" si="221"/>
        <v>Belgium</v>
      </c>
      <c r="AA2308" t="s">
        <v>370</v>
      </c>
      <c r="AB2308" t="s">
        <v>42</v>
      </c>
      <c r="AC2308" t="s">
        <v>582</v>
      </c>
      <c r="AD2308" t="s">
        <v>583</v>
      </c>
      <c r="AE2308" t="s">
        <v>36</v>
      </c>
    </row>
    <row r="2309" spans="1:31" x14ac:dyDescent="0.3">
      <c r="A2309">
        <v>10168</v>
      </c>
      <c r="B2309">
        <v>31</v>
      </c>
      <c r="C2309">
        <v>73.61</v>
      </c>
      <c r="D2309">
        <v>12</v>
      </c>
      <c r="E2309" s="4" t="str">
        <f t="shared" si="216"/>
        <v>low sales</v>
      </c>
      <c r="F2309">
        <v>2281.91</v>
      </c>
      <c r="G2309" t="s">
        <v>2981</v>
      </c>
      <c r="H2309" s="1" t="str">
        <f t="shared" si="217"/>
        <v>Shipped</v>
      </c>
      <c r="I2309" s="4" t="str">
        <f t="shared" si="218"/>
        <v>completed</v>
      </c>
      <c r="J2309" t="s">
        <v>25</v>
      </c>
      <c r="K2309">
        <v>4</v>
      </c>
      <c r="L2309">
        <v>10</v>
      </c>
      <c r="M2309">
        <v>2003</v>
      </c>
      <c r="N2309" t="s">
        <v>550</v>
      </c>
      <c r="O2309">
        <v>68</v>
      </c>
      <c r="P2309" t="s">
        <v>655</v>
      </c>
      <c r="Q2309" t="s">
        <v>62</v>
      </c>
      <c r="R2309">
        <v>6505556809</v>
      </c>
      <c r="S2309" t="s">
        <v>63</v>
      </c>
      <c r="U2309" s="1" t="str">
        <f t="shared" si="219"/>
        <v>Burlingame</v>
      </c>
      <c r="V2309" t="s">
        <v>64</v>
      </c>
      <c r="W2309" t="s">
        <v>55</v>
      </c>
      <c r="X2309">
        <v>94217</v>
      </c>
      <c r="Y2309" s="1" t="str">
        <f t="shared" si="220"/>
        <v>USA</v>
      </c>
      <c r="Z2309" s="4" t="str">
        <f t="shared" si="221"/>
        <v>Usa</v>
      </c>
      <c r="AA2309" t="s">
        <v>32</v>
      </c>
      <c r="AB2309" t="s">
        <v>33</v>
      </c>
      <c r="AC2309" t="s">
        <v>65</v>
      </c>
      <c r="AD2309" t="s">
        <v>66</v>
      </c>
      <c r="AE2309" t="s">
        <v>36</v>
      </c>
    </row>
    <row r="2310" spans="1:31" x14ac:dyDescent="0.3">
      <c r="A2310">
        <v>10210</v>
      </c>
      <c r="B2310">
        <v>39</v>
      </c>
      <c r="C2310">
        <v>59.16</v>
      </c>
      <c r="D2310">
        <v>10</v>
      </c>
      <c r="E2310" s="4" t="str">
        <f t="shared" si="216"/>
        <v>low sales</v>
      </c>
      <c r="F2310">
        <v>2307.2399999999998</v>
      </c>
      <c r="G2310" t="s">
        <v>2982</v>
      </c>
      <c r="H2310" s="1" t="str">
        <f t="shared" si="217"/>
        <v>Shipped</v>
      </c>
      <c r="I2310" s="4" t="str">
        <f t="shared" si="218"/>
        <v>completed</v>
      </c>
      <c r="J2310" t="s">
        <v>25</v>
      </c>
      <c r="K2310">
        <v>1</v>
      </c>
      <c r="L2310">
        <v>1</v>
      </c>
      <c r="M2310">
        <v>2004</v>
      </c>
      <c r="N2310" t="s">
        <v>550</v>
      </c>
      <c r="O2310">
        <v>68</v>
      </c>
      <c r="P2310" t="s">
        <v>655</v>
      </c>
      <c r="Q2310" t="s">
        <v>302</v>
      </c>
      <c r="R2310" t="s">
        <v>303</v>
      </c>
      <c r="S2310" t="s">
        <v>304</v>
      </c>
      <c r="U2310" s="1" t="str">
        <f t="shared" si="219"/>
        <v>Osaka</v>
      </c>
      <c r="V2310" t="s">
        <v>305</v>
      </c>
      <c r="W2310" t="s">
        <v>305</v>
      </c>
      <c r="X2310" t="s">
        <v>306</v>
      </c>
      <c r="Y2310" s="1" t="str">
        <f t="shared" si="220"/>
        <v>JAPAN</v>
      </c>
      <c r="Z2310" s="4" t="str">
        <f t="shared" si="221"/>
        <v>Japan</v>
      </c>
      <c r="AA2310" t="s">
        <v>200</v>
      </c>
      <c r="AB2310" t="s">
        <v>200</v>
      </c>
      <c r="AC2310" t="s">
        <v>307</v>
      </c>
      <c r="AD2310" t="s">
        <v>308</v>
      </c>
      <c r="AE2310" t="s">
        <v>36</v>
      </c>
    </row>
    <row r="2311" spans="1:31" x14ac:dyDescent="0.3">
      <c r="A2311">
        <v>10223</v>
      </c>
      <c r="B2311">
        <v>20</v>
      </c>
      <c r="C2311">
        <v>66.040000000000006</v>
      </c>
      <c r="D2311">
        <v>12</v>
      </c>
      <c r="E2311" s="4" t="str">
        <f t="shared" si="216"/>
        <v>low sales</v>
      </c>
      <c r="F2311">
        <v>1320.8</v>
      </c>
      <c r="G2311" t="s">
        <v>2983</v>
      </c>
      <c r="H2311" s="1" t="str">
        <f t="shared" si="217"/>
        <v>Shipped</v>
      </c>
      <c r="I2311" s="4" t="str">
        <f t="shared" si="218"/>
        <v>completed</v>
      </c>
      <c r="J2311" t="s">
        <v>25</v>
      </c>
      <c r="K2311">
        <v>1</v>
      </c>
      <c r="L2311">
        <v>2</v>
      </c>
      <c r="M2311">
        <v>2004</v>
      </c>
      <c r="N2311" t="s">
        <v>550</v>
      </c>
      <c r="O2311">
        <v>68</v>
      </c>
      <c r="P2311" t="s">
        <v>655</v>
      </c>
      <c r="Q2311" t="s">
        <v>89</v>
      </c>
      <c r="R2311" t="s">
        <v>90</v>
      </c>
      <c r="S2311" t="s">
        <v>91</v>
      </c>
      <c r="T2311" t="s">
        <v>92</v>
      </c>
      <c r="U2311" s="1" t="str">
        <f t="shared" si="219"/>
        <v>Melbourne</v>
      </c>
      <c r="V2311" t="s">
        <v>93</v>
      </c>
      <c r="W2311" t="s">
        <v>94</v>
      </c>
      <c r="X2311">
        <v>3004</v>
      </c>
      <c r="Y2311" s="1" t="str">
        <f t="shared" si="220"/>
        <v>AUSTRALIA</v>
      </c>
      <c r="Z2311" s="4" t="str">
        <f t="shared" si="221"/>
        <v>Australia</v>
      </c>
      <c r="AA2311" t="s">
        <v>95</v>
      </c>
      <c r="AB2311" t="s">
        <v>96</v>
      </c>
      <c r="AC2311" t="s">
        <v>97</v>
      </c>
      <c r="AD2311" t="s">
        <v>98</v>
      </c>
      <c r="AE2311" t="s">
        <v>36</v>
      </c>
    </row>
    <row r="2312" spans="1:31" x14ac:dyDescent="0.3">
      <c r="A2312">
        <v>10235</v>
      </c>
      <c r="B2312">
        <v>34</v>
      </c>
      <c r="C2312">
        <v>77.73</v>
      </c>
      <c r="D2312">
        <v>6</v>
      </c>
      <c r="E2312" s="4" t="str">
        <f t="shared" si="216"/>
        <v>low sales</v>
      </c>
      <c r="F2312">
        <v>2642.82</v>
      </c>
      <c r="G2312" t="s">
        <v>2984</v>
      </c>
      <c r="H2312" s="1" t="str">
        <f t="shared" si="217"/>
        <v>Shipped</v>
      </c>
      <c r="I2312" s="4" t="str">
        <f t="shared" si="218"/>
        <v>completed</v>
      </c>
      <c r="J2312" t="s">
        <v>25</v>
      </c>
      <c r="K2312">
        <v>2</v>
      </c>
      <c r="L2312">
        <v>4</v>
      </c>
      <c r="M2312">
        <v>2004</v>
      </c>
      <c r="N2312" t="s">
        <v>550</v>
      </c>
      <c r="O2312">
        <v>68</v>
      </c>
      <c r="P2312" t="s">
        <v>655</v>
      </c>
      <c r="Q2312" t="s">
        <v>373</v>
      </c>
      <c r="R2312" t="s">
        <v>374</v>
      </c>
      <c r="S2312" t="s">
        <v>375</v>
      </c>
      <c r="U2312" s="1" t="str">
        <f t="shared" si="219"/>
        <v>Tsawassen</v>
      </c>
      <c r="V2312" t="s">
        <v>376</v>
      </c>
      <c r="W2312" t="s">
        <v>229</v>
      </c>
      <c r="X2312" t="s">
        <v>377</v>
      </c>
      <c r="Y2312" s="1" t="str">
        <f t="shared" si="220"/>
        <v>CANADA</v>
      </c>
      <c r="Z2312" s="4" t="str">
        <f t="shared" si="221"/>
        <v>Canada</v>
      </c>
      <c r="AA2312" t="s">
        <v>231</v>
      </c>
      <c r="AB2312" t="s">
        <v>33</v>
      </c>
      <c r="AC2312" t="s">
        <v>378</v>
      </c>
      <c r="AD2312" t="s">
        <v>172</v>
      </c>
      <c r="AE2312" t="s">
        <v>36</v>
      </c>
    </row>
    <row r="2313" spans="1:31" x14ac:dyDescent="0.3">
      <c r="A2313">
        <v>10250</v>
      </c>
      <c r="B2313">
        <v>50</v>
      </c>
      <c r="C2313">
        <v>61.22</v>
      </c>
      <c r="D2313">
        <v>7</v>
      </c>
      <c r="E2313" s="4" t="str">
        <f t="shared" si="216"/>
        <v>low sales</v>
      </c>
      <c r="F2313">
        <v>3061</v>
      </c>
      <c r="G2313" t="s">
        <v>2985</v>
      </c>
      <c r="H2313" s="1" t="str">
        <f t="shared" si="217"/>
        <v>Shipped</v>
      </c>
      <c r="I2313" s="4" t="str">
        <f t="shared" si="218"/>
        <v>completed</v>
      </c>
      <c r="J2313" t="s">
        <v>25</v>
      </c>
      <c r="K2313">
        <v>2</v>
      </c>
      <c r="L2313">
        <v>5</v>
      </c>
      <c r="M2313">
        <v>2004</v>
      </c>
      <c r="N2313" t="s">
        <v>550</v>
      </c>
      <c r="O2313">
        <v>68</v>
      </c>
      <c r="P2313" t="s">
        <v>655</v>
      </c>
      <c r="Q2313" t="s">
        <v>397</v>
      </c>
      <c r="R2313">
        <v>4085553659</v>
      </c>
      <c r="S2313" t="s">
        <v>398</v>
      </c>
      <c r="U2313" s="1" t="str">
        <f t="shared" si="219"/>
        <v>San Jose</v>
      </c>
      <c r="V2313" t="s">
        <v>399</v>
      </c>
      <c r="W2313" t="s">
        <v>55</v>
      </c>
      <c r="X2313">
        <v>94217</v>
      </c>
      <c r="Y2313" s="1" t="str">
        <f t="shared" si="220"/>
        <v>USA</v>
      </c>
      <c r="Z2313" s="4" t="str">
        <f t="shared" si="221"/>
        <v>Usa</v>
      </c>
      <c r="AA2313" t="s">
        <v>32</v>
      </c>
      <c r="AB2313" t="s">
        <v>33</v>
      </c>
      <c r="AC2313" t="s">
        <v>102</v>
      </c>
      <c r="AD2313" t="s">
        <v>400</v>
      </c>
      <c r="AE2313" t="s">
        <v>51</v>
      </c>
    </row>
    <row r="2314" spans="1:31" x14ac:dyDescent="0.3">
      <c r="A2314">
        <v>10262</v>
      </c>
      <c r="B2314">
        <v>40</v>
      </c>
      <c r="C2314">
        <v>79.11</v>
      </c>
      <c r="D2314">
        <v>2</v>
      </c>
      <c r="E2314" s="4" t="str">
        <f t="shared" si="216"/>
        <v>low sales</v>
      </c>
      <c r="F2314">
        <v>3164.4</v>
      </c>
      <c r="G2314" t="s">
        <v>2986</v>
      </c>
      <c r="H2314" s="1" t="str">
        <f t="shared" si="217"/>
        <v>Cancelled</v>
      </c>
      <c r="I2314" s="4" t="str">
        <f t="shared" si="218"/>
        <v>not completed</v>
      </c>
      <c r="J2314" t="s">
        <v>339</v>
      </c>
      <c r="K2314">
        <v>2</v>
      </c>
      <c r="L2314">
        <v>6</v>
      </c>
      <c r="M2314">
        <v>2004</v>
      </c>
      <c r="N2314" t="s">
        <v>550</v>
      </c>
      <c r="O2314">
        <v>68</v>
      </c>
      <c r="P2314" t="s">
        <v>655</v>
      </c>
      <c r="Q2314" t="s">
        <v>174</v>
      </c>
      <c r="R2314" t="s">
        <v>175</v>
      </c>
      <c r="S2314" t="s">
        <v>176</v>
      </c>
      <c r="U2314" s="1" t="str">
        <f t="shared" si="219"/>
        <v>Madrid</v>
      </c>
      <c r="V2314" t="s">
        <v>177</v>
      </c>
      <c r="X2314">
        <v>28034</v>
      </c>
      <c r="Y2314" s="1" t="str">
        <f t="shared" si="220"/>
        <v>SPAIN</v>
      </c>
      <c r="Z2314" s="4" t="str">
        <f t="shared" si="221"/>
        <v>Spain</v>
      </c>
      <c r="AA2314" t="s">
        <v>178</v>
      </c>
      <c r="AB2314" t="s">
        <v>42</v>
      </c>
      <c r="AC2314" t="s">
        <v>179</v>
      </c>
      <c r="AD2314" t="s">
        <v>180</v>
      </c>
      <c r="AE2314" t="s">
        <v>51</v>
      </c>
    </row>
    <row r="2315" spans="1:31" x14ac:dyDescent="0.3">
      <c r="A2315">
        <v>10275</v>
      </c>
      <c r="B2315">
        <v>28</v>
      </c>
      <c r="C2315">
        <v>63.97</v>
      </c>
      <c r="D2315">
        <v>12</v>
      </c>
      <c r="E2315" s="4" t="str">
        <f t="shared" si="216"/>
        <v>low sales</v>
      </c>
      <c r="F2315">
        <v>1791.16</v>
      </c>
      <c r="G2315" t="s">
        <v>2987</v>
      </c>
      <c r="H2315" s="1" t="str">
        <f t="shared" si="217"/>
        <v>Shipped</v>
      </c>
      <c r="I2315" s="4" t="str">
        <f t="shared" si="218"/>
        <v>completed</v>
      </c>
      <c r="J2315" t="s">
        <v>25</v>
      </c>
      <c r="K2315">
        <v>3</v>
      </c>
      <c r="L2315">
        <v>7</v>
      </c>
      <c r="M2315">
        <v>2004</v>
      </c>
      <c r="N2315" t="s">
        <v>550</v>
      </c>
      <c r="O2315">
        <v>68</v>
      </c>
      <c r="P2315" t="s">
        <v>655</v>
      </c>
      <c r="Q2315" t="s">
        <v>114</v>
      </c>
      <c r="R2315" t="s">
        <v>115</v>
      </c>
      <c r="S2315" t="s">
        <v>116</v>
      </c>
      <c r="U2315" s="1" t="str">
        <f t="shared" si="219"/>
        <v>Nantes</v>
      </c>
      <c r="V2315" t="s">
        <v>117</v>
      </c>
      <c r="X2315">
        <v>44000</v>
      </c>
      <c r="Y2315" s="1" t="str">
        <f t="shared" si="220"/>
        <v>FRANCE</v>
      </c>
      <c r="Z2315" s="4" t="str">
        <f t="shared" si="221"/>
        <v>France</v>
      </c>
      <c r="AA2315" t="s">
        <v>41</v>
      </c>
      <c r="AB2315" t="s">
        <v>42</v>
      </c>
      <c r="AC2315" t="s">
        <v>118</v>
      </c>
      <c r="AD2315" t="s">
        <v>119</v>
      </c>
      <c r="AE2315" t="s">
        <v>36</v>
      </c>
    </row>
    <row r="2316" spans="1:31" x14ac:dyDescent="0.3">
      <c r="A2316">
        <v>10284</v>
      </c>
      <c r="B2316">
        <v>50</v>
      </c>
      <c r="C2316">
        <v>81.86</v>
      </c>
      <c r="D2316">
        <v>4</v>
      </c>
      <c r="E2316" s="4" t="str">
        <f t="shared" si="216"/>
        <v>high sales</v>
      </c>
      <c r="F2316">
        <v>4093</v>
      </c>
      <c r="G2316" t="s">
        <v>2988</v>
      </c>
      <c r="H2316" s="1" t="str">
        <f t="shared" si="217"/>
        <v>Shipped</v>
      </c>
      <c r="I2316" s="4" t="str">
        <f t="shared" si="218"/>
        <v>completed</v>
      </c>
      <c r="J2316" t="s">
        <v>25</v>
      </c>
      <c r="K2316">
        <v>3</v>
      </c>
      <c r="L2316">
        <v>8</v>
      </c>
      <c r="M2316">
        <v>2004</v>
      </c>
      <c r="N2316" t="s">
        <v>550</v>
      </c>
      <c r="O2316">
        <v>68</v>
      </c>
      <c r="P2316" t="s">
        <v>655</v>
      </c>
      <c r="Q2316" t="s">
        <v>543</v>
      </c>
      <c r="R2316" t="s">
        <v>544</v>
      </c>
      <c r="S2316" t="s">
        <v>545</v>
      </c>
      <c r="U2316" s="1" t="str">
        <f t="shared" si="219"/>
        <v>Oslo</v>
      </c>
      <c r="V2316" t="s">
        <v>546</v>
      </c>
      <c r="X2316" t="s">
        <v>547</v>
      </c>
      <c r="Y2316" s="1" t="str">
        <f t="shared" si="220"/>
        <v>NORWAY</v>
      </c>
      <c r="Z2316" s="4" t="str">
        <f t="shared" si="221"/>
        <v>Norway</v>
      </c>
      <c r="AA2316" t="s">
        <v>78</v>
      </c>
      <c r="AB2316" t="s">
        <v>42</v>
      </c>
      <c r="AC2316" t="s">
        <v>548</v>
      </c>
      <c r="AD2316" t="s">
        <v>549</v>
      </c>
      <c r="AE2316" t="s">
        <v>51</v>
      </c>
    </row>
    <row r="2317" spans="1:31" x14ac:dyDescent="0.3">
      <c r="A2317">
        <v>10297</v>
      </c>
      <c r="B2317">
        <v>28</v>
      </c>
      <c r="C2317">
        <v>79.8</v>
      </c>
      <c r="D2317">
        <v>7</v>
      </c>
      <c r="E2317" s="4" t="str">
        <f t="shared" si="216"/>
        <v>low sales</v>
      </c>
      <c r="F2317">
        <v>2234.4</v>
      </c>
      <c r="G2317" t="s">
        <v>2989</v>
      </c>
      <c r="H2317" s="1" t="str">
        <f t="shared" si="217"/>
        <v>Shipped</v>
      </c>
      <c r="I2317" s="4" t="str">
        <f t="shared" si="218"/>
        <v>completed</v>
      </c>
      <c r="J2317" t="s">
        <v>25</v>
      </c>
      <c r="K2317">
        <v>3</v>
      </c>
      <c r="L2317">
        <v>9</v>
      </c>
      <c r="M2317">
        <v>2004</v>
      </c>
      <c r="N2317" t="s">
        <v>550</v>
      </c>
      <c r="O2317">
        <v>68</v>
      </c>
      <c r="P2317" t="s">
        <v>655</v>
      </c>
      <c r="Q2317" t="s">
        <v>479</v>
      </c>
      <c r="R2317" t="s">
        <v>480</v>
      </c>
      <c r="S2317" t="s">
        <v>481</v>
      </c>
      <c r="T2317" t="s">
        <v>482</v>
      </c>
      <c r="U2317" s="1" t="str">
        <f t="shared" si="219"/>
        <v>Dublin</v>
      </c>
      <c r="V2317" t="s">
        <v>483</v>
      </c>
      <c r="X2317">
        <v>2</v>
      </c>
      <c r="Y2317" s="1" t="str">
        <f t="shared" si="220"/>
        <v>IRELAND</v>
      </c>
      <c r="Z2317" s="4" t="str">
        <f t="shared" si="221"/>
        <v>Ireland</v>
      </c>
      <c r="AA2317" t="s">
        <v>484</v>
      </c>
      <c r="AB2317" t="s">
        <v>42</v>
      </c>
      <c r="AC2317" t="s">
        <v>485</v>
      </c>
      <c r="AD2317" t="s">
        <v>486</v>
      </c>
      <c r="AE2317" t="s">
        <v>36</v>
      </c>
    </row>
    <row r="2318" spans="1:31" x14ac:dyDescent="0.3">
      <c r="A2318">
        <v>10308</v>
      </c>
      <c r="B2318">
        <v>46</v>
      </c>
      <c r="C2318">
        <v>66.040000000000006</v>
      </c>
      <c r="D2318">
        <v>10</v>
      </c>
      <c r="E2318" s="4" t="str">
        <f t="shared" si="216"/>
        <v>low sales</v>
      </c>
      <c r="F2318">
        <v>3037.84</v>
      </c>
      <c r="G2318" t="s">
        <v>2990</v>
      </c>
      <c r="H2318" s="1" t="str">
        <f t="shared" si="217"/>
        <v>Shipped</v>
      </c>
      <c r="I2318" s="4" t="str">
        <f t="shared" si="218"/>
        <v>completed</v>
      </c>
      <c r="J2318" t="s">
        <v>25</v>
      </c>
      <c r="K2318">
        <v>4</v>
      </c>
      <c r="L2318">
        <v>10</v>
      </c>
      <c r="M2318">
        <v>2004</v>
      </c>
      <c r="N2318" t="s">
        <v>550</v>
      </c>
      <c r="O2318">
        <v>68</v>
      </c>
      <c r="P2318" t="s">
        <v>655</v>
      </c>
      <c r="Q2318" t="s">
        <v>317</v>
      </c>
      <c r="R2318">
        <v>9145554562</v>
      </c>
      <c r="S2318" t="s">
        <v>318</v>
      </c>
      <c r="U2318" s="1" t="str">
        <f t="shared" si="219"/>
        <v>White Plains</v>
      </c>
      <c r="V2318" t="s">
        <v>319</v>
      </c>
      <c r="W2318" t="s">
        <v>31</v>
      </c>
      <c r="X2318">
        <v>24067</v>
      </c>
      <c r="Y2318" s="1" t="str">
        <f t="shared" si="220"/>
        <v>USA</v>
      </c>
      <c r="Z2318" s="4" t="str">
        <f t="shared" si="221"/>
        <v>Usa</v>
      </c>
      <c r="AA2318" t="s">
        <v>32</v>
      </c>
      <c r="AB2318" t="s">
        <v>33</v>
      </c>
      <c r="AC2318" t="s">
        <v>102</v>
      </c>
      <c r="AD2318" t="s">
        <v>238</v>
      </c>
      <c r="AE2318" t="s">
        <v>51</v>
      </c>
    </row>
    <row r="2319" spans="1:31" x14ac:dyDescent="0.3">
      <c r="A2319">
        <v>10316</v>
      </c>
      <c r="B2319">
        <v>24</v>
      </c>
      <c r="C2319">
        <v>59.16</v>
      </c>
      <c r="D2319">
        <v>2</v>
      </c>
      <c r="E2319" s="4" t="str">
        <f t="shared" si="216"/>
        <v>low sales</v>
      </c>
      <c r="F2319">
        <v>1419.84</v>
      </c>
      <c r="G2319" t="s">
        <v>2991</v>
      </c>
      <c r="H2319" s="1" t="str">
        <f t="shared" si="217"/>
        <v>Shipped</v>
      </c>
      <c r="I2319" s="4" t="str">
        <f t="shared" si="218"/>
        <v>completed</v>
      </c>
      <c r="J2319" t="s">
        <v>25</v>
      </c>
      <c r="K2319">
        <v>4</v>
      </c>
      <c r="L2319">
        <v>11</v>
      </c>
      <c r="M2319">
        <v>2004</v>
      </c>
      <c r="N2319" t="s">
        <v>550</v>
      </c>
      <c r="O2319">
        <v>68</v>
      </c>
      <c r="P2319" t="s">
        <v>655</v>
      </c>
      <c r="Q2319" t="s">
        <v>383</v>
      </c>
      <c r="R2319" t="s">
        <v>384</v>
      </c>
      <c r="S2319" t="s">
        <v>385</v>
      </c>
      <c r="U2319" s="1" t="str">
        <f t="shared" si="219"/>
        <v>Cowes</v>
      </c>
      <c r="V2319" t="s">
        <v>386</v>
      </c>
      <c r="W2319" t="s">
        <v>387</v>
      </c>
      <c r="X2319" t="s">
        <v>388</v>
      </c>
      <c r="Y2319" s="1" t="str">
        <f t="shared" si="220"/>
        <v>UK</v>
      </c>
      <c r="Z2319" s="4" t="str">
        <f t="shared" si="221"/>
        <v>Uk</v>
      </c>
      <c r="AA2319" t="s">
        <v>170</v>
      </c>
      <c r="AB2319" t="s">
        <v>42</v>
      </c>
      <c r="AC2319" t="s">
        <v>389</v>
      </c>
      <c r="AD2319" t="s">
        <v>390</v>
      </c>
      <c r="AE2319" t="s">
        <v>36</v>
      </c>
    </row>
    <row r="2320" spans="1:31" x14ac:dyDescent="0.3">
      <c r="A2320">
        <v>10328</v>
      </c>
      <c r="B2320">
        <v>24</v>
      </c>
      <c r="C2320">
        <v>81.17</v>
      </c>
      <c r="D2320">
        <v>5</v>
      </c>
      <c r="E2320" s="4" t="str">
        <f t="shared" si="216"/>
        <v>low sales</v>
      </c>
      <c r="F2320">
        <v>1948.08</v>
      </c>
      <c r="G2320" t="s">
        <v>2992</v>
      </c>
      <c r="H2320" s="1" t="str">
        <f t="shared" si="217"/>
        <v>Shipped</v>
      </c>
      <c r="I2320" s="4" t="str">
        <f t="shared" si="218"/>
        <v>completed</v>
      </c>
      <c r="J2320" t="s">
        <v>25</v>
      </c>
      <c r="K2320">
        <v>4</v>
      </c>
      <c r="L2320">
        <v>11</v>
      </c>
      <c r="M2320">
        <v>2004</v>
      </c>
      <c r="N2320" t="s">
        <v>550</v>
      </c>
      <c r="O2320">
        <v>68</v>
      </c>
      <c r="P2320" t="s">
        <v>655</v>
      </c>
      <c r="Q2320" t="s">
        <v>552</v>
      </c>
      <c r="R2320" t="s">
        <v>553</v>
      </c>
      <c r="S2320" t="s">
        <v>554</v>
      </c>
      <c r="U2320" s="1" t="str">
        <f t="shared" si="219"/>
        <v>Bergamo</v>
      </c>
      <c r="V2320" t="s">
        <v>555</v>
      </c>
      <c r="X2320">
        <v>24100</v>
      </c>
      <c r="Y2320" s="1" t="str">
        <f t="shared" si="220"/>
        <v>ITALY</v>
      </c>
      <c r="Z2320" s="4" t="str">
        <f t="shared" si="221"/>
        <v>Italy</v>
      </c>
      <c r="AA2320" t="s">
        <v>258</v>
      </c>
      <c r="AB2320" t="s">
        <v>42</v>
      </c>
      <c r="AC2320" t="s">
        <v>556</v>
      </c>
      <c r="AD2320" t="s">
        <v>557</v>
      </c>
      <c r="AE2320" t="s">
        <v>36</v>
      </c>
    </row>
    <row r="2321" spans="1:31" x14ac:dyDescent="0.3">
      <c r="A2321">
        <v>10340</v>
      </c>
      <c r="B2321">
        <v>39</v>
      </c>
      <c r="C2321">
        <v>59.16</v>
      </c>
      <c r="D2321">
        <v>3</v>
      </c>
      <c r="E2321" s="4" t="str">
        <f t="shared" si="216"/>
        <v>low sales</v>
      </c>
      <c r="F2321">
        <v>2307.2399999999998</v>
      </c>
      <c r="G2321" t="s">
        <v>2993</v>
      </c>
      <c r="H2321" s="1" t="str">
        <f t="shared" si="217"/>
        <v>Shipped</v>
      </c>
      <c r="I2321" s="4" t="str">
        <f t="shared" si="218"/>
        <v>completed</v>
      </c>
      <c r="J2321" t="s">
        <v>25</v>
      </c>
      <c r="K2321">
        <v>4</v>
      </c>
      <c r="L2321">
        <v>11</v>
      </c>
      <c r="M2321">
        <v>2004</v>
      </c>
      <c r="N2321" t="s">
        <v>550</v>
      </c>
      <c r="O2321">
        <v>68</v>
      </c>
      <c r="P2321" t="s">
        <v>655</v>
      </c>
      <c r="Q2321" t="s">
        <v>352</v>
      </c>
      <c r="R2321" t="s">
        <v>353</v>
      </c>
      <c r="S2321" t="s">
        <v>354</v>
      </c>
      <c r="U2321" s="1" t="str">
        <f t="shared" si="219"/>
        <v>Barcelona</v>
      </c>
      <c r="V2321" t="s">
        <v>355</v>
      </c>
      <c r="X2321">
        <v>8022</v>
      </c>
      <c r="Y2321" s="1" t="str">
        <f t="shared" si="220"/>
        <v>SPAIN</v>
      </c>
      <c r="Z2321" s="4" t="str">
        <f t="shared" si="221"/>
        <v>Spain</v>
      </c>
      <c r="AA2321" t="s">
        <v>178</v>
      </c>
      <c r="AB2321" t="s">
        <v>42</v>
      </c>
      <c r="AC2321" t="s">
        <v>356</v>
      </c>
      <c r="AD2321" t="s">
        <v>357</v>
      </c>
      <c r="AE2321" t="s">
        <v>36</v>
      </c>
    </row>
    <row r="2322" spans="1:31" x14ac:dyDescent="0.3">
      <c r="A2322">
        <v>10353</v>
      </c>
      <c r="B2322">
        <v>40</v>
      </c>
      <c r="C2322">
        <v>44.51</v>
      </c>
      <c r="D2322">
        <v>7</v>
      </c>
      <c r="E2322" s="4" t="str">
        <f t="shared" si="216"/>
        <v>low sales</v>
      </c>
      <c r="F2322">
        <v>1780.4</v>
      </c>
      <c r="G2322" t="s">
        <v>2994</v>
      </c>
      <c r="H2322" s="1" t="str">
        <f t="shared" si="217"/>
        <v>Shipped</v>
      </c>
      <c r="I2322" s="4" t="str">
        <f t="shared" si="218"/>
        <v>completed</v>
      </c>
      <c r="J2322" t="s">
        <v>25</v>
      </c>
      <c r="K2322">
        <v>4</v>
      </c>
      <c r="L2322">
        <v>12</v>
      </c>
      <c r="M2322">
        <v>2004</v>
      </c>
      <c r="N2322" t="s">
        <v>550</v>
      </c>
      <c r="O2322">
        <v>68</v>
      </c>
      <c r="P2322" t="s">
        <v>655</v>
      </c>
      <c r="Q2322" t="s">
        <v>568</v>
      </c>
      <c r="R2322">
        <v>2035554407</v>
      </c>
      <c r="S2322" t="s">
        <v>569</v>
      </c>
      <c r="U2322" s="1" t="str">
        <f t="shared" si="219"/>
        <v>Glendale</v>
      </c>
      <c r="V2322" t="s">
        <v>516</v>
      </c>
      <c r="W2322" t="s">
        <v>112</v>
      </c>
      <c r="X2322">
        <v>97561</v>
      </c>
      <c r="Y2322" s="1" t="str">
        <f t="shared" si="220"/>
        <v>USA</v>
      </c>
      <c r="Z2322" s="4" t="str">
        <f t="shared" si="221"/>
        <v>Usa</v>
      </c>
      <c r="AA2322" t="s">
        <v>32</v>
      </c>
      <c r="AB2322" t="s">
        <v>33</v>
      </c>
      <c r="AC2322" t="s">
        <v>570</v>
      </c>
      <c r="AD2322" t="s">
        <v>571</v>
      </c>
      <c r="AE2322" t="s">
        <v>36</v>
      </c>
    </row>
    <row r="2323" spans="1:31" x14ac:dyDescent="0.3">
      <c r="A2323">
        <v>10361</v>
      </c>
      <c r="B2323">
        <v>49</v>
      </c>
      <c r="C2323">
        <v>72.33</v>
      </c>
      <c r="D2323">
        <v>2</v>
      </c>
      <c r="E2323" s="4" t="str">
        <f t="shared" si="216"/>
        <v>low sales</v>
      </c>
      <c r="F2323">
        <v>3544.17</v>
      </c>
      <c r="G2323" t="s">
        <v>2995</v>
      </c>
      <c r="H2323" s="1" t="str">
        <f t="shared" si="217"/>
        <v>Shipped</v>
      </c>
      <c r="I2323" s="4" t="str">
        <f t="shared" si="218"/>
        <v>completed</v>
      </c>
      <c r="J2323" t="s">
        <v>25</v>
      </c>
      <c r="K2323">
        <v>4</v>
      </c>
      <c r="L2323">
        <v>12</v>
      </c>
      <c r="M2323">
        <v>2004</v>
      </c>
      <c r="N2323" t="s">
        <v>550</v>
      </c>
      <c r="O2323">
        <v>68</v>
      </c>
      <c r="P2323" t="s">
        <v>655</v>
      </c>
      <c r="Q2323" t="s">
        <v>152</v>
      </c>
      <c r="R2323" t="s">
        <v>153</v>
      </c>
      <c r="S2323" t="s">
        <v>154</v>
      </c>
      <c r="T2323" t="s">
        <v>155</v>
      </c>
      <c r="U2323" s="1" t="str">
        <f t="shared" si="219"/>
        <v>Chatswood</v>
      </c>
      <c r="V2323" t="s">
        <v>156</v>
      </c>
      <c r="W2323" t="s">
        <v>157</v>
      </c>
      <c r="X2323">
        <v>2067</v>
      </c>
      <c r="Y2323" s="1" t="str">
        <f t="shared" si="220"/>
        <v>AUSTRALIA</v>
      </c>
      <c r="Z2323" s="4" t="str">
        <f t="shared" si="221"/>
        <v>Australia</v>
      </c>
      <c r="AA2323" t="s">
        <v>95</v>
      </c>
      <c r="AB2323" t="s">
        <v>96</v>
      </c>
      <c r="AC2323" t="s">
        <v>158</v>
      </c>
      <c r="AD2323" t="s">
        <v>159</v>
      </c>
      <c r="AE2323" t="s">
        <v>51</v>
      </c>
    </row>
    <row r="2324" spans="1:31" x14ac:dyDescent="0.3">
      <c r="A2324">
        <v>10375</v>
      </c>
      <c r="B2324">
        <v>44</v>
      </c>
      <c r="C2324">
        <v>82.26</v>
      </c>
      <c r="D2324">
        <v>4</v>
      </c>
      <c r="E2324" s="4" t="str">
        <f t="shared" si="216"/>
        <v>low sales</v>
      </c>
      <c r="F2324">
        <v>3619.44</v>
      </c>
      <c r="G2324" t="s">
        <v>2996</v>
      </c>
      <c r="H2324" s="1" t="str">
        <f t="shared" si="217"/>
        <v>Shipped</v>
      </c>
      <c r="I2324" s="4" t="str">
        <f t="shared" si="218"/>
        <v>completed</v>
      </c>
      <c r="J2324" t="s">
        <v>25</v>
      </c>
      <c r="K2324">
        <v>1</v>
      </c>
      <c r="L2324">
        <v>2</v>
      </c>
      <c r="M2324">
        <v>2005</v>
      </c>
      <c r="N2324" t="s">
        <v>550</v>
      </c>
      <c r="O2324">
        <v>68</v>
      </c>
      <c r="P2324" t="s">
        <v>655</v>
      </c>
      <c r="Q2324" t="s">
        <v>114</v>
      </c>
      <c r="R2324" t="s">
        <v>115</v>
      </c>
      <c r="S2324" t="s">
        <v>116</v>
      </c>
      <c r="U2324" s="1" t="str">
        <f t="shared" si="219"/>
        <v>Nantes</v>
      </c>
      <c r="V2324" t="s">
        <v>117</v>
      </c>
      <c r="X2324">
        <v>44000</v>
      </c>
      <c r="Y2324" s="1" t="str">
        <f t="shared" si="220"/>
        <v>FRANCE</v>
      </c>
      <c r="Z2324" s="4" t="str">
        <f t="shared" si="221"/>
        <v>France</v>
      </c>
      <c r="AA2324" t="s">
        <v>41</v>
      </c>
      <c r="AB2324" t="s">
        <v>42</v>
      </c>
      <c r="AC2324" t="s">
        <v>118</v>
      </c>
      <c r="AD2324" t="s">
        <v>119</v>
      </c>
      <c r="AE2324" t="s">
        <v>51</v>
      </c>
    </row>
    <row r="2325" spans="1:31" x14ac:dyDescent="0.3">
      <c r="A2325">
        <v>10388</v>
      </c>
      <c r="B2325">
        <v>35</v>
      </c>
      <c r="C2325">
        <v>100</v>
      </c>
      <c r="D2325">
        <v>8</v>
      </c>
      <c r="E2325" s="4" t="str">
        <f t="shared" si="216"/>
        <v>low sales</v>
      </c>
      <c r="F2325">
        <v>3918.95</v>
      </c>
      <c r="G2325" t="s">
        <v>2997</v>
      </c>
      <c r="H2325" s="1" t="str">
        <f t="shared" si="217"/>
        <v>Shipped</v>
      </c>
      <c r="I2325" s="4" t="str">
        <f t="shared" si="218"/>
        <v>completed</v>
      </c>
      <c r="J2325" t="s">
        <v>25</v>
      </c>
      <c r="K2325">
        <v>1</v>
      </c>
      <c r="L2325">
        <v>3</v>
      </c>
      <c r="M2325">
        <v>2005</v>
      </c>
      <c r="N2325" t="s">
        <v>550</v>
      </c>
      <c r="O2325">
        <v>68</v>
      </c>
      <c r="P2325" t="s">
        <v>655</v>
      </c>
      <c r="Q2325" t="s">
        <v>160</v>
      </c>
      <c r="R2325">
        <v>5085552555</v>
      </c>
      <c r="S2325" t="s">
        <v>161</v>
      </c>
      <c r="U2325" s="1" t="str">
        <f t="shared" si="219"/>
        <v>New Bedford</v>
      </c>
      <c r="V2325" t="s">
        <v>162</v>
      </c>
      <c r="W2325" t="s">
        <v>123</v>
      </c>
      <c r="X2325">
        <v>50553</v>
      </c>
      <c r="Y2325" s="1" t="str">
        <f t="shared" si="220"/>
        <v>USA</v>
      </c>
      <c r="Z2325" s="4" t="str">
        <f t="shared" si="221"/>
        <v>Usa</v>
      </c>
      <c r="AA2325" t="s">
        <v>32</v>
      </c>
      <c r="AB2325" t="s">
        <v>33</v>
      </c>
      <c r="AC2325" t="s">
        <v>163</v>
      </c>
      <c r="AD2325" t="s">
        <v>164</v>
      </c>
      <c r="AE2325" t="s">
        <v>51</v>
      </c>
    </row>
    <row r="2326" spans="1:31" x14ac:dyDescent="0.3">
      <c r="A2326">
        <v>10398</v>
      </c>
      <c r="B2326">
        <v>22</v>
      </c>
      <c r="C2326">
        <v>67.41</v>
      </c>
      <c r="D2326">
        <v>4</v>
      </c>
      <c r="E2326" s="4" t="str">
        <f t="shared" si="216"/>
        <v>low sales</v>
      </c>
      <c r="F2326">
        <v>1483.02</v>
      </c>
      <c r="G2326" t="s">
        <v>2998</v>
      </c>
      <c r="H2326" s="1" t="str">
        <f t="shared" si="217"/>
        <v>Shipped</v>
      </c>
      <c r="I2326" s="4" t="str">
        <f t="shared" si="218"/>
        <v>completed</v>
      </c>
      <c r="J2326" t="s">
        <v>25</v>
      </c>
      <c r="K2326">
        <v>1</v>
      </c>
      <c r="L2326">
        <v>3</v>
      </c>
      <c r="M2326">
        <v>2005</v>
      </c>
      <c r="N2326" t="s">
        <v>550</v>
      </c>
      <c r="O2326">
        <v>68</v>
      </c>
      <c r="P2326" t="s">
        <v>655</v>
      </c>
      <c r="Q2326" t="s">
        <v>37</v>
      </c>
      <c r="R2326" t="s">
        <v>38</v>
      </c>
      <c r="S2326" t="s">
        <v>39</v>
      </c>
      <c r="U2326" s="1" t="str">
        <f t="shared" si="219"/>
        <v>Reims</v>
      </c>
      <c r="V2326" t="s">
        <v>40</v>
      </c>
      <c r="X2326">
        <v>51100</v>
      </c>
      <c r="Y2326" s="1" t="str">
        <f t="shared" si="220"/>
        <v>FRANCE</v>
      </c>
      <c r="Z2326" s="4" t="str">
        <f t="shared" si="221"/>
        <v>France</v>
      </c>
      <c r="AA2326" t="s">
        <v>41</v>
      </c>
      <c r="AB2326" t="s">
        <v>42</v>
      </c>
      <c r="AC2326" t="s">
        <v>43</v>
      </c>
      <c r="AD2326" t="s">
        <v>44</v>
      </c>
      <c r="AE2326" t="s">
        <v>36</v>
      </c>
    </row>
    <row r="2327" spans="1:31" x14ac:dyDescent="0.3">
      <c r="A2327">
        <v>10401</v>
      </c>
      <c r="B2327">
        <v>62</v>
      </c>
      <c r="C2327">
        <v>77.73</v>
      </c>
      <c r="D2327">
        <v>6</v>
      </c>
      <c r="E2327" s="4" t="str">
        <f t="shared" si="216"/>
        <v>high sales</v>
      </c>
      <c r="F2327">
        <v>4819.26</v>
      </c>
      <c r="G2327" t="s">
        <v>2999</v>
      </c>
      <c r="H2327" s="1" t="str">
        <f t="shared" si="217"/>
        <v>On Hold</v>
      </c>
      <c r="I2327" s="4" t="str">
        <f t="shared" si="218"/>
        <v>not completed</v>
      </c>
      <c r="J2327" t="s">
        <v>401</v>
      </c>
      <c r="K2327">
        <v>2</v>
      </c>
      <c r="L2327">
        <v>4</v>
      </c>
      <c r="M2327">
        <v>2005</v>
      </c>
      <c r="N2327" t="s">
        <v>550</v>
      </c>
      <c r="O2327">
        <v>68</v>
      </c>
      <c r="P2327" t="s">
        <v>655</v>
      </c>
      <c r="Q2327" t="s">
        <v>104</v>
      </c>
      <c r="R2327">
        <v>2015559350</v>
      </c>
      <c r="S2327" t="s">
        <v>105</v>
      </c>
      <c r="U2327" s="1" t="str">
        <f t="shared" si="219"/>
        <v>Newark</v>
      </c>
      <c r="V2327" t="s">
        <v>106</v>
      </c>
      <c r="W2327" t="s">
        <v>107</v>
      </c>
      <c r="X2327">
        <v>94019</v>
      </c>
      <c r="Y2327" s="1" t="str">
        <f t="shared" si="220"/>
        <v>USA</v>
      </c>
      <c r="Z2327" s="4" t="str">
        <f t="shared" si="221"/>
        <v>Usa</v>
      </c>
      <c r="AA2327" t="s">
        <v>32</v>
      </c>
      <c r="AB2327" t="s">
        <v>33</v>
      </c>
      <c r="AC2327" t="s">
        <v>61</v>
      </c>
      <c r="AD2327" t="s">
        <v>108</v>
      </c>
      <c r="AE2327" t="s">
        <v>51</v>
      </c>
    </row>
    <row r="2328" spans="1:31" x14ac:dyDescent="0.3">
      <c r="A2328">
        <v>10416</v>
      </c>
      <c r="B2328">
        <v>26</v>
      </c>
      <c r="C2328">
        <v>61.22</v>
      </c>
      <c r="D2328">
        <v>7</v>
      </c>
      <c r="E2328" s="4" t="str">
        <f t="shared" si="216"/>
        <v>low sales</v>
      </c>
      <c r="F2328">
        <v>1591.72</v>
      </c>
      <c r="G2328" t="s">
        <v>3000</v>
      </c>
      <c r="H2328" s="1" t="str">
        <f t="shared" si="217"/>
        <v>Shipped</v>
      </c>
      <c r="I2328" s="4" t="str">
        <f t="shared" si="218"/>
        <v>completed</v>
      </c>
      <c r="J2328" t="s">
        <v>25</v>
      </c>
      <c r="K2328">
        <v>2</v>
      </c>
      <c r="L2328">
        <v>5</v>
      </c>
      <c r="M2328">
        <v>2005</v>
      </c>
      <c r="N2328" t="s">
        <v>550</v>
      </c>
      <c r="O2328">
        <v>68</v>
      </c>
      <c r="P2328" t="s">
        <v>655</v>
      </c>
      <c r="Q2328" t="s">
        <v>452</v>
      </c>
      <c r="R2328" t="s">
        <v>453</v>
      </c>
      <c r="S2328" t="s">
        <v>454</v>
      </c>
      <c r="U2328" s="1" t="str">
        <f t="shared" si="219"/>
        <v>Reggio Emilia</v>
      </c>
      <c r="V2328" t="s">
        <v>455</v>
      </c>
      <c r="X2328">
        <v>42100</v>
      </c>
      <c r="Y2328" s="1" t="str">
        <f t="shared" si="220"/>
        <v>ITALY</v>
      </c>
      <c r="Z2328" s="4" t="str">
        <f t="shared" si="221"/>
        <v>Italy</v>
      </c>
      <c r="AA2328" t="s">
        <v>258</v>
      </c>
      <c r="AB2328" t="s">
        <v>42</v>
      </c>
      <c r="AC2328" t="s">
        <v>456</v>
      </c>
      <c r="AD2328" t="s">
        <v>457</v>
      </c>
      <c r="AE2328" t="s">
        <v>36</v>
      </c>
    </row>
    <row r="2329" spans="1:31" x14ac:dyDescent="0.3">
      <c r="A2329">
        <v>10108</v>
      </c>
      <c r="B2329">
        <v>31</v>
      </c>
      <c r="C2329">
        <v>100</v>
      </c>
      <c r="D2329">
        <v>16</v>
      </c>
      <c r="E2329" s="4" t="str">
        <f t="shared" si="216"/>
        <v>low sales</v>
      </c>
      <c r="F2329">
        <v>3669.78</v>
      </c>
      <c r="G2329" t="s">
        <v>3001</v>
      </c>
      <c r="H2329" s="1" t="str">
        <f t="shared" si="217"/>
        <v>Shipped</v>
      </c>
      <c r="I2329" s="4" t="str">
        <f t="shared" si="218"/>
        <v>completed</v>
      </c>
      <c r="J2329" t="s">
        <v>25</v>
      </c>
      <c r="K2329">
        <v>1</v>
      </c>
      <c r="L2329">
        <v>3</v>
      </c>
      <c r="M2329">
        <v>2003</v>
      </c>
      <c r="N2329" t="s">
        <v>26</v>
      </c>
      <c r="O2329">
        <v>102</v>
      </c>
      <c r="P2329" t="s">
        <v>656</v>
      </c>
      <c r="Q2329" t="s">
        <v>425</v>
      </c>
      <c r="R2329" t="s">
        <v>426</v>
      </c>
      <c r="S2329" t="s">
        <v>427</v>
      </c>
      <c r="U2329" s="1" t="str">
        <f t="shared" si="219"/>
        <v>Makati City</v>
      </c>
      <c r="V2329" t="s">
        <v>428</v>
      </c>
      <c r="X2329" t="s">
        <v>429</v>
      </c>
      <c r="Y2329" s="1" t="str">
        <f t="shared" si="220"/>
        <v>PHILIPPINES</v>
      </c>
      <c r="Z2329" s="4" t="str">
        <f t="shared" si="221"/>
        <v>Philippines</v>
      </c>
      <c r="AA2329" t="s">
        <v>430</v>
      </c>
      <c r="AB2329" t="s">
        <v>200</v>
      </c>
      <c r="AC2329" t="s">
        <v>431</v>
      </c>
      <c r="AD2329" t="s">
        <v>432</v>
      </c>
      <c r="AE2329" t="s">
        <v>51</v>
      </c>
    </row>
    <row r="2330" spans="1:31" x14ac:dyDescent="0.3">
      <c r="A2330">
        <v>10121</v>
      </c>
      <c r="B2330">
        <v>25</v>
      </c>
      <c r="C2330">
        <v>86.74</v>
      </c>
      <c r="D2330">
        <v>3</v>
      </c>
      <c r="E2330" s="4" t="str">
        <f t="shared" si="216"/>
        <v>low sales</v>
      </c>
      <c r="F2330">
        <v>2168.5</v>
      </c>
      <c r="G2330" t="s">
        <v>3002</v>
      </c>
      <c r="H2330" s="1" t="str">
        <f t="shared" si="217"/>
        <v>Shipped</v>
      </c>
      <c r="I2330" s="4" t="str">
        <f t="shared" si="218"/>
        <v>completed</v>
      </c>
      <c r="J2330" t="s">
        <v>25</v>
      </c>
      <c r="K2330">
        <v>2</v>
      </c>
      <c r="L2330">
        <v>5</v>
      </c>
      <c r="M2330">
        <v>2003</v>
      </c>
      <c r="N2330" t="s">
        <v>26</v>
      </c>
      <c r="O2330">
        <v>102</v>
      </c>
      <c r="P2330" t="s">
        <v>656</v>
      </c>
      <c r="Q2330" t="s">
        <v>37</v>
      </c>
      <c r="R2330" t="s">
        <v>38</v>
      </c>
      <c r="S2330" t="s">
        <v>39</v>
      </c>
      <c r="U2330" s="1" t="str">
        <f t="shared" si="219"/>
        <v>Reims</v>
      </c>
      <c r="V2330" t="s">
        <v>40</v>
      </c>
      <c r="X2330">
        <v>51100</v>
      </c>
      <c r="Y2330" s="1" t="str">
        <f t="shared" si="220"/>
        <v>FRANCE</v>
      </c>
      <c r="Z2330" s="4" t="str">
        <f t="shared" si="221"/>
        <v>France</v>
      </c>
      <c r="AA2330" t="s">
        <v>41</v>
      </c>
      <c r="AB2330" t="s">
        <v>42</v>
      </c>
      <c r="AC2330" t="s">
        <v>43</v>
      </c>
      <c r="AD2330" t="s">
        <v>44</v>
      </c>
      <c r="AE2330" t="s">
        <v>36</v>
      </c>
    </row>
    <row r="2331" spans="1:31" x14ac:dyDescent="0.3">
      <c r="A2331">
        <v>10135</v>
      </c>
      <c r="B2331">
        <v>30</v>
      </c>
      <c r="C2331">
        <v>89.8</v>
      </c>
      <c r="D2331">
        <v>17</v>
      </c>
      <c r="E2331" s="4" t="str">
        <f t="shared" si="216"/>
        <v>low sales</v>
      </c>
      <c r="F2331">
        <v>2694</v>
      </c>
      <c r="G2331" t="s">
        <v>3003</v>
      </c>
      <c r="H2331" s="1" t="str">
        <f t="shared" si="217"/>
        <v>Shipped</v>
      </c>
      <c r="I2331" s="4" t="str">
        <f t="shared" si="218"/>
        <v>completed</v>
      </c>
      <c r="J2331" t="s">
        <v>25</v>
      </c>
      <c r="K2331">
        <v>3</v>
      </c>
      <c r="L2331">
        <v>7</v>
      </c>
      <c r="M2331">
        <v>2003</v>
      </c>
      <c r="N2331" t="s">
        <v>26</v>
      </c>
      <c r="O2331">
        <v>102</v>
      </c>
      <c r="P2331" t="s">
        <v>656</v>
      </c>
      <c r="Q2331" t="s">
        <v>272</v>
      </c>
      <c r="R2331">
        <v>4155551450</v>
      </c>
      <c r="S2331" t="s">
        <v>273</v>
      </c>
      <c r="U2331" s="1" t="str">
        <f t="shared" si="219"/>
        <v>San Rafael</v>
      </c>
      <c r="V2331" t="s">
        <v>274</v>
      </c>
      <c r="W2331" t="s">
        <v>55</v>
      </c>
      <c r="X2331">
        <v>97562</v>
      </c>
      <c r="Y2331" s="1" t="str">
        <f t="shared" si="220"/>
        <v>USA</v>
      </c>
      <c r="Z2331" s="4" t="str">
        <f t="shared" si="221"/>
        <v>Usa</v>
      </c>
      <c r="AA2331" t="s">
        <v>32</v>
      </c>
      <c r="AB2331" t="s">
        <v>33</v>
      </c>
      <c r="AC2331" t="s">
        <v>275</v>
      </c>
      <c r="AD2331" t="s">
        <v>276</v>
      </c>
      <c r="AE2331" t="s">
        <v>36</v>
      </c>
    </row>
    <row r="2332" spans="1:31" x14ac:dyDescent="0.3">
      <c r="A2332">
        <v>10145</v>
      </c>
      <c r="B2332">
        <v>27</v>
      </c>
      <c r="C2332">
        <v>100</v>
      </c>
      <c r="D2332">
        <v>4</v>
      </c>
      <c r="E2332" s="4" t="str">
        <f t="shared" si="216"/>
        <v>low sales</v>
      </c>
      <c r="F2332">
        <v>3251.34</v>
      </c>
      <c r="G2332" t="s">
        <v>3004</v>
      </c>
      <c r="H2332" s="1" t="str">
        <f t="shared" si="217"/>
        <v>Shipped</v>
      </c>
      <c r="I2332" s="4" t="str">
        <f t="shared" si="218"/>
        <v>completed</v>
      </c>
      <c r="J2332" t="s">
        <v>25</v>
      </c>
      <c r="K2332">
        <v>3</v>
      </c>
      <c r="L2332">
        <v>8</v>
      </c>
      <c r="M2332">
        <v>2003</v>
      </c>
      <c r="N2332" t="s">
        <v>26</v>
      </c>
      <c r="O2332">
        <v>102</v>
      </c>
      <c r="P2332" t="s">
        <v>656</v>
      </c>
      <c r="Q2332" t="s">
        <v>52</v>
      </c>
      <c r="R2332">
        <v>6265557265</v>
      </c>
      <c r="S2332" t="s">
        <v>53</v>
      </c>
      <c r="U2332" s="1" t="str">
        <f t="shared" si="219"/>
        <v>Pasadena</v>
      </c>
      <c r="V2332" t="s">
        <v>54</v>
      </c>
      <c r="W2332" t="s">
        <v>55</v>
      </c>
      <c r="X2332">
        <v>90003</v>
      </c>
      <c r="Y2332" s="1" t="str">
        <f t="shared" si="220"/>
        <v>USA</v>
      </c>
      <c r="Z2332" s="4" t="str">
        <f t="shared" si="221"/>
        <v>Usa</v>
      </c>
      <c r="AA2332" t="s">
        <v>32</v>
      </c>
      <c r="AB2332" t="s">
        <v>33</v>
      </c>
      <c r="AC2332" t="s">
        <v>56</v>
      </c>
      <c r="AD2332" t="s">
        <v>57</v>
      </c>
      <c r="AE2332" t="s">
        <v>51</v>
      </c>
    </row>
    <row r="2333" spans="1:31" x14ac:dyDescent="0.3">
      <c r="A2333">
        <v>10159</v>
      </c>
      <c r="B2333">
        <v>23</v>
      </c>
      <c r="C2333">
        <v>100</v>
      </c>
      <c r="D2333">
        <v>12</v>
      </c>
      <c r="E2333" s="4" t="str">
        <f t="shared" si="216"/>
        <v>low sales</v>
      </c>
      <c r="F2333">
        <v>2347.15</v>
      </c>
      <c r="G2333" t="s">
        <v>3005</v>
      </c>
      <c r="H2333" s="1" t="str">
        <f t="shared" si="217"/>
        <v>Shipped</v>
      </c>
      <c r="I2333" s="4" t="str">
        <f t="shared" si="218"/>
        <v>completed</v>
      </c>
      <c r="J2333" t="s">
        <v>25</v>
      </c>
      <c r="K2333">
        <v>4</v>
      </c>
      <c r="L2333">
        <v>10</v>
      </c>
      <c r="M2333">
        <v>2003</v>
      </c>
      <c r="N2333" t="s">
        <v>26</v>
      </c>
      <c r="O2333">
        <v>102</v>
      </c>
      <c r="P2333" t="s">
        <v>656</v>
      </c>
      <c r="Q2333" t="s">
        <v>58</v>
      </c>
      <c r="R2333">
        <v>6505551386</v>
      </c>
      <c r="S2333" t="s">
        <v>59</v>
      </c>
      <c r="U2333" s="1" t="str">
        <f t="shared" si="219"/>
        <v>San Francisco</v>
      </c>
      <c r="V2333" t="s">
        <v>60</v>
      </c>
      <c r="W2333" t="s">
        <v>55</v>
      </c>
      <c r="Y2333" s="1" t="str">
        <f t="shared" si="220"/>
        <v>USA</v>
      </c>
      <c r="Z2333" s="4" t="str">
        <f t="shared" si="221"/>
        <v>Usa</v>
      </c>
      <c r="AA2333" t="s">
        <v>32</v>
      </c>
      <c r="AB2333" t="s">
        <v>33</v>
      </c>
      <c r="AC2333" t="s">
        <v>61</v>
      </c>
      <c r="AD2333" t="s">
        <v>57</v>
      </c>
      <c r="AE2333" t="s">
        <v>36</v>
      </c>
    </row>
    <row r="2334" spans="1:31" x14ac:dyDescent="0.3">
      <c r="A2334">
        <v>10169</v>
      </c>
      <c r="B2334">
        <v>34</v>
      </c>
      <c r="C2334">
        <v>100</v>
      </c>
      <c r="D2334">
        <v>12</v>
      </c>
      <c r="E2334" s="4" t="str">
        <f t="shared" si="216"/>
        <v>low sales</v>
      </c>
      <c r="F2334">
        <v>3920.88</v>
      </c>
      <c r="G2334" t="s">
        <v>3006</v>
      </c>
      <c r="H2334" s="1" t="str">
        <f t="shared" si="217"/>
        <v>Shipped</v>
      </c>
      <c r="I2334" s="4" t="str">
        <f t="shared" si="218"/>
        <v>completed</v>
      </c>
      <c r="J2334" t="s">
        <v>25</v>
      </c>
      <c r="K2334">
        <v>4</v>
      </c>
      <c r="L2334">
        <v>11</v>
      </c>
      <c r="M2334">
        <v>2003</v>
      </c>
      <c r="N2334" t="s">
        <v>26</v>
      </c>
      <c r="O2334">
        <v>102</v>
      </c>
      <c r="P2334" t="s">
        <v>656</v>
      </c>
      <c r="Q2334" t="s">
        <v>285</v>
      </c>
      <c r="R2334" t="s">
        <v>286</v>
      </c>
      <c r="S2334" t="s">
        <v>287</v>
      </c>
      <c r="T2334" t="s">
        <v>288</v>
      </c>
      <c r="U2334" s="1" t="str">
        <f t="shared" si="219"/>
        <v>North Sydney</v>
      </c>
      <c r="V2334" t="s">
        <v>289</v>
      </c>
      <c r="W2334" t="s">
        <v>157</v>
      </c>
      <c r="X2334">
        <v>2060</v>
      </c>
      <c r="Y2334" s="1" t="str">
        <f t="shared" si="220"/>
        <v>AUSTRALIA</v>
      </c>
      <c r="Z2334" s="4" t="str">
        <f t="shared" si="221"/>
        <v>Australia</v>
      </c>
      <c r="AA2334" t="s">
        <v>95</v>
      </c>
      <c r="AB2334" t="s">
        <v>96</v>
      </c>
      <c r="AC2334" t="s">
        <v>290</v>
      </c>
      <c r="AD2334" t="s">
        <v>291</v>
      </c>
      <c r="AE2334" t="s">
        <v>51</v>
      </c>
    </row>
    <row r="2335" spans="1:31" x14ac:dyDescent="0.3">
      <c r="A2335">
        <v>10180</v>
      </c>
      <c r="B2335">
        <v>22</v>
      </c>
      <c r="C2335">
        <v>100</v>
      </c>
      <c r="D2335">
        <v>7</v>
      </c>
      <c r="E2335" s="4" t="str">
        <f t="shared" si="216"/>
        <v>low sales</v>
      </c>
      <c r="F2335">
        <v>2514.6</v>
      </c>
      <c r="G2335" t="s">
        <v>3007</v>
      </c>
      <c r="H2335" s="1" t="str">
        <f t="shared" si="217"/>
        <v>Shipped</v>
      </c>
      <c r="I2335" s="4" t="str">
        <f t="shared" si="218"/>
        <v>completed</v>
      </c>
      <c r="J2335" t="s">
        <v>25</v>
      </c>
      <c r="K2335">
        <v>4</v>
      </c>
      <c r="L2335">
        <v>11</v>
      </c>
      <c r="M2335">
        <v>2003</v>
      </c>
      <c r="N2335" t="s">
        <v>26</v>
      </c>
      <c r="O2335">
        <v>102</v>
      </c>
      <c r="P2335" t="s">
        <v>656</v>
      </c>
      <c r="Q2335" t="s">
        <v>67</v>
      </c>
      <c r="R2335" t="s">
        <v>68</v>
      </c>
      <c r="S2335" t="s">
        <v>69</v>
      </c>
      <c r="U2335" s="1" t="str">
        <f t="shared" si="219"/>
        <v>Lille</v>
      </c>
      <c r="V2335" t="s">
        <v>70</v>
      </c>
      <c r="X2335">
        <v>59000</v>
      </c>
      <c r="Y2335" s="1" t="str">
        <f t="shared" si="220"/>
        <v>FRANCE</v>
      </c>
      <c r="Z2335" s="4" t="str">
        <f t="shared" si="221"/>
        <v>France</v>
      </c>
      <c r="AA2335" t="s">
        <v>41</v>
      </c>
      <c r="AB2335" t="s">
        <v>42</v>
      </c>
      <c r="AC2335" t="s">
        <v>71</v>
      </c>
      <c r="AD2335" t="s">
        <v>72</v>
      </c>
      <c r="AE2335" t="s">
        <v>36</v>
      </c>
    </row>
    <row r="2336" spans="1:31" x14ac:dyDescent="0.3">
      <c r="A2336">
        <v>10190</v>
      </c>
      <c r="B2336">
        <v>42</v>
      </c>
      <c r="C2336">
        <v>85.72</v>
      </c>
      <c r="D2336">
        <v>4</v>
      </c>
      <c r="E2336" s="4" t="str">
        <f t="shared" si="216"/>
        <v>low sales</v>
      </c>
      <c r="F2336">
        <v>3600.24</v>
      </c>
      <c r="G2336" t="s">
        <v>3008</v>
      </c>
      <c r="H2336" s="1" t="str">
        <f t="shared" si="217"/>
        <v>Shipped</v>
      </c>
      <c r="I2336" s="4" t="str">
        <f t="shared" si="218"/>
        <v>completed</v>
      </c>
      <c r="J2336" t="s">
        <v>25</v>
      </c>
      <c r="K2336">
        <v>4</v>
      </c>
      <c r="L2336">
        <v>11</v>
      </c>
      <c r="M2336">
        <v>2003</v>
      </c>
      <c r="N2336" t="s">
        <v>26</v>
      </c>
      <c r="O2336">
        <v>102</v>
      </c>
      <c r="P2336" t="s">
        <v>656</v>
      </c>
      <c r="Q2336" t="s">
        <v>174</v>
      </c>
      <c r="R2336" t="s">
        <v>175</v>
      </c>
      <c r="S2336" t="s">
        <v>176</v>
      </c>
      <c r="U2336" s="1" t="str">
        <f t="shared" si="219"/>
        <v>Madrid</v>
      </c>
      <c r="V2336" t="s">
        <v>177</v>
      </c>
      <c r="X2336">
        <v>28034</v>
      </c>
      <c r="Y2336" s="1" t="str">
        <f t="shared" si="220"/>
        <v>SPAIN</v>
      </c>
      <c r="Z2336" s="4" t="str">
        <f t="shared" si="221"/>
        <v>Spain</v>
      </c>
      <c r="AA2336" t="s">
        <v>178</v>
      </c>
      <c r="AB2336" t="s">
        <v>42</v>
      </c>
      <c r="AC2336" t="s">
        <v>179</v>
      </c>
      <c r="AD2336" t="s">
        <v>180</v>
      </c>
      <c r="AE2336" t="s">
        <v>51</v>
      </c>
    </row>
    <row r="2337" spans="1:31" x14ac:dyDescent="0.3">
      <c r="A2337">
        <v>10211</v>
      </c>
      <c r="B2337">
        <v>37</v>
      </c>
      <c r="C2337">
        <v>100</v>
      </c>
      <c r="D2337">
        <v>12</v>
      </c>
      <c r="E2337" s="4" t="str">
        <f t="shared" si="216"/>
        <v>high sales</v>
      </c>
      <c r="F2337">
        <v>4040.03</v>
      </c>
      <c r="G2337" t="s">
        <v>3009</v>
      </c>
      <c r="H2337" s="1" t="str">
        <f t="shared" si="217"/>
        <v>Shipped</v>
      </c>
      <c r="I2337" s="4" t="str">
        <f t="shared" si="218"/>
        <v>completed</v>
      </c>
      <c r="J2337" t="s">
        <v>25</v>
      </c>
      <c r="K2337">
        <v>1</v>
      </c>
      <c r="L2337">
        <v>1</v>
      </c>
      <c r="M2337">
        <v>2004</v>
      </c>
      <c r="N2337" t="s">
        <v>26</v>
      </c>
      <c r="O2337">
        <v>102</v>
      </c>
      <c r="P2337" t="s">
        <v>656</v>
      </c>
      <c r="Q2337" t="s">
        <v>84</v>
      </c>
      <c r="R2337" t="s">
        <v>85</v>
      </c>
      <c r="S2337" t="s">
        <v>86</v>
      </c>
      <c r="U2337" s="1" t="str">
        <f t="shared" si="219"/>
        <v>Paris</v>
      </c>
      <c r="V2337" t="s">
        <v>48</v>
      </c>
      <c r="X2337">
        <v>75016</v>
      </c>
      <c r="Y2337" s="1" t="str">
        <f t="shared" si="220"/>
        <v>FRANCE</v>
      </c>
      <c r="Z2337" s="4" t="str">
        <f t="shared" si="221"/>
        <v>France</v>
      </c>
      <c r="AA2337" t="s">
        <v>41</v>
      </c>
      <c r="AB2337" t="s">
        <v>42</v>
      </c>
      <c r="AC2337" t="s">
        <v>87</v>
      </c>
      <c r="AD2337" t="s">
        <v>88</v>
      </c>
      <c r="AE2337" t="s">
        <v>51</v>
      </c>
    </row>
    <row r="2338" spans="1:31" x14ac:dyDescent="0.3">
      <c r="A2338">
        <v>10224</v>
      </c>
      <c r="B2338">
        <v>30</v>
      </c>
      <c r="C2338">
        <v>100</v>
      </c>
      <c r="D2338">
        <v>5</v>
      </c>
      <c r="E2338" s="4" t="str">
        <f t="shared" si="216"/>
        <v>low sales</v>
      </c>
      <c r="F2338">
        <v>3336.9</v>
      </c>
      <c r="G2338" t="s">
        <v>3010</v>
      </c>
      <c r="H2338" s="1" t="str">
        <f t="shared" si="217"/>
        <v>Shipped</v>
      </c>
      <c r="I2338" s="4" t="str">
        <f t="shared" si="218"/>
        <v>completed</v>
      </c>
      <c r="J2338" t="s">
        <v>25</v>
      </c>
      <c r="K2338">
        <v>1</v>
      </c>
      <c r="L2338">
        <v>2</v>
      </c>
      <c r="M2338">
        <v>2004</v>
      </c>
      <c r="N2338" t="s">
        <v>26</v>
      </c>
      <c r="O2338">
        <v>102</v>
      </c>
      <c r="P2338" t="s">
        <v>656</v>
      </c>
      <c r="Q2338" t="s">
        <v>67</v>
      </c>
      <c r="R2338" t="s">
        <v>68</v>
      </c>
      <c r="S2338" t="s">
        <v>69</v>
      </c>
      <c r="U2338" s="1" t="str">
        <f t="shared" si="219"/>
        <v>Lille</v>
      </c>
      <c r="V2338" t="s">
        <v>70</v>
      </c>
      <c r="X2338">
        <v>59000</v>
      </c>
      <c r="Y2338" s="1" t="str">
        <f t="shared" si="220"/>
        <v>FRANCE</v>
      </c>
      <c r="Z2338" s="4" t="str">
        <f t="shared" si="221"/>
        <v>France</v>
      </c>
      <c r="AA2338" t="s">
        <v>41</v>
      </c>
      <c r="AB2338" t="s">
        <v>42</v>
      </c>
      <c r="AC2338" t="s">
        <v>71</v>
      </c>
      <c r="AD2338" t="s">
        <v>72</v>
      </c>
      <c r="AE2338" t="s">
        <v>51</v>
      </c>
    </row>
    <row r="2339" spans="1:31" x14ac:dyDescent="0.3">
      <c r="A2339">
        <v>10237</v>
      </c>
      <c r="B2339">
        <v>27</v>
      </c>
      <c r="C2339">
        <v>100</v>
      </c>
      <c r="D2339">
        <v>5</v>
      </c>
      <c r="E2339" s="4" t="str">
        <f t="shared" si="216"/>
        <v>low sales</v>
      </c>
      <c r="F2339">
        <v>3113.64</v>
      </c>
      <c r="G2339" t="s">
        <v>3011</v>
      </c>
      <c r="H2339" s="1" t="str">
        <f t="shared" si="217"/>
        <v>Shipped</v>
      </c>
      <c r="I2339" s="4" t="str">
        <f t="shared" si="218"/>
        <v>completed</v>
      </c>
      <c r="J2339" t="s">
        <v>25</v>
      </c>
      <c r="K2339">
        <v>2</v>
      </c>
      <c r="L2339">
        <v>4</v>
      </c>
      <c r="M2339">
        <v>2004</v>
      </c>
      <c r="N2339" t="s">
        <v>26</v>
      </c>
      <c r="O2339">
        <v>102</v>
      </c>
      <c r="P2339" t="s">
        <v>656</v>
      </c>
      <c r="Q2339" t="s">
        <v>99</v>
      </c>
      <c r="R2339">
        <v>2125551500</v>
      </c>
      <c r="S2339" t="s">
        <v>100</v>
      </c>
      <c r="T2339" t="s">
        <v>101</v>
      </c>
      <c r="U2339" s="1" t="str">
        <f t="shared" si="219"/>
        <v>Nyc</v>
      </c>
      <c r="V2339" t="s">
        <v>30</v>
      </c>
      <c r="W2339" t="s">
        <v>31</v>
      </c>
      <c r="X2339">
        <v>10022</v>
      </c>
      <c r="Y2339" s="1" t="str">
        <f t="shared" si="220"/>
        <v>USA</v>
      </c>
      <c r="Z2339" s="4" t="str">
        <f t="shared" si="221"/>
        <v>Usa</v>
      </c>
      <c r="AA2339" t="s">
        <v>32</v>
      </c>
      <c r="AB2339" t="s">
        <v>33</v>
      </c>
      <c r="AC2339" t="s">
        <v>102</v>
      </c>
      <c r="AD2339" t="s">
        <v>103</v>
      </c>
      <c r="AE2339" t="s">
        <v>51</v>
      </c>
    </row>
    <row r="2340" spans="1:31" x14ac:dyDescent="0.3">
      <c r="A2340">
        <v>10252</v>
      </c>
      <c r="B2340">
        <v>25</v>
      </c>
      <c r="C2340">
        <v>100</v>
      </c>
      <c r="D2340">
        <v>9</v>
      </c>
      <c r="E2340" s="4" t="str">
        <f t="shared" si="216"/>
        <v>low sales</v>
      </c>
      <c r="F2340">
        <v>2832</v>
      </c>
      <c r="G2340" t="s">
        <v>3012</v>
      </c>
      <c r="H2340" s="1" t="str">
        <f t="shared" si="217"/>
        <v>Shipped</v>
      </c>
      <c r="I2340" s="4" t="str">
        <f t="shared" si="218"/>
        <v>completed</v>
      </c>
      <c r="J2340" t="s">
        <v>25</v>
      </c>
      <c r="K2340">
        <v>2</v>
      </c>
      <c r="L2340">
        <v>5</v>
      </c>
      <c r="M2340">
        <v>2004</v>
      </c>
      <c r="N2340" t="s">
        <v>26</v>
      </c>
      <c r="O2340">
        <v>102</v>
      </c>
      <c r="P2340" t="s">
        <v>656</v>
      </c>
      <c r="Q2340" t="s">
        <v>84</v>
      </c>
      <c r="R2340" t="s">
        <v>85</v>
      </c>
      <c r="S2340" t="s">
        <v>86</v>
      </c>
      <c r="U2340" s="1" t="str">
        <f t="shared" si="219"/>
        <v>Paris</v>
      </c>
      <c r="V2340" t="s">
        <v>48</v>
      </c>
      <c r="X2340">
        <v>75016</v>
      </c>
      <c r="Y2340" s="1" t="str">
        <f t="shared" si="220"/>
        <v>FRANCE</v>
      </c>
      <c r="Z2340" s="4" t="str">
        <f t="shared" si="221"/>
        <v>France</v>
      </c>
      <c r="AA2340" t="s">
        <v>41</v>
      </c>
      <c r="AB2340" t="s">
        <v>42</v>
      </c>
      <c r="AC2340" t="s">
        <v>87</v>
      </c>
      <c r="AD2340" t="s">
        <v>88</v>
      </c>
      <c r="AE2340" t="s">
        <v>36</v>
      </c>
    </row>
    <row r="2341" spans="1:31" x14ac:dyDescent="0.3">
      <c r="A2341">
        <v>10264</v>
      </c>
      <c r="B2341">
        <v>34</v>
      </c>
      <c r="C2341">
        <v>97.97</v>
      </c>
      <c r="D2341">
        <v>7</v>
      </c>
      <c r="E2341" s="4" t="str">
        <f t="shared" si="216"/>
        <v>low sales</v>
      </c>
      <c r="F2341">
        <v>3330.98</v>
      </c>
      <c r="G2341" t="s">
        <v>3013</v>
      </c>
      <c r="H2341" s="1" t="str">
        <f t="shared" si="217"/>
        <v>Shipped</v>
      </c>
      <c r="I2341" s="4" t="str">
        <f t="shared" si="218"/>
        <v>completed</v>
      </c>
      <c r="J2341" t="s">
        <v>25</v>
      </c>
      <c r="K2341">
        <v>2</v>
      </c>
      <c r="L2341">
        <v>6</v>
      </c>
      <c r="M2341">
        <v>2004</v>
      </c>
      <c r="N2341" t="s">
        <v>26</v>
      </c>
      <c r="O2341">
        <v>102</v>
      </c>
      <c r="P2341" t="s">
        <v>656</v>
      </c>
      <c r="Q2341" t="s">
        <v>379</v>
      </c>
      <c r="R2341">
        <v>6175559555</v>
      </c>
      <c r="S2341" t="s">
        <v>380</v>
      </c>
      <c r="U2341" s="1" t="str">
        <f t="shared" si="219"/>
        <v>Boston</v>
      </c>
      <c r="V2341" t="s">
        <v>381</v>
      </c>
      <c r="W2341" t="s">
        <v>123</v>
      </c>
      <c r="X2341">
        <v>51003</v>
      </c>
      <c r="Y2341" s="1" t="str">
        <f t="shared" si="220"/>
        <v>USA</v>
      </c>
      <c r="Z2341" s="4" t="str">
        <f t="shared" si="221"/>
        <v>Usa</v>
      </c>
      <c r="AA2341" t="s">
        <v>32</v>
      </c>
      <c r="AB2341" t="s">
        <v>33</v>
      </c>
      <c r="AC2341" t="s">
        <v>382</v>
      </c>
      <c r="AD2341" t="s">
        <v>66</v>
      </c>
      <c r="AE2341" t="s">
        <v>51</v>
      </c>
    </row>
    <row r="2342" spans="1:31" x14ac:dyDescent="0.3">
      <c r="A2342">
        <v>10276</v>
      </c>
      <c r="B2342">
        <v>38</v>
      </c>
      <c r="C2342">
        <v>100</v>
      </c>
      <c r="D2342">
        <v>13</v>
      </c>
      <c r="E2342" s="4" t="str">
        <f t="shared" si="216"/>
        <v>high sales</v>
      </c>
      <c r="F2342">
        <v>4304.6400000000003</v>
      </c>
      <c r="G2342" t="s">
        <v>3014</v>
      </c>
      <c r="H2342" s="1" t="str">
        <f t="shared" si="217"/>
        <v>Shipped</v>
      </c>
      <c r="I2342" s="4" t="str">
        <f t="shared" si="218"/>
        <v>completed</v>
      </c>
      <c r="J2342" t="s">
        <v>25</v>
      </c>
      <c r="K2342">
        <v>3</v>
      </c>
      <c r="L2342">
        <v>8</v>
      </c>
      <c r="M2342">
        <v>2004</v>
      </c>
      <c r="N2342" t="s">
        <v>26</v>
      </c>
      <c r="O2342">
        <v>102</v>
      </c>
      <c r="P2342" t="s">
        <v>656</v>
      </c>
      <c r="Q2342" t="s">
        <v>458</v>
      </c>
      <c r="R2342">
        <v>6175557555</v>
      </c>
      <c r="S2342" t="s">
        <v>459</v>
      </c>
      <c r="U2342" s="1" t="str">
        <f t="shared" si="219"/>
        <v>Brickhaven</v>
      </c>
      <c r="V2342" t="s">
        <v>283</v>
      </c>
      <c r="W2342" t="s">
        <v>123</v>
      </c>
      <c r="X2342">
        <v>58339</v>
      </c>
      <c r="Y2342" s="1" t="str">
        <f t="shared" si="220"/>
        <v>USA</v>
      </c>
      <c r="Z2342" s="4" t="str">
        <f t="shared" si="221"/>
        <v>Usa</v>
      </c>
      <c r="AA2342" t="s">
        <v>32</v>
      </c>
      <c r="AB2342" t="s">
        <v>33</v>
      </c>
      <c r="AC2342" t="s">
        <v>460</v>
      </c>
      <c r="AD2342" t="s">
        <v>461</v>
      </c>
      <c r="AE2342" t="s">
        <v>51</v>
      </c>
    </row>
    <row r="2343" spans="1:31" x14ac:dyDescent="0.3">
      <c r="A2343">
        <v>10285</v>
      </c>
      <c r="B2343">
        <v>26</v>
      </c>
      <c r="C2343">
        <v>100</v>
      </c>
      <c r="D2343">
        <v>4</v>
      </c>
      <c r="E2343" s="4" t="str">
        <f t="shared" si="216"/>
        <v>low sales</v>
      </c>
      <c r="F2343">
        <v>2600.2600000000002</v>
      </c>
      <c r="G2343" t="s">
        <v>3015</v>
      </c>
      <c r="H2343" s="1" t="str">
        <f t="shared" si="217"/>
        <v>Shipped</v>
      </c>
      <c r="I2343" s="4" t="str">
        <f t="shared" si="218"/>
        <v>completed</v>
      </c>
      <c r="J2343" t="s">
        <v>25</v>
      </c>
      <c r="K2343">
        <v>3</v>
      </c>
      <c r="L2343">
        <v>8</v>
      </c>
      <c r="M2343">
        <v>2004</v>
      </c>
      <c r="N2343" t="s">
        <v>26</v>
      </c>
      <c r="O2343">
        <v>102</v>
      </c>
      <c r="P2343" t="s">
        <v>656</v>
      </c>
      <c r="Q2343" t="s">
        <v>120</v>
      </c>
      <c r="R2343">
        <v>6175558555</v>
      </c>
      <c r="S2343" t="s">
        <v>121</v>
      </c>
      <c r="U2343" s="1" t="str">
        <f t="shared" si="219"/>
        <v>Cambridge</v>
      </c>
      <c r="V2343" t="s">
        <v>122</v>
      </c>
      <c r="W2343" t="s">
        <v>123</v>
      </c>
      <c r="X2343">
        <v>51247</v>
      </c>
      <c r="Y2343" s="1" t="str">
        <f t="shared" si="220"/>
        <v>USA</v>
      </c>
      <c r="Z2343" s="4" t="str">
        <f t="shared" si="221"/>
        <v>Usa</v>
      </c>
      <c r="AA2343" t="s">
        <v>32</v>
      </c>
      <c r="AB2343" t="s">
        <v>33</v>
      </c>
      <c r="AC2343" t="s">
        <v>124</v>
      </c>
      <c r="AD2343" t="s">
        <v>125</v>
      </c>
      <c r="AE2343" t="s">
        <v>36</v>
      </c>
    </row>
    <row r="2344" spans="1:31" x14ac:dyDescent="0.3">
      <c r="A2344">
        <v>10299</v>
      </c>
      <c r="B2344">
        <v>38</v>
      </c>
      <c r="C2344">
        <v>100</v>
      </c>
      <c r="D2344">
        <v>7</v>
      </c>
      <c r="E2344" s="4" t="str">
        <f t="shared" si="216"/>
        <v>high sales</v>
      </c>
      <c r="F2344">
        <v>4382.16</v>
      </c>
      <c r="G2344" t="s">
        <v>3016</v>
      </c>
      <c r="H2344" s="1" t="str">
        <f t="shared" si="217"/>
        <v>Shipped</v>
      </c>
      <c r="I2344" s="4" t="str">
        <f t="shared" si="218"/>
        <v>completed</v>
      </c>
      <c r="J2344" t="s">
        <v>25</v>
      </c>
      <c r="K2344">
        <v>3</v>
      </c>
      <c r="L2344">
        <v>9</v>
      </c>
      <c r="M2344">
        <v>2004</v>
      </c>
      <c r="N2344" t="s">
        <v>26</v>
      </c>
      <c r="O2344">
        <v>102</v>
      </c>
      <c r="P2344" t="s">
        <v>656</v>
      </c>
      <c r="Q2344" t="s">
        <v>126</v>
      </c>
      <c r="R2344" t="s">
        <v>127</v>
      </c>
      <c r="S2344" t="s">
        <v>128</v>
      </c>
      <c r="U2344" s="1" t="str">
        <f t="shared" si="219"/>
        <v>Helsinki</v>
      </c>
      <c r="V2344" t="s">
        <v>129</v>
      </c>
      <c r="X2344">
        <v>21240</v>
      </c>
      <c r="Y2344" s="1" t="str">
        <f t="shared" si="220"/>
        <v>FINLAND</v>
      </c>
      <c r="Z2344" s="4" t="str">
        <f t="shared" si="221"/>
        <v>Finland</v>
      </c>
      <c r="AA2344" t="s">
        <v>130</v>
      </c>
      <c r="AB2344" t="s">
        <v>42</v>
      </c>
      <c r="AC2344" t="s">
        <v>131</v>
      </c>
      <c r="AD2344" t="s">
        <v>132</v>
      </c>
      <c r="AE2344" t="s">
        <v>51</v>
      </c>
    </row>
    <row r="2345" spans="1:31" x14ac:dyDescent="0.3">
      <c r="A2345">
        <v>10309</v>
      </c>
      <c r="B2345">
        <v>50</v>
      </c>
      <c r="C2345">
        <v>84.7</v>
      </c>
      <c r="D2345">
        <v>3</v>
      </c>
      <c r="E2345" s="4" t="str">
        <f t="shared" si="216"/>
        <v>high sales</v>
      </c>
      <c r="F2345">
        <v>4235</v>
      </c>
      <c r="G2345" t="s">
        <v>3017</v>
      </c>
      <c r="H2345" s="1" t="str">
        <f t="shared" si="217"/>
        <v>Shipped</v>
      </c>
      <c r="I2345" s="4" t="str">
        <f t="shared" si="218"/>
        <v>completed</v>
      </c>
      <c r="J2345" t="s">
        <v>25</v>
      </c>
      <c r="K2345">
        <v>4</v>
      </c>
      <c r="L2345">
        <v>10</v>
      </c>
      <c r="M2345">
        <v>2004</v>
      </c>
      <c r="N2345" t="s">
        <v>26</v>
      </c>
      <c r="O2345">
        <v>102</v>
      </c>
      <c r="P2345" t="s">
        <v>656</v>
      </c>
      <c r="Q2345" t="s">
        <v>133</v>
      </c>
      <c r="R2345" t="s">
        <v>134</v>
      </c>
      <c r="S2345" t="s">
        <v>135</v>
      </c>
      <c r="U2345" s="1" t="str">
        <f t="shared" si="219"/>
        <v>Stavern</v>
      </c>
      <c r="V2345" t="s">
        <v>136</v>
      </c>
      <c r="X2345">
        <v>4110</v>
      </c>
      <c r="Y2345" s="1" t="str">
        <f t="shared" si="220"/>
        <v>NORWAY</v>
      </c>
      <c r="Z2345" s="4" t="str">
        <f t="shared" si="221"/>
        <v>Norway</v>
      </c>
      <c r="AA2345" t="s">
        <v>78</v>
      </c>
      <c r="AB2345" t="s">
        <v>42</v>
      </c>
      <c r="AC2345" t="s">
        <v>137</v>
      </c>
      <c r="AD2345" t="s">
        <v>138</v>
      </c>
      <c r="AE2345" t="s">
        <v>51</v>
      </c>
    </row>
    <row r="2346" spans="1:31" x14ac:dyDescent="0.3">
      <c r="A2346">
        <v>10319</v>
      </c>
      <c r="B2346">
        <v>22</v>
      </c>
      <c r="C2346">
        <v>100</v>
      </c>
      <c r="D2346">
        <v>8</v>
      </c>
      <c r="E2346" s="4" t="str">
        <f t="shared" si="216"/>
        <v>low sales</v>
      </c>
      <c r="F2346">
        <v>2626.8</v>
      </c>
      <c r="G2346" t="s">
        <v>3018</v>
      </c>
      <c r="H2346" s="1" t="str">
        <f t="shared" si="217"/>
        <v>Shipped</v>
      </c>
      <c r="I2346" s="4" t="str">
        <f t="shared" si="218"/>
        <v>completed</v>
      </c>
      <c r="J2346" t="s">
        <v>25</v>
      </c>
      <c r="K2346">
        <v>4</v>
      </c>
      <c r="L2346">
        <v>11</v>
      </c>
      <c r="M2346">
        <v>2004</v>
      </c>
      <c r="N2346" t="s">
        <v>26</v>
      </c>
      <c r="O2346">
        <v>102</v>
      </c>
      <c r="P2346" t="s">
        <v>656</v>
      </c>
      <c r="Q2346" t="s">
        <v>507</v>
      </c>
      <c r="R2346">
        <v>2125551957</v>
      </c>
      <c r="S2346" t="s">
        <v>508</v>
      </c>
      <c r="T2346" t="s">
        <v>509</v>
      </c>
      <c r="U2346" s="1" t="str">
        <f t="shared" si="219"/>
        <v>Nyc</v>
      </c>
      <c r="V2346" t="s">
        <v>30</v>
      </c>
      <c r="W2346" t="s">
        <v>31</v>
      </c>
      <c r="X2346">
        <v>10022</v>
      </c>
      <c r="Y2346" s="1" t="str">
        <f t="shared" si="220"/>
        <v>USA</v>
      </c>
      <c r="Z2346" s="4" t="str">
        <f t="shared" si="221"/>
        <v>Usa</v>
      </c>
      <c r="AA2346" t="s">
        <v>32</v>
      </c>
      <c r="AB2346" t="s">
        <v>33</v>
      </c>
      <c r="AC2346" t="s">
        <v>510</v>
      </c>
      <c r="AD2346" t="s">
        <v>511</v>
      </c>
      <c r="AE2346" t="s">
        <v>36</v>
      </c>
    </row>
    <row r="2347" spans="1:31" x14ac:dyDescent="0.3">
      <c r="A2347">
        <v>10331</v>
      </c>
      <c r="B2347">
        <v>32</v>
      </c>
      <c r="C2347">
        <v>100</v>
      </c>
      <c r="D2347">
        <v>4</v>
      </c>
      <c r="E2347" s="4" t="str">
        <f t="shared" si="216"/>
        <v>high sales</v>
      </c>
      <c r="F2347">
        <v>5026.5600000000004</v>
      </c>
      <c r="G2347" t="s">
        <v>3019</v>
      </c>
      <c r="H2347" s="1" t="str">
        <f t="shared" si="217"/>
        <v>Shipped</v>
      </c>
      <c r="I2347" s="4" t="str">
        <f t="shared" si="218"/>
        <v>completed</v>
      </c>
      <c r="J2347" t="s">
        <v>25</v>
      </c>
      <c r="K2347">
        <v>4</v>
      </c>
      <c r="L2347">
        <v>11</v>
      </c>
      <c r="M2347">
        <v>2004</v>
      </c>
      <c r="N2347" t="s">
        <v>26</v>
      </c>
      <c r="O2347">
        <v>102</v>
      </c>
      <c r="P2347" t="s">
        <v>656</v>
      </c>
      <c r="Q2347" t="s">
        <v>309</v>
      </c>
      <c r="R2347">
        <v>2155559857</v>
      </c>
      <c r="S2347" t="s">
        <v>310</v>
      </c>
      <c r="U2347" s="1" t="str">
        <f t="shared" si="219"/>
        <v>Philadelphia</v>
      </c>
      <c r="V2347" t="s">
        <v>216</v>
      </c>
      <c r="W2347" t="s">
        <v>142</v>
      </c>
      <c r="X2347">
        <v>71270</v>
      </c>
      <c r="Y2347" s="1" t="str">
        <f t="shared" si="220"/>
        <v>USA</v>
      </c>
      <c r="Z2347" s="4" t="str">
        <f t="shared" si="221"/>
        <v>Usa</v>
      </c>
      <c r="AA2347" t="s">
        <v>32</v>
      </c>
      <c r="AB2347" t="s">
        <v>33</v>
      </c>
      <c r="AC2347" t="s">
        <v>124</v>
      </c>
      <c r="AD2347" t="s">
        <v>311</v>
      </c>
      <c r="AE2347" t="s">
        <v>51</v>
      </c>
    </row>
    <row r="2348" spans="1:31" x14ac:dyDescent="0.3">
      <c r="A2348">
        <v>10341</v>
      </c>
      <c r="B2348">
        <v>31</v>
      </c>
      <c r="C2348">
        <v>71.02</v>
      </c>
      <c r="D2348">
        <v>4</v>
      </c>
      <c r="E2348" s="4" t="str">
        <f t="shared" si="216"/>
        <v>low sales</v>
      </c>
      <c r="F2348">
        <v>2201.62</v>
      </c>
      <c r="G2348" t="s">
        <v>3020</v>
      </c>
      <c r="H2348" s="1" t="str">
        <f t="shared" si="217"/>
        <v>Shipped</v>
      </c>
      <c r="I2348" s="4" t="str">
        <f t="shared" si="218"/>
        <v>completed</v>
      </c>
      <c r="J2348" t="s">
        <v>25</v>
      </c>
      <c r="K2348">
        <v>4</v>
      </c>
      <c r="L2348">
        <v>11</v>
      </c>
      <c r="M2348">
        <v>2004</v>
      </c>
      <c r="N2348" t="s">
        <v>26</v>
      </c>
      <c r="O2348">
        <v>102</v>
      </c>
      <c r="P2348" t="s">
        <v>656</v>
      </c>
      <c r="Q2348" t="s">
        <v>144</v>
      </c>
      <c r="R2348" t="s">
        <v>145</v>
      </c>
      <c r="S2348" t="s">
        <v>146</v>
      </c>
      <c r="U2348" s="1" t="str">
        <f t="shared" si="219"/>
        <v>Salzburg</v>
      </c>
      <c r="V2348" t="s">
        <v>147</v>
      </c>
      <c r="X2348">
        <v>5020</v>
      </c>
      <c r="Y2348" s="1" t="str">
        <f t="shared" si="220"/>
        <v>AUSTRIA</v>
      </c>
      <c r="Z2348" s="4" t="str">
        <f t="shared" si="221"/>
        <v>Austria</v>
      </c>
      <c r="AA2348" t="s">
        <v>148</v>
      </c>
      <c r="AB2348" t="s">
        <v>42</v>
      </c>
      <c r="AC2348" t="s">
        <v>149</v>
      </c>
      <c r="AD2348" t="s">
        <v>150</v>
      </c>
      <c r="AE2348" t="s">
        <v>36</v>
      </c>
    </row>
    <row r="2349" spans="1:31" x14ac:dyDescent="0.3">
      <c r="A2349">
        <v>10355</v>
      </c>
      <c r="B2349">
        <v>40</v>
      </c>
      <c r="C2349">
        <v>100</v>
      </c>
      <c r="D2349">
        <v>5</v>
      </c>
      <c r="E2349" s="4" t="str">
        <f t="shared" si="216"/>
        <v>high sales</v>
      </c>
      <c r="F2349">
        <v>4326.8</v>
      </c>
      <c r="G2349" t="s">
        <v>3021</v>
      </c>
      <c r="H2349" s="1" t="str">
        <f t="shared" si="217"/>
        <v>Shipped</v>
      </c>
      <c r="I2349" s="4" t="str">
        <f t="shared" si="218"/>
        <v>completed</v>
      </c>
      <c r="J2349" t="s">
        <v>25</v>
      </c>
      <c r="K2349">
        <v>4</v>
      </c>
      <c r="L2349">
        <v>12</v>
      </c>
      <c r="M2349">
        <v>2004</v>
      </c>
      <c r="N2349" t="s">
        <v>26</v>
      </c>
      <c r="O2349">
        <v>102</v>
      </c>
      <c r="P2349" t="s">
        <v>656</v>
      </c>
      <c r="Q2349" t="s">
        <v>174</v>
      </c>
      <c r="R2349" t="s">
        <v>175</v>
      </c>
      <c r="S2349" t="s">
        <v>176</v>
      </c>
      <c r="U2349" s="1" t="str">
        <f t="shared" si="219"/>
        <v>Madrid</v>
      </c>
      <c r="V2349" t="s">
        <v>177</v>
      </c>
      <c r="X2349">
        <v>28034</v>
      </c>
      <c r="Y2349" s="1" t="str">
        <f t="shared" si="220"/>
        <v>SPAIN</v>
      </c>
      <c r="Z2349" s="4" t="str">
        <f t="shared" si="221"/>
        <v>Spain</v>
      </c>
      <c r="AA2349" t="s">
        <v>178</v>
      </c>
      <c r="AB2349" t="s">
        <v>42</v>
      </c>
      <c r="AC2349" t="s">
        <v>179</v>
      </c>
      <c r="AD2349" t="s">
        <v>180</v>
      </c>
      <c r="AE2349" t="s">
        <v>51</v>
      </c>
    </row>
    <row r="2350" spans="1:31" x14ac:dyDescent="0.3">
      <c r="A2350">
        <v>10365</v>
      </c>
      <c r="B2350">
        <v>22</v>
      </c>
      <c r="C2350">
        <v>100</v>
      </c>
      <c r="D2350">
        <v>3</v>
      </c>
      <c r="E2350" s="4" t="str">
        <f t="shared" si="216"/>
        <v>low sales</v>
      </c>
      <c r="F2350">
        <v>3425.18</v>
      </c>
      <c r="G2350" t="s">
        <v>3022</v>
      </c>
      <c r="H2350" s="1" t="str">
        <f t="shared" si="217"/>
        <v>Shipped</v>
      </c>
      <c r="I2350" s="4" t="str">
        <f t="shared" si="218"/>
        <v>completed</v>
      </c>
      <c r="J2350" t="s">
        <v>25</v>
      </c>
      <c r="K2350">
        <v>1</v>
      </c>
      <c r="L2350">
        <v>1</v>
      </c>
      <c r="M2350">
        <v>2005</v>
      </c>
      <c r="N2350" t="s">
        <v>26</v>
      </c>
      <c r="O2350">
        <v>102</v>
      </c>
      <c r="P2350" t="s">
        <v>656</v>
      </c>
      <c r="Q2350" t="s">
        <v>335</v>
      </c>
      <c r="R2350">
        <v>5085559555</v>
      </c>
      <c r="S2350" t="s">
        <v>336</v>
      </c>
      <c r="U2350" s="1" t="str">
        <f t="shared" si="219"/>
        <v>New Bedford</v>
      </c>
      <c r="V2350" t="s">
        <v>162</v>
      </c>
      <c r="W2350" t="s">
        <v>123</v>
      </c>
      <c r="X2350">
        <v>50553</v>
      </c>
      <c r="Y2350" s="1" t="str">
        <f t="shared" si="220"/>
        <v>USA</v>
      </c>
      <c r="Z2350" s="4" t="str">
        <f t="shared" si="221"/>
        <v>Usa</v>
      </c>
      <c r="AA2350" t="s">
        <v>32</v>
      </c>
      <c r="AB2350" t="s">
        <v>33</v>
      </c>
      <c r="AC2350" t="s">
        <v>337</v>
      </c>
      <c r="AD2350" t="s">
        <v>338</v>
      </c>
      <c r="AE2350" t="s">
        <v>51</v>
      </c>
    </row>
    <row r="2351" spans="1:31" x14ac:dyDescent="0.3">
      <c r="A2351">
        <v>10375</v>
      </c>
      <c r="B2351">
        <v>41</v>
      </c>
      <c r="C2351">
        <v>100</v>
      </c>
      <c r="D2351">
        <v>15</v>
      </c>
      <c r="E2351" s="4" t="str">
        <f t="shared" si="216"/>
        <v>high sales</v>
      </c>
      <c r="F2351">
        <v>4701.88</v>
      </c>
      <c r="G2351" t="s">
        <v>3023</v>
      </c>
      <c r="H2351" s="1" t="str">
        <f t="shared" si="217"/>
        <v>Shipped</v>
      </c>
      <c r="I2351" s="4" t="str">
        <f t="shared" si="218"/>
        <v>completed</v>
      </c>
      <c r="J2351" t="s">
        <v>25</v>
      </c>
      <c r="K2351">
        <v>1</v>
      </c>
      <c r="L2351">
        <v>2</v>
      </c>
      <c r="M2351">
        <v>2005</v>
      </c>
      <c r="N2351" t="s">
        <v>26</v>
      </c>
      <c r="O2351">
        <v>102</v>
      </c>
      <c r="P2351" t="s">
        <v>656</v>
      </c>
      <c r="Q2351" t="s">
        <v>114</v>
      </c>
      <c r="R2351" t="s">
        <v>115</v>
      </c>
      <c r="S2351" t="s">
        <v>116</v>
      </c>
      <c r="U2351" s="1" t="str">
        <f t="shared" si="219"/>
        <v>Nantes</v>
      </c>
      <c r="V2351" t="s">
        <v>117</v>
      </c>
      <c r="X2351">
        <v>44000</v>
      </c>
      <c r="Y2351" s="1" t="str">
        <f t="shared" si="220"/>
        <v>FRANCE</v>
      </c>
      <c r="Z2351" s="4" t="str">
        <f t="shared" si="221"/>
        <v>France</v>
      </c>
      <c r="AA2351" t="s">
        <v>41</v>
      </c>
      <c r="AB2351" t="s">
        <v>42</v>
      </c>
      <c r="AC2351" t="s">
        <v>118</v>
      </c>
      <c r="AD2351" t="s">
        <v>119</v>
      </c>
      <c r="AE2351" t="s">
        <v>51</v>
      </c>
    </row>
    <row r="2352" spans="1:31" x14ac:dyDescent="0.3">
      <c r="A2352">
        <v>10390</v>
      </c>
      <c r="B2352">
        <v>45</v>
      </c>
      <c r="C2352">
        <v>48.98</v>
      </c>
      <c r="D2352">
        <v>12</v>
      </c>
      <c r="E2352" s="4" t="str">
        <f t="shared" si="216"/>
        <v>low sales</v>
      </c>
      <c r="F2352">
        <v>2204.1</v>
      </c>
      <c r="G2352" t="s">
        <v>3024</v>
      </c>
      <c r="H2352" s="1" t="str">
        <f t="shared" si="217"/>
        <v>Shipped</v>
      </c>
      <c r="I2352" s="4" t="str">
        <f t="shared" si="218"/>
        <v>completed</v>
      </c>
      <c r="J2352" t="s">
        <v>25</v>
      </c>
      <c r="K2352">
        <v>1</v>
      </c>
      <c r="L2352">
        <v>3</v>
      </c>
      <c r="M2352">
        <v>2005</v>
      </c>
      <c r="N2352" t="s">
        <v>26</v>
      </c>
      <c r="O2352">
        <v>102</v>
      </c>
      <c r="P2352" t="s">
        <v>656</v>
      </c>
      <c r="Q2352" t="s">
        <v>272</v>
      </c>
      <c r="R2352">
        <v>4155551450</v>
      </c>
      <c r="S2352" t="s">
        <v>273</v>
      </c>
      <c r="U2352" s="1" t="str">
        <f t="shared" si="219"/>
        <v>San Rafael</v>
      </c>
      <c r="V2352" t="s">
        <v>274</v>
      </c>
      <c r="W2352" t="s">
        <v>55</v>
      </c>
      <c r="X2352">
        <v>97562</v>
      </c>
      <c r="Y2352" s="1" t="str">
        <f t="shared" si="220"/>
        <v>USA</v>
      </c>
      <c r="Z2352" s="4" t="str">
        <f t="shared" si="221"/>
        <v>Usa</v>
      </c>
      <c r="AA2352" t="s">
        <v>32</v>
      </c>
      <c r="AB2352" t="s">
        <v>33</v>
      </c>
      <c r="AC2352" t="s">
        <v>275</v>
      </c>
      <c r="AD2352" t="s">
        <v>276</v>
      </c>
      <c r="AE2352" t="s">
        <v>36</v>
      </c>
    </row>
    <row r="2353" spans="1:31" x14ac:dyDescent="0.3">
      <c r="A2353">
        <v>10403</v>
      </c>
      <c r="B2353">
        <v>45</v>
      </c>
      <c r="C2353">
        <v>100</v>
      </c>
      <c r="D2353">
        <v>5</v>
      </c>
      <c r="E2353" s="4" t="str">
        <f t="shared" si="216"/>
        <v>high sales</v>
      </c>
      <c r="F2353">
        <v>5189.3999999999996</v>
      </c>
      <c r="G2353" t="s">
        <v>3025</v>
      </c>
      <c r="H2353" s="1" t="str">
        <f t="shared" si="217"/>
        <v>Shipped</v>
      </c>
      <c r="I2353" s="4" t="str">
        <f t="shared" si="218"/>
        <v>completed</v>
      </c>
      <c r="J2353" t="s">
        <v>25</v>
      </c>
      <c r="K2353">
        <v>2</v>
      </c>
      <c r="L2353">
        <v>4</v>
      </c>
      <c r="M2353">
        <v>2005</v>
      </c>
      <c r="N2353" t="s">
        <v>26</v>
      </c>
      <c r="O2353">
        <v>102</v>
      </c>
      <c r="P2353" t="s">
        <v>656</v>
      </c>
      <c r="Q2353" t="s">
        <v>165</v>
      </c>
      <c r="R2353" t="s">
        <v>166</v>
      </c>
      <c r="S2353" t="s">
        <v>167</v>
      </c>
      <c r="U2353" s="1" t="str">
        <f t="shared" si="219"/>
        <v>Liverpool</v>
      </c>
      <c r="V2353" t="s">
        <v>168</v>
      </c>
      <c r="X2353" t="s">
        <v>169</v>
      </c>
      <c r="Y2353" s="1" t="str">
        <f t="shared" si="220"/>
        <v>UK</v>
      </c>
      <c r="Z2353" s="4" t="str">
        <f t="shared" si="221"/>
        <v>Uk</v>
      </c>
      <c r="AA2353" t="s">
        <v>170</v>
      </c>
      <c r="AB2353" t="s">
        <v>42</v>
      </c>
      <c r="AC2353" t="s">
        <v>171</v>
      </c>
      <c r="AD2353" t="s">
        <v>172</v>
      </c>
      <c r="AE2353" t="s">
        <v>51</v>
      </c>
    </row>
    <row r="2354" spans="1:31" x14ac:dyDescent="0.3">
      <c r="A2354">
        <v>10106</v>
      </c>
      <c r="B2354">
        <v>39</v>
      </c>
      <c r="C2354">
        <v>40.15</v>
      </c>
      <c r="D2354">
        <v>6</v>
      </c>
      <c r="E2354" s="4" t="str">
        <f t="shared" si="216"/>
        <v>low sales</v>
      </c>
      <c r="F2354">
        <v>1565.85</v>
      </c>
      <c r="G2354" t="s">
        <v>3026</v>
      </c>
      <c r="H2354" s="1" t="str">
        <f t="shared" si="217"/>
        <v>Shipped</v>
      </c>
      <c r="I2354" s="4" t="str">
        <f t="shared" si="218"/>
        <v>completed</v>
      </c>
      <c r="J2354" t="s">
        <v>25</v>
      </c>
      <c r="K2354">
        <v>1</v>
      </c>
      <c r="L2354">
        <v>2</v>
      </c>
      <c r="M2354">
        <v>2003</v>
      </c>
      <c r="N2354" t="s">
        <v>550</v>
      </c>
      <c r="O2354">
        <v>43</v>
      </c>
      <c r="P2354" t="s">
        <v>657</v>
      </c>
      <c r="Q2354" t="s">
        <v>552</v>
      </c>
      <c r="R2354" t="s">
        <v>553</v>
      </c>
      <c r="S2354" t="s">
        <v>554</v>
      </c>
      <c r="U2354" s="1" t="str">
        <f t="shared" si="219"/>
        <v>Bergamo</v>
      </c>
      <c r="V2354" t="s">
        <v>555</v>
      </c>
      <c r="X2354">
        <v>24100</v>
      </c>
      <c r="Y2354" s="1" t="str">
        <f t="shared" si="220"/>
        <v>ITALY</v>
      </c>
      <c r="Z2354" s="4" t="str">
        <f t="shared" si="221"/>
        <v>Italy</v>
      </c>
      <c r="AA2354" t="s">
        <v>258</v>
      </c>
      <c r="AB2354" t="s">
        <v>42</v>
      </c>
      <c r="AC2354" t="s">
        <v>556</v>
      </c>
      <c r="AD2354" t="s">
        <v>557</v>
      </c>
      <c r="AE2354" t="s">
        <v>36</v>
      </c>
    </row>
    <row r="2355" spans="1:31" x14ac:dyDescent="0.3">
      <c r="A2355">
        <v>10120</v>
      </c>
      <c r="B2355">
        <v>49</v>
      </c>
      <c r="C2355">
        <v>50.62</v>
      </c>
      <c r="D2355">
        <v>12</v>
      </c>
      <c r="E2355" s="4" t="str">
        <f t="shared" si="216"/>
        <v>low sales</v>
      </c>
      <c r="F2355">
        <v>2480.38</v>
      </c>
      <c r="G2355" t="s">
        <v>3027</v>
      </c>
      <c r="H2355" s="1" t="str">
        <f t="shared" si="217"/>
        <v>Shipped</v>
      </c>
      <c r="I2355" s="4" t="str">
        <f t="shared" si="218"/>
        <v>completed</v>
      </c>
      <c r="J2355" t="s">
        <v>25</v>
      </c>
      <c r="K2355">
        <v>2</v>
      </c>
      <c r="L2355">
        <v>4</v>
      </c>
      <c r="M2355">
        <v>2003</v>
      </c>
      <c r="N2355" t="s">
        <v>550</v>
      </c>
      <c r="O2355">
        <v>43</v>
      </c>
      <c r="P2355" t="s">
        <v>657</v>
      </c>
      <c r="Q2355" t="s">
        <v>89</v>
      </c>
      <c r="R2355" t="s">
        <v>90</v>
      </c>
      <c r="S2355" t="s">
        <v>91</v>
      </c>
      <c r="T2355" t="s">
        <v>92</v>
      </c>
      <c r="U2355" s="1" t="str">
        <f t="shared" si="219"/>
        <v>Melbourne</v>
      </c>
      <c r="V2355" t="s">
        <v>93</v>
      </c>
      <c r="W2355" t="s">
        <v>94</v>
      </c>
      <c r="X2355">
        <v>3004</v>
      </c>
      <c r="Y2355" s="1" t="str">
        <f t="shared" si="220"/>
        <v>AUSTRALIA</v>
      </c>
      <c r="Z2355" s="4" t="str">
        <f t="shared" si="221"/>
        <v>Australia</v>
      </c>
      <c r="AA2355" t="s">
        <v>95</v>
      </c>
      <c r="AB2355" t="s">
        <v>96</v>
      </c>
      <c r="AC2355" t="s">
        <v>97</v>
      </c>
      <c r="AD2355" t="s">
        <v>98</v>
      </c>
      <c r="AE2355" t="s">
        <v>36</v>
      </c>
    </row>
    <row r="2356" spans="1:31" x14ac:dyDescent="0.3">
      <c r="A2356">
        <v>10133</v>
      </c>
      <c r="B2356">
        <v>27</v>
      </c>
      <c r="C2356">
        <v>50.19</v>
      </c>
      <c r="D2356">
        <v>7</v>
      </c>
      <c r="E2356" s="4" t="str">
        <f t="shared" si="216"/>
        <v>low sales</v>
      </c>
      <c r="F2356">
        <v>1355.13</v>
      </c>
      <c r="G2356" t="s">
        <v>3028</v>
      </c>
      <c r="H2356" s="1" t="str">
        <f t="shared" si="217"/>
        <v>Shipped</v>
      </c>
      <c r="I2356" s="4" t="str">
        <f t="shared" si="218"/>
        <v>completed</v>
      </c>
      <c r="J2356" t="s">
        <v>25</v>
      </c>
      <c r="K2356">
        <v>2</v>
      </c>
      <c r="L2356">
        <v>6</v>
      </c>
      <c r="M2356">
        <v>2003</v>
      </c>
      <c r="N2356" t="s">
        <v>550</v>
      </c>
      <c r="O2356">
        <v>43</v>
      </c>
      <c r="P2356" t="s">
        <v>657</v>
      </c>
      <c r="Q2356" t="s">
        <v>174</v>
      </c>
      <c r="R2356" t="s">
        <v>175</v>
      </c>
      <c r="S2356" t="s">
        <v>176</v>
      </c>
      <c r="U2356" s="1" t="str">
        <f t="shared" si="219"/>
        <v>Madrid</v>
      </c>
      <c r="V2356" t="s">
        <v>177</v>
      </c>
      <c r="X2356">
        <v>28034</v>
      </c>
      <c r="Y2356" s="1" t="str">
        <f t="shared" si="220"/>
        <v>SPAIN</v>
      </c>
      <c r="Z2356" s="4" t="str">
        <f t="shared" si="221"/>
        <v>Spain</v>
      </c>
      <c r="AA2356" t="s">
        <v>178</v>
      </c>
      <c r="AB2356" t="s">
        <v>42</v>
      </c>
      <c r="AC2356" t="s">
        <v>179</v>
      </c>
      <c r="AD2356" t="s">
        <v>180</v>
      </c>
      <c r="AE2356" t="s">
        <v>36</v>
      </c>
    </row>
    <row r="2357" spans="1:31" x14ac:dyDescent="0.3">
      <c r="A2357">
        <v>10143</v>
      </c>
      <c r="B2357">
        <v>34</v>
      </c>
      <c r="C2357">
        <v>36.659999999999997</v>
      </c>
      <c r="D2357">
        <v>1</v>
      </c>
      <c r="E2357" s="4" t="str">
        <f t="shared" si="216"/>
        <v>low sales</v>
      </c>
      <c r="F2357">
        <v>1246.44</v>
      </c>
      <c r="G2357" t="s">
        <v>3029</v>
      </c>
      <c r="H2357" s="1" t="str">
        <f t="shared" si="217"/>
        <v>Shipped</v>
      </c>
      <c r="I2357" s="4" t="str">
        <f t="shared" si="218"/>
        <v>completed</v>
      </c>
      <c r="J2357" t="s">
        <v>25</v>
      </c>
      <c r="K2357">
        <v>3</v>
      </c>
      <c r="L2357">
        <v>8</v>
      </c>
      <c r="M2357">
        <v>2003</v>
      </c>
      <c r="N2357" t="s">
        <v>550</v>
      </c>
      <c r="O2357">
        <v>43</v>
      </c>
      <c r="P2357" t="s">
        <v>657</v>
      </c>
      <c r="Q2357" t="s">
        <v>335</v>
      </c>
      <c r="R2357">
        <v>5085559555</v>
      </c>
      <c r="S2357" t="s">
        <v>336</v>
      </c>
      <c r="U2357" s="1" t="str">
        <f t="shared" si="219"/>
        <v>New Bedford</v>
      </c>
      <c r="V2357" t="s">
        <v>162</v>
      </c>
      <c r="W2357" t="s">
        <v>123</v>
      </c>
      <c r="X2357">
        <v>50553</v>
      </c>
      <c r="Y2357" s="1" t="str">
        <f t="shared" si="220"/>
        <v>USA</v>
      </c>
      <c r="Z2357" s="4" t="str">
        <f t="shared" si="221"/>
        <v>Usa</v>
      </c>
      <c r="AA2357" t="s">
        <v>32</v>
      </c>
      <c r="AB2357" t="s">
        <v>33</v>
      </c>
      <c r="AC2357" t="s">
        <v>337</v>
      </c>
      <c r="AD2357" t="s">
        <v>338</v>
      </c>
      <c r="AE2357" t="s">
        <v>36</v>
      </c>
    </row>
    <row r="2358" spans="1:31" x14ac:dyDescent="0.3">
      <c r="A2358">
        <v>10156</v>
      </c>
      <c r="B2358">
        <v>20</v>
      </c>
      <c r="C2358">
        <v>41.02</v>
      </c>
      <c r="D2358">
        <v>1</v>
      </c>
      <c r="E2358" s="4" t="str">
        <f t="shared" si="216"/>
        <v>low sales</v>
      </c>
      <c r="F2358">
        <v>820.4</v>
      </c>
      <c r="G2358" t="s">
        <v>3030</v>
      </c>
      <c r="H2358" s="1" t="str">
        <f t="shared" si="217"/>
        <v>Shipped</v>
      </c>
      <c r="I2358" s="4" t="str">
        <f t="shared" si="218"/>
        <v>completed</v>
      </c>
      <c r="J2358" t="s">
        <v>25</v>
      </c>
      <c r="K2358">
        <v>4</v>
      </c>
      <c r="L2358">
        <v>10</v>
      </c>
      <c r="M2358">
        <v>2003</v>
      </c>
      <c r="N2358" t="s">
        <v>550</v>
      </c>
      <c r="O2358">
        <v>43</v>
      </c>
      <c r="P2358" t="s">
        <v>657</v>
      </c>
      <c r="Q2358" t="s">
        <v>174</v>
      </c>
      <c r="R2358" t="s">
        <v>175</v>
      </c>
      <c r="S2358" t="s">
        <v>176</v>
      </c>
      <c r="U2358" s="1" t="str">
        <f t="shared" si="219"/>
        <v>Madrid</v>
      </c>
      <c r="V2358" t="s">
        <v>177</v>
      </c>
      <c r="X2358">
        <v>28034</v>
      </c>
      <c r="Y2358" s="1" t="str">
        <f t="shared" si="220"/>
        <v>SPAIN</v>
      </c>
      <c r="Z2358" s="4" t="str">
        <f t="shared" si="221"/>
        <v>Spain</v>
      </c>
      <c r="AA2358" t="s">
        <v>178</v>
      </c>
      <c r="AB2358" t="s">
        <v>42</v>
      </c>
      <c r="AC2358" t="s">
        <v>179</v>
      </c>
      <c r="AD2358" t="s">
        <v>180</v>
      </c>
      <c r="AE2358" t="s">
        <v>36</v>
      </c>
    </row>
    <row r="2359" spans="1:31" x14ac:dyDescent="0.3">
      <c r="A2359">
        <v>10168</v>
      </c>
      <c r="B2359">
        <v>48</v>
      </c>
      <c r="C2359">
        <v>51.93</v>
      </c>
      <c r="D2359">
        <v>13</v>
      </c>
      <c r="E2359" s="4" t="str">
        <f t="shared" si="216"/>
        <v>low sales</v>
      </c>
      <c r="F2359">
        <v>2492.64</v>
      </c>
      <c r="G2359" t="s">
        <v>3031</v>
      </c>
      <c r="H2359" s="1" t="str">
        <f t="shared" si="217"/>
        <v>Shipped</v>
      </c>
      <c r="I2359" s="4" t="str">
        <f t="shared" si="218"/>
        <v>completed</v>
      </c>
      <c r="J2359" t="s">
        <v>25</v>
      </c>
      <c r="K2359">
        <v>4</v>
      </c>
      <c r="L2359">
        <v>10</v>
      </c>
      <c r="M2359">
        <v>2003</v>
      </c>
      <c r="N2359" t="s">
        <v>550</v>
      </c>
      <c r="O2359">
        <v>43</v>
      </c>
      <c r="P2359" t="s">
        <v>657</v>
      </c>
      <c r="Q2359" t="s">
        <v>62</v>
      </c>
      <c r="R2359">
        <v>6505556809</v>
      </c>
      <c r="S2359" t="s">
        <v>63</v>
      </c>
      <c r="U2359" s="1" t="str">
        <f t="shared" si="219"/>
        <v>Burlingame</v>
      </c>
      <c r="V2359" t="s">
        <v>64</v>
      </c>
      <c r="W2359" t="s">
        <v>55</v>
      </c>
      <c r="X2359">
        <v>94217</v>
      </c>
      <c r="Y2359" s="1" t="str">
        <f t="shared" si="220"/>
        <v>USA</v>
      </c>
      <c r="Z2359" s="4" t="str">
        <f t="shared" si="221"/>
        <v>Usa</v>
      </c>
      <c r="AA2359" t="s">
        <v>32</v>
      </c>
      <c r="AB2359" t="s">
        <v>33</v>
      </c>
      <c r="AC2359" t="s">
        <v>65</v>
      </c>
      <c r="AD2359" t="s">
        <v>66</v>
      </c>
      <c r="AE2359" t="s">
        <v>36</v>
      </c>
    </row>
    <row r="2360" spans="1:31" x14ac:dyDescent="0.3">
      <c r="A2360">
        <v>10199</v>
      </c>
      <c r="B2360">
        <v>29</v>
      </c>
      <c r="C2360">
        <v>38.4</v>
      </c>
      <c r="D2360">
        <v>1</v>
      </c>
      <c r="E2360" s="4" t="str">
        <f t="shared" si="216"/>
        <v>low sales</v>
      </c>
      <c r="F2360">
        <v>1113.5999999999999</v>
      </c>
      <c r="G2360" t="s">
        <v>3032</v>
      </c>
      <c r="H2360" s="1" t="str">
        <f t="shared" si="217"/>
        <v>Shipped</v>
      </c>
      <c r="I2360" s="4" t="str">
        <f t="shared" si="218"/>
        <v>completed</v>
      </c>
      <c r="J2360" t="s">
        <v>25</v>
      </c>
      <c r="K2360">
        <v>4</v>
      </c>
      <c r="L2360">
        <v>12</v>
      </c>
      <c r="M2360">
        <v>2003</v>
      </c>
      <c r="N2360" t="s">
        <v>550</v>
      </c>
      <c r="O2360">
        <v>43</v>
      </c>
      <c r="P2360" t="s">
        <v>657</v>
      </c>
      <c r="Q2360" t="s">
        <v>234</v>
      </c>
      <c r="R2360">
        <v>3105553722</v>
      </c>
      <c r="S2360" t="s">
        <v>235</v>
      </c>
      <c r="U2360" s="1" t="str">
        <f t="shared" si="219"/>
        <v>Burbank</v>
      </c>
      <c r="V2360" t="s">
        <v>236</v>
      </c>
      <c r="W2360" t="s">
        <v>55</v>
      </c>
      <c r="X2360">
        <v>94019</v>
      </c>
      <c r="Y2360" s="1" t="str">
        <f t="shared" si="220"/>
        <v>USA</v>
      </c>
      <c r="Z2360" s="4" t="str">
        <f t="shared" si="221"/>
        <v>Usa</v>
      </c>
      <c r="AA2360" t="s">
        <v>32</v>
      </c>
      <c r="AB2360" t="s">
        <v>33</v>
      </c>
      <c r="AC2360" t="s">
        <v>237</v>
      </c>
      <c r="AD2360" t="s">
        <v>238</v>
      </c>
      <c r="AE2360" t="s">
        <v>36</v>
      </c>
    </row>
    <row r="2361" spans="1:31" x14ac:dyDescent="0.3">
      <c r="A2361">
        <v>10210</v>
      </c>
      <c r="B2361">
        <v>43</v>
      </c>
      <c r="C2361">
        <v>41.02</v>
      </c>
      <c r="D2361">
        <v>11</v>
      </c>
      <c r="E2361" s="4" t="str">
        <f t="shared" si="216"/>
        <v>low sales</v>
      </c>
      <c r="F2361">
        <v>1763.86</v>
      </c>
      <c r="G2361" t="s">
        <v>3033</v>
      </c>
      <c r="H2361" s="1" t="str">
        <f t="shared" si="217"/>
        <v>Shipped</v>
      </c>
      <c r="I2361" s="4" t="str">
        <f t="shared" si="218"/>
        <v>completed</v>
      </c>
      <c r="J2361" t="s">
        <v>25</v>
      </c>
      <c r="K2361">
        <v>1</v>
      </c>
      <c r="L2361">
        <v>1</v>
      </c>
      <c r="M2361">
        <v>2004</v>
      </c>
      <c r="N2361" t="s">
        <v>550</v>
      </c>
      <c r="O2361">
        <v>43</v>
      </c>
      <c r="P2361" t="s">
        <v>657</v>
      </c>
      <c r="Q2361" t="s">
        <v>302</v>
      </c>
      <c r="R2361" t="s">
        <v>303</v>
      </c>
      <c r="S2361" t="s">
        <v>304</v>
      </c>
      <c r="U2361" s="1" t="str">
        <f t="shared" si="219"/>
        <v>Osaka</v>
      </c>
      <c r="V2361" t="s">
        <v>305</v>
      </c>
      <c r="W2361" t="s">
        <v>305</v>
      </c>
      <c r="X2361" t="s">
        <v>306</v>
      </c>
      <c r="Y2361" s="1" t="str">
        <f t="shared" si="220"/>
        <v>JAPAN</v>
      </c>
      <c r="Z2361" s="4" t="str">
        <f t="shared" si="221"/>
        <v>Japan</v>
      </c>
      <c r="AA2361" t="s">
        <v>200</v>
      </c>
      <c r="AB2361" t="s">
        <v>200</v>
      </c>
      <c r="AC2361" t="s">
        <v>307</v>
      </c>
      <c r="AD2361" t="s">
        <v>308</v>
      </c>
      <c r="AE2361" t="s">
        <v>36</v>
      </c>
    </row>
    <row r="2362" spans="1:31" x14ac:dyDescent="0.3">
      <c r="A2362">
        <v>10223</v>
      </c>
      <c r="B2362">
        <v>41</v>
      </c>
      <c r="C2362">
        <v>46.26</v>
      </c>
      <c r="D2362">
        <v>13</v>
      </c>
      <c r="E2362" s="4" t="str">
        <f t="shared" si="216"/>
        <v>low sales</v>
      </c>
      <c r="F2362">
        <v>1896.66</v>
      </c>
      <c r="G2362" t="s">
        <v>3034</v>
      </c>
      <c r="H2362" s="1" t="str">
        <f t="shared" si="217"/>
        <v>Shipped</v>
      </c>
      <c r="I2362" s="4" t="str">
        <f t="shared" si="218"/>
        <v>completed</v>
      </c>
      <c r="J2362" t="s">
        <v>25</v>
      </c>
      <c r="K2362">
        <v>1</v>
      </c>
      <c r="L2362">
        <v>2</v>
      </c>
      <c r="M2362">
        <v>2004</v>
      </c>
      <c r="N2362" t="s">
        <v>550</v>
      </c>
      <c r="O2362">
        <v>43</v>
      </c>
      <c r="P2362" t="s">
        <v>657</v>
      </c>
      <c r="Q2362" t="s">
        <v>89</v>
      </c>
      <c r="R2362" t="s">
        <v>90</v>
      </c>
      <c r="S2362" t="s">
        <v>91</v>
      </c>
      <c r="T2362" t="s">
        <v>92</v>
      </c>
      <c r="U2362" s="1" t="str">
        <f t="shared" si="219"/>
        <v>Melbourne</v>
      </c>
      <c r="V2362" t="s">
        <v>93</v>
      </c>
      <c r="W2362" t="s">
        <v>94</v>
      </c>
      <c r="X2362">
        <v>3004</v>
      </c>
      <c r="Y2362" s="1" t="str">
        <f t="shared" si="220"/>
        <v>AUSTRALIA</v>
      </c>
      <c r="Z2362" s="4" t="str">
        <f t="shared" si="221"/>
        <v>Australia</v>
      </c>
      <c r="AA2362" t="s">
        <v>95</v>
      </c>
      <c r="AB2362" t="s">
        <v>96</v>
      </c>
      <c r="AC2362" t="s">
        <v>97</v>
      </c>
      <c r="AD2362" t="s">
        <v>98</v>
      </c>
      <c r="AE2362" t="s">
        <v>36</v>
      </c>
    </row>
    <row r="2363" spans="1:31" x14ac:dyDescent="0.3">
      <c r="A2363">
        <v>10235</v>
      </c>
      <c r="B2363">
        <v>41</v>
      </c>
      <c r="C2363">
        <v>35.35</v>
      </c>
      <c r="D2363">
        <v>7</v>
      </c>
      <c r="E2363" s="4" t="str">
        <f t="shared" si="216"/>
        <v>low sales</v>
      </c>
      <c r="F2363">
        <v>1449.35</v>
      </c>
      <c r="G2363" t="s">
        <v>3035</v>
      </c>
      <c r="H2363" s="1" t="str">
        <f t="shared" si="217"/>
        <v>Shipped</v>
      </c>
      <c r="I2363" s="4" t="str">
        <f t="shared" si="218"/>
        <v>completed</v>
      </c>
      <c r="J2363" t="s">
        <v>25</v>
      </c>
      <c r="K2363">
        <v>2</v>
      </c>
      <c r="L2363">
        <v>4</v>
      </c>
      <c r="M2363">
        <v>2004</v>
      </c>
      <c r="N2363" t="s">
        <v>550</v>
      </c>
      <c r="O2363">
        <v>43</v>
      </c>
      <c r="P2363" t="s">
        <v>657</v>
      </c>
      <c r="Q2363" t="s">
        <v>373</v>
      </c>
      <c r="R2363" t="s">
        <v>374</v>
      </c>
      <c r="S2363" t="s">
        <v>375</v>
      </c>
      <c r="U2363" s="1" t="str">
        <f t="shared" si="219"/>
        <v>Tsawassen</v>
      </c>
      <c r="V2363" t="s">
        <v>376</v>
      </c>
      <c r="W2363" t="s">
        <v>229</v>
      </c>
      <c r="X2363" t="s">
        <v>377</v>
      </c>
      <c r="Y2363" s="1" t="str">
        <f t="shared" si="220"/>
        <v>CANADA</v>
      </c>
      <c r="Z2363" s="4" t="str">
        <f t="shared" si="221"/>
        <v>Canada</v>
      </c>
      <c r="AA2363" t="s">
        <v>231</v>
      </c>
      <c r="AB2363" t="s">
        <v>33</v>
      </c>
      <c r="AC2363" t="s">
        <v>378</v>
      </c>
      <c r="AD2363" t="s">
        <v>172</v>
      </c>
      <c r="AE2363" t="s">
        <v>36</v>
      </c>
    </row>
    <row r="2364" spans="1:31" x14ac:dyDescent="0.3">
      <c r="A2364">
        <v>10250</v>
      </c>
      <c r="B2364">
        <v>36</v>
      </c>
      <c r="C2364">
        <v>51.93</v>
      </c>
      <c r="D2364">
        <v>8</v>
      </c>
      <c r="E2364" s="4" t="str">
        <f t="shared" si="216"/>
        <v>low sales</v>
      </c>
      <c r="F2364">
        <v>1869.48</v>
      </c>
      <c r="G2364" t="s">
        <v>3036</v>
      </c>
      <c r="H2364" s="1" t="str">
        <f t="shared" si="217"/>
        <v>Shipped</v>
      </c>
      <c r="I2364" s="4" t="str">
        <f t="shared" si="218"/>
        <v>completed</v>
      </c>
      <c r="J2364" t="s">
        <v>25</v>
      </c>
      <c r="K2364">
        <v>2</v>
      </c>
      <c r="L2364">
        <v>5</v>
      </c>
      <c r="M2364">
        <v>2004</v>
      </c>
      <c r="N2364" t="s">
        <v>550</v>
      </c>
      <c r="O2364">
        <v>43</v>
      </c>
      <c r="P2364" t="s">
        <v>657</v>
      </c>
      <c r="Q2364" t="s">
        <v>397</v>
      </c>
      <c r="R2364">
        <v>4085553659</v>
      </c>
      <c r="S2364" t="s">
        <v>398</v>
      </c>
      <c r="U2364" s="1" t="str">
        <f t="shared" si="219"/>
        <v>San Jose</v>
      </c>
      <c r="V2364" t="s">
        <v>399</v>
      </c>
      <c r="W2364" t="s">
        <v>55</v>
      </c>
      <c r="X2364">
        <v>94217</v>
      </c>
      <c r="Y2364" s="1" t="str">
        <f t="shared" si="220"/>
        <v>USA</v>
      </c>
      <c r="Z2364" s="4" t="str">
        <f t="shared" si="221"/>
        <v>Usa</v>
      </c>
      <c r="AA2364" t="s">
        <v>32</v>
      </c>
      <c r="AB2364" t="s">
        <v>33</v>
      </c>
      <c r="AC2364" t="s">
        <v>102</v>
      </c>
      <c r="AD2364" t="s">
        <v>400</v>
      </c>
      <c r="AE2364" t="s">
        <v>36</v>
      </c>
    </row>
    <row r="2365" spans="1:31" x14ac:dyDescent="0.3">
      <c r="A2365">
        <v>10262</v>
      </c>
      <c r="B2365">
        <v>49</v>
      </c>
      <c r="C2365">
        <v>37.97</v>
      </c>
      <c r="D2365">
        <v>3</v>
      </c>
      <c r="E2365" s="4" t="str">
        <f t="shared" si="216"/>
        <v>low sales</v>
      </c>
      <c r="F2365">
        <v>1860.53</v>
      </c>
      <c r="G2365" t="s">
        <v>3037</v>
      </c>
      <c r="H2365" s="1" t="str">
        <f t="shared" si="217"/>
        <v>Cancelled</v>
      </c>
      <c r="I2365" s="4" t="str">
        <f t="shared" si="218"/>
        <v>not completed</v>
      </c>
      <c r="J2365" t="s">
        <v>339</v>
      </c>
      <c r="K2365">
        <v>2</v>
      </c>
      <c r="L2365">
        <v>6</v>
      </c>
      <c r="M2365">
        <v>2004</v>
      </c>
      <c r="N2365" t="s">
        <v>550</v>
      </c>
      <c r="O2365">
        <v>43</v>
      </c>
      <c r="P2365" t="s">
        <v>657</v>
      </c>
      <c r="Q2365" t="s">
        <v>174</v>
      </c>
      <c r="R2365" t="s">
        <v>175</v>
      </c>
      <c r="S2365" t="s">
        <v>176</v>
      </c>
      <c r="U2365" s="1" t="str">
        <f t="shared" si="219"/>
        <v>Madrid</v>
      </c>
      <c r="V2365" t="s">
        <v>177</v>
      </c>
      <c r="X2365">
        <v>28034</v>
      </c>
      <c r="Y2365" s="1" t="str">
        <f t="shared" si="220"/>
        <v>SPAIN</v>
      </c>
      <c r="Z2365" s="4" t="str">
        <f t="shared" si="221"/>
        <v>Spain</v>
      </c>
      <c r="AA2365" t="s">
        <v>178</v>
      </c>
      <c r="AB2365" t="s">
        <v>42</v>
      </c>
      <c r="AC2365" t="s">
        <v>179</v>
      </c>
      <c r="AD2365" t="s">
        <v>180</v>
      </c>
      <c r="AE2365" t="s">
        <v>36</v>
      </c>
    </row>
    <row r="2366" spans="1:31" x14ac:dyDescent="0.3">
      <c r="A2366">
        <v>10275</v>
      </c>
      <c r="B2366">
        <v>38</v>
      </c>
      <c r="C2366">
        <v>45.39</v>
      </c>
      <c r="D2366">
        <v>13</v>
      </c>
      <c r="E2366" s="4" t="str">
        <f t="shared" si="216"/>
        <v>low sales</v>
      </c>
      <c r="F2366">
        <v>1724.82</v>
      </c>
      <c r="G2366" t="s">
        <v>3038</v>
      </c>
      <c r="H2366" s="1" t="str">
        <f t="shared" si="217"/>
        <v>Shipped</v>
      </c>
      <c r="I2366" s="4" t="str">
        <f t="shared" si="218"/>
        <v>completed</v>
      </c>
      <c r="J2366" t="s">
        <v>25</v>
      </c>
      <c r="K2366">
        <v>3</v>
      </c>
      <c r="L2366">
        <v>7</v>
      </c>
      <c r="M2366">
        <v>2004</v>
      </c>
      <c r="N2366" t="s">
        <v>550</v>
      </c>
      <c r="O2366">
        <v>43</v>
      </c>
      <c r="P2366" t="s">
        <v>657</v>
      </c>
      <c r="Q2366" t="s">
        <v>114</v>
      </c>
      <c r="R2366" t="s">
        <v>115</v>
      </c>
      <c r="S2366" t="s">
        <v>116</v>
      </c>
      <c r="U2366" s="1" t="str">
        <f t="shared" si="219"/>
        <v>Nantes</v>
      </c>
      <c r="V2366" t="s">
        <v>117</v>
      </c>
      <c r="X2366">
        <v>44000</v>
      </c>
      <c r="Y2366" s="1" t="str">
        <f t="shared" si="220"/>
        <v>FRANCE</v>
      </c>
      <c r="Z2366" s="4" t="str">
        <f t="shared" si="221"/>
        <v>France</v>
      </c>
      <c r="AA2366" t="s">
        <v>41</v>
      </c>
      <c r="AB2366" t="s">
        <v>42</v>
      </c>
      <c r="AC2366" t="s">
        <v>118</v>
      </c>
      <c r="AD2366" t="s">
        <v>119</v>
      </c>
      <c r="AE2366" t="s">
        <v>36</v>
      </c>
    </row>
    <row r="2367" spans="1:31" x14ac:dyDescent="0.3">
      <c r="A2367">
        <v>10284</v>
      </c>
      <c r="B2367">
        <v>33</v>
      </c>
      <c r="C2367">
        <v>51.93</v>
      </c>
      <c r="D2367">
        <v>5</v>
      </c>
      <c r="E2367" s="4" t="str">
        <f t="shared" si="216"/>
        <v>low sales</v>
      </c>
      <c r="F2367">
        <v>1713.69</v>
      </c>
      <c r="G2367" t="s">
        <v>3039</v>
      </c>
      <c r="H2367" s="1" t="str">
        <f t="shared" si="217"/>
        <v>Shipped</v>
      </c>
      <c r="I2367" s="4" t="str">
        <f t="shared" si="218"/>
        <v>completed</v>
      </c>
      <c r="J2367" t="s">
        <v>25</v>
      </c>
      <c r="K2367">
        <v>3</v>
      </c>
      <c r="L2367">
        <v>8</v>
      </c>
      <c r="M2367">
        <v>2004</v>
      </c>
      <c r="N2367" t="s">
        <v>550</v>
      </c>
      <c r="O2367">
        <v>43</v>
      </c>
      <c r="P2367" t="s">
        <v>657</v>
      </c>
      <c r="Q2367" t="s">
        <v>543</v>
      </c>
      <c r="R2367" t="s">
        <v>544</v>
      </c>
      <c r="S2367" t="s">
        <v>545</v>
      </c>
      <c r="U2367" s="1" t="str">
        <f t="shared" si="219"/>
        <v>Oslo</v>
      </c>
      <c r="V2367" t="s">
        <v>546</v>
      </c>
      <c r="X2367" t="s">
        <v>547</v>
      </c>
      <c r="Y2367" s="1" t="str">
        <f t="shared" si="220"/>
        <v>NORWAY</v>
      </c>
      <c r="Z2367" s="4" t="str">
        <f t="shared" si="221"/>
        <v>Norway</v>
      </c>
      <c r="AA2367" t="s">
        <v>78</v>
      </c>
      <c r="AB2367" t="s">
        <v>42</v>
      </c>
      <c r="AC2367" t="s">
        <v>548</v>
      </c>
      <c r="AD2367" t="s">
        <v>549</v>
      </c>
      <c r="AE2367" t="s">
        <v>36</v>
      </c>
    </row>
    <row r="2368" spans="1:31" x14ac:dyDescent="0.3">
      <c r="A2368">
        <v>10296</v>
      </c>
      <c r="B2368">
        <v>26</v>
      </c>
      <c r="C2368">
        <v>48.44</v>
      </c>
      <c r="D2368">
        <v>1</v>
      </c>
      <c r="E2368" s="4" t="str">
        <f t="shared" si="216"/>
        <v>low sales</v>
      </c>
      <c r="F2368">
        <v>1259.44</v>
      </c>
      <c r="G2368" t="s">
        <v>3040</v>
      </c>
      <c r="H2368" s="1" t="str">
        <f t="shared" si="217"/>
        <v>Shipped</v>
      </c>
      <c r="I2368" s="4" t="str">
        <f t="shared" si="218"/>
        <v>completed</v>
      </c>
      <c r="J2368" t="s">
        <v>25</v>
      </c>
      <c r="K2368">
        <v>3</v>
      </c>
      <c r="L2368">
        <v>9</v>
      </c>
      <c r="M2368">
        <v>2004</v>
      </c>
      <c r="N2368" t="s">
        <v>550</v>
      </c>
      <c r="O2368">
        <v>43</v>
      </c>
      <c r="P2368" t="s">
        <v>657</v>
      </c>
      <c r="Q2368" t="s">
        <v>572</v>
      </c>
      <c r="R2368" t="s">
        <v>573</v>
      </c>
      <c r="S2368" t="s">
        <v>574</v>
      </c>
      <c r="U2368" s="1" t="str">
        <f t="shared" si="219"/>
        <v>Munich</v>
      </c>
      <c r="V2368" t="s">
        <v>575</v>
      </c>
      <c r="X2368">
        <v>80686</v>
      </c>
      <c r="Y2368" s="1" t="str">
        <f t="shared" si="220"/>
        <v>GERMANY</v>
      </c>
      <c r="Z2368" s="4" t="str">
        <f t="shared" si="221"/>
        <v>Germany</v>
      </c>
      <c r="AA2368" t="s">
        <v>443</v>
      </c>
      <c r="AB2368" t="s">
        <v>42</v>
      </c>
      <c r="AC2368" t="s">
        <v>576</v>
      </c>
      <c r="AD2368" t="s">
        <v>103</v>
      </c>
      <c r="AE2368" t="s">
        <v>36</v>
      </c>
    </row>
    <row r="2369" spans="1:31" x14ac:dyDescent="0.3">
      <c r="A2369">
        <v>10308</v>
      </c>
      <c r="B2369">
        <v>47</v>
      </c>
      <c r="C2369">
        <v>43.64</v>
      </c>
      <c r="D2369">
        <v>11</v>
      </c>
      <c r="E2369" s="4" t="str">
        <f t="shared" si="216"/>
        <v>low sales</v>
      </c>
      <c r="F2369">
        <v>2051.08</v>
      </c>
      <c r="G2369" t="s">
        <v>3041</v>
      </c>
      <c r="H2369" s="1" t="str">
        <f t="shared" si="217"/>
        <v>Shipped</v>
      </c>
      <c r="I2369" s="4" t="str">
        <f t="shared" si="218"/>
        <v>completed</v>
      </c>
      <c r="J2369" t="s">
        <v>25</v>
      </c>
      <c r="K2369">
        <v>4</v>
      </c>
      <c r="L2369">
        <v>10</v>
      </c>
      <c r="M2369">
        <v>2004</v>
      </c>
      <c r="N2369" t="s">
        <v>550</v>
      </c>
      <c r="O2369">
        <v>43</v>
      </c>
      <c r="P2369" t="s">
        <v>657</v>
      </c>
      <c r="Q2369" t="s">
        <v>317</v>
      </c>
      <c r="R2369">
        <v>9145554562</v>
      </c>
      <c r="S2369" t="s">
        <v>318</v>
      </c>
      <c r="U2369" s="1" t="str">
        <f t="shared" si="219"/>
        <v>White Plains</v>
      </c>
      <c r="V2369" t="s">
        <v>319</v>
      </c>
      <c r="W2369" t="s">
        <v>31</v>
      </c>
      <c r="X2369">
        <v>24067</v>
      </c>
      <c r="Y2369" s="1" t="str">
        <f t="shared" si="220"/>
        <v>USA</v>
      </c>
      <c r="Z2369" s="4" t="str">
        <f t="shared" si="221"/>
        <v>Usa</v>
      </c>
      <c r="AA2369" t="s">
        <v>32</v>
      </c>
      <c r="AB2369" t="s">
        <v>33</v>
      </c>
      <c r="AC2369" t="s">
        <v>102</v>
      </c>
      <c r="AD2369" t="s">
        <v>238</v>
      </c>
      <c r="AE2369" t="s">
        <v>36</v>
      </c>
    </row>
    <row r="2370" spans="1:31" x14ac:dyDescent="0.3">
      <c r="A2370">
        <v>10316</v>
      </c>
      <c r="B2370">
        <v>34</v>
      </c>
      <c r="C2370">
        <v>47.57</v>
      </c>
      <c r="D2370">
        <v>3</v>
      </c>
      <c r="E2370" s="4" t="str">
        <f t="shared" si="216"/>
        <v>low sales</v>
      </c>
      <c r="F2370">
        <v>1617.38</v>
      </c>
      <c r="G2370" t="s">
        <v>3042</v>
      </c>
      <c r="H2370" s="1" t="str">
        <f t="shared" si="217"/>
        <v>Shipped</v>
      </c>
      <c r="I2370" s="4" t="str">
        <f t="shared" si="218"/>
        <v>completed</v>
      </c>
      <c r="J2370" t="s">
        <v>25</v>
      </c>
      <c r="K2370">
        <v>4</v>
      </c>
      <c r="L2370">
        <v>11</v>
      </c>
      <c r="M2370">
        <v>2004</v>
      </c>
      <c r="N2370" t="s">
        <v>550</v>
      </c>
      <c r="O2370">
        <v>43</v>
      </c>
      <c r="P2370" t="s">
        <v>657</v>
      </c>
      <c r="Q2370" t="s">
        <v>383</v>
      </c>
      <c r="R2370" t="s">
        <v>384</v>
      </c>
      <c r="S2370" t="s">
        <v>385</v>
      </c>
      <c r="U2370" s="1" t="str">
        <f t="shared" si="219"/>
        <v>Cowes</v>
      </c>
      <c r="V2370" t="s">
        <v>386</v>
      </c>
      <c r="W2370" t="s">
        <v>387</v>
      </c>
      <c r="X2370" t="s">
        <v>388</v>
      </c>
      <c r="Y2370" s="1" t="str">
        <f t="shared" si="220"/>
        <v>UK</v>
      </c>
      <c r="Z2370" s="4" t="str">
        <f t="shared" si="221"/>
        <v>Uk</v>
      </c>
      <c r="AA2370" t="s">
        <v>170</v>
      </c>
      <c r="AB2370" t="s">
        <v>42</v>
      </c>
      <c r="AC2370" t="s">
        <v>389</v>
      </c>
      <c r="AD2370" t="s">
        <v>390</v>
      </c>
      <c r="AE2370" t="s">
        <v>36</v>
      </c>
    </row>
    <row r="2371" spans="1:31" x14ac:dyDescent="0.3">
      <c r="A2371">
        <v>10328</v>
      </c>
      <c r="B2371">
        <v>34</v>
      </c>
      <c r="C2371">
        <v>51.93</v>
      </c>
      <c r="D2371">
        <v>7</v>
      </c>
      <c r="E2371" s="4" t="str">
        <f t="shared" ref="E2371:E2434" si="222">IF(F2371&gt;4000,"high sales","low sales")</f>
        <v>low sales</v>
      </c>
      <c r="F2371">
        <v>1765.62</v>
      </c>
      <c r="G2371" t="s">
        <v>3043</v>
      </c>
      <c r="H2371" s="1" t="str">
        <f t="shared" ref="H2371:H2434" si="223">PROPER(TRIM(J2371))</f>
        <v>Shipped</v>
      </c>
      <c r="I2371" s="4" t="str">
        <f t="shared" ref="I2371:I2434" si="224">IF(J2371="shipped","completed","not completed")</f>
        <v>completed</v>
      </c>
      <c r="J2371" t="s">
        <v>25</v>
      </c>
      <c r="K2371">
        <v>4</v>
      </c>
      <c r="L2371">
        <v>11</v>
      </c>
      <c r="M2371">
        <v>2004</v>
      </c>
      <c r="N2371" t="s">
        <v>550</v>
      </c>
      <c r="O2371">
        <v>43</v>
      </c>
      <c r="P2371" t="s">
        <v>657</v>
      </c>
      <c r="Q2371" t="s">
        <v>552</v>
      </c>
      <c r="R2371" t="s">
        <v>553</v>
      </c>
      <c r="S2371" t="s">
        <v>554</v>
      </c>
      <c r="U2371" s="1" t="str">
        <f t="shared" ref="U2371:U2434" si="225">PROPER(TRIM(V2371))</f>
        <v>Bergamo</v>
      </c>
      <c r="V2371" t="s">
        <v>555</v>
      </c>
      <c r="X2371">
        <v>24100</v>
      </c>
      <c r="Y2371" s="1" t="str">
        <f t="shared" ref="Y2371:Y2434" si="226">UPPER(TRIM(AA2371))</f>
        <v>ITALY</v>
      </c>
      <c r="Z2371" s="4" t="str">
        <f t="shared" ref="Z2371:Z2434" si="227">PROPER(TRIM(AA2371))</f>
        <v>Italy</v>
      </c>
      <c r="AA2371" t="s">
        <v>258</v>
      </c>
      <c r="AB2371" t="s">
        <v>42</v>
      </c>
      <c r="AC2371" t="s">
        <v>556</v>
      </c>
      <c r="AD2371" t="s">
        <v>557</v>
      </c>
      <c r="AE2371" t="s">
        <v>36</v>
      </c>
    </row>
    <row r="2372" spans="1:31" x14ac:dyDescent="0.3">
      <c r="A2372">
        <v>10340</v>
      </c>
      <c r="B2372">
        <v>40</v>
      </c>
      <c r="C2372">
        <v>50.62</v>
      </c>
      <c r="D2372">
        <v>4</v>
      </c>
      <c r="E2372" s="4" t="str">
        <f t="shared" si="222"/>
        <v>low sales</v>
      </c>
      <c r="F2372">
        <v>2024.8</v>
      </c>
      <c r="G2372" t="s">
        <v>3044</v>
      </c>
      <c r="H2372" s="1" t="str">
        <f t="shared" si="223"/>
        <v>Shipped</v>
      </c>
      <c r="I2372" s="4" t="str">
        <f t="shared" si="224"/>
        <v>completed</v>
      </c>
      <c r="J2372" t="s">
        <v>25</v>
      </c>
      <c r="K2372">
        <v>4</v>
      </c>
      <c r="L2372">
        <v>11</v>
      </c>
      <c r="M2372">
        <v>2004</v>
      </c>
      <c r="N2372" t="s">
        <v>550</v>
      </c>
      <c r="O2372">
        <v>43</v>
      </c>
      <c r="P2372" t="s">
        <v>657</v>
      </c>
      <c r="Q2372" t="s">
        <v>352</v>
      </c>
      <c r="R2372" t="s">
        <v>353</v>
      </c>
      <c r="S2372" t="s">
        <v>354</v>
      </c>
      <c r="U2372" s="1" t="str">
        <f t="shared" si="225"/>
        <v>Barcelona</v>
      </c>
      <c r="V2372" t="s">
        <v>355</v>
      </c>
      <c r="X2372">
        <v>8022</v>
      </c>
      <c r="Y2372" s="1" t="str">
        <f t="shared" si="226"/>
        <v>SPAIN</v>
      </c>
      <c r="Z2372" s="4" t="str">
        <f t="shared" si="227"/>
        <v>Spain</v>
      </c>
      <c r="AA2372" t="s">
        <v>178</v>
      </c>
      <c r="AB2372" t="s">
        <v>42</v>
      </c>
      <c r="AC2372" t="s">
        <v>356</v>
      </c>
      <c r="AD2372" t="s">
        <v>357</v>
      </c>
      <c r="AE2372" t="s">
        <v>36</v>
      </c>
    </row>
    <row r="2373" spans="1:31" x14ac:dyDescent="0.3">
      <c r="A2373">
        <v>10353</v>
      </c>
      <c r="B2373">
        <v>40</v>
      </c>
      <c r="C2373">
        <v>82.21</v>
      </c>
      <c r="D2373">
        <v>8</v>
      </c>
      <c r="E2373" s="4" t="str">
        <f t="shared" si="222"/>
        <v>low sales</v>
      </c>
      <c r="F2373">
        <v>3288.4</v>
      </c>
      <c r="G2373" t="s">
        <v>3045</v>
      </c>
      <c r="H2373" s="1" t="str">
        <f t="shared" si="223"/>
        <v>Shipped</v>
      </c>
      <c r="I2373" s="4" t="str">
        <f t="shared" si="224"/>
        <v>completed</v>
      </c>
      <c r="J2373" t="s">
        <v>25</v>
      </c>
      <c r="K2373">
        <v>4</v>
      </c>
      <c r="L2373">
        <v>12</v>
      </c>
      <c r="M2373">
        <v>2004</v>
      </c>
      <c r="N2373" t="s">
        <v>550</v>
      </c>
      <c r="O2373">
        <v>43</v>
      </c>
      <c r="P2373" t="s">
        <v>657</v>
      </c>
      <c r="Q2373" t="s">
        <v>568</v>
      </c>
      <c r="R2373">
        <v>2035554407</v>
      </c>
      <c r="S2373" t="s">
        <v>569</v>
      </c>
      <c r="U2373" s="1" t="str">
        <f t="shared" si="225"/>
        <v>Glendale</v>
      </c>
      <c r="V2373" t="s">
        <v>516</v>
      </c>
      <c r="W2373" t="s">
        <v>112</v>
      </c>
      <c r="X2373">
        <v>97561</v>
      </c>
      <c r="Y2373" s="1" t="str">
        <f t="shared" si="226"/>
        <v>USA</v>
      </c>
      <c r="Z2373" s="4" t="str">
        <f t="shared" si="227"/>
        <v>Usa</v>
      </c>
      <c r="AA2373" t="s">
        <v>32</v>
      </c>
      <c r="AB2373" t="s">
        <v>33</v>
      </c>
      <c r="AC2373" t="s">
        <v>570</v>
      </c>
      <c r="AD2373" t="s">
        <v>571</v>
      </c>
      <c r="AE2373" t="s">
        <v>51</v>
      </c>
    </row>
    <row r="2374" spans="1:31" x14ac:dyDescent="0.3">
      <c r="A2374">
        <v>10361</v>
      </c>
      <c r="B2374">
        <v>33</v>
      </c>
      <c r="C2374">
        <v>82.59</v>
      </c>
      <c r="D2374">
        <v>3</v>
      </c>
      <c r="E2374" s="4" t="str">
        <f t="shared" si="222"/>
        <v>low sales</v>
      </c>
      <c r="F2374">
        <v>2725.47</v>
      </c>
      <c r="G2374" t="s">
        <v>3046</v>
      </c>
      <c r="H2374" s="1" t="str">
        <f t="shared" si="223"/>
        <v>Shipped</v>
      </c>
      <c r="I2374" s="4" t="str">
        <f t="shared" si="224"/>
        <v>completed</v>
      </c>
      <c r="J2374" t="s">
        <v>25</v>
      </c>
      <c r="K2374">
        <v>4</v>
      </c>
      <c r="L2374">
        <v>12</v>
      </c>
      <c r="M2374">
        <v>2004</v>
      </c>
      <c r="N2374" t="s">
        <v>550</v>
      </c>
      <c r="O2374">
        <v>43</v>
      </c>
      <c r="P2374" t="s">
        <v>657</v>
      </c>
      <c r="Q2374" t="s">
        <v>152</v>
      </c>
      <c r="R2374" t="s">
        <v>153</v>
      </c>
      <c r="S2374" t="s">
        <v>154</v>
      </c>
      <c r="T2374" t="s">
        <v>155</v>
      </c>
      <c r="U2374" s="1" t="str">
        <f t="shared" si="225"/>
        <v>Chatswood</v>
      </c>
      <c r="V2374" t="s">
        <v>156</v>
      </c>
      <c r="W2374" t="s">
        <v>157</v>
      </c>
      <c r="X2374">
        <v>2067</v>
      </c>
      <c r="Y2374" s="1" t="str">
        <f t="shared" si="226"/>
        <v>AUSTRALIA</v>
      </c>
      <c r="Z2374" s="4" t="str">
        <f t="shared" si="227"/>
        <v>Australia</v>
      </c>
      <c r="AA2374" t="s">
        <v>95</v>
      </c>
      <c r="AB2374" t="s">
        <v>96</v>
      </c>
      <c r="AC2374" t="s">
        <v>158</v>
      </c>
      <c r="AD2374" t="s">
        <v>159</v>
      </c>
      <c r="AE2374" t="s">
        <v>36</v>
      </c>
    </row>
    <row r="2375" spans="1:31" x14ac:dyDescent="0.3">
      <c r="A2375">
        <v>10375</v>
      </c>
      <c r="B2375">
        <v>49</v>
      </c>
      <c r="C2375">
        <v>65.8</v>
      </c>
      <c r="D2375">
        <v>5</v>
      </c>
      <c r="E2375" s="4" t="str">
        <f t="shared" si="222"/>
        <v>low sales</v>
      </c>
      <c r="F2375">
        <v>3224.2</v>
      </c>
      <c r="G2375" t="s">
        <v>3047</v>
      </c>
      <c r="H2375" s="1" t="str">
        <f t="shared" si="223"/>
        <v>Shipped</v>
      </c>
      <c r="I2375" s="4" t="str">
        <f t="shared" si="224"/>
        <v>completed</v>
      </c>
      <c r="J2375" t="s">
        <v>25</v>
      </c>
      <c r="K2375">
        <v>1</v>
      </c>
      <c r="L2375">
        <v>2</v>
      </c>
      <c r="M2375">
        <v>2005</v>
      </c>
      <c r="N2375" t="s">
        <v>550</v>
      </c>
      <c r="O2375">
        <v>43</v>
      </c>
      <c r="P2375" t="s">
        <v>657</v>
      </c>
      <c r="Q2375" t="s">
        <v>114</v>
      </c>
      <c r="R2375" t="s">
        <v>115</v>
      </c>
      <c r="S2375" t="s">
        <v>116</v>
      </c>
      <c r="U2375" s="1" t="str">
        <f t="shared" si="225"/>
        <v>Nantes</v>
      </c>
      <c r="V2375" t="s">
        <v>117</v>
      </c>
      <c r="X2375">
        <v>44000</v>
      </c>
      <c r="Y2375" s="1" t="str">
        <f t="shared" si="226"/>
        <v>FRANCE</v>
      </c>
      <c r="Z2375" s="4" t="str">
        <f t="shared" si="227"/>
        <v>France</v>
      </c>
      <c r="AA2375" t="s">
        <v>41</v>
      </c>
      <c r="AB2375" t="s">
        <v>42</v>
      </c>
      <c r="AC2375" t="s">
        <v>118</v>
      </c>
      <c r="AD2375" t="s">
        <v>119</v>
      </c>
      <c r="AE2375" t="s">
        <v>51</v>
      </c>
    </row>
    <row r="2376" spans="1:31" x14ac:dyDescent="0.3">
      <c r="A2376">
        <v>10388</v>
      </c>
      <c r="B2376">
        <v>27</v>
      </c>
      <c r="C2376">
        <v>100</v>
      </c>
      <c r="D2376">
        <v>1</v>
      </c>
      <c r="E2376" s="4" t="str">
        <f t="shared" si="222"/>
        <v>low sales</v>
      </c>
      <c r="F2376">
        <v>3211.38</v>
      </c>
      <c r="G2376" t="s">
        <v>3048</v>
      </c>
      <c r="H2376" s="1" t="str">
        <f t="shared" si="223"/>
        <v>Shipped</v>
      </c>
      <c r="I2376" s="4" t="str">
        <f t="shared" si="224"/>
        <v>completed</v>
      </c>
      <c r="J2376" t="s">
        <v>25</v>
      </c>
      <c r="K2376">
        <v>1</v>
      </c>
      <c r="L2376">
        <v>3</v>
      </c>
      <c r="M2376">
        <v>2005</v>
      </c>
      <c r="N2376" t="s">
        <v>550</v>
      </c>
      <c r="O2376">
        <v>43</v>
      </c>
      <c r="P2376" t="s">
        <v>657</v>
      </c>
      <c r="Q2376" t="s">
        <v>160</v>
      </c>
      <c r="R2376">
        <v>5085552555</v>
      </c>
      <c r="S2376" t="s">
        <v>161</v>
      </c>
      <c r="U2376" s="1" t="str">
        <f t="shared" si="225"/>
        <v>New Bedford</v>
      </c>
      <c r="V2376" t="s">
        <v>162</v>
      </c>
      <c r="W2376" t="s">
        <v>123</v>
      </c>
      <c r="X2376">
        <v>50553</v>
      </c>
      <c r="Y2376" s="1" t="str">
        <f t="shared" si="226"/>
        <v>USA</v>
      </c>
      <c r="Z2376" s="4" t="str">
        <f t="shared" si="227"/>
        <v>Usa</v>
      </c>
      <c r="AA2376" t="s">
        <v>32</v>
      </c>
      <c r="AB2376" t="s">
        <v>33</v>
      </c>
      <c r="AC2376" t="s">
        <v>163</v>
      </c>
      <c r="AD2376" t="s">
        <v>164</v>
      </c>
      <c r="AE2376" t="s">
        <v>51</v>
      </c>
    </row>
    <row r="2377" spans="1:31" x14ac:dyDescent="0.3">
      <c r="A2377">
        <v>10398</v>
      </c>
      <c r="B2377">
        <v>49</v>
      </c>
      <c r="C2377">
        <v>36.659999999999997</v>
      </c>
      <c r="D2377">
        <v>5</v>
      </c>
      <c r="E2377" s="4" t="str">
        <f t="shared" si="222"/>
        <v>low sales</v>
      </c>
      <c r="F2377">
        <v>1796.34</v>
      </c>
      <c r="G2377" t="s">
        <v>3049</v>
      </c>
      <c r="H2377" s="1" t="str">
        <f t="shared" si="223"/>
        <v>Shipped</v>
      </c>
      <c r="I2377" s="4" t="str">
        <f t="shared" si="224"/>
        <v>completed</v>
      </c>
      <c r="J2377" t="s">
        <v>25</v>
      </c>
      <c r="K2377">
        <v>1</v>
      </c>
      <c r="L2377">
        <v>3</v>
      </c>
      <c r="M2377">
        <v>2005</v>
      </c>
      <c r="N2377" t="s">
        <v>550</v>
      </c>
      <c r="O2377">
        <v>43</v>
      </c>
      <c r="P2377" t="s">
        <v>657</v>
      </c>
      <c r="Q2377" t="s">
        <v>37</v>
      </c>
      <c r="R2377" t="s">
        <v>38</v>
      </c>
      <c r="S2377" t="s">
        <v>39</v>
      </c>
      <c r="U2377" s="1" t="str">
        <f t="shared" si="225"/>
        <v>Reims</v>
      </c>
      <c r="V2377" t="s">
        <v>40</v>
      </c>
      <c r="X2377">
        <v>51100</v>
      </c>
      <c r="Y2377" s="1" t="str">
        <f t="shared" si="226"/>
        <v>FRANCE</v>
      </c>
      <c r="Z2377" s="4" t="str">
        <f t="shared" si="227"/>
        <v>France</v>
      </c>
      <c r="AA2377" t="s">
        <v>41</v>
      </c>
      <c r="AB2377" t="s">
        <v>42</v>
      </c>
      <c r="AC2377" t="s">
        <v>43</v>
      </c>
      <c r="AD2377" t="s">
        <v>44</v>
      </c>
      <c r="AE2377" t="s">
        <v>36</v>
      </c>
    </row>
    <row r="2378" spans="1:31" x14ac:dyDescent="0.3">
      <c r="A2378">
        <v>10401</v>
      </c>
      <c r="B2378">
        <v>56</v>
      </c>
      <c r="C2378">
        <v>35.35</v>
      </c>
      <c r="D2378">
        <v>7</v>
      </c>
      <c r="E2378" s="4" t="str">
        <f t="shared" si="222"/>
        <v>low sales</v>
      </c>
      <c r="F2378">
        <v>1979.6</v>
      </c>
      <c r="G2378" t="s">
        <v>3050</v>
      </c>
      <c r="H2378" s="1" t="str">
        <f t="shared" si="223"/>
        <v>On Hold</v>
      </c>
      <c r="I2378" s="4" t="str">
        <f t="shared" si="224"/>
        <v>not completed</v>
      </c>
      <c r="J2378" t="s">
        <v>401</v>
      </c>
      <c r="K2378">
        <v>2</v>
      </c>
      <c r="L2378">
        <v>4</v>
      </c>
      <c r="M2378">
        <v>2005</v>
      </c>
      <c r="N2378" t="s">
        <v>550</v>
      </c>
      <c r="O2378">
        <v>43</v>
      </c>
      <c r="P2378" t="s">
        <v>657</v>
      </c>
      <c r="Q2378" t="s">
        <v>104</v>
      </c>
      <c r="R2378">
        <v>2015559350</v>
      </c>
      <c r="S2378" t="s">
        <v>105</v>
      </c>
      <c r="U2378" s="1" t="str">
        <f t="shared" si="225"/>
        <v>Newark</v>
      </c>
      <c r="V2378" t="s">
        <v>106</v>
      </c>
      <c r="W2378" t="s">
        <v>107</v>
      </c>
      <c r="X2378">
        <v>94019</v>
      </c>
      <c r="Y2378" s="1" t="str">
        <f t="shared" si="226"/>
        <v>USA</v>
      </c>
      <c r="Z2378" s="4" t="str">
        <f t="shared" si="227"/>
        <v>Usa</v>
      </c>
      <c r="AA2378" t="s">
        <v>32</v>
      </c>
      <c r="AB2378" t="s">
        <v>33</v>
      </c>
      <c r="AC2378" t="s">
        <v>61</v>
      </c>
      <c r="AD2378" t="s">
        <v>108</v>
      </c>
      <c r="AE2378" t="s">
        <v>36</v>
      </c>
    </row>
    <row r="2379" spans="1:31" x14ac:dyDescent="0.3">
      <c r="A2379">
        <v>10416</v>
      </c>
      <c r="B2379">
        <v>37</v>
      </c>
      <c r="C2379">
        <v>51.93</v>
      </c>
      <c r="D2379">
        <v>8</v>
      </c>
      <c r="E2379" s="4" t="str">
        <f t="shared" si="222"/>
        <v>low sales</v>
      </c>
      <c r="F2379">
        <v>1921.41</v>
      </c>
      <c r="G2379" t="s">
        <v>3051</v>
      </c>
      <c r="H2379" s="1" t="str">
        <f t="shared" si="223"/>
        <v>Shipped</v>
      </c>
      <c r="I2379" s="4" t="str">
        <f t="shared" si="224"/>
        <v>completed</v>
      </c>
      <c r="J2379" t="s">
        <v>25</v>
      </c>
      <c r="K2379">
        <v>2</v>
      </c>
      <c r="L2379">
        <v>5</v>
      </c>
      <c r="M2379">
        <v>2005</v>
      </c>
      <c r="N2379" t="s">
        <v>550</v>
      </c>
      <c r="O2379">
        <v>43</v>
      </c>
      <c r="P2379" t="s">
        <v>657</v>
      </c>
      <c r="Q2379" t="s">
        <v>452</v>
      </c>
      <c r="R2379" t="s">
        <v>453</v>
      </c>
      <c r="S2379" t="s">
        <v>454</v>
      </c>
      <c r="U2379" s="1" t="str">
        <f t="shared" si="225"/>
        <v>Reggio Emilia</v>
      </c>
      <c r="V2379" t="s">
        <v>455</v>
      </c>
      <c r="X2379">
        <v>42100</v>
      </c>
      <c r="Y2379" s="1" t="str">
        <f t="shared" si="226"/>
        <v>ITALY</v>
      </c>
      <c r="Z2379" s="4" t="str">
        <f t="shared" si="227"/>
        <v>Italy</v>
      </c>
      <c r="AA2379" t="s">
        <v>258</v>
      </c>
      <c r="AB2379" t="s">
        <v>42</v>
      </c>
      <c r="AC2379" t="s">
        <v>456</v>
      </c>
      <c r="AD2379" t="s">
        <v>457</v>
      </c>
      <c r="AE2379" t="s">
        <v>36</v>
      </c>
    </row>
    <row r="2380" spans="1:31" x14ac:dyDescent="0.3">
      <c r="A2380">
        <v>10104</v>
      </c>
      <c r="B2380">
        <v>33</v>
      </c>
      <c r="C2380">
        <v>100</v>
      </c>
      <c r="D2380">
        <v>7</v>
      </c>
      <c r="E2380" s="4" t="str">
        <f t="shared" si="222"/>
        <v>low sales</v>
      </c>
      <c r="F2380">
        <v>3705.24</v>
      </c>
      <c r="G2380" t="s">
        <v>3052</v>
      </c>
      <c r="H2380" s="1" t="str">
        <f t="shared" si="223"/>
        <v>Shipped</v>
      </c>
      <c r="I2380" s="4" t="str">
        <f t="shared" si="224"/>
        <v>completed</v>
      </c>
      <c r="J2380" t="s">
        <v>25</v>
      </c>
      <c r="K2380">
        <v>1</v>
      </c>
      <c r="L2380">
        <v>1</v>
      </c>
      <c r="M2380">
        <v>2003</v>
      </c>
      <c r="N2380" t="s">
        <v>504</v>
      </c>
      <c r="O2380">
        <v>115</v>
      </c>
      <c r="P2380" t="s">
        <v>658</v>
      </c>
      <c r="Q2380" t="s">
        <v>174</v>
      </c>
      <c r="R2380" t="s">
        <v>175</v>
      </c>
      <c r="S2380" t="s">
        <v>176</v>
      </c>
      <c r="U2380" s="1" t="str">
        <f t="shared" si="225"/>
        <v>Madrid</v>
      </c>
      <c r="V2380" t="s">
        <v>177</v>
      </c>
      <c r="X2380">
        <v>28034</v>
      </c>
      <c r="Y2380" s="1" t="str">
        <f t="shared" si="226"/>
        <v>SPAIN</v>
      </c>
      <c r="Z2380" s="4" t="str">
        <f t="shared" si="227"/>
        <v>Spain</v>
      </c>
      <c r="AA2380" t="s">
        <v>178</v>
      </c>
      <c r="AB2380" t="s">
        <v>42</v>
      </c>
      <c r="AC2380" t="s">
        <v>179</v>
      </c>
      <c r="AD2380" t="s">
        <v>180</v>
      </c>
      <c r="AE2380" t="s">
        <v>51</v>
      </c>
    </row>
    <row r="2381" spans="1:31" x14ac:dyDescent="0.3">
      <c r="A2381">
        <v>10115</v>
      </c>
      <c r="B2381">
        <v>27</v>
      </c>
      <c r="C2381">
        <v>100</v>
      </c>
      <c r="D2381">
        <v>3</v>
      </c>
      <c r="E2381" s="4" t="str">
        <f t="shared" si="222"/>
        <v>low sales</v>
      </c>
      <c r="F2381">
        <v>2843.91</v>
      </c>
      <c r="G2381" t="s">
        <v>3053</v>
      </c>
      <c r="H2381" s="1" t="str">
        <f t="shared" si="223"/>
        <v>Shipped</v>
      </c>
      <c r="I2381" s="4" t="str">
        <f t="shared" si="224"/>
        <v>completed</v>
      </c>
      <c r="J2381" t="s">
        <v>25</v>
      </c>
      <c r="K2381">
        <v>2</v>
      </c>
      <c r="L2381">
        <v>4</v>
      </c>
      <c r="M2381">
        <v>2003</v>
      </c>
      <c r="N2381" t="s">
        <v>504</v>
      </c>
      <c r="O2381">
        <v>115</v>
      </c>
      <c r="P2381" t="s">
        <v>658</v>
      </c>
      <c r="Q2381" t="s">
        <v>203</v>
      </c>
      <c r="R2381">
        <v>2125558493</v>
      </c>
      <c r="S2381" t="s">
        <v>204</v>
      </c>
      <c r="T2381" t="s">
        <v>205</v>
      </c>
      <c r="U2381" s="1" t="str">
        <f t="shared" si="225"/>
        <v>Nyc</v>
      </c>
      <c r="V2381" t="s">
        <v>30</v>
      </c>
      <c r="W2381" t="s">
        <v>31</v>
      </c>
      <c r="X2381">
        <v>10022</v>
      </c>
      <c r="Y2381" s="1" t="str">
        <f t="shared" si="226"/>
        <v>USA</v>
      </c>
      <c r="Z2381" s="4" t="str">
        <f t="shared" si="227"/>
        <v>Usa</v>
      </c>
      <c r="AA2381" t="s">
        <v>32</v>
      </c>
      <c r="AB2381" t="s">
        <v>33</v>
      </c>
      <c r="AC2381" t="s">
        <v>124</v>
      </c>
      <c r="AD2381" t="s">
        <v>206</v>
      </c>
      <c r="AE2381" t="s">
        <v>36</v>
      </c>
    </row>
    <row r="2382" spans="1:31" x14ac:dyDescent="0.3">
      <c r="A2382">
        <v>10127</v>
      </c>
      <c r="B2382">
        <v>46</v>
      </c>
      <c r="C2382">
        <v>100</v>
      </c>
      <c r="D2382">
        <v>9</v>
      </c>
      <c r="E2382" s="4" t="str">
        <f t="shared" si="222"/>
        <v>high sales</v>
      </c>
      <c r="F2382">
        <v>6176.42</v>
      </c>
      <c r="G2382" t="s">
        <v>3054</v>
      </c>
      <c r="H2382" s="1" t="str">
        <f t="shared" si="223"/>
        <v>Shipped</v>
      </c>
      <c r="I2382" s="4" t="str">
        <f t="shared" si="224"/>
        <v>completed</v>
      </c>
      <c r="J2382" t="s">
        <v>25</v>
      </c>
      <c r="K2382">
        <v>2</v>
      </c>
      <c r="L2382">
        <v>6</v>
      </c>
      <c r="M2382">
        <v>2003</v>
      </c>
      <c r="N2382" t="s">
        <v>504</v>
      </c>
      <c r="O2382">
        <v>115</v>
      </c>
      <c r="P2382" t="s">
        <v>658</v>
      </c>
      <c r="Q2382" t="s">
        <v>475</v>
      </c>
      <c r="R2382">
        <v>2125557413</v>
      </c>
      <c r="S2382" t="s">
        <v>476</v>
      </c>
      <c r="T2382" t="s">
        <v>477</v>
      </c>
      <c r="U2382" s="1" t="str">
        <f t="shared" si="225"/>
        <v>Nyc</v>
      </c>
      <c r="V2382" t="s">
        <v>30</v>
      </c>
      <c r="W2382" t="s">
        <v>31</v>
      </c>
      <c r="X2382">
        <v>10022</v>
      </c>
      <c r="Y2382" s="1" t="str">
        <f t="shared" si="226"/>
        <v>USA</v>
      </c>
      <c r="Z2382" s="4" t="str">
        <f t="shared" si="227"/>
        <v>Usa</v>
      </c>
      <c r="AA2382" t="s">
        <v>32</v>
      </c>
      <c r="AB2382" t="s">
        <v>33</v>
      </c>
      <c r="AC2382" t="s">
        <v>56</v>
      </c>
      <c r="AD2382" t="s">
        <v>478</v>
      </c>
      <c r="AE2382" t="s">
        <v>51</v>
      </c>
    </row>
    <row r="2383" spans="1:31" x14ac:dyDescent="0.3">
      <c r="A2383">
        <v>10141</v>
      </c>
      <c r="B2383">
        <v>44</v>
      </c>
      <c r="C2383">
        <v>100</v>
      </c>
      <c r="D2383">
        <v>3</v>
      </c>
      <c r="E2383" s="4" t="str">
        <f t="shared" si="222"/>
        <v>high sales</v>
      </c>
      <c r="F2383">
        <v>5500.44</v>
      </c>
      <c r="G2383" t="s">
        <v>3055</v>
      </c>
      <c r="H2383" s="1" t="str">
        <f t="shared" si="223"/>
        <v>Shipped</v>
      </c>
      <c r="I2383" s="4" t="str">
        <f t="shared" si="224"/>
        <v>completed</v>
      </c>
      <c r="J2383" t="s">
        <v>25</v>
      </c>
      <c r="K2383">
        <v>3</v>
      </c>
      <c r="L2383">
        <v>8</v>
      </c>
      <c r="M2383">
        <v>2003</v>
      </c>
      <c r="N2383" t="s">
        <v>504</v>
      </c>
      <c r="O2383">
        <v>115</v>
      </c>
      <c r="P2383" t="s">
        <v>658</v>
      </c>
      <c r="Q2383" t="s">
        <v>467</v>
      </c>
      <c r="R2383" t="s">
        <v>468</v>
      </c>
      <c r="S2383" t="s">
        <v>469</v>
      </c>
      <c r="U2383" s="1" t="str">
        <f t="shared" si="225"/>
        <v>Espoo</v>
      </c>
      <c r="V2383" t="s">
        <v>470</v>
      </c>
      <c r="X2383" t="s">
        <v>471</v>
      </c>
      <c r="Y2383" s="1" t="str">
        <f t="shared" si="226"/>
        <v>FINLAND</v>
      </c>
      <c r="Z2383" s="4" t="str">
        <f t="shared" si="227"/>
        <v>Finland</v>
      </c>
      <c r="AA2383" t="s">
        <v>130</v>
      </c>
      <c r="AB2383" t="s">
        <v>42</v>
      </c>
      <c r="AC2383" t="s">
        <v>472</v>
      </c>
      <c r="AD2383" t="s">
        <v>473</v>
      </c>
      <c r="AE2383" t="s">
        <v>51</v>
      </c>
    </row>
    <row r="2384" spans="1:31" x14ac:dyDescent="0.3">
      <c r="A2384">
        <v>10151</v>
      </c>
      <c r="B2384">
        <v>26</v>
      </c>
      <c r="C2384">
        <v>100</v>
      </c>
      <c r="D2384">
        <v>1</v>
      </c>
      <c r="E2384" s="4" t="str">
        <f t="shared" si="222"/>
        <v>low sales</v>
      </c>
      <c r="F2384">
        <v>3220.1</v>
      </c>
      <c r="G2384" t="s">
        <v>3056</v>
      </c>
      <c r="H2384" s="1" t="str">
        <f t="shared" si="223"/>
        <v>Shipped</v>
      </c>
      <c r="I2384" s="4" t="str">
        <f t="shared" si="224"/>
        <v>completed</v>
      </c>
      <c r="J2384" t="s">
        <v>25</v>
      </c>
      <c r="K2384">
        <v>3</v>
      </c>
      <c r="L2384">
        <v>9</v>
      </c>
      <c r="M2384">
        <v>2003</v>
      </c>
      <c r="N2384" t="s">
        <v>504</v>
      </c>
      <c r="O2384">
        <v>115</v>
      </c>
      <c r="P2384" t="s">
        <v>658</v>
      </c>
      <c r="Q2384" t="s">
        <v>391</v>
      </c>
      <c r="R2384" t="s">
        <v>392</v>
      </c>
      <c r="S2384" t="s">
        <v>393</v>
      </c>
      <c r="U2384" s="1" t="str">
        <f t="shared" si="225"/>
        <v>Oulu</v>
      </c>
      <c r="V2384" t="s">
        <v>394</v>
      </c>
      <c r="X2384">
        <v>90110</v>
      </c>
      <c r="Y2384" s="1" t="str">
        <f t="shared" si="226"/>
        <v>FINLAND</v>
      </c>
      <c r="Z2384" s="4" t="str">
        <f t="shared" si="227"/>
        <v>Finland</v>
      </c>
      <c r="AA2384" t="s">
        <v>130</v>
      </c>
      <c r="AB2384" t="s">
        <v>42</v>
      </c>
      <c r="AC2384" t="s">
        <v>395</v>
      </c>
      <c r="AD2384" t="s">
        <v>396</v>
      </c>
      <c r="AE2384" t="s">
        <v>51</v>
      </c>
    </row>
    <row r="2385" spans="1:31" x14ac:dyDescent="0.3">
      <c r="A2385">
        <v>10165</v>
      </c>
      <c r="B2385">
        <v>48</v>
      </c>
      <c r="C2385">
        <v>94.92</v>
      </c>
      <c r="D2385">
        <v>10</v>
      </c>
      <c r="E2385" s="4" t="str">
        <f t="shared" si="222"/>
        <v>high sales</v>
      </c>
      <c r="F2385">
        <v>4556.16</v>
      </c>
      <c r="G2385" t="s">
        <v>3057</v>
      </c>
      <c r="H2385" s="1" t="str">
        <f t="shared" si="223"/>
        <v>Shipped</v>
      </c>
      <c r="I2385" s="4" t="str">
        <f t="shared" si="224"/>
        <v>completed</v>
      </c>
      <c r="J2385" t="s">
        <v>25</v>
      </c>
      <c r="K2385">
        <v>4</v>
      </c>
      <c r="L2385">
        <v>10</v>
      </c>
      <c r="M2385">
        <v>2003</v>
      </c>
      <c r="N2385" t="s">
        <v>504</v>
      </c>
      <c r="O2385">
        <v>115</v>
      </c>
      <c r="P2385" t="s">
        <v>658</v>
      </c>
      <c r="Q2385" t="s">
        <v>196</v>
      </c>
      <c r="R2385" t="s">
        <v>197</v>
      </c>
      <c r="S2385" t="s">
        <v>198</v>
      </c>
      <c r="U2385" s="1" t="str">
        <f t="shared" si="225"/>
        <v>Singapore</v>
      </c>
      <c r="V2385" t="s">
        <v>199</v>
      </c>
      <c r="X2385">
        <v>79903</v>
      </c>
      <c r="Y2385" s="1" t="str">
        <f t="shared" si="226"/>
        <v>SINGAPORE</v>
      </c>
      <c r="Z2385" s="4" t="str">
        <f t="shared" si="227"/>
        <v>Singapore</v>
      </c>
      <c r="AA2385" t="s">
        <v>199</v>
      </c>
      <c r="AB2385" t="s">
        <v>200</v>
      </c>
      <c r="AC2385" t="s">
        <v>201</v>
      </c>
      <c r="AD2385" t="s">
        <v>202</v>
      </c>
      <c r="AE2385" t="s">
        <v>51</v>
      </c>
    </row>
    <row r="2386" spans="1:31" x14ac:dyDescent="0.3">
      <c r="A2386">
        <v>10176</v>
      </c>
      <c r="B2386">
        <v>23</v>
      </c>
      <c r="C2386">
        <v>100</v>
      </c>
      <c r="D2386">
        <v>9</v>
      </c>
      <c r="E2386" s="4" t="str">
        <f t="shared" si="222"/>
        <v>low sales</v>
      </c>
      <c r="F2386">
        <v>3114.89</v>
      </c>
      <c r="G2386" t="s">
        <v>3058</v>
      </c>
      <c r="H2386" s="1" t="str">
        <f t="shared" si="223"/>
        <v>Shipped</v>
      </c>
      <c r="I2386" s="4" t="str">
        <f t="shared" si="224"/>
        <v>completed</v>
      </c>
      <c r="J2386" t="s">
        <v>25</v>
      </c>
      <c r="K2386">
        <v>4</v>
      </c>
      <c r="L2386">
        <v>11</v>
      </c>
      <c r="M2386">
        <v>2003</v>
      </c>
      <c r="N2386" t="s">
        <v>504</v>
      </c>
      <c r="O2386">
        <v>115</v>
      </c>
      <c r="P2386" t="s">
        <v>658</v>
      </c>
      <c r="Q2386" t="s">
        <v>452</v>
      </c>
      <c r="R2386" t="s">
        <v>453</v>
      </c>
      <c r="S2386" t="s">
        <v>454</v>
      </c>
      <c r="U2386" s="1" t="str">
        <f t="shared" si="225"/>
        <v>Reggio Emilia</v>
      </c>
      <c r="V2386" t="s">
        <v>455</v>
      </c>
      <c r="X2386">
        <v>42100</v>
      </c>
      <c r="Y2386" s="1" t="str">
        <f t="shared" si="226"/>
        <v>ITALY</v>
      </c>
      <c r="Z2386" s="4" t="str">
        <f t="shared" si="227"/>
        <v>Italy</v>
      </c>
      <c r="AA2386" t="s">
        <v>258</v>
      </c>
      <c r="AB2386" t="s">
        <v>42</v>
      </c>
      <c r="AC2386" t="s">
        <v>456</v>
      </c>
      <c r="AD2386" t="s">
        <v>457</v>
      </c>
      <c r="AE2386" t="s">
        <v>51</v>
      </c>
    </row>
    <row r="2387" spans="1:31" x14ac:dyDescent="0.3">
      <c r="A2387">
        <v>10184</v>
      </c>
      <c r="B2387">
        <v>45</v>
      </c>
      <c r="C2387">
        <v>100</v>
      </c>
      <c r="D2387">
        <v>4</v>
      </c>
      <c r="E2387" s="4" t="str">
        <f t="shared" si="222"/>
        <v>high sales</v>
      </c>
      <c r="F2387">
        <v>4948.2</v>
      </c>
      <c r="G2387" t="s">
        <v>3059</v>
      </c>
      <c r="H2387" s="1" t="str">
        <f t="shared" si="223"/>
        <v>Shipped</v>
      </c>
      <c r="I2387" s="4" t="str">
        <f t="shared" si="224"/>
        <v>completed</v>
      </c>
      <c r="J2387" t="s">
        <v>25</v>
      </c>
      <c r="K2387">
        <v>4</v>
      </c>
      <c r="L2387">
        <v>11</v>
      </c>
      <c r="M2387">
        <v>2003</v>
      </c>
      <c r="N2387" t="s">
        <v>504</v>
      </c>
      <c r="O2387">
        <v>115</v>
      </c>
      <c r="P2387" t="s">
        <v>658</v>
      </c>
      <c r="Q2387" t="s">
        <v>520</v>
      </c>
      <c r="R2387" t="s">
        <v>521</v>
      </c>
      <c r="S2387" t="s">
        <v>522</v>
      </c>
      <c r="U2387" s="1" t="str">
        <f t="shared" si="225"/>
        <v>Sevilla</v>
      </c>
      <c r="V2387" t="s">
        <v>523</v>
      </c>
      <c r="X2387">
        <v>41101</v>
      </c>
      <c r="Y2387" s="1" t="str">
        <f t="shared" si="226"/>
        <v>SPAIN</v>
      </c>
      <c r="Z2387" s="4" t="str">
        <f t="shared" si="227"/>
        <v>Spain</v>
      </c>
      <c r="AA2387" t="s">
        <v>178</v>
      </c>
      <c r="AB2387" t="s">
        <v>42</v>
      </c>
      <c r="AC2387" t="s">
        <v>524</v>
      </c>
      <c r="AD2387" t="s">
        <v>525</v>
      </c>
      <c r="AE2387" t="s">
        <v>51</v>
      </c>
    </row>
    <row r="2388" spans="1:31" x14ac:dyDescent="0.3">
      <c r="A2388">
        <v>10195</v>
      </c>
      <c r="B2388">
        <v>49</v>
      </c>
      <c r="C2388">
        <v>100</v>
      </c>
      <c r="D2388">
        <v>4</v>
      </c>
      <c r="E2388" s="4" t="str">
        <f t="shared" si="222"/>
        <v>high sales</v>
      </c>
      <c r="F2388">
        <v>5161.17</v>
      </c>
      <c r="G2388" t="s">
        <v>3060</v>
      </c>
      <c r="H2388" s="1" t="str">
        <f t="shared" si="223"/>
        <v>Shipped</v>
      </c>
      <c r="I2388" s="4" t="str">
        <f t="shared" si="224"/>
        <v>completed</v>
      </c>
      <c r="J2388" t="s">
        <v>25</v>
      </c>
      <c r="K2388">
        <v>4</v>
      </c>
      <c r="L2388">
        <v>11</v>
      </c>
      <c r="M2388">
        <v>2003</v>
      </c>
      <c r="N2388" t="s">
        <v>504</v>
      </c>
      <c r="O2388">
        <v>115</v>
      </c>
      <c r="P2388" t="s">
        <v>658</v>
      </c>
      <c r="Q2388" t="s">
        <v>317</v>
      </c>
      <c r="R2388">
        <v>9145554562</v>
      </c>
      <c r="S2388" t="s">
        <v>318</v>
      </c>
      <c r="U2388" s="1" t="str">
        <f t="shared" si="225"/>
        <v>White Plains</v>
      </c>
      <c r="V2388" t="s">
        <v>319</v>
      </c>
      <c r="W2388" t="s">
        <v>31</v>
      </c>
      <c r="X2388">
        <v>24067</v>
      </c>
      <c r="Y2388" s="1" t="str">
        <f t="shared" si="226"/>
        <v>USA</v>
      </c>
      <c r="Z2388" s="4" t="str">
        <f t="shared" si="227"/>
        <v>Usa</v>
      </c>
      <c r="AA2388" t="s">
        <v>32</v>
      </c>
      <c r="AB2388" t="s">
        <v>33</v>
      </c>
      <c r="AC2388" t="s">
        <v>102</v>
      </c>
      <c r="AD2388" t="s">
        <v>238</v>
      </c>
      <c r="AE2388" t="s">
        <v>51</v>
      </c>
    </row>
    <row r="2389" spans="1:31" x14ac:dyDescent="0.3">
      <c r="A2389">
        <v>10207</v>
      </c>
      <c r="B2389">
        <v>28</v>
      </c>
      <c r="C2389">
        <v>94.92</v>
      </c>
      <c r="D2389">
        <v>5</v>
      </c>
      <c r="E2389" s="4" t="str">
        <f t="shared" si="222"/>
        <v>low sales</v>
      </c>
      <c r="F2389">
        <v>2657.76</v>
      </c>
      <c r="G2389" t="s">
        <v>3061</v>
      </c>
      <c r="H2389" s="1" t="str">
        <f t="shared" si="223"/>
        <v>Shipped</v>
      </c>
      <c r="I2389" s="4" t="str">
        <f t="shared" si="224"/>
        <v>completed</v>
      </c>
      <c r="J2389" t="s">
        <v>25</v>
      </c>
      <c r="K2389">
        <v>4</v>
      </c>
      <c r="L2389">
        <v>12</v>
      </c>
      <c r="M2389">
        <v>2003</v>
      </c>
      <c r="N2389" t="s">
        <v>504</v>
      </c>
      <c r="O2389">
        <v>115</v>
      </c>
      <c r="P2389" t="s">
        <v>658</v>
      </c>
      <c r="Q2389" t="s">
        <v>415</v>
      </c>
      <c r="R2389">
        <v>6175552555</v>
      </c>
      <c r="S2389" t="s">
        <v>416</v>
      </c>
      <c r="U2389" s="1" t="str">
        <f t="shared" si="225"/>
        <v>Boston</v>
      </c>
      <c r="V2389" t="s">
        <v>381</v>
      </c>
      <c r="W2389" t="s">
        <v>123</v>
      </c>
      <c r="X2389">
        <v>51003</v>
      </c>
      <c r="Y2389" s="1" t="str">
        <f t="shared" si="226"/>
        <v>USA</v>
      </c>
      <c r="Z2389" s="4" t="str">
        <f t="shared" si="227"/>
        <v>Usa</v>
      </c>
      <c r="AA2389" t="s">
        <v>32</v>
      </c>
      <c r="AB2389" t="s">
        <v>33</v>
      </c>
      <c r="AC2389" t="s">
        <v>417</v>
      </c>
      <c r="AD2389" t="s">
        <v>276</v>
      </c>
      <c r="AE2389" t="s">
        <v>36</v>
      </c>
    </row>
    <row r="2390" spans="1:31" x14ac:dyDescent="0.3">
      <c r="A2390">
        <v>10220</v>
      </c>
      <c r="B2390">
        <v>37</v>
      </c>
      <c r="C2390">
        <v>100</v>
      </c>
      <c r="D2390">
        <v>9</v>
      </c>
      <c r="E2390" s="4" t="str">
        <f t="shared" si="222"/>
        <v>low sales</v>
      </c>
      <c r="F2390">
        <v>3983.05</v>
      </c>
      <c r="G2390" t="s">
        <v>3062</v>
      </c>
      <c r="H2390" s="1" t="str">
        <f t="shared" si="223"/>
        <v>Shipped</v>
      </c>
      <c r="I2390" s="4" t="str">
        <f t="shared" si="224"/>
        <v>completed</v>
      </c>
      <c r="J2390" t="s">
        <v>25</v>
      </c>
      <c r="K2390">
        <v>1</v>
      </c>
      <c r="L2390">
        <v>2</v>
      </c>
      <c r="M2390">
        <v>2004</v>
      </c>
      <c r="N2390" t="s">
        <v>504</v>
      </c>
      <c r="O2390">
        <v>115</v>
      </c>
      <c r="P2390" t="s">
        <v>658</v>
      </c>
      <c r="Q2390" t="s">
        <v>479</v>
      </c>
      <c r="R2390" t="s">
        <v>480</v>
      </c>
      <c r="S2390" t="s">
        <v>481</v>
      </c>
      <c r="T2390" t="s">
        <v>482</v>
      </c>
      <c r="U2390" s="1" t="str">
        <f t="shared" si="225"/>
        <v>Dublin</v>
      </c>
      <c r="V2390" t="s">
        <v>483</v>
      </c>
      <c r="X2390">
        <v>2</v>
      </c>
      <c r="Y2390" s="1" t="str">
        <f t="shared" si="226"/>
        <v>IRELAND</v>
      </c>
      <c r="Z2390" s="4" t="str">
        <f t="shared" si="227"/>
        <v>Ireland</v>
      </c>
      <c r="AA2390" t="s">
        <v>484</v>
      </c>
      <c r="AB2390" t="s">
        <v>42</v>
      </c>
      <c r="AC2390" t="s">
        <v>485</v>
      </c>
      <c r="AD2390" t="s">
        <v>486</v>
      </c>
      <c r="AE2390" t="s">
        <v>51</v>
      </c>
    </row>
    <row r="2391" spans="1:31" x14ac:dyDescent="0.3">
      <c r="A2391">
        <v>10230</v>
      </c>
      <c r="B2391">
        <v>34</v>
      </c>
      <c r="C2391">
        <v>100</v>
      </c>
      <c r="D2391">
        <v>7</v>
      </c>
      <c r="E2391" s="4" t="str">
        <f t="shared" si="222"/>
        <v>low sales</v>
      </c>
      <c r="F2391">
        <v>3974.94</v>
      </c>
      <c r="G2391" t="s">
        <v>3063</v>
      </c>
      <c r="H2391" s="1" t="str">
        <f t="shared" si="223"/>
        <v>Shipped</v>
      </c>
      <c r="I2391" s="4" t="str">
        <f t="shared" si="224"/>
        <v>completed</v>
      </c>
      <c r="J2391" t="s">
        <v>25</v>
      </c>
      <c r="K2391">
        <v>1</v>
      </c>
      <c r="L2391">
        <v>3</v>
      </c>
      <c r="M2391">
        <v>2004</v>
      </c>
      <c r="N2391" t="s">
        <v>504</v>
      </c>
      <c r="O2391">
        <v>115</v>
      </c>
      <c r="P2391" t="s">
        <v>658</v>
      </c>
      <c r="Q2391" t="s">
        <v>462</v>
      </c>
      <c r="R2391" t="s">
        <v>463</v>
      </c>
      <c r="S2391" t="s">
        <v>464</v>
      </c>
      <c r="U2391" s="1" t="str">
        <f t="shared" si="225"/>
        <v>Frankfurt</v>
      </c>
      <c r="V2391" t="s">
        <v>465</v>
      </c>
      <c r="X2391">
        <v>60528</v>
      </c>
      <c r="Y2391" s="1" t="str">
        <f t="shared" si="226"/>
        <v>GERMANY</v>
      </c>
      <c r="Z2391" s="4" t="str">
        <f t="shared" si="227"/>
        <v>Germany</v>
      </c>
      <c r="AA2391" t="s">
        <v>443</v>
      </c>
      <c r="AB2391" t="s">
        <v>42</v>
      </c>
      <c r="AC2391" t="s">
        <v>466</v>
      </c>
      <c r="AD2391" t="s">
        <v>414</v>
      </c>
      <c r="AE2391" t="s">
        <v>51</v>
      </c>
    </row>
    <row r="2392" spans="1:31" x14ac:dyDescent="0.3">
      <c r="A2392">
        <v>10246</v>
      </c>
      <c r="B2392">
        <v>22</v>
      </c>
      <c r="C2392">
        <v>100</v>
      </c>
      <c r="D2392">
        <v>3</v>
      </c>
      <c r="E2392" s="4" t="str">
        <f t="shared" si="222"/>
        <v>low sales</v>
      </c>
      <c r="F2392">
        <v>2928.42</v>
      </c>
      <c r="G2392" t="s">
        <v>3064</v>
      </c>
      <c r="H2392" s="1" t="str">
        <f t="shared" si="223"/>
        <v>Shipped</v>
      </c>
      <c r="I2392" s="4" t="str">
        <f t="shared" si="224"/>
        <v>completed</v>
      </c>
      <c r="J2392" t="s">
        <v>25</v>
      </c>
      <c r="K2392">
        <v>2</v>
      </c>
      <c r="L2392">
        <v>5</v>
      </c>
      <c r="M2392">
        <v>2004</v>
      </c>
      <c r="N2392" t="s">
        <v>504</v>
      </c>
      <c r="O2392">
        <v>115</v>
      </c>
      <c r="P2392" t="s">
        <v>658</v>
      </c>
      <c r="Q2392" t="s">
        <v>174</v>
      </c>
      <c r="R2392" t="s">
        <v>175</v>
      </c>
      <c r="S2392" t="s">
        <v>176</v>
      </c>
      <c r="U2392" s="1" t="str">
        <f t="shared" si="225"/>
        <v>Madrid</v>
      </c>
      <c r="V2392" t="s">
        <v>177</v>
      </c>
      <c r="X2392">
        <v>28034</v>
      </c>
      <c r="Y2392" s="1" t="str">
        <f t="shared" si="226"/>
        <v>SPAIN</v>
      </c>
      <c r="Z2392" s="4" t="str">
        <f t="shared" si="227"/>
        <v>Spain</v>
      </c>
      <c r="AA2392" t="s">
        <v>178</v>
      </c>
      <c r="AB2392" t="s">
        <v>42</v>
      </c>
      <c r="AC2392" t="s">
        <v>179</v>
      </c>
      <c r="AD2392" t="s">
        <v>180</v>
      </c>
      <c r="AE2392" t="s">
        <v>36</v>
      </c>
    </row>
    <row r="2393" spans="1:31" x14ac:dyDescent="0.3">
      <c r="A2393">
        <v>10259</v>
      </c>
      <c r="B2393">
        <v>29</v>
      </c>
      <c r="C2393">
        <v>100</v>
      </c>
      <c r="D2393">
        <v>2</v>
      </c>
      <c r="E2393" s="4" t="str">
        <f t="shared" si="222"/>
        <v>low sales</v>
      </c>
      <c r="F2393">
        <v>3054.57</v>
      </c>
      <c r="G2393" t="s">
        <v>3065</v>
      </c>
      <c r="H2393" s="1" t="str">
        <f t="shared" si="223"/>
        <v>Shipped</v>
      </c>
      <c r="I2393" s="4" t="str">
        <f t="shared" si="224"/>
        <v>completed</v>
      </c>
      <c r="J2393" t="s">
        <v>25</v>
      </c>
      <c r="K2393">
        <v>2</v>
      </c>
      <c r="L2393">
        <v>6</v>
      </c>
      <c r="M2393">
        <v>2004</v>
      </c>
      <c r="N2393" t="s">
        <v>504</v>
      </c>
      <c r="O2393">
        <v>115</v>
      </c>
      <c r="P2393" t="s">
        <v>658</v>
      </c>
      <c r="Q2393" t="s">
        <v>418</v>
      </c>
      <c r="R2393" t="s">
        <v>419</v>
      </c>
      <c r="S2393" t="s">
        <v>420</v>
      </c>
      <c r="T2393" t="s">
        <v>421</v>
      </c>
      <c r="U2393" s="1" t="str">
        <f t="shared" si="225"/>
        <v>Singapore</v>
      </c>
      <c r="V2393" t="s">
        <v>199</v>
      </c>
      <c r="X2393">
        <v>69045</v>
      </c>
      <c r="Y2393" s="1" t="str">
        <f t="shared" si="226"/>
        <v>SINGAPORE</v>
      </c>
      <c r="Z2393" s="4" t="str">
        <f t="shared" si="227"/>
        <v>Singapore</v>
      </c>
      <c r="AA2393" t="s">
        <v>199</v>
      </c>
      <c r="AB2393" t="s">
        <v>96</v>
      </c>
      <c r="AC2393" t="s">
        <v>422</v>
      </c>
      <c r="AD2393" t="s">
        <v>423</v>
      </c>
      <c r="AE2393" t="s">
        <v>51</v>
      </c>
    </row>
    <row r="2394" spans="1:31" x14ac:dyDescent="0.3">
      <c r="A2394">
        <v>10271</v>
      </c>
      <c r="B2394">
        <v>34</v>
      </c>
      <c r="C2394">
        <v>98.39</v>
      </c>
      <c r="D2394">
        <v>3</v>
      </c>
      <c r="E2394" s="4" t="str">
        <f t="shared" si="222"/>
        <v>low sales</v>
      </c>
      <c r="F2394">
        <v>3345.26</v>
      </c>
      <c r="G2394" t="s">
        <v>3066</v>
      </c>
      <c r="H2394" s="1" t="str">
        <f t="shared" si="223"/>
        <v>Shipped</v>
      </c>
      <c r="I2394" s="4" t="str">
        <f t="shared" si="224"/>
        <v>completed</v>
      </c>
      <c r="J2394" t="s">
        <v>25</v>
      </c>
      <c r="K2394">
        <v>3</v>
      </c>
      <c r="L2394">
        <v>7</v>
      </c>
      <c r="M2394">
        <v>2004</v>
      </c>
      <c r="N2394" t="s">
        <v>504</v>
      </c>
      <c r="O2394">
        <v>115</v>
      </c>
      <c r="P2394" t="s">
        <v>658</v>
      </c>
      <c r="Q2394" t="s">
        <v>272</v>
      </c>
      <c r="R2394">
        <v>4155551450</v>
      </c>
      <c r="S2394" t="s">
        <v>273</v>
      </c>
      <c r="U2394" s="1" t="str">
        <f t="shared" si="225"/>
        <v>San Rafael</v>
      </c>
      <c r="V2394" t="s">
        <v>274</v>
      </c>
      <c r="W2394" t="s">
        <v>55</v>
      </c>
      <c r="X2394">
        <v>97562</v>
      </c>
      <c r="Y2394" s="1" t="str">
        <f t="shared" si="226"/>
        <v>USA</v>
      </c>
      <c r="Z2394" s="4" t="str">
        <f t="shared" si="227"/>
        <v>Usa</v>
      </c>
      <c r="AA2394" t="s">
        <v>32</v>
      </c>
      <c r="AB2394" t="s">
        <v>33</v>
      </c>
      <c r="AC2394" t="s">
        <v>275</v>
      </c>
      <c r="AD2394" t="s">
        <v>276</v>
      </c>
      <c r="AE2394" t="s">
        <v>51</v>
      </c>
    </row>
    <row r="2395" spans="1:31" x14ac:dyDescent="0.3">
      <c r="A2395">
        <v>10282</v>
      </c>
      <c r="B2395">
        <v>38</v>
      </c>
      <c r="C2395">
        <v>100</v>
      </c>
      <c r="D2395">
        <v>12</v>
      </c>
      <c r="E2395" s="4" t="str">
        <f t="shared" si="222"/>
        <v>high sales</v>
      </c>
      <c r="F2395">
        <v>4310.72</v>
      </c>
      <c r="G2395" t="s">
        <v>3067</v>
      </c>
      <c r="H2395" s="1" t="str">
        <f t="shared" si="223"/>
        <v>Shipped</v>
      </c>
      <c r="I2395" s="4" t="str">
        <f t="shared" si="224"/>
        <v>completed</v>
      </c>
      <c r="J2395" t="s">
        <v>25</v>
      </c>
      <c r="K2395">
        <v>3</v>
      </c>
      <c r="L2395">
        <v>8</v>
      </c>
      <c r="M2395">
        <v>2004</v>
      </c>
      <c r="N2395" t="s">
        <v>504</v>
      </c>
      <c r="O2395">
        <v>115</v>
      </c>
      <c r="P2395" t="s">
        <v>658</v>
      </c>
      <c r="Q2395" t="s">
        <v>272</v>
      </c>
      <c r="R2395">
        <v>4155551450</v>
      </c>
      <c r="S2395" t="s">
        <v>273</v>
      </c>
      <c r="U2395" s="1" t="str">
        <f t="shared" si="225"/>
        <v>San Rafael</v>
      </c>
      <c r="V2395" t="s">
        <v>274</v>
      </c>
      <c r="W2395" t="s">
        <v>55</v>
      </c>
      <c r="X2395">
        <v>97562</v>
      </c>
      <c r="Y2395" s="1" t="str">
        <f t="shared" si="226"/>
        <v>USA</v>
      </c>
      <c r="Z2395" s="4" t="str">
        <f t="shared" si="227"/>
        <v>Usa</v>
      </c>
      <c r="AA2395" t="s">
        <v>32</v>
      </c>
      <c r="AB2395" t="s">
        <v>33</v>
      </c>
      <c r="AC2395" t="s">
        <v>275</v>
      </c>
      <c r="AD2395" t="s">
        <v>276</v>
      </c>
      <c r="AE2395" t="s">
        <v>51</v>
      </c>
    </row>
    <row r="2396" spans="1:31" x14ac:dyDescent="0.3">
      <c r="A2396">
        <v>10292</v>
      </c>
      <c r="B2396">
        <v>41</v>
      </c>
      <c r="C2396">
        <v>100</v>
      </c>
      <c r="D2396">
        <v>6</v>
      </c>
      <c r="E2396" s="4" t="str">
        <f t="shared" si="222"/>
        <v>high sales</v>
      </c>
      <c r="F2396">
        <v>4983.1400000000003</v>
      </c>
      <c r="G2396" t="s">
        <v>3068</v>
      </c>
      <c r="H2396" s="1" t="str">
        <f t="shared" si="223"/>
        <v>Shipped</v>
      </c>
      <c r="I2396" s="4" t="str">
        <f t="shared" si="224"/>
        <v>completed</v>
      </c>
      <c r="J2396" t="s">
        <v>25</v>
      </c>
      <c r="K2396">
        <v>3</v>
      </c>
      <c r="L2396">
        <v>9</v>
      </c>
      <c r="M2396">
        <v>2004</v>
      </c>
      <c r="N2396" t="s">
        <v>504</v>
      </c>
      <c r="O2396">
        <v>115</v>
      </c>
      <c r="P2396" t="s">
        <v>658</v>
      </c>
      <c r="Q2396" t="s">
        <v>28</v>
      </c>
      <c r="R2396">
        <v>2125557818</v>
      </c>
      <c r="S2396" t="s">
        <v>29</v>
      </c>
      <c r="U2396" s="1" t="str">
        <f t="shared" si="225"/>
        <v>Nyc</v>
      </c>
      <c r="V2396" t="s">
        <v>30</v>
      </c>
      <c r="W2396" t="s">
        <v>31</v>
      </c>
      <c r="X2396">
        <v>10022</v>
      </c>
      <c r="Y2396" s="1" t="str">
        <f t="shared" si="226"/>
        <v>USA</v>
      </c>
      <c r="Z2396" s="4" t="str">
        <f t="shared" si="227"/>
        <v>Usa</v>
      </c>
      <c r="AA2396" t="s">
        <v>32</v>
      </c>
      <c r="AB2396" t="s">
        <v>33</v>
      </c>
      <c r="AC2396" t="s">
        <v>34</v>
      </c>
      <c r="AD2396" t="s">
        <v>35</v>
      </c>
      <c r="AE2396" t="s">
        <v>51</v>
      </c>
    </row>
    <row r="2397" spans="1:31" x14ac:dyDescent="0.3">
      <c r="A2397">
        <v>10305</v>
      </c>
      <c r="B2397">
        <v>42</v>
      </c>
      <c r="C2397">
        <v>100</v>
      </c>
      <c r="D2397">
        <v>3</v>
      </c>
      <c r="E2397" s="4" t="str">
        <f t="shared" si="222"/>
        <v>high sales</v>
      </c>
      <c r="F2397">
        <v>4618.32</v>
      </c>
      <c r="G2397" t="s">
        <v>3069</v>
      </c>
      <c r="H2397" s="1" t="str">
        <f t="shared" si="223"/>
        <v>Shipped</v>
      </c>
      <c r="I2397" s="4" t="str">
        <f t="shared" si="224"/>
        <v>completed</v>
      </c>
      <c r="J2397" t="s">
        <v>25</v>
      </c>
      <c r="K2397">
        <v>4</v>
      </c>
      <c r="L2397">
        <v>10</v>
      </c>
      <c r="M2397">
        <v>2004</v>
      </c>
      <c r="N2397" t="s">
        <v>504</v>
      </c>
      <c r="O2397">
        <v>115</v>
      </c>
      <c r="P2397" t="s">
        <v>658</v>
      </c>
      <c r="Q2397" t="s">
        <v>120</v>
      </c>
      <c r="R2397">
        <v>6175558555</v>
      </c>
      <c r="S2397" t="s">
        <v>121</v>
      </c>
      <c r="U2397" s="1" t="str">
        <f t="shared" si="225"/>
        <v>Cambridge</v>
      </c>
      <c r="V2397" t="s">
        <v>122</v>
      </c>
      <c r="W2397" t="s">
        <v>123</v>
      </c>
      <c r="X2397">
        <v>51247</v>
      </c>
      <c r="Y2397" s="1" t="str">
        <f t="shared" si="226"/>
        <v>USA</v>
      </c>
      <c r="Z2397" s="4" t="str">
        <f t="shared" si="227"/>
        <v>Usa</v>
      </c>
      <c r="AA2397" t="s">
        <v>32</v>
      </c>
      <c r="AB2397" t="s">
        <v>33</v>
      </c>
      <c r="AC2397" t="s">
        <v>124</v>
      </c>
      <c r="AD2397" t="s">
        <v>125</v>
      </c>
      <c r="AE2397" t="s">
        <v>51</v>
      </c>
    </row>
    <row r="2398" spans="1:31" x14ac:dyDescent="0.3">
      <c r="A2398">
        <v>10314</v>
      </c>
      <c r="B2398">
        <v>28</v>
      </c>
      <c r="C2398">
        <v>100</v>
      </c>
      <c r="D2398">
        <v>12</v>
      </c>
      <c r="E2398" s="4" t="str">
        <f t="shared" si="222"/>
        <v>low sales</v>
      </c>
      <c r="F2398">
        <v>3403.12</v>
      </c>
      <c r="G2398" t="s">
        <v>3070</v>
      </c>
      <c r="H2398" s="1" t="str">
        <f t="shared" si="223"/>
        <v>Shipped</v>
      </c>
      <c r="I2398" s="4" t="str">
        <f t="shared" si="224"/>
        <v>completed</v>
      </c>
      <c r="J2398" t="s">
        <v>25</v>
      </c>
      <c r="K2398">
        <v>4</v>
      </c>
      <c r="L2398">
        <v>10</v>
      </c>
      <c r="M2398">
        <v>2004</v>
      </c>
      <c r="N2398" t="s">
        <v>504</v>
      </c>
      <c r="O2398">
        <v>115</v>
      </c>
      <c r="P2398" t="s">
        <v>658</v>
      </c>
      <c r="Q2398" t="s">
        <v>498</v>
      </c>
      <c r="R2398" t="s">
        <v>499</v>
      </c>
      <c r="S2398" t="s">
        <v>500</v>
      </c>
      <c r="U2398" s="1" t="str">
        <f t="shared" si="225"/>
        <v>Aaarhus</v>
      </c>
      <c r="V2398" t="s">
        <v>501</v>
      </c>
      <c r="X2398">
        <v>8200</v>
      </c>
      <c r="Y2398" s="1" t="str">
        <f t="shared" si="226"/>
        <v>DENMARK</v>
      </c>
      <c r="Z2398" s="4" t="str">
        <f t="shared" si="227"/>
        <v>Denmark</v>
      </c>
      <c r="AA2398" t="s">
        <v>326</v>
      </c>
      <c r="AB2398" t="s">
        <v>42</v>
      </c>
      <c r="AC2398" t="s">
        <v>502</v>
      </c>
      <c r="AD2398" t="s">
        <v>503</v>
      </c>
      <c r="AE2398" t="s">
        <v>51</v>
      </c>
    </row>
    <row r="2399" spans="1:31" x14ac:dyDescent="0.3">
      <c r="A2399">
        <v>10325</v>
      </c>
      <c r="B2399">
        <v>38</v>
      </c>
      <c r="C2399">
        <v>100</v>
      </c>
      <c r="D2399">
        <v>4</v>
      </c>
      <c r="E2399" s="4" t="str">
        <f t="shared" si="222"/>
        <v>high sales</v>
      </c>
      <c r="F2399">
        <v>5190.42</v>
      </c>
      <c r="G2399" t="s">
        <v>3071</v>
      </c>
      <c r="H2399" s="1" t="str">
        <f t="shared" si="223"/>
        <v>Shipped</v>
      </c>
      <c r="I2399" s="4" t="str">
        <f t="shared" si="224"/>
        <v>completed</v>
      </c>
      <c r="J2399" t="s">
        <v>25</v>
      </c>
      <c r="K2399">
        <v>4</v>
      </c>
      <c r="L2399">
        <v>11</v>
      </c>
      <c r="M2399">
        <v>2004</v>
      </c>
      <c r="N2399" t="s">
        <v>504</v>
      </c>
      <c r="O2399">
        <v>115</v>
      </c>
      <c r="P2399" t="s">
        <v>658</v>
      </c>
      <c r="Q2399" t="s">
        <v>133</v>
      </c>
      <c r="R2399" t="s">
        <v>134</v>
      </c>
      <c r="S2399" t="s">
        <v>135</v>
      </c>
      <c r="U2399" s="1" t="str">
        <f t="shared" si="225"/>
        <v>Stavern</v>
      </c>
      <c r="V2399" t="s">
        <v>136</v>
      </c>
      <c r="X2399">
        <v>4110</v>
      </c>
      <c r="Y2399" s="1" t="str">
        <f t="shared" si="226"/>
        <v>NORWAY</v>
      </c>
      <c r="Z2399" s="4" t="str">
        <f t="shared" si="227"/>
        <v>Norway</v>
      </c>
      <c r="AA2399" t="s">
        <v>78</v>
      </c>
      <c r="AB2399" t="s">
        <v>42</v>
      </c>
      <c r="AC2399" t="s">
        <v>137</v>
      </c>
      <c r="AD2399" t="s">
        <v>138</v>
      </c>
      <c r="AE2399" t="s">
        <v>51</v>
      </c>
    </row>
    <row r="2400" spans="1:31" x14ac:dyDescent="0.3">
      <c r="A2400">
        <v>10336</v>
      </c>
      <c r="B2400">
        <v>23</v>
      </c>
      <c r="C2400">
        <v>100</v>
      </c>
      <c r="D2400">
        <v>8</v>
      </c>
      <c r="E2400" s="4" t="str">
        <f t="shared" si="222"/>
        <v>low sales</v>
      </c>
      <c r="F2400">
        <v>3141.57</v>
      </c>
      <c r="G2400" t="s">
        <v>3072</v>
      </c>
      <c r="H2400" s="1" t="str">
        <f t="shared" si="223"/>
        <v>Shipped</v>
      </c>
      <c r="I2400" s="4" t="str">
        <f t="shared" si="224"/>
        <v>completed</v>
      </c>
      <c r="J2400" t="s">
        <v>25</v>
      </c>
      <c r="K2400">
        <v>4</v>
      </c>
      <c r="L2400">
        <v>11</v>
      </c>
      <c r="M2400">
        <v>2004</v>
      </c>
      <c r="N2400" t="s">
        <v>504</v>
      </c>
      <c r="O2400">
        <v>115</v>
      </c>
      <c r="P2400" t="s">
        <v>658</v>
      </c>
      <c r="Q2400" t="s">
        <v>403</v>
      </c>
      <c r="R2400" t="s">
        <v>404</v>
      </c>
      <c r="S2400" t="s">
        <v>405</v>
      </c>
      <c r="U2400" s="1" t="str">
        <f t="shared" si="225"/>
        <v>Paris</v>
      </c>
      <c r="V2400" t="s">
        <v>48</v>
      </c>
      <c r="X2400">
        <v>75012</v>
      </c>
      <c r="Y2400" s="1" t="str">
        <f t="shared" si="226"/>
        <v>FRANCE</v>
      </c>
      <c r="Z2400" s="4" t="str">
        <f t="shared" si="227"/>
        <v>France</v>
      </c>
      <c r="AA2400" t="s">
        <v>41</v>
      </c>
      <c r="AB2400" t="s">
        <v>42</v>
      </c>
      <c r="AC2400" t="s">
        <v>406</v>
      </c>
      <c r="AD2400" t="s">
        <v>407</v>
      </c>
      <c r="AE2400" t="s">
        <v>51</v>
      </c>
    </row>
    <row r="2401" spans="1:31" x14ac:dyDescent="0.3">
      <c r="A2401">
        <v>10350</v>
      </c>
      <c r="B2401">
        <v>31</v>
      </c>
      <c r="C2401">
        <v>71.400000000000006</v>
      </c>
      <c r="D2401">
        <v>8</v>
      </c>
      <c r="E2401" s="4" t="str">
        <f t="shared" si="222"/>
        <v>low sales</v>
      </c>
      <c r="F2401">
        <v>2213.4</v>
      </c>
      <c r="G2401" t="s">
        <v>3073</v>
      </c>
      <c r="H2401" s="1" t="str">
        <f t="shared" si="223"/>
        <v>Shipped</v>
      </c>
      <c r="I2401" s="4" t="str">
        <f t="shared" si="224"/>
        <v>completed</v>
      </c>
      <c r="J2401" t="s">
        <v>25</v>
      </c>
      <c r="K2401">
        <v>4</v>
      </c>
      <c r="L2401">
        <v>12</v>
      </c>
      <c r="M2401">
        <v>2004</v>
      </c>
      <c r="N2401" t="s">
        <v>504</v>
      </c>
      <c r="O2401">
        <v>115</v>
      </c>
      <c r="P2401" t="s">
        <v>658</v>
      </c>
      <c r="Q2401" t="s">
        <v>174</v>
      </c>
      <c r="R2401" t="s">
        <v>175</v>
      </c>
      <c r="S2401" t="s">
        <v>176</v>
      </c>
      <c r="U2401" s="1" t="str">
        <f t="shared" si="225"/>
        <v>Madrid</v>
      </c>
      <c r="V2401" t="s">
        <v>177</v>
      </c>
      <c r="X2401">
        <v>28034</v>
      </c>
      <c r="Y2401" s="1" t="str">
        <f t="shared" si="226"/>
        <v>SPAIN</v>
      </c>
      <c r="Z2401" s="4" t="str">
        <f t="shared" si="227"/>
        <v>Spain</v>
      </c>
      <c r="AA2401" t="s">
        <v>178</v>
      </c>
      <c r="AB2401" t="s">
        <v>42</v>
      </c>
      <c r="AC2401" t="s">
        <v>179</v>
      </c>
      <c r="AD2401" t="s">
        <v>180</v>
      </c>
      <c r="AE2401" t="s">
        <v>36</v>
      </c>
    </row>
    <row r="2402" spans="1:31" x14ac:dyDescent="0.3">
      <c r="A2402">
        <v>10359</v>
      </c>
      <c r="B2402">
        <v>46</v>
      </c>
      <c r="C2402">
        <v>100</v>
      </c>
      <c r="D2402">
        <v>2</v>
      </c>
      <c r="E2402" s="4" t="str">
        <f t="shared" si="222"/>
        <v>high sales</v>
      </c>
      <c r="F2402">
        <v>4896.7</v>
      </c>
      <c r="G2402" t="s">
        <v>3074</v>
      </c>
      <c r="H2402" s="1" t="str">
        <f t="shared" si="223"/>
        <v>Shipped</v>
      </c>
      <c r="I2402" s="4" t="str">
        <f t="shared" si="224"/>
        <v>completed</v>
      </c>
      <c r="J2402" t="s">
        <v>25</v>
      </c>
      <c r="K2402">
        <v>4</v>
      </c>
      <c r="L2402">
        <v>12</v>
      </c>
      <c r="M2402">
        <v>2004</v>
      </c>
      <c r="N2402" t="s">
        <v>504</v>
      </c>
      <c r="O2402">
        <v>115</v>
      </c>
      <c r="P2402" t="s">
        <v>658</v>
      </c>
      <c r="Q2402" t="s">
        <v>37</v>
      </c>
      <c r="R2402" t="s">
        <v>38</v>
      </c>
      <c r="S2402" t="s">
        <v>39</v>
      </c>
      <c r="U2402" s="1" t="str">
        <f t="shared" si="225"/>
        <v>Reims</v>
      </c>
      <c r="V2402" t="s">
        <v>40</v>
      </c>
      <c r="X2402">
        <v>51100</v>
      </c>
      <c r="Y2402" s="1" t="str">
        <f t="shared" si="226"/>
        <v>FRANCE</v>
      </c>
      <c r="Z2402" s="4" t="str">
        <f t="shared" si="227"/>
        <v>France</v>
      </c>
      <c r="AA2402" t="s">
        <v>41</v>
      </c>
      <c r="AB2402" t="s">
        <v>42</v>
      </c>
      <c r="AC2402" t="s">
        <v>43</v>
      </c>
      <c r="AD2402" t="s">
        <v>44</v>
      </c>
      <c r="AE2402" t="s">
        <v>51</v>
      </c>
    </row>
    <row r="2403" spans="1:31" x14ac:dyDescent="0.3">
      <c r="A2403">
        <v>10371</v>
      </c>
      <c r="B2403">
        <v>48</v>
      </c>
      <c r="C2403">
        <v>56.55</v>
      </c>
      <c r="D2403">
        <v>10</v>
      </c>
      <c r="E2403" s="4" t="str">
        <f t="shared" si="222"/>
        <v>low sales</v>
      </c>
      <c r="F2403">
        <v>2714.4</v>
      </c>
      <c r="G2403" t="s">
        <v>3075</v>
      </c>
      <c r="H2403" s="1" t="str">
        <f t="shared" si="223"/>
        <v>Shipped</v>
      </c>
      <c r="I2403" s="4" t="str">
        <f t="shared" si="224"/>
        <v>completed</v>
      </c>
      <c r="J2403" t="s">
        <v>25</v>
      </c>
      <c r="K2403">
        <v>1</v>
      </c>
      <c r="L2403">
        <v>1</v>
      </c>
      <c r="M2403">
        <v>2005</v>
      </c>
      <c r="N2403" t="s">
        <v>504</v>
      </c>
      <c r="O2403">
        <v>115</v>
      </c>
      <c r="P2403" t="s">
        <v>658</v>
      </c>
      <c r="Q2403" t="s">
        <v>272</v>
      </c>
      <c r="R2403">
        <v>4155551450</v>
      </c>
      <c r="S2403" t="s">
        <v>273</v>
      </c>
      <c r="U2403" s="1" t="str">
        <f t="shared" si="225"/>
        <v>San Rafael</v>
      </c>
      <c r="V2403" t="s">
        <v>274</v>
      </c>
      <c r="W2403" t="s">
        <v>55</v>
      </c>
      <c r="X2403">
        <v>97562</v>
      </c>
      <c r="Y2403" s="1" t="str">
        <f t="shared" si="226"/>
        <v>USA</v>
      </c>
      <c r="Z2403" s="4" t="str">
        <f t="shared" si="227"/>
        <v>Usa</v>
      </c>
      <c r="AA2403" t="s">
        <v>32</v>
      </c>
      <c r="AB2403" t="s">
        <v>33</v>
      </c>
      <c r="AC2403" t="s">
        <v>275</v>
      </c>
      <c r="AD2403" t="s">
        <v>276</v>
      </c>
      <c r="AE2403" t="s">
        <v>36</v>
      </c>
    </row>
    <row r="2404" spans="1:31" x14ac:dyDescent="0.3">
      <c r="A2404">
        <v>10383</v>
      </c>
      <c r="B2404">
        <v>29</v>
      </c>
      <c r="C2404">
        <v>100</v>
      </c>
      <c r="D2404">
        <v>13</v>
      </c>
      <c r="E2404" s="4" t="str">
        <f t="shared" si="222"/>
        <v>low sales</v>
      </c>
      <c r="F2404">
        <v>3087.05</v>
      </c>
      <c r="G2404" t="s">
        <v>3076</v>
      </c>
      <c r="H2404" s="1" t="str">
        <f t="shared" si="223"/>
        <v>Shipped</v>
      </c>
      <c r="I2404" s="4" t="str">
        <f t="shared" si="224"/>
        <v>completed</v>
      </c>
      <c r="J2404" t="s">
        <v>25</v>
      </c>
      <c r="K2404">
        <v>1</v>
      </c>
      <c r="L2404">
        <v>2</v>
      </c>
      <c r="M2404">
        <v>2005</v>
      </c>
      <c r="N2404" t="s">
        <v>504</v>
      </c>
      <c r="O2404">
        <v>115</v>
      </c>
      <c r="P2404" t="s">
        <v>658</v>
      </c>
      <c r="Q2404" t="s">
        <v>174</v>
      </c>
      <c r="R2404" t="s">
        <v>175</v>
      </c>
      <c r="S2404" t="s">
        <v>176</v>
      </c>
      <c r="U2404" s="1" t="str">
        <f t="shared" si="225"/>
        <v>Madrid</v>
      </c>
      <c r="V2404" t="s">
        <v>177</v>
      </c>
      <c r="X2404">
        <v>28034</v>
      </c>
      <c r="Y2404" s="1" t="str">
        <f t="shared" si="226"/>
        <v>SPAIN</v>
      </c>
      <c r="Z2404" s="4" t="str">
        <f t="shared" si="227"/>
        <v>Spain</v>
      </c>
      <c r="AA2404" t="s">
        <v>178</v>
      </c>
      <c r="AB2404" t="s">
        <v>42</v>
      </c>
      <c r="AC2404" t="s">
        <v>179</v>
      </c>
      <c r="AD2404" t="s">
        <v>180</v>
      </c>
      <c r="AE2404" t="s">
        <v>51</v>
      </c>
    </row>
    <row r="2405" spans="1:31" x14ac:dyDescent="0.3">
      <c r="A2405">
        <v>10395</v>
      </c>
      <c r="B2405">
        <v>46</v>
      </c>
      <c r="C2405">
        <v>100</v>
      </c>
      <c r="D2405">
        <v>4</v>
      </c>
      <c r="E2405" s="4" t="str">
        <f t="shared" si="222"/>
        <v>high sales</v>
      </c>
      <c r="F2405">
        <v>5692.96</v>
      </c>
      <c r="G2405" t="s">
        <v>3077</v>
      </c>
      <c r="H2405" s="1" t="str">
        <f t="shared" si="223"/>
        <v>Shipped</v>
      </c>
      <c r="I2405" s="4" t="str">
        <f t="shared" si="224"/>
        <v>completed</v>
      </c>
      <c r="J2405" t="s">
        <v>25</v>
      </c>
      <c r="K2405">
        <v>1</v>
      </c>
      <c r="L2405">
        <v>3</v>
      </c>
      <c r="M2405">
        <v>2005</v>
      </c>
      <c r="N2405" t="s">
        <v>504</v>
      </c>
      <c r="O2405">
        <v>115</v>
      </c>
      <c r="P2405" t="s">
        <v>658</v>
      </c>
      <c r="Q2405" t="s">
        <v>45</v>
      </c>
      <c r="R2405" t="s">
        <v>46</v>
      </c>
      <c r="S2405" t="s">
        <v>47</v>
      </c>
      <c r="U2405" s="1" t="str">
        <f t="shared" si="225"/>
        <v>Paris</v>
      </c>
      <c r="V2405" t="s">
        <v>48</v>
      </c>
      <c r="X2405">
        <v>75508</v>
      </c>
      <c r="Y2405" s="1" t="str">
        <f t="shared" si="226"/>
        <v>FRANCE</v>
      </c>
      <c r="Z2405" s="4" t="str">
        <f t="shared" si="227"/>
        <v>France</v>
      </c>
      <c r="AA2405" t="s">
        <v>41</v>
      </c>
      <c r="AB2405" t="s">
        <v>42</v>
      </c>
      <c r="AC2405" t="s">
        <v>49</v>
      </c>
      <c r="AD2405" t="s">
        <v>50</v>
      </c>
      <c r="AE2405" t="s">
        <v>51</v>
      </c>
    </row>
    <row r="2406" spans="1:31" x14ac:dyDescent="0.3">
      <c r="A2406">
        <v>10412</v>
      </c>
      <c r="B2406">
        <v>26</v>
      </c>
      <c r="C2406">
        <v>100</v>
      </c>
      <c r="D2406">
        <v>3</v>
      </c>
      <c r="E2406" s="4" t="str">
        <f t="shared" si="222"/>
        <v>low sales</v>
      </c>
      <c r="F2406">
        <v>3460.86</v>
      </c>
      <c r="G2406" t="s">
        <v>3078</v>
      </c>
      <c r="H2406" s="1" t="str">
        <f t="shared" si="223"/>
        <v>Shipped</v>
      </c>
      <c r="I2406" s="4" t="str">
        <f t="shared" si="224"/>
        <v>completed</v>
      </c>
      <c r="J2406" t="s">
        <v>25</v>
      </c>
      <c r="K2406">
        <v>2</v>
      </c>
      <c r="L2406">
        <v>5</v>
      </c>
      <c r="M2406">
        <v>2005</v>
      </c>
      <c r="N2406" t="s">
        <v>504</v>
      </c>
      <c r="O2406">
        <v>115</v>
      </c>
      <c r="P2406" t="s">
        <v>658</v>
      </c>
      <c r="Q2406" t="s">
        <v>174</v>
      </c>
      <c r="R2406" t="s">
        <v>175</v>
      </c>
      <c r="S2406" t="s">
        <v>176</v>
      </c>
      <c r="U2406" s="1" t="str">
        <f t="shared" si="225"/>
        <v>Madrid</v>
      </c>
      <c r="V2406" t="s">
        <v>177</v>
      </c>
      <c r="X2406">
        <v>28034</v>
      </c>
      <c r="Y2406" s="1" t="str">
        <f t="shared" si="226"/>
        <v>SPAIN</v>
      </c>
      <c r="Z2406" s="4" t="str">
        <f t="shared" si="227"/>
        <v>Spain</v>
      </c>
      <c r="AA2406" t="s">
        <v>178</v>
      </c>
      <c r="AB2406" t="s">
        <v>42</v>
      </c>
      <c r="AC2406" t="s">
        <v>179</v>
      </c>
      <c r="AD2406" t="s">
        <v>180</v>
      </c>
      <c r="AE2406" t="s">
        <v>51</v>
      </c>
    </row>
    <row r="2407" spans="1:31" x14ac:dyDescent="0.3">
      <c r="A2407">
        <v>10425</v>
      </c>
      <c r="B2407">
        <v>18</v>
      </c>
      <c r="C2407">
        <v>100</v>
      </c>
      <c r="D2407">
        <v>2</v>
      </c>
      <c r="E2407" s="4" t="str">
        <f t="shared" si="222"/>
        <v>low sales</v>
      </c>
      <c r="F2407">
        <v>1895.94</v>
      </c>
      <c r="G2407" t="s">
        <v>3079</v>
      </c>
      <c r="H2407" s="1" t="str">
        <f t="shared" si="223"/>
        <v>In Process</v>
      </c>
      <c r="I2407" s="4" t="str">
        <f t="shared" si="224"/>
        <v>not completed</v>
      </c>
      <c r="J2407" t="s">
        <v>300</v>
      </c>
      <c r="K2407">
        <v>2</v>
      </c>
      <c r="L2407">
        <v>5</v>
      </c>
      <c r="M2407">
        <v>2005</v>
      </c>
      <c r="N2407" t="s">
        <v>504</v>
      </c>
      <c r="O2407">
        <v>115</v>
      </c>
      <c r="P2407" t="s">
        <v>658</v>
      </c>
      <c r="Q2407" t="s">
        <v>114</v>
      </c>
      <c r="R2407" t="s">
        <v>115</v>
      </c>
      <c r="S2407" t="s">
        <v>116</v>
      </c>
      <c r="U2407" s="1" t="str">
        <f t="shared" si="225"/>
        <v>Nantes</v>
      </c>
      <c r="V2407" t="s">
        <v>117</v>
      </c>
      <c r="X2407">
        <v>44000</v>
      </c>
      <c r="Y2407" s="1" t="str">
        <f t="shared" si="226"/>
        <v>FRANCE</v>
      </c>
      <c r="Z2407" s="4" t="str">
        <f t="shared" si="227"/>
        <v>France</v>
      </c>
      <c r="AA2407" t="s">
        <v>41</v>
      </c>
      <c r="AB2407" t="s">
        <v>42</v>
      </c>
      <c r="AC2407" t="s">
        <v>118</v>
      </c>
      <c r="AD2407" t="s">
        <v>119</v>
      </c>
      <c r="AE2407" t="s">
        <v>36</v>
      </c>
    </row>
    <row r="2408" spans="1:31" x14ac:dyDescent="0.3">
      <c r="A2408">
        <v>10104</v>
      </c>
      <c r="B2408">
        <v>32</v>
      </c>
      <c r="C2408">
        <v>53.31</v>
      </c>
      <c r="D2408">
        <v>2</v>
      </c>
      <c r="E2408" s="4" t="str">
        <f t="shared" si="222"/>
        <v>low sales</v>
      </c>
      <c r="F2408">
        <v>1705.92</v>
      </c>
      <c r="G2408" t="s">
        <v>3080</v>
      </c>
      <c r="H2408" s="1" t="str">
        <f t="shared" si="223"/>
        <v>Shipped</v>
      </c>
      <c r="I2408" s="4" t="str">
        <f t="shared" si="224"/>
        <v>completed</v>
      </c>
      <c r="J2408" t="s">
        <v>25</v>
      </c>
      <c r="K2408">
        <v>1</v>
      </c>
      <c r="L2408">
        <v>1</v>
      </c>
      <c r="M2408">
        <v>2003</v>
      </c>
      <c r="N2408" t="s">
        <v>605</v>
      </c>
      <c r="O2408">
        <v>58</v>
      </c>
      <c r="P2408" t="s">
        <v>659</v>
      </c>
      <c r="Q2408" t="s">
        <v>174</v>
      </c>
      <c r="R2408" t="s">
        <v>175</v>
      </c>
      <c r="S2408" t="s">
        <v>176</v>
      </c>
      <c r="U2408" s="1" t="str">
        <f t="shared" si="225"/>
        <v>Madrid</v>
      </c>
      <c r="V2408" t="s">
        <v>177</v>
      </c>
      <c r="X2408">
        <v>28034</v>
      </c>
      <c r="Y2408" s="1" t="str">
        <f t="shared" si="226"/>
        <v>SPAIN</v>
      </c>
      <c r="Z2408" s="4" t="str">
        <f t="shared" si="227"/>
        <v>Spain</v>
      </c>
      <c r="AA2408" t="s">
        <v>178</v>
      </c>
      <c r="AB2408" t="s">
        <v>42</v>
      </c>
      <c r="AC2408" t="s">
        <v>179</v>
      </c>
      <c r="AD2408" t="s">
        <v>180</v>
      </c>
      <c r="AE2408" t="s">
        <v>36</v>
      </c>
    </row>
    <row r="2409" spans="1:31" x14ac:dyDescent="0.3">
      <c r="A2409">
        <v>10117</v>
      </c>
      <c r="B2409">
        <v>21</v>
      </c>
      <c r="C2409">
        <v>49.21</v>
      </c>
      <c r="D2409">
        <v>11</v>
      </c>
      <c r="E2409" s="4" t="str">
        <f t="shared" si="222"/>
        <v>low sales</v>
      </c>
      <c r="F2409">
        <v>1033.4100000000001</v>
      </c>
      <c r="G2409" t="s">
        <v>3081</v>
      </c>
      <c r="H2409" s="1" t="str">
        <f t="shared" si="223"/>
        <v>Shipped</v>
      </c>
      <c r="I2409" s="4" t="str">
        <f t="shared" si="224"/>
        <v>completed</v>
      </c>
      <c r="J2409" t="s">
        <v>25</v>
      </c>
      <c r="K2409">
        <v>2</v>
      </c>
      <c r="L2409">
        <v>4</v>
      </c>
      <c r="M2409">
        <v>2003</v>
      </c>
      <c r="N2409" t="s">
        <v>605</v>
      </c>
      <c r="O2409">
        <v>58</v>
      </c>
      <c r="P2409" t="s">
        <v>659</v>
      </c>
      <c r="Q2409" t="s">
        <v>196</v>
      </c>
      <c r="R2409" t="s">
        <v>197</v>
      </c>
      <c r="S2409" t="s">
        <v>198</v>
      </c>
      <c r="U2409" s="1" t="str">
        <f t="shared" si="225"/>
        <v>Singapore</v>
      </c>
      <c r="V2409" t="s">
        <v>199</v>
      </c>
      <c r="X2409">
        <v>79903</v>
      </c>
      <c r="Y2409" s="1" t="str">
        <f t="shared" si="226"/>
        <v>SINGAPORE</v>
      </c>
      <c r="Z2409" s="4" t="str">
        <f t="shared" si="227"/>
        <v>Singapore</v>
      </c>
      <c r="AA2409" t="s">
        <v>199</v>
      </c>
      <c r="AB2409" t="s">
        <v>200</v>
      </c>
      <c r="AC2409" t="s">
        <v>201</v>
      </c>
      <c r="AD2409" t="s">
        <v>202</v>
      </c>
      <c r="AE2409" t="s">
        <v>36</v>
      </c>
    </row>
    <row r="2410" spans="1:31" x14ac:dyDescent="0.3">
      <c r="A2410">
        <v>10127</v>
      </c>
      <c r="B2410">
        <v>46</v>
      </c>
      <c r="C2410">
        <v>69.12</v>
      </c>
      <c r="D2410">
        <v>4</v>
      </c>
      <c r="E2410" s="4" t="str">
        <f t="shared" si="222"/>
        <v>low sales</v>
      </c>
      <c r="F2410">
        <v>3179.52</v>
      </c>
      <c r="G2410" t="s">
        <v>3082</v>
      </c>
      <c r="H2410" s="1" t="str">
        <f t="shared" si="223"/>
        <v>Shipped</v>
      </c>
      <c r="I2410" s="4" t="str">
        <f t="shared" si="224"/>
        <v>completed</v>
      </c>
      <c r="J2410" t="s">
        <v>25</v>
      </c>
      <c r="K2410">
        <v>2</v>
      </c>
      <c r="L2410">
        <v>6</v>
      </c>
      <c r="M2410">
        <v>2003</v>
      </c>
      <c r="N2410" t="s">
        <v>605</v>
      </c>
      <c r="O2410">
        <v>58</v>
      </c>
      <c r="P2410" t="s">
        <v>659</v>
      </c>
      <c r="Q2410" t="s">
        <v>475</v>
      </c>
      <c r="R2410">
        <v>2125557413</v>
      </c>
      <c r="S2410" t="s">
        <v>476</v>
      </c>
      <c r="T2410" t="s">
        <v>477</v>
      </c>
      <c r="U2410" s="1" t="str">
        <f t="shared" si="225"/>
        <v>Nyc</v>
      </c>
      <c r="V2410" t="s">
        <v>30</v>
      </c>
      <c r="W2410" t="s">
        <v>31</v>
      </c>
      <c r="X2410">
        <v>10022</v>
      </c>
      <c r="Y2410" s="1" t="str">
        <f t="shared" si="226"/>
        <v>USA</v>
      </c>
      <c r="Z2410" s="4" t="str">
        <f t="shared" si="227"/>
        <v>Usa</v>
      </c>
      <c r="AA2410" t="s">
        <v>32</v>
      </c>
      <c r="AB2410" t="s">
        <v>33</v>
      </c>
      <c r="AC2410" t="s">
        <v>56</v>
      </c>
      <c r="AD2410" t="s">
        <v>478</v>
      </c>
      <c r="AE2410" t="s">
        <v>51</v>
      </c>
    </row>
    <row r="2411" spans="1:31" x14ac:dyDescent="0.3">
      <c r="A2411">
        <v>10142</v>
      </c>
      <c r="B2411">
        <v>42</v>
      </c>
      <c r="C2411">
        <v>49.79</v>
      </c>
      <c r="D2411">
        <v>14</v>
      </c>
      <c r="E2411" s="4" t="str">
        <f t="shared" si="222"/>
        <v>low sales</v>
      </c>
      <c r="F2411">
        <v>2091.1799999999998</v>
      </c>
      <c r="G2411" t="s">
        <v>3083</v>
      </c>
      <c r="H2411" s="1" t="str">
        <f t="shared" si="223"/>
        <v>Shipped</v>
      </c>
      <c r="I2411" s="4" t="str">
        <f t="shared" si="224"/>
        <v>completed</v>
      </c>
      <c r="J2411" t="s">
        <v>25</v>
      </c>
      <c r="K2411">
        <v>3</v>
      </c>
      <c r="L2411">
        <v>8</v>
      </c>
      <c r="M2411">
        <v>2003</v>
      </c>
      <c r="N2411" t="s">
        <v>605</v>
      </c>
      <c r="O2411">
        <v>58</v>
      </c>
      <c r="P2411" t="s">
        <v>659</v>
      </c>
      <c r="Q2411" t="s">
        <v>272</v>
      </c>
      <c r="R2411">
        <v>4155551450</v>
      </c>
      <c r="S2411" t="s">
        <v>273</v>
      </c>
      <c r="U2411" s="1" t="str">
        <f t="shared" si="225"/>
        <v>San Rafael</v>
      </c>
      <c r="V2411" t="s">
        <v>274</v>
      </c>
      <c r="W2411" t="s">
        <v>55</v>
      </c>
      <c r="X2411">
        <v>97562</v>
      </c>
      <c r="Y2411" s="1" t="str">
        <f t="shared" si="226"/>
        <v>USA</v>
      </c>
      <c r="Z2411" s="4" t="str">
        <f t="shared" si="227"/>
        <v>Usa</v>
      </c>
      <c r="AA2411" t="s">
        <v>32</v>
      </c>
      <c r="AB2411" t="s">
        <v>33</v>
      </c>
      <c r="AC2411" t="s">
        <v>275</v>
      </c>
      <c r="AD2411" t="s">
        <v>276</v>
      </c>
      <c r="AE2411" t="s">
        <v>36</v>
      </c>
    </row>
    <row r="2412" spans="1:31" x14ac:dyDescent="0.3">
      <c r="A2412">
        <v>10153</v>
      </c>
      <c r="B2412">
        <v>31</v>
      </c>
      <c r="C2412">
        <v>57.41</v>
      </c>
      <c r="D2412">
        <v>13</v>
      </c>
      <c r="E2412" s="4" t="str">
        <f t="shared" si="222"/>
        <v>low sales</v>
      </c>
      <c r="F2412">
        <v>1779.71</v>
      </c>
      <c r="G2412" t="s">
        <v>3084</v>
      </c>
      <c r="H2412" s="1" t="str">
        <f t="shared" si="223"/>
        <v>Shipped</v>
      </c>
      <c r="I2412" s="4" t="str">
        <f t="shared" si="224"/>
        <v>completed</v>
      </c>
      <c r="J2412" t="s">
        <v>25</v>
      </c>
      <c r="K2412">
        <v>3</v>
      </c>
      <c r="L2412">
        <v>9</v>
      </c>
      <c r="M2412">
        <v>2003</v>
      </c>
      <c r="N2412" t="s">
        <v>605</v>
      </c>
      <c r="O2412">
        <v>58</v>
      </c>
      <c r="P2412" t="s">
        <v>659</v>
      </c>
      <c r="Q2412" t="s">
        <v>174</v>
      </c>
      <c r="R2412" t="s">
        <v>175</v>
      </c>
      <c r="S2412" t="s">
        <v>176</v>
      </c>
      <c r="U2412" s="1" t="str">
        <f t="shared" si="225"/>
        <v>Madrid</v>
      </c>
      <c r="V2412" t="s">
        <v>177</v>
      </c>
      <c r="X2412">
        <v>28034</v>
      </c>
      <c r="Y2412" s="1" t="str">
        <f t="shared" si="226"/>
        <v>SPAIN</v>
      </c>
      <c r="Z2412" s="4" t="str">
        <f t="shared" si="227"/>
        <v>Spain</v>
      </c>
      <c r="AA2412" t="s">
        <v>178</v>
      </c>
      <c r="AB2412" t="s">
        <v>42</v>
      </c>
      <c r="AC2412" t="s">
        <v>179</v>
      </c>
      <c r="AD2412" t="s">
        <v>180</v>
      </c>
      <c r="AE2412" t="s">
        <v>36</v>
      </c>
    </row>
    <row r="2413" spans="1:31" x14ac:dyDescent="0.3">
      <c r="A2413">
        <v>10165</v>
      </c>
      <c r="B2413">
        <v>38</v>
      </c>
      <c r="C2413">
        <v>66.78</v>
      </c>
      <c r="D2413">
        <v>5</v>
      </c>
      <c r="E2413" s="4" t="str">
        <f t="shared" si="222"/>
        <v>low sales</v>
      </c>
      <c r="F2413">
        <v>2537.64</v>
      </c>
      <c r="G2413" t="s">
        <v>3085</v>
      </c>
      <c r="H2413" s="1" t="str">
        <f t="shared" si="223"/>
        <v>Shipped</v>
      </c>
      <c r="I2413" s="4" t="str">
        <f t="shared" si="224"/>
        <v>completed</v>
      </c>
      <c r="J2413" t="s">
        <v>25</v>
      </c>
      <c r="K2413">
        <v>4</v>
      </c>
      <c r="L2413">
        <v>10</v>
      </c>
      <c r="M2413">
        <v>2003</v>
      </c>
      <c r="N2413" t="s">
        <v>605</v>
      </c>
      <c r="O2413">
        <v>58</v>
      </c>
      <c r="P2413" t="s">
        <v>659</v>
      </c>
      <c r="Q2413" t="s">
        <v>196</v>
      </c>
      <c r="R2413" t="s">
        <v>197</v>
      </c>
      <c r="S2413" t="s">
        <v>198</v>
      </c>
      <c r="U2413" s="1" t="str">
        <f t="shared" si="225"/>
        <v>Singapore</v>
      </c>
      <c r="V2413" t="s">
        <v>199</v>
      </c>
      <c r="X2413">
        <v>79903</v>
      </c>
      <c r="Y2413" s="1" t="str">
        <f t="shared" si="226"/>
        <v>SINGAPORE</v>
      </c>
      <c r="Z2413" s="4" t="str">
        <f t="shared" si="227"/>
        <v>Singapore</v>
      </c>
      <c r="AA2413" t="s">
        <v>199</v>
      </c>
      <c r="AB2413" t="s">
        <v>200</v>
      </c>
      <c r="AC2413" t="s">
        <v>201</v>
      </c>
      <c r="AD2413" t="s">
        <v>202</v>
      </c>
      <c r="AE2413" t="s">
        <v>36</v>
      </c>
    </row>
    <row r="2414" spans="1:31" x14ac:dyDescent="0.3">
      <c r="A2414">
        <v>10176</v>
      </c>
      <c r="B2414">
        <v>38</v>
      </c>
      <c r="C2414">
        <v>64.44</v>
      </c>
      <c r="D2414">
        <v>4</v>
      </c>
      <c r="E2414" s="4" t="str">
        <f t="shared" si="222"/>
        <v>low sales</v>
      </c>
      <c r="F2414">
        <v>2448.7199999999998</v>
      </c>
      <c r="G2414" t="s">
        <v>3086</v>
      </c>
      <c r="H2414" s="1" t="str">
        <f t="shared" si="223"/>
        <v>Shipped</v>
      </c>
      <c r="I2414" s="4" t="str">
        <f t="shared" si="224"/>
        <v>completed</v>
      </c>
      <c r="J2414" t="s">
        <v>25</v>
      </c>
      <c r="K2414">
        <v>4</v>
      </c>
      <c r="L2414">
        <v>11</v>
      </c>
      <c r="M2414">
        <v>2003</v>
      </c>
      <c r="N2414" t="s">
        <v>605</v>
      </c>
      <c r="O2414">
        <v>58</v>
      </c>
      <c r="P2414" t="s">
        <v>659</v>
      </c>
      <c r="Q2414" t="s">
        <v>452</v>
      </c>
      <c r="R2414" t="s">
        <v>453</v>
      </c>
      <c r="S2414" t="s">
        <v>454</v>
      </c>
      <c r="U2414" s="1" t="str">
        <f t="shared" si="225"/>
        <v>Reggio Emilia</v>
      </c>
      <c r="V2414" t="s">
        <v>455</v>
      </c>
      <c r="X2414">
        <v>42100</v>
      </c>
      <c r="Y2414" s="1" t="str">
        <f t="shared" si="226"/>
        <v>ITALY</v>
      </c>
      <c r="Z2414" s="4" t="str">
        <f t="shared" si="227"/>
        <v>Italy</v>
      </c>
      <c r="AA2414" t="s">
        <v>258</v>
      </c>
      <c r="AB2414" t="s">
        <v>42</v>
      </c>
      <c r="AC2414" t="s">
        <v>456</v>
      </c>
      <c r="AD2414" t="s">
        <v>457</v>
      </c>
      <c r="AE2414" t="s">
        <v>36</v>
      </c>
    </row>
    <row r="2415" spans="1:31" x14ac:dyDescent="0.3">
      <c r="A2415">
        <v>10185</v>
      </c>
      <c r="B2415">
        <v>20</v>
      </c>
      <c r="C2415">
        <v>48.62</v>
      </c>
      <c r="D2415">
        <v>15</v>
      </c>
      <c r="E2415" s="4" t="str">
        <f t="shared" si="222"/>
        <v>low sales</v>
      </c>
      <c r="F2415">
        <v>972.4</v>
      </c>
      <c r="G2415" t="s">
        <v>3087</v>
      </c>
      <c r="H2415" s="1" t="str">
        <f t="shared" si="223"/>
        <v>Shipped</v>
      </c>
      <c r="I2415" s="4" t="str">
        <f t="shared" si="224"/>
        <v>completed</v>
      </c>
      <c r="J2415" t="s">
        <v>25</v>
      </c>
      <c r="K2415">
        <v>4</v>
      </c>
      <c r="L2415">
        <v>11</v>
      </c>
      <c r="M2415">
        <v>2003</v>
      </c>
      <c r="N2415" t="s">
        <v>605</v>
      </c>
      <c r="O2415">
        <v>58</v>
      </c>
      <c r="P2415" t="s">
        <v>659</v>
      </c>
      <c r="Q2415" t="s">
        <v>335</v>
      </c>
      <c r="R2415">
        <v>5085559555</v>
      </c>
      <c r="S2415" t="s">
        <v>336</v>
      </c>
      <c r="U2415" s="1" t="str">
        <f t="shared" si="225"/>
        <v>New Bedford</v>
      </c>
      <c r="V2415" t="s">
        <v>162</v>
      </c>
      <c r="W2415" t="s">
        <v>123</v>
      </c>
      <c r="X2415">
        <v>50553</v>
      </c>
      <c r="Y2415" s="1" t="str">
        <f t="shared" si="226"/>
        <v>USA</v>
      </c>
      <c r="Z2415" s="4" t="str">
        <f t="shared" si="227"/>
        <v>Usa</v>
      </c>
      <c r="AA2415" t="s">
        <v>32</v>
      </c>
      <c r="AB2415" t="s">
        <v>33</v>
      </c>
      <c r="AC2415" t="s">
        <v>337</v>
      </c>
      <c r="AD2415" t="s">
        <v>338</v>
      </c>
      <c r="AE2415" t="s">
        <v>36</v>
      </c>
    </row>
    <row r="2416" spans="1:31" x14ac:dyDescent="0.3">
      <c r="A2416">
        <v>10196</v>
      </c>
      <c r="B2416">
        <v>46</v>
      </c>
      <c r="C2416">
        <v>62.09</v>
      </c>
      <c r="D2416">
        <v>7</v>
      </c>
      <c r="E2416" s="4" t="str">
        <f t="shared" si="222"/>
        <v>low sales</v>
      </c>
      <c r="F2416">
        <v>2856.14</v>
      </c>
      <c r="G2416" t="s">
        <v>3088</v>
      </c>
      <c r="H2416" s="1" t="str">
        <f t="shared" si="223"/>
        <v>Shipped</v>
      </c>
      <c r="I2416" s="4" t="str">
        <f t="shared" si="224"/>
        <v>completed</v>
      </c>
      <c r="J2416" t="s">
        <v>25</v>
      </c>
      <c r="K2416">
        <v>4</v>
      </c>
      <c r="L2416">
        <v>11</v>
      </c>
      <c r="M2416">
        <v>2003</v>
      </c>
      <c r="N2416" t="s">
        <v>605</v>
      </c>
      <c r="O2416">
        <v>58</v>
      </c>
      <c r="P2416" t="s">
        <v>659</v>
      </c>
      <c r="Q2416" t="s">
        <v>242</v>
      </c>
      <c r="R2416">
        <v>2035559545</v>
      </c>
      <c r="S2416" t="s">
        <v>243</v>
      </c>
      <c r="U2416" s="1" t="str">
        <f t="shared" si="225"/>
        <v>New Haven</v>
      </c>
      <c r="V2416" t="s">
        <v>244</v>
      </c>
      <c r="W2416" t="s">
        <v>112</v>
      </c>
      <c r="X2416">
        <v>97823</v>
      </c>
      <c r="Y2416" s="1" t="str">
        <f t="shared" si="226"/>
        <v>USA</v>
      </c>
      <c r="Z2416" s="4" t="str">
        <f t="shared" si="227"/>
        <v>Usa</v>
      </c>
      <c r="AA2416" t="s">
        <v>32</v>
      </c>
      <c r="AB2416" t="s">
        <v>33</v>
      </c>
      <c r="AC2416" t="s">
        <v>83</v>
      </c>
      <c r="AD2416" t="s">
        <v>245</v>
      </c>
      <c r="AE2416" t="s">
        <v>36</v>
      </c>
    </row>
    <row r="2417" spans="1:31" x14ac:dyDescent="0.3">
      <c r="A2417">
        <v>10208</v>
      </c>
      <c r="B2417">
        <v>30</v>
      </c>
      <c r="C2417">
        <v>65.61</v>
      </c>
      <c r="D2417">
        <v>15</v>
      </c>
      <c r="E2417" s="4" t="str">
        <f t="shared" si="222"/>
        <v>low sales</v>
      </c>
      <c r="F2417">
        <v>1968.3</v>
      </c>
      <c r="G2417" t="s">
        <v>3089</v>
      </c>
      <c r="H2417" s="1" t="str">
        <f t="shared" si="223"/>
        <v>Shipped</v>
      </c>
      <c r="I2417" s="4" t="str">
        <f t="shared" si="224"/>
        <v>completed</v>
      </c>
      <c r="J2417" t="s">
        <v>25</v>
      </c>
      <c r="K2417">
        <v>1</v>
      </c>
      <c r="L2417">
        <v>1</v>
      </c>
      <c r="M2417">
        <v>2004</v>
      </c>
      <c r="N2417" t="s">
        <v>605</v>
      </c>
      <c r="O2417">
        <v>58</v>
      </c>
      <c r="P2417" t="s">
        <v>659</v>
      </c>
      <c r="Q2417" t="s">
        <v>219</v>
      </c>
      <c r="R2417" t="s">
        <v>220</v>
      </c>
      <c r="S2417" t="s">
        <v>221</v>
      </c>
      <c r="U2417" s="1" t="str">
        <f t="shared" si="225"/>
        <v>Lyon</v>
      </c>
      <c r="V2417" t="s">
        <v>222</v>
      </c>
      <c r="X2417">
        <v>69004</v>
      </c>
      <c r="Y2417" s="1" t="str">
        <f t="shared" si="226"/>
        <v>FRANCE</v>
      </c>
      <c r="Z2417" s="4" t="str">
        <f t="shared" si="227"/>
        <v>France</v>
      </c>
      <c r="AA2417" t="s">
        <v>41</v>
      </c>
      <c r="AB2417" t="s">
        <v>42</v>
      </c>
      <c r="AC2417" t="s">
        <v>223</v>
      </c>
      <c r="AD2417" t="s">
        <v>224</v>
      </c>
      <c r="AE2417" t="s">
        <v>36</v>
      </c>
    </row>
    <row r="2418" spans="1:31" x14ac:dyDescent="0.3">
      <c r="A2418">
        <v>10220</v>
      </c>
      <c r="B2418">
        <v>30</v>
      </c>
      <c r="C2418">
        <v>68.540000000000006</v>
      </c>
      <c r="D2418">
        <v>4</v>
      </c>
      <c r="E2418" s="4" t="str">
        <f t="shared" si="222"/>
        <v>low sales</v>
      </c>
      <c r="F2418">
        <v>2056.1999999999998</v>
      </c>
      <c r="G2418" t="s">
        <v>3090</v>
      </c>
      <c r="H2418" s="1" t="str">
        <f t="shared" si="223"/>
        <v>Shipped</v>
      </c>
      <c r="I2418" s="4" t="str">
        <f t="shared" si="224"/>
        <v>completed</v>
      </c>
      <c r="J2418" t="s">
        <v>25</v>
      </c>
      <c r="K2418">
        <v>1</v>
      </c>
      <c r="L2418">
        <v>2</v>
      </c>
      <c r="M2418">
        <v>2004</v>
      </c>
      <c r="N2418" t="s">
        <v>605</v>
      </c>
      <c r="O2418">
        <v>58</v>
      </c>
      <c r="P2418" t="s">
        <v>659</v>
      </c>
      <c r="Q2418" t="s">
        <v>479</v>
      </c>
      <c r="R2418" t="s">
        <v>480</v>
      </c>
      <c r="S2418" t="s">
        <v>481</v>
      </c>
      <c r="T2418" t="s">
        <v>482</v>
      </c>
      <c r="U2418" s="1" t="str">
        <f t="shared" si="225"/>
        <v>Dublin</v>
      </c>
      <c r="V2418" t="s">
        <v>483</v>
      </c>
      <c r="X2418">
        <v>2</v>
      </c>
      <c r="Y2418" s="1" t="str">
        <f t="shared" si="226"/>
        <v>IRELAND</v>
      </c>
      <c r="Z2418" s="4" t="str">
        <f t="shared" si="227"/>
        <v>Ireland</v>
      </c>
      <c r="AA2418" t="s">
        <v>484</v>
      </c>
      <c r="AB2418" t="s">
        <v>42</v>
      </c>
      <c r="AC2418" t="s">
        <v>485</v>
      </c>
      <c r="AD2418" t="s">
        <v>486</v>
      </c>
      <c r="AE2418" t="s">
        <v>36</v>
      </c>
    </row>
    <row r="2419" spans="1:31" x14ac:dyDescent="0.3">
      <c r="A2419">
        <v>10230</v>
      </c>
      <c r="B2419">
        <v>43</v>
      </c>
      <c r="C2419">
        <v>52.14</v>
      </c>
      <c r="D2419">
        <v>2</v>
      </c>
      <c r="E2419" s="4" t="str">
        <f t="shared" si="222"/>
        <v>low sales</v>
      </c>
      <c r="F2419">
        <v>2242.02</v>
      </c>
      <c r="G2419" t="s">
        <v>3091</v>
      </c>
      <c r="H2419" s="1" t="str">
        <f t="shared" si="223"/>
        <v>Shipped</v>
      </c>
      <c r="I2419" s="4" t="str">
        <f t="shared" si="224"/>
        <v>completed</v>
      </c>
      <c r="J2419" t="s">
        <v>25</v>
      </c>
      <c r="K2419">
        <v>1</v>
      </c>
      <c r="L2419">
        <v>3</v>
      </c>
      <c r="M2419">
        <v>2004</v>
      </c>
      <c r="N2419" t="s">
        <v>605</v>
      </c>
      <c r="O2419">
        <v>58</v>
      </c>
      <c r="P2419" t="s">
        <v>659</v>
      </c>
      <c r="Q2419" t="s">
        <v>462</v>
      </c>
      <c r="R2419" t="s">
        <v>463</v>
      </c>
      <c r="S2419" t="s">
        <v>464</v>
      </c>
      <c r="U2419" s="1" t="str">
        <f t="shared" si="225"/>
        <v>Frankfurt</v>
      </c>
      <c r="V2419" t="s">
        <v>465</v>
      </c>
      <c r="X2419">
        <v>60528</v>
      </c>
      <c r="Y2419" s="1" t="str">
        <f t="shared" si="226"/>
        <v>GERMANY</v>
      </c>
      <c r="Z2419" s="4" t="str">
        <f t="shared" si="227"/>
        <v>Germany</v>
      </c>
      <c r="AA2419" t="s">
        <v>443</v>
      </c>
      <c r="AB2419" t="s">
        <v>42</v>
      </c>
      <c r="AC2419" t="s">
        <v>466</v>
      </c>
      <c r="AD2419" t="s">
        <v>414</v>
      </c>
      <c r="AE2419" t="s">
        <v>36</v>
      </c>
    </row>
    <row r="2420" spans="1:31" x14ac:dyDescent="0.3">
      <c r="A2420">
        <v>10247</v>
      </c>
      <c r="B2420">
        <v>49</v>
      </c>
      <c r="C2420">
        <v>63.85</v>
      </c>
      <c r="D2420">
        <v>4</v>
      </c>
      <c r="E2420" s="4" t="str">
        <f t="shared" si="222"/>
        <v>low sales</v>
      </c>
      <c r="F2420">
        <v>3128.65</v>
      </c>
      <c r="G2420" t="s">
        <v>3092</v>
      </c>
      <c r="H2420" s="1" t="str">
        <f t="shared" si="223"/>
        <v>Shipped</v>
      </c>
      <c r="I2420" s="4" t="str">
        <f t="shared" si="224"/>
        <v>completed</v>
      </c>
      <c r="J2420" t="s">
        <v>25</v>
      </c>
      <c r="K2420">
        <v>2</v>
      </c>
      <c r="L2420">
        <v>5</v>
      </c>
      <c r="M2420">
        <v>2004</v>
      </c>
      <c r="N2420" t="s">
        <v>605</v>
      </c>
      <c r="O2420">
        <v>58</v>
      </c>
      <c r="P2420" t="s">
        <v>659</v>
      </c>
      <c r="Q2420" t="s">
        <v>467</v>
      </c>
      <c r="R2420" t="s">
        <v>468</v>
      </c>
      <c r="S2420" t="s">
        <v>469</v>
      </c>
      <c r="U2420" s="1" t="str">
        <f t="shared" si="225"/>
        <v>Espoo</v>
      </c>
      <c r="V2420" t="s">
        <v>470</v>
      </c>
      <c r="X2420" t="s">
        <v>471</v>
      </c>
      <c r="Y2420" s="1" t="str">
        <f t="shared" si="226"/>
        <v>FINLAND</v>
      </c>
      <c r="Z2420" s="4" t="str">
        <f t="shared" si="227"/>
        <v>Finland</v>
      </c>
      <c r="AA2420" t="s">
        <v>130</v>
      </c>
      <c r="AB2420" t="s">
        <v>42</v>
      </c>
      <c r="AC2420" t="s">
        <v>472</v>
      </c>
      <c r="AD2420" t="s">
        <v>473</v>
      </c>
      <c r="AE2420" t="s">
        <v>51</v>
      </c>
    </row>
    <row r="2421" spans="1:31" x14ac:dyDescent="0.3">
      <c r="A2421">
        <v>10272</v>
      </c>
      <c r="B2421">
        <v>43</v>
      </c>
      <c r="C2421">
        <v>56.82</v>
      </c>
      <c r="D2421">
        <v>4</v>
      </c>
      <c r="E2421" s="4" t="str">
        <f t="shared" si="222"/>
        <v>low sales</v>
      </c>
      <c r="F2421">
        <v>2443.2600000000002</v>
      </c>
      <c r="G2421" t="s">
        <v>3093</v>
      </c>
      <c r="H2421" s="1" t="str">
        <f t="shared" si="223"/>
        <v>Shipped</v>
      </c>
      <c r="I2421" s="4" t="str">
        <f t="shared" si="224"/>
        <v>completed</v>
      </c>
      <c r="J2421" t="s">
        <v>25</v>
      </c>
      <c r="K2421">
        <v>3</v>
      </c>
      <c r="L2421">
        <v>7</v>
      </c>
      <c r="M2421">
        <v>2004</v>
      </c>
      <c r="N2421" t="s">
        <v>605</v>
      </c>
      <c r="O2421">
        <v>58</v>
      </c>
      <c r="P2421" t="s">
        <v>659</v>
      </c>
      <c r="Q2421" t="s">
        <v>139</v>
      </c>
      <c r="R2421">
        <v>2155551555</v>
      </c>
      <c r="S2421" t="s">
        <v>140</v>
      </c>
      <c r="U2421" s="1" t="str">
        <f t="shared" si="225"/>
        <v>Allentown</v>
      </c>
      <c r="V2421" t="s">
        <v>141</v>
      </c>
      <c r="W2421" t="s">
        <v>142</v>
      </c>
      <c r="X2421">
        <v>70267</v>
      </c>
      <c r="Y2421" s="1" t="str">
        <f t="shared" si="226"/>
        <v>USA</v>
      </c>
      <c r="Z2421" s="4" t="str">
        <f t="shared" si="227"/>
        <v>Usa</v>
      </c>
      <c r="AA2421" t="s">
        <v>32</v>
      </c>
      <c r="AB2421" t="s">
        <v>33</v>
      </c>
      <c r="AC2421" t="s">
        <v>34</v>
      </c>
      <c r="AD2421" t="s">
        <v>143</v>
      </c>
      <c r="AE2421" t="s">
        <v>36</v>
      </c>
    </row>
    <row r="2422" spans="1:31" x14ac:dyDescent="0.3">
      <c r="A2422">
        <v>10282</v>
      </c>
      <c r="B2422">
        <v>37</v>
      </c>
      <c r="C2422">
        <v>66.78</v>
      </c>
      <c r="D2422">
        <v>7</v>
      </c>
      <c r="E2422" s="4" t="str">
        <f t="shared" si="222"/>
        <v>low sales</v>
      </c>
      <c r="F2422">
        <v>2470.86</v>
      </c>
      <c r="G2422" t="s">
        <v>3094</v>
      </c>
      <c r="H2422" s="1" t="str">
        <f t="shared" si="223"/>
        <v>Shipped</v>
      </c>
      <c r="I2422" s="4" t="str">
        <f t="shared" si="224"/>
        <v>completed</v>
      </c>
      <c r="J2422" t="s">
        <v>25</v>
      </c>
      <c r="K2422">
        <v>3</v>
      </c>
      <c r="L2422">
        <v>8</v>
      </c>
      <c r="M2422">
        <v>2004</v>
      </c>
      <c r="N2422" t="s">
        <v>605</v>
      </c>
      <c r="O2422">
        <v>58</v>
      </c>
      <c r="P2422" t="s">
        <v>659</v>
      </c>
      <c r="Q2422" t="s">
        <v>272</v>
      </c>
      <c r="R2422">
        <v>4155551450</v>
      </c>
      <c r="S2422" t="s">
        <v>273</v>
      </c>
      <c r="U2422" s="1" t="str">
        <f t="shared" si="225"/>
        <v>San Rafael</v>
      </c>
      <c r="V2422" t="s">
        <v>274</v>
      </c>
      <c r="W2422" t="s">
        <v>55</v>
      </c>
      <c r="X2422">
        <v>97562</v>
      </c>
      <c r="Y2422" s="1" t="str">
        <f t="shared" si="226"/>
        <v>USA</v>
      </c>
      <c r="Z2422" s="4" t="str">
        <f t="shared" si="227"/>
        <v>Usa</v>
      </c>
      <c r="AA2422" t="s">
        <v>32</v>
      </c>
      <c r="AB2422" t="s">
        <v>33</v>
      </c>
      <c r="AC2422" t="s">
        <v>275</v>
      </c>
      <c r="AD2422" t="s">
        <v>276</v>
      </c>
      <c r="AE2422" t="s">
        <v>36</v>
      </c>
    </row>
    <row r="2423" spans="1:31" x14ac:dyDescent="0.3">
      <c r="A2423">
        <v>10292</v>
      </c>
      <c r="B2423">
        <v>35</v>
      </c>
      <c r="C2423">
        <v>55.07</v>
      </c>
      <c r="D2423">
        <v>1</v>
      </c>
      <c r="E2423" s="4" t="str">
        <f t="shared" si="222"/>
        <v>low sales</v>
      </c>
      <c r="F2423">
        <v>1927.45</v>
      </c>
      <c r="G2423" t="s">
        <v>3095</v>
      </c>
      <c r="H2423" s="1" t="str">
        <f t="shared" si="223"/>
        <v>Shipped</v>
      </c>
      <c r="I2423" s="4" t="str">
        <f t="shared" si="224"/>
        <v>completed</v>
      </c>
      <c r="J2423" t="s">
        <v>25</v>
      </c>
      <c r="K2423">
        <v>3</v>
      </c>
      <c r="L2423">
        <v>9</v>
      </c>
      <c r="M2423">
        <v>2004</v>
      </c>
      <c r="N2423" t="s">
        <v>605</v>
      </c>
      <c r="O2423">
        <v>58</v>
      </c>
      <c r="P2423" t="s">
        <v>659</v>
      </c>
      <c r="Q2423" t="s">
        <v>28</v>
      </c>
      <c r="R2423">
        <v>2125557818</v>
      </c>
      <c r="S2423" t="s">
        <v>29</v>
      </c>
      <c r="U2423" s="1" t="str">
        <f t="shared" si="225"/>
        <v>Nyc</v>
      </c>
      <c r="V2423" t="s">
        <v>30</v>
      </c>
      <c r="W2423" t="s">
        <v>31</v>
      </c>
      <c r="X2423">
        <v>10022</v>
      </c>
      <c r="Y2423" s="1" t="str">
        <f t="shared" si="226"/>
        <v>USA</v>
      </c>
      <c r="Z2423" s="4" t="str">
        <f t="shared" si="227"/>
        <v>Usa</v>
      </c>
      <c r="AA2423" t="s">
        <v>32</v>
      </c>
      <c r="AB2423" t="s">
        <v>33</v>
      </c>
      <c r="AC2423" t="s">
        <v>34</v>
      </c>
      <c r="AD2423" t="s">
        <v>35</v>
      </c>
      <c r="AE2423" t="s">
        <v>36</v>
      </c>
    </row>
    <row r="2424" spans="1:31" x14ac:dyDescent="0.3">
      <c r="A2424">
        <v>10306</v>
      </c>
      <c r="B2424">
        <v>34</v>
      </c>
      <c r="C2424">
        <v>60.34</v>
      </c>
      <c r="D2424">
        <v>15</v>
      </c>
      <c r="E2424" s="4" t="str">
        <f t="shared" si="222"/>
        <v>low sales</v>
      </c>
      <c r="F2424">
        <v>2051.56</v>
      </c>
      <c r="G2424" t="s">
        <v>3096</v>
      </c>
      <c r="H2424" s="1" t="str">
        <f t="shared" si="223"/>
        <v>Shipped</v>
      </c>
      <c r="I2424" s="4" t="str">
        <f t="shared" si="224"/>
        <v>completed</v>
      </c>
      <c r="J2424" t="s">
        <v>25</v>
      </c>
      <c r="K2424">
        <v>4</v>
      </c>
      <c r="L2424">
        <v>10</v>
      </c>
      <c r="M2424">
        <v>2004</v>
      </c>
      <c r="N2424" t="s">
        <v>605</v>
      </c>
      <c r="O2424">
        <v>58</v>
      </c>
      <c r="P2424" t="s">
        <v>659</v>
      </c>
      <c r="Q2424" t="s">
        <v>492</v>
      </c>
      <c r="R2424" t="s">
        <v>493</v>
      </c>
      <c r="S2424" t="s">
        <v>494</v>
      </c>
      <c r="U2424" s="1" t="str">
        <f t="shared" si="225"/>
        <v>Manchester</v>
      </c>
      <c r="V2424" t="s">
        <v>495</v>
      </c>
      <c r="X2424" t="s">
        <v>496</v>
      </c>
      <c r="Y2424" s="1" t="str">
        <f t="shared" si="226"/>
        <v>UK</v>
      </c>
      <c r="Z2424" s="4" t="str">
        <f t="shared" si="227"/>
        <v>Uk</v>
      </c>
      <c r="AA2424" t="s">
        <v>170</v>
      </c>
      <c r="AB2424" t="s">
        <v>42</v>
      </c>
      <c r="AC2424" t="s">
        <v>497</v>
      </c>
      <c r="AD2424" t="s">
        <v>94</v>
      </c>
      <c r="AE2424" t="s">
        <v>36</v>
      </c>
    </row>
    <row r="2425" spans="1:31" x14ac:dyDescent="0.3">
      <c r="A2425">
        <v>10314</v>
      </c>
      <c r="B2425">
        <v>38</v>
      </c>
      <c r="C2425">
        <v>61.51</v>
      </c>
      <c r="D2425">
        <v>7</v>
      </c>
      <c r="E2425" s="4" t="str">
        <f t="shared" si="222"/>
        <v>low sales</v>
      </c>
      <c r="F2425">
        <v>2337.38</v>
      </c>
      <c r="G2425" t="s">
        <v>3097</v>
      </c>
      <c r="H2425" s="1" t="str">
        <f t="shared" si="223"/>
        <v>Shipped</v>
      </c>
      <c r="I2425" s="4" t="str">
        <f t="shared" si="224"/>
        <v>completed</v>
      </c>
      <c r="J2425" t="s">
        <v>25</v>
      </c>
      <c r="K2425">
        <v>4</v>
      </c>
      <c r="L2425">
        <v>10</v>
      </c>
      <c r="M2425">
        <v>2004</v>
      </c>
      <c r="N2425" t="s">
        <v>605</v>
      </c>
      <c r="O2425">
        <v>58</v>
      </c>
      <c r="P2425" t="s">
        <v>659</v>
      </c>
      <c r="Q2425" t="s">
        <v>498</v>
      </c>
      <c r="R2425" t="s">
        <v>499</v>
      </c>
      <c r="S2425" t="s">
        <v>500</v>
      </c>
      <c r="U2425" s="1" t="str">
        <f t="shared" si="225"/>
        <v>Aaarhus</v>
      </c>
      <c r="V2425" t="s">
        <v>501</v>
      </c>
      <c r="X2425">
        <v>8200</v>
      </c>
      <c r="Y2425" s="1" t="str">
        <f t="shared" si="226"/>
        <v>DENMARK</v>
      </c>
      <c r="Z2425" s="4" t="str">
        <f t="shared" si="227"/>
        <v>Denmark</v>
      </c>
      <c r="AA2425" t="s">
        <v>326</v>
      </c>
      <c r="AB2425" t="s">
        <v>42</v>
      </c>
      <c r="AC2425" t="s">
        <v>502</v>
      </c>
      <c r="AD2425" t="s">
        <v>503</v>
      </c>
      <c r="AE2425" t="s">
        <v>36</v>
      </c>
    </row>
    <row r="2426" spans="1:31" x14ac:dyDescent="0.3">
      <c r="A2426">
        <v>10325</v>
      </c>
      <c r="B2426">
        <v>44</v>
      </c>
      <c r="C2426">
        <v>100</v>
      </c>
      <c r="D2426">
        <v>7</v>
      </c>
      <c r="E2426" s="4" t="str">
        <f t="shared" si="222"/>
        <v>high sales</v>
      </c>
      <c r="F2426">
        <v>5932.96</v>
      </c>
      <c r="G2426" t="s">
        <v>3098</v>
      </c>
      <c r="H2426" s="1" t="str">
        <f t="shared" si="223"/>
        <v>Shipped</v>
      </c>
      <c r="I2426" s="4" t="str">
        <f t="shared" si="224"/>
        <v>completed</v>
      </c>
      <c r="J2426" t="s">
        <v>25</v>
      </c>
      <c r="K2426">
        <v>4</v>
      </c>
      <c r="L2426">
        <v>11</v>
      </c>
      <c r="M2426">
        <v>2004</v>
      </c>
      <c r="N2426" t="s">
        <v>605</v>
      </c>
      <c r="O2426">
        <v>58</v>
      </c>
      <c r="P2426" t="s">
        <v>659</v>
      </c>
      <c r="Q2426" t="s">
        <v>133</v>
      </c>
      <c r="R2426" t="s">
        <v>134</v>
      </c>
      <c r="S2426" t="s">
        <v>135</v>
      </c>
      <c r="U2426" s="1" t="str">
        <f t="shared" si="225"/>
        <v>Stavern</v>
      </c>
      <c r="V2426" t="s">
        <v>136</v>
      </c>
      <c r="X2426">
        <v>4110</v>
      </c>
      <c r="Y2426" s="1" t="str">
        <f t="shared" si="226"/>
        <v>NORWAY</v>
      </c>
      <c r="Z2426" s="4" t="str">
        <f t="shared" si="227"/>
        <v>Norway</v>
      </c>
      <c r="AA2426" t="s">
        <v>78</v>
      </c>
      <c r="AB2426" t="s">
        <v>42</v>
      </c>
      <c r="AC2426" t="s">
        <v>137</v>
      </c>
      <c r="AD2426" t="s">
        <v>138</v>
      </c>
      <c r="AE2426" t="s">
        <v>51</v>
      </c>
    </row>
    <row r="2427" spans="1:31" x14ac:dyDescent="0.3">
      <c r="A2427">
        <v>10337</v>
      </c>
      <c r="B2427">
        <v>21</v>
      </c>
      <c r="C2427">
        <v>100</v>
      </c>
      <c r="D2427">
        <v>6</v>
      </c>
      <c r="E2427" s="4" t="str">
        <f t="shared" si="222"/>
        <v>low sales</v>
      </c>
      <c r="F2427">
        <v>2296.77</v>
      </c>
      <c r="G2427" t="s">
        <v>3099</v>
      </c>
      <c r="H2427" s="1" t="str">
        <f t="shared" si="223"/>
        <v>Shipped</v>
      </c>
      <c r="I2427" s="4" t="str">
        <f t="shared" si="224"/>
        <v>completed</v>
      </c>
      <c r="J2427" t="s">
        <v>25</v>
      </c>
      <c r="K2427">
        <v>4</v>
      </c>
      <c r="L2427">
        <v>11</v>
      </c>
      <c r="M2427">
        <v>2004</v>
      </c>
      <c r="N2427" t="s">
        <v>605</v>
      </c>
      <c r="O2427">
        <v>58</v>
      </c>
      <c r="P2427" t="s">
        <v>659</v>
      </c>
      <c r="Q2427" t="s">
        <v>203</v>
      </c>
      <c r="R2427">
        <v>2125558493</v>
      </c>
      <c r="S2427" t="s">
        <v>204</v>
      </c>
      <c r="T2427" t="s">
        <v>205</v>
      </c>
      <c r="U2427" s="1" t="str">
        <f t="shared" si="225"/>
        <v>Nyc</v>
      </c>
      <c r="V2427" t="s">
        <v>30</v>
      </c>
      <c r="W2427" t="s">
        <v>31</v>
      </c>
      <c r="X2427">
        <v>10022</v>
      </c>
      <c r="Y2427" s="1" t="str">
        <f t="shared" si="226"/>
        <v>USA</v>
      </c>
      <c r="Z2427" s="4" t="str">
        <f t="shared" si="227"/>
        <v>Usa</v>
      </c>
      <c r="AA2427" t="s">
        <v>32</v>
      </c>
      <c r="AB2427" t="s">
        <v>33</v>
      </c>
      <c r="AC2427" t="s">
        <v>124</v>
      </c>
      <c r="AD2427" t="s">
        <v>206</v>
      </c>
      <c r="AE2427" t="s">
        <v>36</v>
      </c>
    </row>
    <row r="2428" spans="1:31" x14ac:dyDescent="0.3">
      <c r="A2428">
        <v>10350</v>
      </c>
      <c r="B2428">
        <v>44</v>
      </c>
      <c r="C2428">
        <v>100</v>
      </c>
      <c r="D2428">
        <v>17</v>
      </c>
      <c r="E2428" s="4" t="str">
        <f t="shared" si="222"/>
        <v>high sales</v>
      </c>
      <c r="F2428">
        <v>6490.88</v>
      </c>
      <c r="G2428" t="s">
        <v>3100</v>
      </c>
      <c r="H2428" s="1" t="str">
        <f t="shared" si="223"/>
        <v>Shipped</v>
      </c>
      <c r="I2428" s="4" t="str">
        <f t="shared" si="224"/>
        <v>completed</v>
      </c>
      <c r="J2428" t="s">
        <v>25</v>
      </c>
      <c r="K2428">
        <v>4</v>
      </c>
      <c r="L2428">
        <v>12</v>
      </c>
      <c r="M2428">
        <v>2004</v>
      </c>
      <c r="N2428" t="s">
        <v>605</v>
      </c>
      <c r="O2428">
        <v>58</v>
      </c>
      <c r="P2428" t="s">
        <v>659</v>
      </c>
      <c r="Q2428" t="s">
        <v>174</v>
      </c>
      <c r="R2428" t="s">
        <v>175</v>
      </c>
      <c r="S2428" t="s">
        <v>176</v>
      </c>
      <c r="U2428" s="1" t="str">
        <f t="shared" si="225"/>
        <v>Madrid</v>
      </c>
      <c r="V2428" t="s">
        <v>177</v>
      </c>
      <c r="X2428">
        <v>28034</v>
      </c>
      <c r="Y2428" s="1" t="str">
        <f t="shared" si="226"/>
        <v>SPAIN</v>
      </c>
      <c r="Z2428" s="4" t="str">
        <f t="shared" si="227"/>
        <v>Spain</v>
      </c>
      <c r="AA2428" t="s">
        <v>178</v>
      </c>
      <c r="AB2428" t="s">
        <v>42</v>
      </c>
      <c r="AC2428" t="s">
        <v>179</v>
      </c>
      <c r="AD2428" t="s">
        <v>180</v>
      </c>
      <c r="AE2428" t="s">
        <v>51</v>
      </c>
    </row>
    <row r="2429" spans="1:31" x14ac:dyDescent="0.3">
      <c r="A2429">
        <v>10359</v>
      </c>
      <c r="B2429">
        <v>25</v>
      </c>
      <c r="C2429">
        <v>64.930000000000007</v>
      </c>
      <c r="D2429">
        <v>4</v>
      </c>
      <c r="E2429" s="4" t="str">
        <f t="shared" si="222"/>
        <v>low sales</v>
      </c>
      <c r="F2429">
        <v>1623.25</v>
      </c>
      <c r="G2429" t="s">
        <v>3101</v>
      </c>
      <c r="H2429" s="1" t="str">
        <f t="shared" si="223"/>
        <v>Shipped</v>
      </c>
      <c r="I2429" s="4" t="str">
        <f t="shared" si="224"/>
        <v>completed</v>
      </c>
      <c r="J2429" t="s">
        <v>25</v>
      </c>
      <c r="K2429">
        <v>4</v>
      </c>
      <c r="L2429">
        <v>12</v>
      </c>
      <c r="M2429">
        <v>2004</v>
      </c>
      <c r="N2429" t="s">
        <v>605</v>
      </c>
      <c r="O2429">
        <v>58</v>
      </c>
      <c r="P2429" t="s">
        <v>659</v>
      </c>
      <c r="Q2429" t="s">
        <v>37</v>
      </c>
      <c r="R2429" t="s">
        <v>38</v>
      </c>
      <c r="S2429" t="s">
        <v>39</v>
      </c>
      <c r="U2429" s="1" t="str">
        <f t="shared" si="225"/>
        <v>Reims</v>
      </c>
      <c r="V2429" t="s">
        <v>40</v>
      </c>
      <c r="X2429">
        <v>51100</v>
      </c>
      <c r="Y2429" s="1" t="str">
        <f t="shared" si="226"/>
        <v>FRANCE</v>
      </c>
      <c r="Z2429" s="4" t="str">
        <f t="shared" si="227"/>
        <v>France</v>
      </c>
      <c r="AA2429" t="s">
        <v>41</v>
      </c>
      <c r="AB2429" t="s">
        <v>42</v>
      </c>
      <c r="AC2429" t="s">
        <v>43</v>
      </c>
      <c r="AD2429" t="s">
        <v>44</v>
      </c>
      <c r="AE2429" t="s">
        <v>36</v>
      </c>
    </row>
    <row r="2430" spans="1:31" x14ac:dyDescent="0.3">
      <c r="A2430">
        <v>10372</v>
      </c>
      <c r="B2430">
        <v>24</v>
      </c>
      <c r="C2430">
        <v>58.58</v>
      </c>
      <c r="D2430">
        <v>9</v>
      </c>
      <c r="E2430" s="4" t="str">
        <f t="shared" si="222"/>
        <v>low sales</v>
      </c>
      <c r="F2430">
        <v>1405.92</v>
      </c>
      <c r="G2430" t="s">
        <v>3102</v>
      </c>
      <c r="H2430" s="1" t="str">
        <f t="shared" si="223"/>
        <v>Shipped</v>
      </c>
      <c r="I2430" s="4" t="str">
        <f t="shared" si="224"/>
        <v>completed</v>
      </c>
      <c r="J2430" t="s">
        <v>25</v>
      </c>
      <c r="K2430">
        <v>1</v>
      </c>
      <c r="L2430">
        <v>1</v>
      </c>
      <c r="M2430">
        <v>2005</v>
      </c>
      <c r="N2430" t="s">
        <v>605</v>
      </c>
      <c r="O2430">
        <v>58</v>
      </c>
      <c r="P2430" t="s">
        <v>659</v>
      </c>
      <c r="Q2430" t="s">
        <v>246</v>
      </c>
      <c r="R2430" t="s">
        <v>247</v>
      </c>
      <c r="S2430" t="s">
        <v>248</v>
      </c>
      <c r="U2430" s="1" t="str">
        <f t="shared" si="225"/>
        <v>Minato-Ku</v>
      </c>
      <c r="V2430" t="s">
        <v>249</v>
      </c>
      <c r="W2430" t="s">
        <v>250</v>
      </c>
      <c r="X2430" t="s">
        <v>251</v>
      </c>
      <c r="Y2430" s="1" t="str">
        <f t="shared" si="226"/>
        <v>JAPAN</v>
      </c>
      <c r="Z2430" s="4" t="str">
        <f t="shared" si="227"/>
        <v>Japan</v>
      </c>
      <c r="AA2430" t="s">
        <v>200</v>
      </c>
      <c r="AB2430" t="s">
        <v>200</v>
      </c>
      <c r="AC2430" t="s">
        <v>252</v>
      </c>
      <c r="AD2430" t="s">
        <v>253</v>
      </c>
      <c r="AE2430" t="s">
        <v>36</v>
      </c>
    </row>
    <row r="2431" spans="1:31" x14ac:dyDescent="0.3">
      <c r="A2431">
        <v>10383</v>
      </c>
      <c r="B2431">
        <v>38</v>
      </c>
      <c r="C2431">
        <v>60.06</v>
      </c>
      <c r="D2431">
        <v>10</v>
      </c>
      <c r="E2431" s="4" t="str">
        <f t="shared" si="222"/>
        <v>low sales</v>
      </c>
      <c r="F2431">
        <v>2282.2800000000002</v>
      </c>
      <c r="G2431" t="s">
        <v>3103</v>
      </c>
      <c r="H2431" s="1" t="str">
        <f t="shared" si="223"/>
        <v>Shipped</v>
      </c>
      <c r="I2431" s="4" t="str">
        <f t="shared" si="224"/>
        <v>completed</v>
      </c>
      <c r="J2431" t="s">
        <v>25</v>
      </c>
      <c r="K2431">
        <v>1</v>
      </c>
      <c r="L2431">
        <v>2</v>
      </c>
      <c r="M2431">
        <v>2005</v>
      </c>
      <c r="N2431" t="s">
        <v>605</v>
      </c>
      <c r="O2431">
        <v>58</v>
      </c>
      <c r="P2431" t="s">
        <v>659</v>
      </c>
      <c r="Q2431" t="s">
        <v>174</v>
      </c>
      <c r="R2431" t="s">
        <v>175</v>
      </c>
      <c r="S2431" t="s">
        <v>176</v>
      </c>
      <c r="U2431" s="1" t="str">
        <f t="shared" si="225"/>
        <v>Madrid</v>
      </c>
      <c r="V2431" t="s">
        <v>177</v>
      </c>
      <c r="X2431">
        <v>28034</v>
      </c>
      <c r="Y2431" s="1" t="str">
        <f t="shared" si="226"/>
        <v>SPAIN</v>
      </c>
      <c r="Z2431" s="4" t="str">
        <f t="shared" si="227"/>
        <v>Spain</v>
      </c>
      <c r="AA2431" t="s">
        <v>178</v>
      </c>
      <c r="AB2431" t="s">
        <v>42</v>
      </c>
      <c r="AC2431" t="s">
        <v>179</v>
      </c>
      <c r="AD2431" t="s">
        <v>180</v>
      </c>
      <c r="AE2431" t="s">
        <v>36</v>
      </c>
    </row>
    <row r="2432" spans="1:31" x14ac:dyDescent="0.3">
      <c r="A2432">
        <v>10395</v>
      </c>
      <c r="B2432">
        <v>45</v>
      </c>
      <c r="C2432">
        <v>100</v>
      </c>
      <c r="D2432">
        <v>3</v>
      </c>
      <c r="E2432" s="4" t="str">
        <f t="shared" si="222"/>
        <v>high sales</v>
      </c>
      <c r="F2432">
        <v>8977.0499999999993</v>
      </c>
      <c r="G2432" t="s">
        <v>3104</v>
      </c>
      <c r="H2432" s="1" t="str">
        <f t="shared" si="223"/>
        <v>Shipped</v>
      </c>
      <c r="I2432" s="4" t="str">
        <f t="shared" si="224"/>
        <v>completed</v>
      </c>
      <c r="J2432" t="s">
        <v>25</v>
      </c>
      <c r="K2432">
        <v>1</v>
      </c>
      <c r="L2432">
        <v>3</v>
      </c>
      <c r="M2432">
        <v>2005</v>
      </c>
      <c r="N2432" t="s">
        <v>605</v>
      </c>
      <c r="O2432">
        <v>58</v>
      </c>
      <c r="P2432" t="s">
        <v>659</v>
      </c>
      <c r="Q2432" t="s">
        <v>45</v>
      </c>
      <c r="R2432" t="s">
        <v>46</v>
      </c>
      <c r="S2432" t="s">
        <v>47</v>
      </c>
      <c r="U2432" s="1" t="str">
        <f t="shared" si="225"/>
        <v>Paris</v>
      </c>
      <c r="V2432" t="s">
        <v>48</v>
      </c>
      <c r="X2432">
        <v>75508</v>
      </c>
      <c r="Y2432" s="1" t="str">
        <f t="shared" si="226"/>
        <v>FRANCE</v>
      </c>
      <c r="Z2432" s="4" t="str">
        <f t="shared" si="227"/>
        <v>France</v>
      </c>
      <c r="AA2432" t="s">
        <v>41</v>
      </c>
      <c r="AB2432" t="s">
        <v>42</v>
      </c>
      <c r="AC2432" t="s">
        <v>49</v>
      </c>
      <c r="AD2432" t="s">
        <v>50</v>
      </c>
      <c r="AE2432" t="s">
        <v>151</v>
      </c>
    </row>
    <row r="2433" spans="1:31" x14ac:dyDescent="0.3">
      <c r="A2433">
        <v>10413</v>
      </c>
      <c r="B2433">
        <v>51</v>
      </c>
      <c r="C2433">
        <v>63.85</v>
      </c>
      <c r="D2433">
        <v>4</v>
      </c>
      <c r="E2433" s="4" t="str">
        <f t="shared" si="222"/>
        <v>low sales</v>
      </c>
      <c r="F2433">
        <v>3256.35</v>
      </c>
      <c r="G2433" t="s">
        <v>3105</v>
      </c>
      <c r="H2433" s="1" t="str">
        <f t="shared" si="223"/>
        <v>Shipped</v>
      </c>
      <c r="I2433" s="4" t="str">
        <f t="shared" si="224"/>
        <v>completed</v>
      </c>
      <c r="J2433" t="s">
        <v>25</v>
      </c>
      <c r="K2433">
        <v>2</v>
      </c>
      <c r="L2433">
        <v>5</v>
      </c>
      <c r="M2433">
        <v>2005</v>
      </c>
      <c r="N2433" t="s">
        <v>605</v>
      </c>
      <c r="O2433">
        <v>58</v>
      </c>
      <c r="P2433" t="s">
        <v>659</v>
      </c>
      <c r="Q2433" t="s">
        <v>109</v>
      </c>
      <c r="R2433">
        <v>2035552570</v>
      </c>
      <c r="S2433" t="s">
        <v>110</v>
      </c>
      <c r="U2433" s="1" t="str">
        <f t="shared" si="225"/>
        <v>Bridgewater</v>
      </c>
      <c r="V2433" t="s">
        <v>111</v>
      </c>
      <c r="W2433" t="s">
        <v>112</v>
      </c>
      <c r="X2433">
        <v>97562</v>
      </c>
      <c r="Y2433" s="1" t="str">
        <f t="shared" si="226"/>
        <v>USA</v>
      </c>
      <c r="Z2433" s="4" t="str">
        <f t="shared" si="227"/>
        <v>Usa</v>
      </c>
      <c r="AA2433" t="s">
        <v>32</v>
      </c>
      <c r="AB2433" t="s">
        <v>33</v>
      </c>
      <c r="AC2433" t="s">
        <v>113</v>
      </c>
      <c r="AD2433" t="s">
        <v>57</v>
      </c>
      <c r="AE2433" t="s">
        <v>51</v>
      </c>
    </row>
    <row r="2434" spans="1:31" x14ac:dyDescent="0.3">
      <c r="A2434">
        <v>10108</v>
      </c>
      <c r="B2434">
        <v>34</v>
      </c>
      <c r="C2434">
        <v>82.99</v>
      </c>
      <c r="D2434">
        <v>14</v>
      </c>
      <c r="E2434" s="4" t="str">
        <f t="shared" si="222"/>
        <v>low sales</v>
      </c>
      <c r="F2434">
        <v>2821.66</v>
      </c>
      <c r="G2434" t="s">
        <v>3106</v>
      </c>
      <c r="H2434" s="1" t="str">
        <f t="shared" si="223"/>
        <v>Shipped</v>
      </c>
      <c r="I2434" s="4" t="str">
        <f t="shared" si="224"/>
        <v>completed</v>
      </c>
      <c r="J2434" t="s">
        <v>25</v>
      </c>
      <c r="K2434">
        <v>1</v>
      </c>
      <c r="L2434">
        <v>3</v>
      </c>
      <c r="M2434">
        <v>2003</v>
      </c>
      <c r="N2434" t="s">
        <v>26</v>
      </c>
      <c r="O2434">
        <v>81</v>
      </c>
      <c r="P2434" t="s">
        <v>660</v>
      </c>
      <c r="Q2434" t="s">
        <v>425</v>
      </c>
      <c r="R2434" t="s">
        <v>426</v>
      </c>
      <c r="S2434" t="s">
        <v>427</v>
      </c>
      <c r="U2434" s="1" t="str">
        <f t="shared" si="225"/>
        <v>Makati City</v>
      </c>
      <c r="V2434" t="s">
        <v>428</v>
      </c>
      <c r="X2434" t="s">
        <v>429</v>
      </c>
      <c r="Y2434" s="1" t="str">
        <f t="shared" si="226"/>
        <v>PHILIPPINES</v>
      </c>
      <c r="Z2434" s="4" t="str">
        <f t="shared" si="227"/>
        <v>Philippines</v>
      </c>
      <c r="AA2434" t="s">
        <v>430</v>
      </c>
      <c r="AB2434" t="s">
        <v>200</v>
      </c>
      <c r="AC2434" t="s">
        <v>431</v>
      </c>
      <c r="AD2434" t="s">
        <v>432</v>
      </c>
      <c r="AE2434" t="s">
        <v>36</v>
      </c>
    </row>
    <row r="2435" spans="1:31" x14ac:dyDescent="0.3">
      <c r="A2435">
        <v>10121</v>
      </c>
      <c r="B2435">
        <v>44</v>
      </c>
      <c r="C2435">
        <v>74.849999999999994</v>
      </c>
      <c r="D2435">
        <v>1</v>
      </c>
      <c r="E2435" s="4" t="str">
        <f t="shared" ref="E2435:E2498" si="228">IF(F2435&gt;4000,"high sales","low sales")</f>
        <v>low sales</v>
      </c>
      <c r="F2435">
        <v>3293.4</v>
      </c>
      <c r="G2435" t="s">
        <v>3107</v>
      </c>
      <c r="H2435" s="1" t="str">
        <f t="shared" ref="H2435:H2498" si="229">PROPER(TRIM(J2435))</f>
        <v>Shipped</v>
      </c>
      <c r="I2435" s="4" t="str">
        <f t="shared" ref="I2435:I2498" si="230">IF(J2435="shipped","completed","not completed")</f>
        <v>completed</v>
      </c>
      <c r="J2435" t="s">
        <v>25</v>
      </c>
      <c r="K2435">
        <v>2</v>
      </c>
      <c r="L2435">
        <v>5</v>
      </c>
      <c r="M2435">
        <v>2003</v>
      </c>
      <c r="N2435" t="s">
        <v>26</v>
      </c>
      <c r="O2435">
        <v>81</v>
      </c>
      <c r="P2435" t="s">
        <v>660</v>
      </c>
      <c r="Q2435" t="s">
        <v>37</v>
      </c>
      <c r="R2435" t="s">
        <v>38</v>
      </c>
      <c r="S2435" t="s">
        <v>39</v>
      </c>
      <c r="U2435" s="1" t="str">
        <f t="shared" ref="U2435:U2498" si="231">PROPER(TRIM(V2435))</f>
        <v>Reims</v>
      </c>
      <c r="V2435" t="s">
        <v>40</v>
      </c>
      <c r="X2435">
        <v>51100</v>
      </c>
      <c r="Y2435" s="1" t="str">
        <f t="shared" ref="Y2435:Y2498" si="232">UPPER(TRIM(AA2435))</f>
        <v>FRANCE</v>
      </c>
      <c r="Z2435" s="4" t="str">
        <f t="shared" ref="Z2435:Z2498" si="233">PROPER(TRIM(AA2435))</f>
        <v>France</v>
      </c>
      <c r="AA2435" t="s">
        <v>41</v>
      </c>
      <c r="AB2435" t="s">
        <v>42</v>
      </c>
      <c r="AC2435" t="s">
        <v>43</v>
      </c>
      <c r="AD2435" t="s">
        <v>44</v>
      </c>
      <c r="AE2435" t="s">
        <v>51</v>
      </c>
    </row>
    <row r="2436" spans="1:31" x14ac:dyDescent="0.3">
      <c r="A2436">
        <v>10135</v>
      </c>
      <c r="B2436">
        <v>44</v>
      </c>
      <c r="C2436">
        <v>96</v>
      </c>
      <c r="D2436">
        <v>15</v>
      </c>
      <c r="E2436" s="4" t="str">
        <f t="shared" si="228"/>
        <v>high sales</v>
      </c>
      <c r="F2436">
        <v>4224</v>
      </c>
      <c r="G2436" t="s">
        <v>3108</v>
      </c>
      <c r="H2436" s="1" t="str">
        <f t="shared" si="229"/>
        <v>Shipped</v>
      </c>
      <c r="I2436" s="4" t="str">
        <f t="shared" si="230"/>
        <v>completed</v>
      </c>
      <c r="J2436" t="s">
        <v>25</v>
      </c>
      <c r="K2436">
        <v>3</v>
      </c>
      <c r="L2436">
        <v>7</v>
      </c>
      <c r="M2436">
        <v>2003</v>
      </c>
      <c r="N2436" t="s">
        <v>26</v>
      </c>
      <c r="O2436">
        <v>81</v>
      </c>
      <c r="P2436" t="s">
        <v>660</v>
      </c>
      <c r="Q2436" t="s">
        <v>272</v>
      </c>
      <c r="R2436">
        <v>4155551450</v>
      </c>
      <c r="S2436" t="s">
        <v>273</v>
      </c>
      <c r="U2436" s="1" t="str">
        <f t="shared" si="231"/>
        <v>San Rafael</v>
      </c>
      <c r="V2436" t="s">
        <v>274</v>
      </c>
      <c r="W2436" t="s">
        <v>55</v>
      </c>
      <c r="X2436">
        <v>97562</v>
      </c>
      <c r="Y2436" s="1" t="str">
        <f t="shared" si="232"/>
        <v>USA</v>
      </c>
      <c r="Z2436" s="4" t="str">
        <f t="shared" si="233"/>
        <v>Usa</v>
      </c>
      <c r="AA2436" t="s">
        <v>32</v>
      </c>
      <c r="AB2436" t="s">
        <v>33</v>
      </c>
      <c r="AC2436" t="s">
        <v>275</v>
      </c>
      <c r="AD2436" t="s">
        <v>276</v>
      </c>
      <c r="AE2436" t="s">
        <v>51</v>
      </c>
    </row>
    <row r="2437" spans="1:31" x14ac:dyDescent="0.3">
      <c r="A2437">
        <v>10145</v>
      </c>
      <c r="B2437">
        <v>38</v>
      </c>
      <c r="C2437">
        <v>81.36</v>
      </c>
      <c r="D2437">
        <v>2</v>
      </c>
      <c r="E2437" s="4" t="str">
        <f t="shared" si="228"/>
        <v>low sales</v>
      </c>
      <c r="F2437">
        <v>3091.68</v>
      </c>
      <c r="G2437" t="s">
        <v>3109</v>
      </c>
      <c r="H2437" s="1" t="str">
        <f t="shared" si="229"/>
        <v>Shipped</v>
      </c>
      <c r="I2437" s="4" t="str">
        <f t="shared" si="230"/>
        <v>completed</v>
      </c>
      <c r="J2437" t="s">
        <v>25</v>
      </c>
      <c r="K2437">
        <v>3</v>
      </c>
      <c r="L2437">
        <v>8</v>
      </c>
      <c r="M2437">
        <v>2003</v>
      </c>
      <c r="N2437" t="s">
        <v>26</v>
      </c>
      <c r="O2437">
        <v>81</v>
      </c>
      <c r="P2437" t="s">
        <v>660</v>
      </c>
      <c r="Q2437" t="s">
        <v>52</v>
      </c>
      <c r="R2437">
        <v>6265557265</v>
      </c>
      <c r="S2437" t="s">
        <v>53</v>
      </c>
      <c r="U2437" s="1" t="str">
        <f t="shared" si="231"/>
        <v>Pasadena</v>
      </c>
      <c r="V2437" t="s">
        <v>54</v>
      </c>
      <c r="W2437" t="s">
        <v>55</v>
      </c>
      <c r="X2437">
        <v>90003</v>
      </c>
      <c r="Y2437" s="1" t="str">
        <f t="shared" si="232"/>
        <v>USA</v>
      </c>
      <c r="Z2437" s="4" t="str">
        <f t="shared" si="233"/>
        <v>Usa</v>
      </c>
      <c r="AA2437" t="s">
        <v>32</v>
      </c>
      <c r="AB2437" t="s">
        <v>33</v>
      </c>
      <c r="AC2437" t="s">
        <v>56</v>
      </c>
      <c r="AD2437" t="s">
        <v>57</v>
      </c>
      <c r="AE2437" t="s">
        <v>51</v>
      </c>
    </row>
    <row r="2438" spans="1:31" x14ac:dyDescent="0.3">
      <c r="A2438">
        <v>10159</v>
      </c>
      <c r="B2438">
        <v>31</v>
      </c>
      <c r="C2438">
        <v>71.599999999999994</v>
      </c>
      <c r="D2438">
        <v>10</v>
      </c>
      <c r="E2438" s="4" t="str">
        <f t="shared" si="228"/>
        <v>low sales</v>
      </c>
      <c r="F2438">
        <v>2219.6</v>
      </c>
      <c r="G2438" t="s">
        <v>3110</v>
      </c>
      <c r="H2438" s="1" t="str">
        <f t="shared" si="229"/>
        <v>Shipped</v>
      </c>
      <c r="I2438" s="4" t="str">
        <f t="shared" si="230"/>
        <v>completed</v>
      </c>
      <c r="J2438" t="s">
        <v>25</v>
      </c>
      <c r="K2438">
        <v>4</v>
      </c>
      <c r="L2438">
        <v>10</v>
      </c>
      <c r="M2438">
        <v>2003</v>
      </c>
      <c r="N2438" t="s">
        <v>26</v>
      </c>
      <c r="O2438">
        <v>81</v>
      </c>
      <c r="P2438" t="s">
        <v>660</v>
      </c>
      <c r="Q2438" t="s">
        <v>58</v>
      </c>
      <c r="R2438">
        <v>6505551386</v>
      </c>
      <c r="S2438" t="s">
        <v>59</v>
      </c>
      <c r="U2438" s="1" t="str">
        <f t="shared" si="231"/>
        <v>San Francisco</v>
      </c>
      <c r="V2438" t="s">
        <v>60</v>
      </c>
      <c r="W2438" t="s">
        <v>55</v>
      </c>
      <c r="Y2438" s="1" t="str">
        <f t="shared" si="232"/>
        <v>USA</v>
      </c>
      <c r="Z2438" s="4" t="str">
        <f t="shared" si="233"/>
        <v>Usa</v>
      </c>
      <c r="AA2438" t="s">
        <v>32</v>
      </c>
      <c r="AB2438" t="s">
        <v>33</v>
      </c>
      <c r="AC2438" t="s">
        <v>61</v>
      </c>
      <c r="AD2438" t="s">
        <v>57</v>
      </c>
      <c r="AE2438" t="s">
        <v>36</v>
      </c>
    </row>
    <row r="2439" spans="1:31" x14ac:dyDescent="0.3">
      <c r="A2439">
        <v>10169</v>
      </c>
      <c r="B2439">
        <v>48</v>
      </c>
      <c r="C2439">
        <v>80.55</v>
      </c>
      <c r="D2439">
        <v>10</v>
      </c>
      <c r="E2439" s="4" t="str">
        <f t="shared" si="228"/>
        <v>low sales</v>
      </c>
      <c r="F2439">
        <v>3866.4</v>
      </c>
      <c r="G2439" t="s">
        <v>3111</v>
      </c>
      <c r="H2439" s="1" t="str">
        <f t="shared" si="229"/>
        <v>Shipped</v>
      </c>
      <c r="I2439" s="4" t="str">
        <f t="shared" si="230"/>
        <v>completed</v>
      </c>
      <c r="J2439" t="s">
        <v>25</v>
      </c>
      <c r="K2439">
        <v>4</v>
      </c>
      <c r="L2439">
        <v>11</v>
      </c>
      <c r="M2439">
        <v>2003</v>
      </c>
      <c r="N2439" t="s">
        <v>26</v>
      </c>
      <c r="O2439">
        <v>81</v>
      </c>
      <c r="P2439" t="s">
        <v>660</v>
      </c>
      <c r="Q2439" t="s">
        <v>285</v>
      </c>
      <c r="R2439" t="s">
        <v>286</v>
      </c>
      <c r="S2439" t="s">
        <v>287</v>
      </c>
      <c r="T2439" t="s">
        <v>288</v>
      </c>
      <c r="U2439" s="1" t="str">
        <f t="shared" si="231"/>
        <v>North Sydney</v>
      </c>
      <c r="V2439" t="s">
        <v>289</v>
      </c>
      <c r="W2439" t="s">
        <v>157</v>
      </c>
      <c r="X2439">
        <v>2060</v>
      </c>
      <c r="Y2439" s="1" t="str">
        <f t="shared" si="232"/>
        <v>AUSTRALIA</v>
      </c>
      <c r="Z2439" s="4" t="str">
        <f t="shared" si="233"/>
        <v>Australia</v>
      </c>
      <c r="AA2439" t="s">
        <v>95</v>
      </c>
      <c r="AB2439" t="s">
        <v>96</v>
      </c>
      <c r="AC2439" t="s">
        <v>290</v>
      </c>
      <c r="AD2439" t="s">
        <v>291</v>
      </c>
      <c r="AE2439" t="s">
        <v>51</v>
      </c>
    </row>
    <row r="2440" spans="1:31" x14ac:dyDescent="0.3">
      <c r="A2440">
        <v>10180</v>
      </c>
      <c r="B2440">
        <v>21</v>
      </c>
      <c r="C2440">
        <v>93.56</v>
      </c>
      <c r="D2440">
        <v>5</v>
      </c>
      <c r="E2440" s="4" t="str">
        <f t="shared" si="228"/>
        <v>low sales</v>
      </c>
      <c r="F2440">
        <v>1964.76</v>
      </c>
      <c r="G2440" t="s">
        <v>3112</v>
      </c>
      <c r="H2440" s="1" t="str">
        <f t="shared" si="229"/>
        <v>Shipped</v>
      </c>
      <c r="I2440" s="4" t="str">
        <f t="shared" si="230"/>
        <v>completed</v>
      </c>
      <c r="J2440" t="s">
        <v>25</v>
      </c>
      <c r="K2440">
        <v>4</v>
      </c>
      <c r="L2440">
        <v>11</v>
      </c>
      <c r="M2440">
        <v>2003</v>
      </c>
      <c r="N2440" t="s">
        <v>26</v>
      </c>
      <c r="O2440">
        <v>81</v>
      </c>
      <c r="P2440" t="s">
        <v>660</v>
      </c>
      <c r="Q2440" t="s">
        <v>67</v>
      </c>
      <c r="R2440" t="s">
        <v>68</v>
      </c>
      <c r="S2440" t="s">
        <v>69</v>
      </c>
      <c r="U2440" s="1" t="str">
        <f t="shared" si="231"/>
        <v>Lille</v>
      </c>
      <c r="V2440" t="s">
        <v>70</v>
      </c>
      <c r="X2440">
        <v>59000</v>
      </c>
      <c r="Y2440" s="1" t="str">
        <f t="shared" si="232"/>
        <v>FRANCE</v>
      </c>
      <c r="Z2440" s="4" t="str">
        <f t="shared" si="233"/>
        <v>France</v>
      </c>
      <c r="AA2440" t="s">
        <v>41</v>
      </c>
      <c r="AB2440" t="s">
        <v>42</v>
      </c>
      <c r="AC2440" t="s">
        <v>71</v>
      </c>
      <c r="AD2440" t="s">
        <v>72</v>
      </c>
      <c r="AE2440" t="s">
        <v>36</v>
      </c>
    </row>
    <row r="2441" spans="1:31" x14ac:dyDescent="0.3">
      <c r="A2441">
        <v>10190</v>
      </c>
      <c r="B2441">
        <v>40</v>
      </c>
      <c r="C2441">
        <v>66.72</v>
      </c>
      <c r="D2441">
        <v>2</v>
      </c>
      <c r="E2441" s="4" t="str">
        <f t="shared" si="228"/>
        <v>low sales</v>
      </c>
      <c r="F2441">
        <v>2668.8</v>
      </c>
      <c r="G2441" t="s">
        <v>3113</v>
      </c>
      <c r="H2441" s="1" t="str">
        <f t="shared" si="229"/>
        <v>Shipped</v>
      </c>
      <c r="I2441" s="4" t="str">
        <f t="shared" si="230"/>
        <v>completed</v>
      </c>
      <c r="J2441" t="s">
        <v>25</v>
      </c>
      <c r="K2441">
        <v>4</v>
      </c>
      <c r="L2441">
        <v>11</v>
      </c>
      <c r="M2441">
        <v>2003</v>
      </c>
      <c r="N2441" t="s">
        <v>26</v>
      </c>
      <c r="O2441">
        <v>81</v>
      </c>
      <c r="P2441" t="s">
        <v>660</v>
      </c>
      <c r="Q2441" t="s">
        <v>174</v>
      </c>
      <c r="R2441" t="s">
        <v>175</v>
      </c>
      <c r="S2441" t="s">
        <v>176</v>
      </c>
      <c r="U2441" s="1" t="str">
        <f t="shared" si="231"/>
        <v>Madrid</v>
      </c>
      <c r="V2441" t="s">
        <v>177</v>
      </c>
      <c r="X2441">
        <v>28034</v>
      </c>
      <c r="Y2441" s="1" t="str">
        <f t="shared" si="232"/>
        <v>SPAIN</v>
      </c>
      <c r="Z2441" s="4" t="str">
        <f t="shared" si="233"/>
        <v>Spain</v>
      </c>
      <c r="AA2441" t="s">
        <v>178</v>
      </c>
      <c r="AB2441" t="s">
        <v>42</v>
      </c>
      <c r="AC2441" t="s">
        <v>179</v>
      </c>
      <c r="AD2441" t="s">
        <v>180</v>
      </c>
      <c r="AE2441" t="s">
        <v>36</v>
      </c>
    </row>
    <row r="2442" spans="1:31" x14ac:dyDescent="0.3">
      <c r="A2442">
        <v>10211</v>
      </c>
      <c r="B2442">
        <v>40</v>
      </c>
      <c r="C2442">
        <v>80.55</v>
      </c>
      <c r="D2442">
        <v>10</v>
      </c>
      <c r="E2442" s="4" t="str">
        <f t="shared" si="228"/>
        <v>low sales</v>
      </c>
      <c r="F2442">
        <v>3222</v>
      </c>
      <c r="G2442" t="s">
        <v>3114</v>
      </c>
      <c r="H2442" s="1" t="str">
        <f t="shared" si="229"/>
        <v>Shipped</v>
      </c>
      <c r="I2442" s="4" t="str">
        <f t="shared" si="230"/>
        <v>completed</v>
      </c>
      <c r="J2442" t="s">
        <v>25</v>
      </c>
      <c r="K2442">
        <v>1</v>
      </c>
      <c r="L2442">
        <v>1</v>
      </c>
      <c r="M2442">
        <v>2004</v>
      </c>
      <c r="N2442" t="s">
        <v>26</v>
      </c>
      <c r="O2442">
        <v>81</v>
      </c>
      <c r="P2442" t="s">
        <v>660</v>
      </c>
      <c r="Q2442" t="s">
        <v>84</v>
      </c>
      <c r="R2442" t="s">
        <v>85</v>
      </c>
      <c r="S2442" t="s">
        <v>86</v>
      </c>
      <c r="U2442" s="1" t="str">
        <f t="shared" si="231"/>
        <v>Paris</v>
      </c>
      <c r="V2442" t="s">
        <v>48</v>
      </c>
      <c r="X2442">
        <v>75016</v>
      </c>
      <c r="Y2442" s="1" t="str">
        <f t="shared" si="232"/>
        <v>FRANCE</v>
      </c>
      <c r="Z2442" s="4" t="str">
        <f t="shared" si="233"/>
        <v>France</v>
      </c>
      <c r="AA2442" t="s">
        <v>41</v>
      </c>
      <c r="AB2442" t="s">
        <v>42</v>
      </c>
      <c r="AC2442" t="s">
        <v>87</v>
      </c>
      <c r="AD2442" t="s">
        <v>88</v>
      </c>
      <c r="AE2442" t="s">
        <v>51</v>
      </c>
    </row>
    <row r="2443" spans="1:31" x14ac:dyDescent="0.3">
      <c r="A2443">
        <v>10224</v>
      </c>
      <c r="B2443">
        <v>50</v>
      </c>
      <c r="C2443">
        <v>77.290000000000006</v>
      </c>
      <c r="D2443">
        <v>3</v>
      </c>
      <c r="E2443" s="4" t="str">
        <f t="shared" si="228"/>
        <v>low sales</v>
      </c>
      <c r="F2443">
        <v>3864.5</v>
      </c>
      <c r="G2443" t="s">
        <v>3115</v>
      </c>
      <c r="H2443" s="1" t="str">
        <f t="shared" si="229"/>
        <v>Shipped</v>
      </c>
      <c r="I2443" s="4" t="str">
        <f t="shared" si="230"/>
        <v>completed</v>
      </c>
      <c r="J2443" t="s">
        <v>25</v>
      </c>
      <c r="K2443">
        <v>1</v>
      </c>
      <c r="L2443">
        <v>2</v>
      </c>
      <c r="M2443">
        <v>2004</v>
      </c>
      <c r="N2443" t="s">
        <v>26</v>
      </c>
      <c r="O2443">
        <v>81</v>
      </c>
      <c r="P2443" t="s">
        <v>660</v>
      </c>
      <c r="Q2443" t="s">
        <v>67</v>
      </c>
      <c r="R2443" t="s">
        <v>68</v>
      </c>
      <c r="S2443" t="s">
        <v>69</v>
      </c>
      <c r="U2443" s="1" t="str">
        <f t="shared" si="231"/>
        <v>Lille</v>
      </c>
      <c r="V2443" t="s">
        <v>70</v>
      </c>
      <c r="X2443">
        <v>59000</v>
      </c>
      <c r="Y2443" s="1" t="str">
        <f t="shared" si="232"/>
        <v>FRANCE</v>
      </c>
      <c r="Z2443" s="4" t="str">
        <f t="shared" si="233"/>
        <v>France</v>
      </c>
      <c r="AA2443" t="s">
        <v>41</v>
      </c>
      <c r="AB2443" t="s">
        <v>42</v>
      </c>
      <c r="AC2443" t="s">
        <v>71</v>
      </c>
      <c r="AD2443" t="s">
        <v>72</v>
      </c>
      <c r="AE2443" t="s">
        <v>51</v>
      </c>
    </row>
    <row r="2444" spans="1:31" x14ac:dyDescent="0.3">
      <c r="A2444">
        <v>10237</v>
      </c>
      <c r="B2444">
        <v>20</v>
      </c>
      <c r="C2444">
        <v>68.34</v>
      </c>
      <c r="D2444">
        <v>3</v>
      </c>
      <c r="E2444" s="4" t="str">
        <f t="shared" si="228"/>
        <v>low sales</v>
      </c>
      <c r="F2444">
        <v>1366.8</v>
      </c>
      <c r="G2444" t="s">
        <v>3116</v>
      </c>
      <c r="H2444" s="1" t="str">
        <f t="shared" si="229"/>
        <v>Shipped</v>
      </c>
      <c r="I2444" s="4" t="str">
        <f t="shared" si="230"/>
        <v>completed</v>
      </c>
      <c r="J2444" t="s">
        <v>25</v>
      </c>
      <c r="K2444">
        <v>2</v>
      </c>
      <c r="L2444">
        <v>4</v>
      </c>
      <c r="M2444">
        <v>2004</v>
      </c>
      <c r="N2444" t="s">
        <v>26</v>
      </c>
      <c r="O2444">
        <v>81</v>
      </c>
      <c r="P2444" t="s">
        <v>660</v>
      </c>
      <c r="Q2444" t="s">
        <v>99</v>
      </c>
      <c r="R2444">
        <v>2125551500</v>
      </c>
      <c r="S2444" t="s">
        <v>100</v>
      </c>
      <c r="T2444" t="s">
        <v>101</v>
      </c>
      <c r="U2444" s="1" t="str">
        <f t="shared" si="231"/>
        <v>Nyc</v>
      </c>
      <c r="V2444" t="s">
        <v>30</v>
      </c>
      <c r="W2444" t="s">
        <v>31</v>
      </c>
      <c r="X2444">
        <v>10022</v>
      </c>
      <c r="Y2444" s="1" t="str">
        <f t="shared" si="232"/>
        <v>USA</v>
      </c>
      <c r="Z2444" s="4" t="str">
        <f t="shared" si="233"/>
        <v>Usa</v>
      </c>
      <c r="AA2444" t="s">
        <v>32</v>
      </c>
      <c r="AB2444" t="s">
        <v>33</v>
      </c>
      <c r="AC2444" t="s">
        <v>102</v>
      </c>
      <c r="AD2444" t="s">
        <v>103</v>
      </c>
      <c r="AE2444" t="s">
        <v>36</v>
      </c>
    </row>
    <row r="2445" spans="1:31" x14ac:dyDescent="0.3">
      <c r="A2445">
        <v>10252</v>
      </c>
      <c r="B2445">
        <v>48</v>
      </c>
      <c r="C2445">
        <v>72.41</v>
      </c>
      <c r="D2445">
        <v>7</v>
      </c>
      <c r="E2445" s="4" t="str">
        <f t="shared" si="228"/>
        <v>low sales</v>
      </c>
      <c r="F2445">
        <v>3475.68</v>
      </c>
      <c r="G2445" t="s">
        <v>3117</v>
      </c>
      <c r="H2445" s="1" t="str">
        <f t="shared" si="229"/>
        <v>Shipped</v>
      </c>
      <c r="I2445" s="4" t="str">
        <f t="shared" si="230"/>
        <v>completed</v>
      </c>
      <c r="J2445" t="s">
        <v>25</v>
      </c>
      <c r="K2445">
        <v>2</v>
      </c>
      <c r="L2445">
        <v>5</v>
      </c>
      <c r="M2445">
        <v>2004</v>
      </c>
      <c r="N2445" t="s">
        <v>26</v>
      </c>
      <c r="O2445">
        <v>81</v>
      </c>
      <c r="P2445" t="s">
        <v>660</v>
      </c>
      <c r="Q2445" t="s">
        <v>84</v>
      </c>
      <c r="R2445" t="s">
        <v>85</v>
      </c>
      <c r="S2445" t="s">
        <v>86</v>
      </c>
      <c r="U2445" s="1" t="str">
        <f t="shared" si="231"/>
        <v>Paris</v>
      </c>
      <c r="V2445" t="s">
        <v>48</v>
      </c>
      <c r="X2445">
        <v>75016</v>
      </c>
      <c r="Y2445" s="1" t="str">
        <f t="shared" si="232"/>
        <v>FRANCE</v>
      </c>
      <c r="Z2445" s="4" t="str">
        <f t="shared" si="233"/>
        <v>France</v>
      </c>
      <c r="AA2445" t="s">
        <v>41</v>
      </c>
      <c r="AB2445" t="s">
        <v>42</v>
      </c>
      <c r="AC2445" t="s">
        <v>87</v>
      </c>
      <c r="AD2445" t="s">
        <v>88</v>
      </c>
      <c r="AE2445" t="s">
        <v>51</v>
      </c>
    </row>
    <row r="2446" spans="1:31" x14ac:dyDescent="0.3">
      <c r="A2446">
        <v>10264</v>
      </c>
      <c r="B2446">
        <v>47</v>
      </c>
      <c r="C2446">
        <v>89.5</v>
      </c>
      <c r="D2446">
        <v>5</v>
      </c>
      <c r="E2446" s="4" t="str">
        <f t="shared" si="228"/>
        <v>high sales</v>
      </c>
      <c r="F2446">
        <v>4206.5</v>
      </c>
      <c r="G2446" t="s">
        <v>3118</v>
      </c>
      <c r="H2446" s="1" t="str">
        <f t="shared" si="229"/>
        <v>Shipped</v>
      </c>
      <c r="I2446" s="4" t="str">
        <f t="shared" si="230"/>
        <v>completed</v>
      </c>
      <c r="J2446" t="s">
        <v>25</v>
      </c>
      <c r="K2446">
        <v>2</v>
      </c>
      <c r="L2446">
        <v>6</v>
      </c>
      <c r="M2446">
        <v>2004</v>
      </c>
      <c r="N2446" t="s">
        <v>26</v>
      </c>
      <c r="O2446">
        <v>81</v>
      </c>
      <c r="P2446" t="s">
        <v>660</v>
      </c>
      <c r="Q2446" t="s">
        <v>379</v>
      </c>
      <c r="R2446">
        <v>6175559555</v>
      </c>
      <c r="S2446" t="s">
        <v>380</v>
      </c>
      <c r="U2446" s="1" t="str">
        <f t="shared" si="231"/>
        <v>Boston</v>
      </c>
      <c r="V2446" t="s">
        <v>381</v>
      </c>
      <c r="W2446" t="s">
        <v>123</v>
      </c>
      <c r="X2446">
        <v>51003</v>
      </c>
      <c r="Y2446" s="1" t="str">
        <f t="shared" si="232"/>
        <v>USA</v>
      </c>
      <c r="Z2446" s="4" t="str">
        <f t="shared" si="233"/>
        <v>Usa</v>
      </c>
      <c r="AA2446" t="s">
        <v>32</v>
      </c>
      <c r="AB2446" t="s">
        <v>33</v>
      </c>
      <c r="AC2446" t="s">
        <v>382</v>
      </c>
      <c r="AD2446" t="s">
        <v>66</v>
      </c>
      <c r="AE2446" t="s">
        <v>51</v>
      </c>
    </row>
    <row r="2447" spans="1:31" x14ac:dyDescent="0.3">
      <c r="A2447">
        <v>10276</v>
      </c>
      <c r="B2447">
        <v>21</v>
      </c>
      <c r="C2447">
        <v>70.78</v>
      </c>
      <c r="D2447">
        <v>11</v>
      </c>
      <c r="E2447" s="4" t="str">
        <f t="shared" si="228"/>
        <v>low sales</v>
      </c>
      <c r="F2447">
        <v>1486.38</v>
      </c>
      <c r="G2447" t="s">
        <v>3119</v>
      </c>
      <c r="H2447" s="1" t="str">
        <f t="shared" si="229"/>
        <v>Shipped</v>
      </c>
      <c r="I2447" s="4" t="str">
        <f t="shared" si="230"/>
        <v>completed</v>
      </c>
      <c r="J2447" t="s">
        <v>25</v>
      </c>
      <c r="K2447">
        <v>3</v>
      </c>
      <c r="L2447">
        <v>8</v>
      </c>
      <c r="M2447">
        <v>2004</v>
      </c>
      <c r="N2447" t="s">
        <v>26</v>
      </c>
      <c r="O2447">
        <v>81</v>
      </c>
      <c r="P2447" t="s">
        <v>660</v>
      </c>
      <c r="Q2447" t="s">
        <v>458</v>
      </c>
      <c r="R2447">
        <v>6175557555</v>
      </c>
      <c r="S2447" t="s">
        <v>459</v>
      </c>
      <c r="U2447" s="1" t="str">
        <f t="shared" si="231"/>
        <v>Brickhaven</v>
      </c>
      <c r="V2447" t="s">
        <v>283</v>
      </c>
      <c r="W2447" t="s">
        <v>123</v>
      </c>
      <c r="X2447">
        <v>58339</v>
      </c>
      <c r="Y2447" s="1" t="str">
        <f t="shared" si="232"/>
        <v>USA</v>
      </c>
      <c r="Z2447" s="4" t="str">
        <f t="shared" si="233"/>
        <v>Usa</v>
      </c>
      <c r="AA2447" t="s">
        <v>32</v>
      </c>
      <c r="AB2447" t="s">
        <v>33</v>
      </c>
      <c r="AC2447" t="s">
        <v>460</v>
      </c>
      <c r="AD2447" t="s">
        <v>461</v>
      </c>
      <c r="AE2447" t="s">
        <v>36</v>
      </c>
    </row>
    <row r="2448" spans="1:31" x14ac:dyDescent="0.3">
      <c r="A2448">
        <v>10285</v>
      </c>
      <c r="B2448">
        <v>39</v>
      </c>
      <c r="C2448">
        <v>78.92</v>
      </c>
      <c r="D2448">
        <v>2</v>
      </c>
      <c r="E2448" s="4" t="str">
        <f t="shared" si="228"/>
        <v>low sales</v>
      </c>
      <c r="F2448">
        <v>3077.88</v>
      </c>
      <c r="G2448" t="s">
        <v>3120</v>
      </c>
      <c r="H2448" s="1" t="str">
        <f t="shared" si="229"/>
        <v>Shipped</v>
      </c>
      <c r="I2448" s="4" t="str">
        <f t="shared" si="230"/>
        <v>completed</v>
      </c>
      <c r="J2448" t="s">
        <v>25</v>
      </c>
      <c r="K2448">
        <v>3</v>
      </c>
      <c r="L2448">
        <v>8</v>
      </c>
      <c r="M2448">
        <v>2004</v>
      </c>
      <c r="N2448" t="s">
        <v>26</v>
      </c>
      <c r="O2448">
        <v>81</v>
      </c>
      <c r="P2448" t="s">
        <v>660</v>
      </c>
      <c r="Q2448" t="s">
        <v>120</v>
      </c>
      <c r="R2448">
        <v>6175558555</v>
      </c>
      <c r="S2448" t="s">
        <v>121</v>
      </c>
      <c r="U2448" s="1" t="str">
        <f t="shared" si="231"/>
        <v>Cambridge</v>
      </c>
      <c r="V2448" t="s">
        <v>122</v>
      </c>
      <c r="W2448" t="s">
        <v>123</v>
      </c>
      <c r="X2448">
        <v>51247</v>
      </c>
      <c r="Y2448" s="1" t="str">
        <f t="shared" si="232"/>
        <v>USA</v>
      </c>
      <c r="Z2448" s="4" t="str">
        <f t="shared" si="233"/>
        <v>Usa</v>
      </c>
      <c r="AA2448" t="s">
        <v>32</v>
      </c>
      <c r="AB2448" t="s">
        <v>33</v>
      </c>
      <c r="AC2448" t="s">
        <v>124</v>
      </c>
      <c r="AD2448" t="s">
        <v>125</v>
      </c>
      <c r="AE2448" t="s">
        <v>51</v>
      </c>
    </row>
    <row r="2449" spans="1:31" x14ac:dyDescent="0.3">
      <c r="A2449">
        <v>10299</v>
      </c>
      <c r="B2449">
        <v>44</v>
      </c>
      <c r="C2449">
        <v>80.55</v>
      </c>
      <c r="D2449">
        <v>5</v>
      </c>
      <c r="E2449" s="4" t="str">
        <f t="shared" si="228"/>
        <v>low sales</v>
      </c>
      <c r="F2449">
        <v>3544.2</v>
      </c>
      <c r="G2449" t="s">
        <v>3121</v>
      </c>
      <c r="H2449" s="1" t="str">
        <f t="shared" si="229"/>
        <v>Shipped</v>
      </c>
      <c r="I2449" s="4" t="str">
        <f t="shared" si="230"/>
        <v>completed</v>
      </c>
      <c r="J2449" t="s">
        <v>25</v>
      </c>
      <c r="K2449">
        <v>3</v>
      </c>
      <c r="L2449">
        <v>9</v>
      </c>
      <c r="M2449">
        <v>2004</v>
      </c>
      <c r="N2449" t="s">
        <v>26</v>
      </c>
      <c r="O2449">
        <v>81</v>
      </c>
      <c r="P2449" t="s">
        <v>660</v>
      </c>
      <c r="Q2449" t="s">
        <v>126</v>
      </c>
      <c r="R2449" t="s">
        <v>127</v>
      </c>
      <c r="S2449" t="s">
        <v>128</v>
      </c>
      <c r="U2449" s="1" t="str">
        <f t="shared" si="231"/>
        <v>Helsinki</v>
      </c>
      <c r="V2449" t="s">
        <v>129</v>
      </c>
      <c r="X2449">
        <v>21240</v>
      </c>
      <c r="Y2449" s="1" t="str">
        <f t="shared" si="232"/>
        <v>FINLAND</v>
      </c>
      <c r="Z2449" s="4" t="str">
        <f t="shared" si="233"/>
        <v>Finland</v>
      </c>
      <c r="AA2449" t="s">
        <v>130</v>
      </c>
      <c r="AB2449" t="s">
        <v>42</v>
      </c>
      <c r="AC2449" t="s">
        <v>131</v>
      </c>
      <c r="AD2449" t="s">
        <v>132</v>
      </c>
      <c r="AE2449" t="s">
        <v>51</v>
      </c>
    </row>
    <row r="2450" spans="1:31" x14ac:dyDescent="0.3">
      <c r="A2450">
        <v>10309</v>
      </c>
      <c r="B2450">
        <v>28</v>
      </c>
      <c r="C2450">
        <v>88.68</v>
      </c>
      <c r="D2450">
        <v>1</v>
      </c>
      <c r="E2450" s="4" t="str">
        <f t="shared" si="228"/>
        <v>low sales</v>
      </c>
      <c r="F2450">
        <v>2483.04</v>
      </c>
      <c r="G2450" t="s">
        <v>3122</v>
      </c>
      <c r="H2450" s="1" t="str">
        <f t="shared" si="229"/>
        <v>Shipped</v>
      </c>
      <c r="I2450" s="4" t="str">
        <f t="shared" si="230"/>
        <v>completed</v>
      </c>
      <c r="J2450" t="s">
        <v>25</v>
      </c>
      <c r="K2450">
        <v>4</v>
      </c>
      <c r="L2450">
        <v>10</v>
      </c>
      <c r="M2450">
        <v>2004</v>
      </c>
      <c r="N2450" t="s">
        <v>26</v>
      </c>
      <c r="O2450">
        <v>81</v>
      </c>
      <c r="P2450" t="s">
        <v>660</v>
      </c>
      <c r="Q2450" t="s">
        <v>133</v>
      </c>
      <c r="R2450" t="s">
        <v>134</v>
      </c>
      <c r="S2450" t="s">
        <v>135</v>
      </c>
      <c r="U2450" s="1" t="str">
        <f t="shared" si="231"/>
        <v>Stavern</v>
      </c>
      <c r="V2450" t="s">
        <v>136</v>
      </c>
      <c r="X2450">
        <v>4110</v>
      </c>
      <c r="Y2450" s="1" t="str">
        <f t="shared" si="232"/>
        <v>NORWAY</v>
      </c>
      <c r="Z2450" s="4" t="str">
        <f t="shared" si="233"/>
        <v>Norway</v>
      </c>
      <c r="AA2450" t="s">
        <v>78</v>
      </c>
      <c r="AB2450" t="s">
        <v>42</v>
      </c>
      <c r="AC2450" t="s">
        <v>137</v>
      </c>
      <c r="AD2450" t="s">
        <v>138</v>
      </c>
      <c r="AE2450" t="s">
        <v>36</v>
      </c>
    </row>
    <row r="2451" spans="1:31" x14ac:dyDescent="0.3">
      <c r="A2451">
        <v>10319</v>
      </c>
      <c r="B2451">
        <v>45</v>
      </c>
      <c r="C2451">
        <v>77.290000000000006</v>
      </c>
      <c r="D2451">
        <v>6</v>
      </c>
      <c r="E2451" s="4" t="str">
        <f t="shared" si="228"/>
        <v>low sales</v>
      </c>
      <c r="F2451">
        <v>3478.05</v>
      </c>
      <c r="G2451" t="s">
        <v>3123</v>
      </c>
      <c r="H2451" s="1" t="str">
        <f t="shared" si="229"/>
        <v>Shipped</v>
      </c>
      <c r="I2451" s="4" t="str">
        <f t="shared" si="230"/>
        <v>completed</v>
      </c>
      <c r="J2451" t="s">
        <v>25</v>
      </c>
      <c r="K2451">
        <v>4</v>
      </c>
      <c r="L2451">
        <v>11</v>
      </c>
      <c r="M2451">
        <v>2004</v>
      </c>
      <c r="N2451" t="s">
        <v>26</v>
      </c>
      <c r="O2451">
        <v>81</v>
      </c>
      <c r="P2451" t="s">
        <v>660</v>
      </c>
      <c r="Q2451" t="s">
        <v>507</v>
      </c>
      <c r="R2451">
        <v>2125551957</v>
      </c>
      <c r="S2451" t="s">
        <v>508</v>
      </c>
      <c r="T2451" t="s">
        <v>509</v>
      </c>
      <c r="U2451" s="1" t="str">
        <f t="shared" si="231"/>
        <v>Nyc</v>
      </c>
      <c r="V2451" t="s">
        <v>30</v>
      </c>
      <c r="W2451" t="s">
        <v>31</v>
      </c>
      <c r="X2451">
        <v>10022</v>
      </c>
      <c r="Y2451" s="1" t="str">
        <f t="shared" si="232"/>
        <v>USA</v>
      </c>
      <c r="Z2451" s="4" t="str">
        <f t="shared" si="233"/>
        <v>Usa</v>
      </c>
      <c r="AA2451" t="s">
        <v>32</v>
      </c>
      <c r="AB2451" t="s">
        <v>33</v>
      </c>
      <c r="AC2451" t="s">
        <v>510</v>
      </c>
      <c r="AD2451" t="s">
        <v>511</v>
      </c>
      <c r="AE2451" t="s">
        <v>51</v>
      </c>
    </row>
    <row r="2452" spans="1:31" x14ac:dyDescent="0.3">
      <c r="A2452">
        <v>10331</v>
      </c>
      <c r="B2452">
        <v>20</v>
      </c>
      <c r="C2452">
        <v>100</v>
      </c>
      <c r="D2452">
        <v>5</v>
      </c>
      <c r="E2452" s="4" t="str">
        <f t="shared" si="228"/>
        <v>low sales</v>
      </c>
      <c r="F2452">
        <v>3657.8</v>
      </c>
      <c r="G2452" t="s">
        <v>3124</v>
      </c>
      <c r="H2452" s="1" t="str">
        <f t="shared" si="229"/>
        <v>Shipped</v>
      </c>
      <c r="I2452" s="4" t="str">
        <f t="shared" si="230"/>
        <v>completed</v>
      </c>
      <c r="J2452" t="s">
        <v>25</v>
      </c>
      <c r="K2452">
        <v>4</v>
      </c>
      <c r="L2452">
        <v>11</v>
      </c>
      <c r="M2452">
        <v>2004</v>
      </c>
      <c r="N2452" t="s">
        <v>26</v>
      </c>
      <c r="O2452">
        <v>81</v>
      </c>
      <c r="P2452" t="s">
        <v>660</v>
      </c>
      <c r="Q2452" t="s">
        <v>309</v>
      </c>
      <c r="R2452">
        <v>2155559857</v>
      </c>
      <c r="S2452" t="s">
        <v>310</v>
      </c>
      <c r="U2452" s="1" t="str">
        <f t="shared" si="231"/>
        <v>Philadelphia</v>
      </c>
      <c r="V2452" t="s">
        <v>216</v>
      </c>
      <c r="W2452" t="s">
        <v>142</v>
      </c>
      <c r="X2452">
        <v>71270</v>
      </c>
      <c r="Y2452" s="1" t="str">
        <f t="shared" si="232"/>
        <v>USA</v>
      </c>
      <c r="Z2452" s="4" t="str">
        <f t="shared" si="233"/>
        <v>Usa</v>
      </c>
      <c r="AA2452" t="s">
        <v>32</v>
      </c>
      <c r="AB2452" t="s">
        <v>33</v>
      </c>
      <c r="AC2452" t="s">
        <v>124</v>
      </c>
      <c r="AD2452" t="s">
        <v>311</v>
      </c>
      <c r="AE2452" t="s">
        <v>51</v>
      </c>
    </row>
    <row r="2453" spans="1:31" x14ac:dyDescent="0.3">
      <c r="A2453">
        <v>10341</v>
      </c>
      <c r="B2453">
        <v>38</v>
      </c>
      <c r="C2453">
        <v>100</v>
      </c>
      <c r="D2453">
        <v>3</v>
      </c>
      <c r="E2453" s="4" t="str">
        <f t="shared" si="228"/>
        <v>high sales</v>
      </c>
      <c r="F2453">
        <v>4682.3599999999997</v>
      </c>
      <c r="G2453" t="s">
        <v>3125</v>
      </c>
      <c r="H2453" s="1" t="str">
        <f t="shared" si="229"/>
        <v>Shipped</v>
      </c>
      <c r="I2453" s="4" t="str">
        <f t="shared" si="230"/>
        <v>completed</v>
      </c>
      <c r="J2453" t="s">
        <v>25</v>
      </c>
      <c r="K2453">
        <v>4</v>
      </c>
      <c r="L2453">
        <v>11</v>
      </c>
      <c r="M2453">
        <v>2004</v>
      </c>
      <c r="N2453" t="s">
        <v>26</v>
      </c>
      <c r="O2453">
        <v>81</v>
      </c>
      <c r="P2453" t="s">
        <v>660</v>
      </c>
      <c r="Q2453" t="s">
        <v>144</v>
      </c>
      <c r="R2453" t="s">
        <v>145</v>
      </c>
      <c r="S2453" t="s">
        <v>146</v>
      </c>
      <c r="U2453" s="1" t="str">
        <f t="shared" si="231"/>
        <v>Salzburg</v>
      </c>
      <c r="V2453" t="s">
        <v>147</v>
      </c>
      <c r="X2453">
        <v>5020</v>
      </c>
      <c r="Y2453" s="1" t="str">
        <f t="shared" si="232"/>
        <v>AUSTRIA</v>
      </c>
      <c r="Z2453" s="4" t="str">
        <f t="shared" si="233"/>
        <v>Austria</v>
      </c>
      <c r="AA2453" t="s">
        <v>148</v>
      </c>
      <c r="AB2453" t="s">
        <v>42</v>
      </c>
      <c r="AC2453" t="s">
        <v>149</v>
      </c>
      <c r="AD2453" t="s">
        <v>150</v>
      </c>
      <c r="AE2453" t="s">
        <v>51</v>
      </c>
    </row>
    <row r="2454" spans="1:31" x14ac:dyDescent="0.3">
      <c r="A2454">
        <v>10356</v>
      </c>
      <c r="B2454">
        <v>26</v>
      </c>
      <c r="C2454">
        <v>100</v>
      </c>
      <c r="D2454">
        <v>4</v>
      </c>
      <c r="E2454" s="4" t="str">
        <f t="shared" si="228"/>
        <v>low sales</v>
      </c>
      <c r="F2454">
        <v>3937.7</v>
      </c>
      <c r="G2454" t="s">
        <v>3126</v>
      </c>
      <c r="H2454" s="1" t="str">
        <f t="shared" si="229"/>
        <v>Shipped</v>
      </c>
      <c r="I2454" s="4" t="str">
        <f t="shared" si="230"/>
        <v>completed</v>
      </c>
      <c r="J2454" t="s">
        <v>25</v>
      </c>
      <c r="K2454">
        <v>4</v>
      </c>
      <c r="L2454">
        <v>12</v>
      </c>
      <c r="M2454">
        <v>2004</v>
      </c>
      <c r="N2454" t="s">
        <v>26</v>
      </c>
      <c r="O2454">
        <v>81</v>
      </c>
      <c r="P2454" t="s">
        <v>660</v>
      </c>
      <c r="Q2454" t="s">
        <v>45</v>
      </c>
      <c r="R2454" t="s">
        <v>46</v>
      </c>
      <c r="S2454" t="s">
        <v>47</v>
      </c>
      <c r="U2454" s="1" t="str">
        <f t="shared" si="231"/>
        <v>Paris</v>
      </c>
      <c r="V2454" t="s">
        <v>48</v>
      </c>
      <c r="X2454">
        <v>75508</v>
      </c>
      <c r="Y2454" s="1" t="str">
        <f t="shared" si="232"/>
        <v>FRANCE</v>
      </c>
      <c r="Z2454" s="4" t="str">
        <f t="shared" si="233"/>
        <v>France</v>
      </c>
      <c r="AA2454" t="s">
        <v>41</v>
      </c>
      <c r="AB2454" t="s">
        <v>42</v>
      </c>
      <c r="AC2454" t="s">
        <v>49</v>
      </c>
      <c r="AD2454" t="s">
        <v>50</v>
      </c>
      <c r="AE2454" t="s">
        <v>51</v>
      </c>
    </row>
    <row r="2455" spans="1:31" x14ac:dyDescent="0.3">
      <c r="A2455">
        <v>10365</v>
      </c>
      <c r="B2455">
        <v>44</v>
      </c>
      <c r="C2455">
        <v>100</v>
      </c>
      <c r="D2455">
        <v>2</v>
      </c>
      <c r="E2455" s="4" t="str">
        <f t="shared" si="228"/>
        <v>high sales</v>
      </c>
      <c r="F2455">
        <v>4984.32</v>
      </c>
      <c r="G2455" t="s">
        <v>3127</v>
      </c>
      <c r="H2455" s="1" t="str">
        <f t="shared" si="229"/>
        <v>Shipped</v>
      </c>
      <c r="I2455" s="4" t="str">
        <f t="shared" si="230"/>
        <v>completed</v>
      </c>
      <c r="J2455" t="s">
        <v>25</v>
      </c>
      <c r="K2455">
        <v>1</v>
      </c>
      <c r="L2455">
        <v>1</v>
      </c>
      <c r="M2455">
        <v>2005</v>
      </c>
      <c r="N2455" t="s">
        <v>26</v>
      </c>
      <c r="O2455">
        <v>81</v>
      </c>
      <c r="P2455" t="s">
        <v>660</v>
      </c>
      <c r="Q2455" t="s">
        <v>335</v>
      </c>
      <c r="R2455">
        <v>5085559555</v>
      </c>
      <c r="S2455" t="s">
        <v>336</v>
      </c>
      <c r="U2455" s="1" t="str">
        <f t="shared" si="231"/>
        <v>New Bedford</v>
      </c>
      <c r="V2455" t="s">
        <v>162</v>
      </c>
      <c r="W2455" t="s">
        <v>123</v>
      </c>
      <c r="X2455">
        <v>50553</v>
      </c>
      <c r="Y2455" s="1" t="str">
        <f t="shared" si="232"/>
        <v>USA</v>
      </c>
      <c r="Z2455" s="4" t="str">
        <f t="shared" si="233"/>
        <v>Usa</v>
      </c>
      <c r="AA2455" t="s">
        <v>32</v>
      </c>
      <c r="AB2455" t="s">
        <v>33</v>
      </c>
      <c r="AC2455" t="s">
        <v>337</v>
      </c>
      <c r="AD2455" t="s">
        <v>338</v>
      </c>
      <c r="AE2455" t="s">
        <v>51</v>
      </c>
    </row>
    <row r="2456" spans="1:31" x14ac:dyDescent="0.3">
      <c r="A2456">
        <v>10375</v>
      </c>
      <c r="B2456">
        <v>49</v>
      </c>
      <c r="C2456">
        <v>100</v>
      </c>
      <c r="D2456">
        <v>8</v>
      </c>
      <c r="E2456" s="4" t="str">
        <f t="shared" si="228"/>
        <v>high sales</v>
      </c>
      <c r="F2456">
        <v>5406.66</v>
      </c>
      <c r="G2456" t="s">
        <v>3128</v>
      </c>
      <c r="H2456" s="1" t="str">
        <f t="shared" si="229"/>
        <v>Shipped</v>
      </c>
      <c r="I2456" s="4" t="str">
        <f t="shared" si="230"/>
        <v>completed</v>
      </c>
      <c r="J2456" t="s">
        <v>25</v>
      </c>
      <c r="K2456">
        <v>1</v>
      </c>
      <c r="L2456">
        <v>2</v>
      </c>
      <c r="M2456">
        <v>2005</v>
      </c>
      <c r="N2456" t="s">
        <v>26</v>
      </c>
      <c r="O2456">
        <v>81</v>
      </c>
      <c r="P2456" t="s">
        <v>660</v>
      </c>
      <c r="Q2456" t="s">
        <v>114</v>
      </c>
      <c r="R2456" t="s">
        <v>115</v>
      </c>
      <c r="S2456" t="s">
        <v>116</v>
      </c>
      <c r="U2456" s="1" t="str">
        <f t="shared" si="231"/>
        <v>Nantes</v>
      </c>
      <c r="V2456" t="s">
        <v>117</v>
      </c>
      <c r="X2456">
        <v>44000</v>
      </c>
      <c r="Y2456" s="1" t="str">
        <f t="shared" si="232"/>
        <v>FRANCE</v>
      </c>
      <c r="Z2456" s="4" t="str">
        <f t="shared" si="233"/>
        <v>France</v>
      </c>
      <c r="AA2456" t="s">
        <v>41</v>
      </c>
      <c r="AB2456" t="s">
        <v>42</v>
      </c>
      <c r="AC2456" t="s">
        <v>118</v>
      </c>
      <c r="AD2456" t="s">
        <v>119</v>
      </c>
      <c r="AE2456" t="s">
        <v>51</v>
      </c>
    </row>
    <row r="2457" spans="1:31" x14ac:dyDescent="0.3">
      <c r="A2457">
        <v>10390</v>
      </c>
      <c r="B2457">
        <v>22</v>
      </c>
      <c r="C2457">
        <v>100</v>
      </c>
      <c r="D2457">
        <v>13</v>
      </c>
      <c r="E2457" s="4" t="str">
        <f t="shared" si="228"/>
        <v>low sales</v>
      </c>
      <c r="F2457">
        <v>3491.18</v>
      </c>
      <c r="G2457" t="s">
        <v>3129</v>
      </c>
      <c r="H2457" s="1" t="str">
        <f t="shared" si="229"/>
        <v>Shipped</v>
      </c>
      <c r="I2457" s="4" t="str">
        <f t="shared" si="230"/>
        <v>completed</v>
      </c>
      <c r="J2457" t="s">
        <v>25</v>
      </c>
      <c r="K2457">
        <v>1</v>
      </c>
      <c r="L2457">
        <v>3</v>
      </c>
      <c r="M2457">
        <v>2005</v>
      </c>
      <c r="N2457" t="s">
        <v>26</v>
      </c>
      <c r="O2457">
        <v>81</v>
      </c>
      <c r="P2457" t="s">
        <v>660</v>
      </c>
      <c r="Q2457" t="s">
        <v>272</v>
      </c>
      <c r="R2457">
        <v>4155551450</v>
      </c>
      <c r="S2457" t="s">
        <v>273</v>
      </c>
      <c r="U2457" s="1" t="str">
        <f t="shared" si="231"/>
        <v>San Rafael</v>
      </c>
      <c r="V2457" t="s">
        <v>274</v>
      </c>
      <c r="W2457" t="s">
        <v>55</v>
      </c>
      <c r="X2457">
        <v>97562</v>
      </c>
      <c r="Y2457" s="1" t="str">
        <f t="shared" si="232"/>
        <v>USA</v>
      </c>
      <c r="Z2457" s="4" t="str">
        <f t="shared" si="233"/>
        <v>Usa</v>
      </c>
      <c r="AA2457" t="s">
        <v>32</v>
      </c>
      <c r="AB2457" t="s">
        <v>33</v>
      </c>
      <c r="AC2457" t="s">
        <v>275</v>
      </c>
      <c r="AD2457" t="s">
        <v>276</v>
      </c>
      <c r="AE2457" t="s">
        <v>51</v>
      </c>
    </row>
    <row r="2458" spans="1:31" x14ac:dyDescent="0.3">
      <c r="A2458">
        <v>10403</v>
      </c>
      <c r="B2458">
        <v>31</v>
      </c>
      <c r="C2458">
        <v>68.34</v>
      </c>
      <c r="D2458">
        <v>3</v>
      </c>
      <c r="E2458" s="4" t="str">
        <f t="shared" si="228"/>
        <v>low sales</v>
      </c>
      <c r="F2458">
        <v>2118.54</v>
      </c>
      <c r="G2458" t="s">
        <v>3130</v>
      </c>
      <c r="H2458" s="1" t="str">
        <f t="shared" si="229"/>
        <v>Shipped</v>
      </c>
      <c r="I2458" s="4" t="str">
        <f t="shared" si="230"/>
        <v>completed</v>
      </c>
      <c r="J2458" t="s">
        <v>25</v>
      </c>
      <c r="K2458">
        <v>2</v>
      </c>
      <c r="L2458">
        <v>4</v>
      </c>
      <c r="M2458">
        <v>2005</v>
      </c>
      <c r="N2458" t="s">
        <v>26</v>
      </c>
      <c r="O2458">
        <v>81</v>
      </c>
      <c r="P2458" t="s">
        <v>660</v>
      </c>
      <c r="Q2458" t="s">
        <v>165</v>
      </c>
      <c r="R2458" t="s">
        <v>166</v>
      </c>
      <c r="S2458" t="s">
        <v>167</v>
      </c>
      <c r="U2458" s="1" t="str">
        <f t="shared" si="231"/>
        <v>Liverpool</v>
      </c>
      <c r="V2458" t="s">
        <v>168</v>
      </c>
      <c r="X2458" t="s">
        <v>169</v>
      </c>
      <c r="Y2458" s="1" t="str">
        <f t="shared" si="232"/>
        <v>UK</v>
      </c>
      <c r="Z2458" s="4" t="str">
        <f t="shared" si="233"/>
        <v>Uk</v>
      </c>
      <c r="AA2458" t="s">
        <v>170</v>
      </c>
      <c r="AB2458" t="s">
        <v>42</v>
      </c>
      <c r="AC2458" t="s">
        <v>171</v>
      </c>
      <c r="AD2458" t="s">
        <v>172</v>
      </c>
      <c r="AE2458" t="s">
        <v>36</v>
      </c>
    </row>
    <row r="2459" spans="1:31" x14ac:dyDescent="0.3">
      <c r="A2459">
        <v>10105</v>
      </c>
      <c r="B2459">
        <v>41</v>
      </c>
      <c r="C2459">
        <v>70.67</v>
      </c>
      <c r="D2459">
        <v>5</v>
      </c>
      <c r="E2459" s="4" t="str">
        <f t="shared" si="228"/>
        <v>low sales</v>
      </c>
      <c r="F2459">
        <v>2897.47</v>
      </c>
      <c r="G2459" t="s">
        <v>3131</v>
      </c>
      <c r="H2459" s="1" t="str">
        <f t="shared" si="229"/>
        <v>Shipped</v>
      </c>
      <c r="I2459" s="4" t="str">
        <f t="shared" si="230"/>
        <v>completed</v>
      </c>
      <c r="J2459" t="s">
        <v>25</v>
      </c>
      <c r="K2459">
        <v>1</v>
      </c>
      <c r="L2459">
        <v>2</v>
      </c>
      <c r="M2459">
        <v>2003</v>
      </c>
      <c r="N2459" t="s">
        <v>598</v>
      </c>
      <c r="O2459">
        <v>66</v>
      </c>
      <c r="P2459" t="s">
        <v>661</v>
      </c>
      <c r="Q2459" t="s">
        <v>322</v>
      </c>
      <c r="R2459" t="s">
        <v>323</v>
      </c>
      <c r="S2459" t="s">
        <v>324</v>
      </c>
      <c r="U2459" s="1" t="str">
        <f t="shared" si="231"/>
        <v>Kobenhavn</v>
      </c>
      <c r="V2459" t="s">
        <v>325</v>
      </c>
      <c r="X2459">
        <v>1734</v>
      </c>
      <c r="Y2459" s="1" t="str">
        <f t="shared" si="232"/>
        <v>DENMARK</v>
      </c>
      <c r="Z2459" s="4" t="str">
        <f t="shared" si="233"/>
        <v>Denmark</v>
      </c>
      <c r="AA2459" t="s">
        <v>326</v>
      </c>
      <c r="AB2459" t="s">
        <v>42</v>
      </c>
      <c r="AC2459" t="s">
        <v>327</v>
      </c>
      <c r="AD2459" t="s">
        <v>328</v>
      </c>
      <c r="AE2459" t="s">
        <v>36</v>
      </c>
    </row>
    <row r="2460" spans="1:31" x14ac:dyDescent="0.3">
      <c r="A2460">
        <v>10119</v>
      </c>
      <c r="B2460">
        <v>25</v>
      </c>
      <c r="C2460">
        <v>76.67</v>
      </c>
      <c r="D2460">
        <v>14</v>
      </c>
      <c r="E2460" s="4" t="str">
        <f t="shared" si="228"/>
        <v>low sales</v>
      </c>
      <c r="F2460">
        <v>1916.75</v>
      </c>
      <c r="G2460" t="s">
        <v>3132</v>
      </c>
      <c r="H2460" s="1" t="str">
        <f t="shared" si="229"/>
        <v>Shipped</v>
      </c>
      <c r="I2460" s="4" t="str">
        <f t="shared" si="230"/>
        <v>completed</v>
      </c>
      <c r="J2460" t="s">
        <v>25</v>
      </c>
      <c r="K2460">
        <v>2</v>
      </c>
      <c r="L2460">
        <v>4</v>
      </c>
      <c r="M2460">
        <v>2003</v>
      </c>
      <c r="N2460" t="s">
        <v>598</v>
      </c>
      <c r="O2460">
        <v>66</v>
      </c>
      <c r="P2460" t="s">
        <v>661</v>
      </c>
      <c r="Q2460" t="s">
        <v>144</v>
      </c>
      <c r="R2460" t="s">
        <v>145</v>
      </c>
      <c r="S2460" t="s">
        <v>146</v>
      </c>
      <c r="U2460" s="1" t="str">
        <f t="shared" si="231"/>
        <v>Salzburg</v>
      </c>
      <c r="V2460" t="s">
        <v>147</v>
      </c>
      <c r="X2460">
        <v>5020</v>
      </c>
      <c r="Y2460" s="1" t="str">
        <f t="shared" si="232"/>
        <v>AUSTRIA</v>
      </c>
      <c r="Z2460" s="4" t="str">
        <f t="shared" si="233"/>
        <v>Austria</v>
      </c>
      <c r="AA2460" t="s">
        <v>148</v>
      </c>
      <c r="AB2460" t="s">
        <v>42</v>
      </c>
      <c r="AC2460" t="s">
        <v>149</v>
      </c>
      <c r="AD2460" t="s">
        <v>150</v>
      </c>
      <c r="AE2460" t="s">
        <v>36</v>
      </c>
    </row>
    <row r="2461" spans="1:31" x14ac:dyDescent="0.3">
      <c r="A2461">
        <v>10129</v>
      </c>
      <c r="B2461">
        <v>31</v>
      </c>
      <c r="C2461">
        <v>60</v>
      </c>
      <c r="D2461">
        <v>5</v>
      </c>
      <c r="E2461" s="4" t="str">
        <f t="shared" si="228"/>
        <v>low sales</v>
      </c>
      <c r="F2461">
        <v>1860</v>
      </c>
      <c r="G2461" t="s">
        <v>3133</v>
      </c>
      <c r="H2461" s="1" t="str">
        <f t="shared" si="229"/>
        <v>Shipped</v>
      </c>
      <c r="I2461" s="4" t="str">
        <f t="shared" si="230"/>
        <v>completed</v>
      </c>
      <c r="J2461" t="s">
        <v>25</v>
      </c>
      <c r="K2461">
        <v>2</v>
      </c>
      <c r="L2461">
        <v>6</v>
      </c>
      <c r="M2461">
        <v>2003</v>
      </c>
      <c r="N2461" t="s">
        <v>598</v>
      </c>
      <c r="O2461">
        <v>66</v>
      </c>
      <c r="P2461" t="s">
        <v>661</v>
      </c>
      <c r="Q2461" t="s">
        <v>329</v>
      </c>
      <c r="R2461" t="s">
        <v>330</v>
      </c>
      <c r="S2461" t="s">
        <v>331</v>
      </c>
      <c r="U2461" s="1" t="str">
        <f t="shared" si="231"/>
        <v>London</v>
      </c>
      <c r="V2461" t="s">
        <v>332</v>
      </c>
      <c r="X2461" t="s">
        <v>333</v>
      </c>
      <c r="Y2461" s="1" t="str">
        <f t="shared" si="232"/>
        <v>UK</v>
      </c>
      <c r="Z2461" s="4" t="str">
        <f t="shared" si="233"/>
        <v>Uk</v>
      </c>
      <c r="AA2461" t="s">
        <v>170</v>
      </c>
      <c r="AB2461" t="s">
        <v>42</v>
      </c>
      <c r="AC2461" t="s">
        <v>61</v>
      </c>
      <c r="AD2461" t="s">
        <v>334</v>
      </c>
      <c r="AE2461" t="s">
        <v>36</v>
      </c>
    </row>
    <row r="2462" spans="1:31" x14ac:dyDescent="0.3">
      <c r="A2462">
        <v>10142</v>
      </c>
      <c r="B2462">
        <v>41</v>
      </c>
      <c r="C2462">
        <v>64</v>
      </c>
      <c r="D2462">
        <v>2</v>
      </c>
      <c r="E2462" s="4" t="str">
        <f t="shared" si="228"/>
        <v>low sales</v>
      </c>
      <c r="F2462">
        <v>2624</v>
      </c>
      <c r="G2462" t="s">
        <v>3134</v>
      </c>
      <c r="H2462" s="1" t="str">
        <f t="shared" si="229"/>
        <v>Shipped</v>
      </c>
      <c r="I2462" s="4" t="str">
        <f t="shared" si="230"/>
        <v>completed</v>
      </c>
      <c r="J2462" t="s">
        <v>25</v>
      </c>
      <c r="K2462">
        <v>3</v>
      </c>
      <c r="L2462">
        <v>8</v>
      </c>
      <c r="M2462">
        <v>2003</v>
      </c>
      <c r="N2462" t="s">
        <v>598</v>
      </c>
      <c r="O2462">
        <v>66</v>
      </c>
      <c r="P2462" t="s">
        <v>661</v>
      </c>
      <c r="Q2462" t="s">
        <v>272</v>
      </c>
      <c r="R2462">
        <v>4155551450</v>
      </c>
      <c r="S2462" t="s">
        <v>273</v>
      </c>
      <c r="U2462" s="1" t="str">
        <f t="shared" si="231"/>
        <v>San Rafael</v>
      </c>
      <c r="V2462" t="s">
        <v>274</v>
      </c>
      <c r="W2462" t="s">
        <v>55</v>
      </c>
      <c r="X2462">
        <v>97562</v>
      </c>
      <c r="Y2462" s="1" t="str">
        <f t="shared" si="232"/>
        <v>USA</v>
      </c>
      <c r="Z2462" s="4" t="str">
        <f t="shared" si="233"/>
        <v>Usa</v>
      </c>
      <c r="AA2462" t="s">
        <v>32</v>
      </c>
      <c r="AB2462" t="s">
        <v>33</v>
      </c>
      <c r="AC2462" t="s">
        <v>275</v>
      </c>
      <c r="AD2462" t="s">
        <v>276</v>
      </c>
      <c r="AE2462" t="s">
        <v>36</v>
      </c>
    </row>
    <row r="2463" spans="1:31" x14ac:dyDescent="0.3">
      <c r="A2463">
        <v>10153</v>
      </c>
      <c r="B2463">
        <v>43</v>
      </c>
      <c r="C2463">
        <v>64.67</v>
      </c>
      <c r="D2463">
        <v>1</v>
      </c>
      <c r="E2463" s="4" t="str">
        <f t="shared" si="228"/>
        <v>low sales</v>
      </c>
      <c r="F2463">
        <v>2780.81</v>
      </c>
      <c r="G2463" t="s">
        <v>3135</v>
      </c>
      <c r="H2463" s="1" t="str">
        <f t="shared" si="229"/>
        <v>Shipped</v>
      </c>
      <c r="I2463" s="4" t="str">
        <f t="shared" si="230"/>
        <v>completed</v>
      </c>
      <c r="J2463" t="s">
        <v>25</v>
      </c>
      <c r="K2463">
        <v>3</v>
      </c>
      <c r="L2463">
        <v>9</v>
      </c>
      <c r="M2463">
        <v>2003</v>
      </c>
      <c r="N2463" t="s">
        <v>598</v>
      </c>
      <c r="O2463">
        <v>66</v>
      </c>
      <c r="P2463" t="s">
        <v>661</v>
      </c>
      <c r="Q2463" t="s">
        <v>174</v>
      </c>
      <c r="R2463" t="s">
        <v>175</v>
      </c>
      <c r="S2463" t="s">
        <v>176</v>
      </c>
      <c r="U2463" s="1" t="str">
        <f t="shared" si="231"/>
        <v>Madrid</v>
      </c>
      <c r="V2463" t="s">
        <v>177</v>
      </c>
      <c r="X2463">
        <v>28034</v>
      </c>
      <c r="Y2463" s="1" t="str">
        <f t="shared" si="232"/>
        <v>SPAIN</v>
      </c>
      <c r="Z2463" s="4" t="str">
        <f t="shared" si="233"/>
        <v>Spain</v>
      </c>
      <c r="AA2463" t="s">
        <v>178</v>
      </c>
      <c r="AB2463" t="s">
        <v>42</v>
      </c>
      <c r="AC2463" t="s">
        <v>179</v>
      </c>
      <c r="AD2463" t="s">
        <v>180</v>
      </c>
      <c r="AE2463" t="s">
        <v>36</v>
      </c>
    </row>
    <row r="2464" spans="1:31" x14ac:dyDescent="0.3">
      <c r="A2464">
        <v>10167</v>
      </c>
      <c r="B2464">
        <v>43</v>
      </c>
      <c r="C2464">
        <v>75.34</v>
      </c>
      <c r="D2464">
        <v>12</v>
      </c>
      <c r="E2464" s="4" t="str">
        <f t="shared" si="228"/>
        <v>low sales</v>
      </c>
      <c r="F2464">
        <v>3239.62</v>
      </c>
      <c r="G2464" t="s">
        <v>3136</v>
      </c>
      <c r="H2464" s="1" t="str">
        <f t="shared" si="229"/>
        <v>Cancelled</v>
      </c>
      <c r="I2464" s="4" t="str">
        <f t="shared" si="230"/>
        <v>not completed</v>
      </c>
      <c r="J2464" t="s">
        <v>339</v>
      </c>
      <c r="K2464">
        <v>4</v>
      </c>
      <c r="L2464">
        <v>10</v>
      </c>
      <c r="M2464">
        <v>2003</v>
      </c>
      <c r="N2464" t="s">
        <v>598</v>
      </c>
      <c r="O2464">
        <v>66</v>
      </c>
      <c r="P2464" t="s">
        <v>661</v>
      </c>
      <c r="Q2464" t="s">
        <v>261</v>
      </c>
      <c r="R2464" t="s">
        <v>262</v>
      </c>
      <c r="S2464" t="s">
        <v>263</v>
      </c>
      <c r="U2464" s="1" t="str">
        <f t="shared" si="231"/>
        <v>Boras</v>
      </c>
      <c r="V2464" t="s">
        <v>264</v>
      </c>
      <c r="X2464" t="s">
        <v>265</v>
      </c>
      <c r="Y2464" s="1" t="str">
        <f t="shared" si="232"/>
        <v>SWEDEN</v>
      </c>
      <c r="Z2464" s="4" t="str">
        <f t="shared" si="233"/>
        <v>Sweden</v>
      </c>
      <c r="AA2464" t="s">
        <v>188</v>
      </c>
      <c r="AB2464" t="s">
        <v>42</v>
      </c>
      <c r="AC2464" t="s">
        <v>266</v>
      </c>
      <c r="AD2464" t="s">
        <v>206</v>
      </c>
      <c r="AE2464" t="s">
        <v>51</v>
      </c>
    </row>
    <row r="2465" spans="1:31" x14ac:dyDescent="0.3">
      <c r="A2465">
        <v>10177</v>
      </c>
      <c r="B2465">
        <v>24</v>
      </c>
      <c r="C2465">
        <v>76</v>
      </c>
      <c r="D2465">
        <v>3</v>
      </c>
      <c r="E2465" s="4" t="str">
        <f t="shared" si="228"/>
        <v>low sales</v>
      </c>
      <c r="F2465">
        <v>1824</v>
      </c>
      <c r="G2465" t="s">
        <v>3137</v>
      </c>
      <c r="H2465" s="1" t="str">
        <f t="shared" si="229"/>
        <v>Shipped</v>
      </c>
      <c r="I2465" s="4" t="str">
        <f t="shared" si="230"/>
        <v>completed</v>
      </c>
      <c r="J2465" t="s">
        <v>25</v>
      </c>
      <c r="K2465">
        <v>4</v>
      </c>
      <c r="L2465">
        <v>11</v>
      </c>
      <c r="M2465">
        <v>2003</v>
      </c>
      <c r="N2465" t="s">
        <v>598</v>
      </c>
      <c r="O2465">
        <v>66</v>
      </c>
      <c r="P2465" t="s">
        <v>661</v>
      </c>
      <c r="Q2465" t="s">
        <v>487</v>
      </c>
      <c r="R2465" t="s">
        <v>488</v>
      </c>
      <c r="S2465" t="s">
        <v>489</v>
      </c>
      <c r="U2465" s="1" t="str">
        <f t="shared" si="231"/>
        <v>Madrid</v>
      </c>
      <c r="V2465" t="s">
        <v>177</v>
      </c>
      <c r="X2465">
        <v>28023</v>
      </c>
      <c r="Y2465" s="1" t="str">
        <f t="shared" si="232"/>
        <v>SPAIN</v>
      </c>
      <c r="Z2465" s="4" t="str">
        <f t="shared" si="233"/>
        <v>Spain</v>
      </c>
      <c r="AA2465" t="s">
        <v>178</v>
      </c>
      <c r="AB2465" t="s">
        <v>42</v>
      </c>
      <c r="AC2465" t="s">
        <v>490</v>
      </c>
      <c r="AD2465" t="s">
        <v>491</v>
      </c>
      <c r="AE2465" t="s">
        <v>36</v>
      </c>
    </row>
    <row r="2466" spans="1:31" x14ac:dyDescent="0.3">
      <c r="A2466">
        <v>10185</v>
      </c>
      <c r="B2466">
        <v>21</v>
      </c>
      <c r="C2466">
        <v>54</v>
      </c>
      <c r="D2466">
        <v>3</v>
      </c>
      <c r="E2466" s="4" t="str">
        <f t="shared" si="228"/>
        <v>low sales</v>
      </c>
      <c r="F2466">
        <v>1134</v>
      </c>
      <c r="G2466" t="s">
        <v>3138</v>
      </c>
      <c r="H2466" s="1" t="str">
        <f t="shared" si="229"/>
        <v>Shipped</v>
      </c>
      <c r="I2466" s="4" t="str">
        <f t="shared" si="230"/>
        <v>completed</v>
      </c>
      <c r="J2466" t="s">
        <v>25</v>
      </c>
      <c r="K2466">
        <v>4</v>
      </c>
      <c r="L2466">
        <v>11</v>
      </c>
      <c r="M2466">
        <v>2003</v>
      </c>
      <c r="N2466" t="s">
        <v>598</v>
      </c>
      <c r="O2466">
        <v>66</v>
      </c>
      <c r="P2466" t="s">
        <v>661</v>
      </c>
      <c r="Q2466" t="s">
        <v>335</v>
      </c>
      <c r="R2466">
        <v>5085559555</v>
      </c>
      <c r="S2466" t="s">
        <v>336</v>
      </c>
      <c r="U2466" s="1" t="str">
        <f t="shared" si="231"/>
        <v>New Bedford</v>
      </c>
      <c r="V2466" t="s">
        <v>162</v>
      </c>
      <c r="W2466" t="s">
        <v>123</v>
      </c>
      <c r="X2466">
        <v>50553</v>
      </c>
      <c r="Y2466" s="1" t="str">
        <f t="shared" si="232"/>
        <v>USA</v>
      </c>
      <c r="Z2466" s="4" t="str">
        <f t="shared" si="233"/>
        <v>Usa</v>
      </c>
      <c r="AA2466" t="s">
        <v>32</v>
      </c>
      <c r="AB2466" t="s">
        <v>33</v>
      </c>
      <c r="AC2466" t="s">
        <v>337</v>
      </c>
      <c r="AD2466" t="s">
        <v>338</v>
      </c>
      <c r="AE2466" t="s">
        <v>36</v>
      </c>
    </row>
    <row r="2467" spans="1:31" x14ac:dyDescent="0.3">
      <c r="A2467">
        <v>10197</v>
      </c>
      <c r="B2467">
        <v>23</v>
      </c>
      <c r="C2467">
        <v>64.67</v>
      </c>
      <c r="D2467">
        <v>9</v>
      </c>
      <c r="E2467" s="4" t="str">
        <f t="shared" si="228"/>
        <v>low sales</v>
      </c>
      <c r="F2467">
        <v>1487.41</v>
      </c>
      <c r="G2467" t="s">
        <v>3139</v>
      </c>
      <c r="H2467" s="1" t="str">
        <f t="shared" si="229"/>
        <v>Shipped</v>
      </c>
      <c r="I2467" s="4" t="str">
        <f t="shared" si="230"/>
        <v>completed</v>
      </c>
      <c r="J2467" t="s">
        <v>25</v>
      </c>
      <c r="K2467">
        <v>4</v>
      </c>
      <c r="L2467">
        <v>11</v>
      </c>
      <c r="M2467">
        <v>2003</v>
      </c>
      <c r="N2467" t="s">
        <v>598</v>
      </c>
      <c r="O2467">
        <v>66</v>
      </c>
      <c r="P2467" t="s">
        <v>661</v>
      </c>
      <c r="Q2467" t="s">
        <v>352</v>
      </c>
      <c r="R2467" t="s">
        <v>353</v>
      </c>
      <c r="S2467" t="s">
        <v>354</v>
      </c>
      <c r="U2467" s="1" t="str">
        <f t="shared" si="231"/>
        <v>Barcelona</v>
      </c>
      <c r="V2467" t="s">
        <v>355</v>
      </c>
      <c r="X2467">
        <v>8022</v>
      </c>
      <c r="Y2467" s="1" t="str">
        <f t="shared" si="232"/>
        <v>SPAIN</v>
      </c>
      <c r="Z2467" s="4" t="str">
        <f t="shared" si="233"/>
        <v>Spain</v>
      </c>
      <c r="AA2467" t="s">
        <v>178</v>
      </c>
      <c r="AB2467" t="s">
        <v>42</v>
      </c>
      <c r="AC2467" t="s">
        <v>356</v>
      </c>
      <c r="AD2467" t="s">
        <v>357</v>
      </c>
      <c r="AE2467" t="s">
        <v>36</v>
      </c>
    </row>
    <row r="2468" spans="1:31" x14ac:dyDescent="0.3">
      <c r="A2468">
        <v>10208</v>
      </c>
      <c r="B2468">
        <v>38</v>
      </c>
      <c r="C2468">
        <v>74.67</v>
      </c>
      <c r="D2468">
        <v>3</v>
      </c>
      <c r="E2468" s="4" t="str">
        <f t="shared" si="228"/>
        <v>low sales</v>
      </c>
      <c r="F2468">
        <v>2837.46</v>
      </c>
      <c r="G2468" t="s">
        <v>3140</v>
      </c>
      <c r="H2468" s="1" t="str">
        <f t="shared" si="229"/>
        <v>Shipped</v>
      </c>
      <c r="I2468" s="4" t="str">
        <f t="shared" si="230"/>
        <v>completed</v>
      </c>
      <c r="J2468" t="s">
        <v>25</v>
      </c>
      <c r="K2468">
        <v>1</v>
      </c>
      <c r="L2468">
        <v>1</v>
      </c>
      <c r="M2468">
        <v>2004</v>
      </c>
      <c r="N2468" t="s">
        <v>598</v>
      </c>
      <c r="O2468">
        <v>66</v>
      </c>
      <c r="P2468" t="s">
        <v>661</v>
      </c>
      <c r="Q2468" t="s">
        <v>219</v>
      </c>
      <c r="R2468" t="s">
        <v>220</v>
      </c>
      <c r="S2468" t="s">
        <v>221</v>
      </c>
      <c r="U2468" s="1" t="str">
        <f t="shared" si="231"/>
        <v>Lyon</v>
      </c>
      <c r="V2468" t="s">
        <v>222</v>
      </c>
      <c r="X2468">
        <v>69004</v>
      </c>
      <c r="Y2468" s="1" t="str">
        <f t="shared" si="232"/>
        <v>FRANCE</v>
      </c>
      <c r="Z2468" s="4" t="str">
        <f t="shared" si="233"/>
        <v>France</v>
      </c>
      <c r="AA2468" t="s">
        <v>41</v>
      </c>
      <c r="AB2468" t="s">
        <v>42</v>
      </c>
      <c r="AC2468" t="s">
        <v>223</v>
      </c>
      <c r="AD2468" t="s">
        <v>224</v>
      </c>
      <c r="AE2468" t="s">
        <v>36</v>
      </c>
    </row>
    <row r="2469" spans="1:31" x14ac:dyDescent="0.3">
      <c r="A2469">
        <v>10222</v>
      </c>
      <c r="B2469">
        <v>31</v>
      </c>
      <c r="C2469">
        <v>62.67</v>
      </c>
      <c r="D2469">
        <v>15</v>
      </c>
      <c r="E2469" s="4" t="str">
        <f t="shared" si="228"/>
        <v>low sales</v>
      </c>
      <c r="F2469">
        <v>1942.77</v>
      </c>
      <c r="G2469" t="s">
        <v>3141</v>
      </c>
      <c r="H2469" s="1" t="str">
        <f t="shared" si="229"/>
        <v>Shipped</v>
      </c>
      <c r="I2469" s="4" t="str">
        <f t="shared" si="230"/>
        <v>completed</v>
      </c>
      <c r="J2469" t="s">
        <v>25</v>
      </c>
      <c r="K2469">
        <v>1</v>
      </c>
      <c r="L2469">
        <v>2</v>
      </c>
      <c r="M2469">
        <v>2004</v>
      </c>
      <c r="N2469" t="s">
        <v>598</v>
      </c>
      <c r="O2469">
        <v>66</v>
      </c>
      <c r="P2469" t="s">
        <v>661</v>
      </c>
      <c r="Q2469" t="s">
        <v>362</v>
      </c>
      <c r="R2469">
        <v>7605558146</v>
      </c>
      <c r="S2469" t="s">
        <v>363</v>
      </c>
      <c r="U2469" s="1" t="str">
        <f t="shared" si="231"/>
        <v>San Diego</v>
      </c>
      <c r="V2469" t="s">
        <v>364</v>
      </c>
      <c r="W2469" t="s">
        <v>55</v>
      </c>
      <c r="X2469">
        <v>91217</v>
      </c>
      <c r="Y2469" s="1" t="str">
        <f t="shared" si="232"/>
        <v>USA</v>
      </c>
      <c r="Z2469" s="4" t="str">
        <f t="shared" si="233"/>
        <v>Usa</v>
      </c>
      <c r="AA2469" t="s">
        <v>32</v>
      </c>
      <c r="AB2469" t="s">
        <v>33</v>
      </c>
      <c r="AC2469" t="s">
        <v>237</v>
      </c>
      <c r="AD2469" t="s">
        <v>276</v>
      </c>
      <c r="AE2469" t="s">
        <v>36</v>
      </c>
    </row>
    <row r="2470" spans="1:31" x14ac:dyDescent="0.3">
      <c r="A2470">
        <v>10233</v>
      </c>
      <c r="B2470">
        <v>36</v>
      </c>
      <c r="C2470">
        <v>70.67</v>
      </c>
      <c r="D2470">
        <v>3</v>
      </c>
      <c r="E2470" s="4" t="str">
        <f t="shared" si="228"/>
        <v>low sales</v>
      </c>
      <c r="F2470">
        <v>2544.12</v>
      </c>
      <c r="G2470" t="s">
        <v>3142</v>
      </c>
      <c r="H2470" s="1" t="str">
        <f t="shared" si="229"/>
        <v>Shipped</v>
      </c>
      <c r="I2470" s="4" t="str">
        <f t="shared" si="230"/>
        <v>completed</v>
      </c>
      <c r="J2470" t="s">
        <v>25</v>
      </c>
      <c r="K2470">
        <v>1</v>
      </c>
      <c r="L2470">
        <v>3</v>
      </c>
      <c r="M2470">
        <v>2004</v>
      </c>
      <c r="N2470" t="s">
        <v>598</v>
      </c>
      <c r="O2470">
        <v>66</v>
      </c>
      <c r="P2470" t="s">
        <v>661</v>
      </c>
      <c r="Q2470" t="s">
        <v>104</v>
      </c>
      <c r="R2470">
        <v>2015559350</v>
      </c>
      <c r="S2470" t="s">
        <v>105</v>
      </c>
      <c r="U2470" s="1" t="str">
        <f t="shared" si="231"/>
        <v>Newark</v>
      </c>
      <c r="V2470" t="s">
        <v>106</v>
      </c>
      <c r="W2470" t="s">
        <v>107</v>
      </c>
      <c r="X2470">
        <v>94019</v>
      </c>
      <c r="Y2470" s="1" t="str">
        <f t="shared" si="232"/>
        <v>USA</v>
      </c>
      <c r="Z2470" s="4" t="str">
        <f t="shared" si="233"/>
        <v>Usa</v>
      </c>
      <c r="AA2470" t="s">
        <v>32</v>
      </c>
      <c r="AB2470" t="s">
        <v>33</v>
      </c>
      <c r="AC2470" t="s">
        <v>61</v>
      </c>
      <c r="AD2470" t="s">
        <v>108</v>
      </c>
      <c r="AE2470" t="s">
        <v>36</v>
      </c>
    </row>
    <row r="2471" spans="1:31" x14ac:dyDescent="0.3">
      <c r="A2471">
        <v>10248</v>
      </c>
      <c r="B2471">
        <v>36</v>
      </c>
      <c r="C2471">
        <v>71.34</v>
      </c>
      <c r="D2471">
        <v>6</v>
      </c>
      <c r="E2471" s="4" t="str">
        <f t="shared" si="228"/>
        <v>low sales</v>
      </c>
      <c r="F2471">
        <v>2568.2399999999998</v>
      </c>
      <c r="G2471" t="s">
        <v>3143</v>
      </c>
      <c r="H2471" s="1" t="str">
        <f t="shared" si="229"/>
        <v>Cancelled</v>
      </c>
      <c r="I2471" s="4" t="str">
        <f t="shared" si="230"/>
        <v>not completed</v>
      </c>
      <c r="J2471" t="s">
        <v>339</v>
      </c>
      <c r="K2471">
        <v>2</v>
      </c>
      <c r="L2471">
        <v>5</v>
      </c>
      <c r="M2471">
        <v>2004</v>
      </c>
      <c r="N2471" t="s">
        <v>598</v>
      </c>
      <c r="O2471">
        <v>66</v>
      </c>
      <c r="P2471" t="s">
        <v>661</v>
      </c>
      <c r="Q2471" t="s">
        <v>28</v>
      </c>
      <c r="R2471">
        <v>2125557818</v>
      </c>
      <c r="S2471" t="s">
        <v>29</v>
      </c>
      <c r="U2471" s="1" t="str">
        <f t="shared" si="231"/>
        <v>Nyc</v>
      </c>
      <c r="V2471" t="s">
        <v>30</v>
      </c>
      <c r="W2471" t="s">
        <v>31</v>
      </c>
      <c r="X2471">
        <v>10022</v>
      </c>
      <c r="Y2471" s="1" t="str">
        <f t="shared" si="232"/>
        <v>USA</v>
      </c>
      <c r="Z2471" s="4" t="str">
        <f t="shared" si="233"/>
        <v>Usa</v>
      </c>
      <c r="AA2471" t="s">
        <v>32</v>
      </c>
      <c r="AB2471" t="s">
        <v>33</v>
      </c>
      <c r="AC2471" t="s">
        <v>34</v>
      </c>
      <c r="AD2471" t="s">
        <v>35</v>
      </c>
      <c r="AE2471" t="s">
        <v>36</v>
      </c>
    </row>
    <row r="2472" spans="1:31" x14ac:dyDescent="0.3">
      <c r="A2472">
        <v>10261</v>
      </c>
      <c r="B2472">
        <v>34</v>
      </c>
      <c r="C2472">
        <v>62</v>
      </c>
      <c r="D2472">
        <v>4</v>
      </c>
      <c r="E2472" s="4" t="str">
        <f t="shared" si="228"/>
        <v>low sales</v>
      </c>
      <c r="F2472">
        <v>2108</v>
      </c>
      <c r="G2472" t="s">
        <v>3144</v>
      </c>
      <c r="H2472" s="1" t="str">
        <f t="shared" si="229"/>
        <v>Shipped</v>
      </c>
      <c r="I2472" s="4" t="str">
        <f t="shared" si="230"/>
        <v>completed</v>
      </c>
      <c r="J2472" t="s">
        <v>25</v>
      </c>
      <c r="K2472">
        <v>2</v>
      </c>
      <c r="L2472">
        <v>6</v>
      </c>
      <c r="M2472">
        <v>2004</v>
      </c>
      <c r="N2472" t="s">
        <v>598</v>
      </c>
      <c r="O2472">
        <v>66</v>
      </c>
      <c r="P2472" t="s">
        <v>661</v>
      </c>
      <c r="Q2472" t="s">
        <v>292</v>
      </c>
      <c r="R2472" t="s">
        <v>293</v>
      </c>
      <c r="S2472" t="s">
        <v>294</v>
      </c>
      <c r="U2472" s="1" t="str">
        <f t="shared" si="231"/>
        <v>Montreal</v>
      </c>
      <c r="V2472" t="s">
        <v>295</v>
      </c>
      <c r="W2472" t="s">
        <v>296</v>
      </c>
      <c r="X2472" t="s">
        <v>297</v>
      </c>
      <c r="Y2472" s="1" t="str">
        <f t="shared" si="232"/>
        <v>CANADA</v>
      </c>
      <c r="Z2472" s="4" t="str">
        <f t="shared" si="233"/>
        <v>Canada</v>
      </c>
      <c r="AA2472" t="s">
        <v>231</v>
      </c>
      <c r="AB2472" t="s">
        <v>33</v>
      </c>
      <c r="AC2472" t="s">
        <v>298</v>
      </c>
      <c r="AD2472" t="s">
        <v>299</v>
      </c>
      <c r="AE2472" t="s">
        <v>36</v>
      </c>
    </row>
    <row r="2473" spans="1:31" x14ac:dyDescent="0.3">
      <c r="A2473">
        <v>10273</v>
      </c>
      <c r="B2473">
        <v>21</v>
      </c>
      <c r="C2473">
        <v>65.34</v>
      </c>
      <c r="D2473">
        <v>7</v>
      </c>
      <c r="E2473" s="4" t="str">
        <f t="shared" si="228"/>
        <v>low sales</v>
      </c>
      <c r="F2473">
        <v>1372.14</v>
      </c>
      <c r="G2473" t="s">
        <v>3145</v>
      </c>
      <c r="H2473" s="1" t="str">
        <f t="shared" si="229"/>
        <v>Shipped</v>
      </c>
      <c r="I2473" s="4" t="str">
        <f t="shared" si="230"/>
        <v>completed</v>
      </c>
      <c r="J2473" t="s">
        <v>25</v>
      </c>
      <c r="K2473">
        <v>3</v>
      </c>
      <c r="L2473">
        <v>7</v>
      </c>
      <c r="M2473">
        <v>2004</v>
      </c>
      <c r="N2473" t="s">
        <v>598</v>
      </c>
      <c r="O2473">
        <v>66</v>
      </c>
      <c r="P2473" t="s">
        <v>661</v>
      </c>
      <c r="Q2473" t="s">
        <v>365</v>
      </c>
      <c r="R2473" t="s">
        <v>366</v>
      </c>
      <c r="S2473" t="s">
        <v>367</v>
      </c>
      <c r="U2473" s="1" t="str">
        <f t="shared" si="231"/>
        <v>Bruxelles</v>
      </c>
      <c r="V2473" t="s">
        <v>368</v>
      </c>
      <c r="X2473" t="s">
        <v>369</v>
      </c>
      <c r="Y2473" s="1" t="str">
        <f t="shared" si="232"/>
        <v>BELGIUM</v>
      </c>
      <c r="Z2473" s="4" t="str">
        <f t="shared" si="233"/>
        <v>Belgium</v>
      </c>
      <c r="AA2473" t="s">
        <v>370</v>
      </c>
      <c r="AB2473" t="s">
        <v>42</v>
      </c>
      <c r="AC2473" t="s">
        <v>371</v>
      </c>
      <c r="AD2473" t="s">
        <v>372</v>
      </c>
      <c r="AE2473" t="s">
        <v>36</v>
      </c>
    </row>
    <row r="2474" spans="1:31" x14ac:dyDescent="0.3">
      <c r="A2474">
        <v>10283</v>
      </c>
      <c r="B2474">
        <v>45</v>
      </c>
      <c r="C2474">
        <v>78.67</v>
      </c>
      <c r="D2474">
        <v>9</v>
      </c>
      <c r="E2474" s="4" t="str">
        <f t="shared" si="228"/>
        <v>low sales</v>
      </c>
      <c r="F2474">
        <v>3540.15</v>
      </c>
      <c r="G2474" t="s">
        <v>3146</v>
      </c>
      <c r="H2474" s="1" t="str">
        <f t="shared" si="229"/>
        <v>Shipped</v>
      </c>
      <c r="I2474" s="4" t="str">
        <f t="shared" si="230"/>
        <v>completed</v>
      </c>
      <c r="J2474" t="s">
        <v>25</v>
      </c>
      <c r="K2474">
        <v>3</v>
      </c>
      <c r="L2474">
        <v>8</v>
      </c>
      <c r="M2474">
        <v>2004</v>
      </c>
      <c r="N2474" t="s">
        <v>598</v>
      </c>
      <c r="O2474">
        <v>66</v>
      </c>
      <c r="P2474" t="s">
        <v>661</v>
      </c>
      <c r="Q2474" t="s">
        <v>373</v>
      </c>
      <c r="R2474" t="s">
        <v>374</v>
      </c>
      <c r="S2474" t="s">
        <v>375</v>
      </c>
      <c r="U2474" s="1" t="str">
        <f t="shared" si="231"/>
        <v>Tsawassen</v>
      </c>
      <c r="V2474" t="s">
        <v>376</v>
      </c>
      <c r="W2474" t="s">
        <v>229</v>
      </c>
      <c r="X2474" t="s">
        <v>377</v>
      </c>
      <c r="Y2474" s="1" t="str">
        <f t="shared" si="232"/>
        <v>CANADA</v>
      </c>
      <c r="Z2474" s="4" t="str">
        <f t="shared" si="233"/>
        <v>Canada</v>
      </c>
      <c r="AA2474" t="s">
        <v>231</v>
      </c>
      <c r="AB2474" t="s">
        <v>33</v>
      </c>
      <c r="AC2474" t="s">
        <v>378</v>
      </c>
      <c r="AD2474" t="s">
        <v>172</v>
      </c>
      <c r="AE2474" t="s">
        <v>51</v>
      </c>
    </row>
    <row r="2475" spans="1:31" x14ac:dyDescent="0.3">
      <c r="A2475">
        <v>10295</v>
      </c>
      <c r="B2475">
        <v>26</v>
      </c>
      <c r="C2475">
        <v>75.34</v>
      </c>
      <c r="D2475">
        <v>4</v>
      </c>
      <c r="E2475" s="4" t="str">
        <f t="shared" si="228"/>
        <v>low sales</v>
      </c>
      <c r="F2475">
        <v>1958.84</v>
      </c>
      <c r="G2475" t="s">
        <v>3147</v>
      </c>
      <c r="H2475" s="1" t="str">
        <f t="shared" si="229"/>
        <v>Shipped</v>
      </c>
      <c r="I2475" s="4" t="str">
        <f t="shared" si="230"/>
        <v>completed</v>
      </c>
      <c r="J2475" t="s">
        <v>25</v>
      </c>
      <c r="K2475">
        <v>3</v>
      </c>
      <c r="L2475">
        <v>9</v>
      </c>
      <c r="M2475">
        <v>2004</v>
      </c>
      <c r="N2475" t="s">
        <v>598</v>
      </c>
      <c r="O2475">
        <v>66</v>
      </c>
      <c r="P2475" t="s">
        <v>661</v>
      </c>
      <c r="Q2475" t="s">
        <v>379</v>
      </c>
      <c r="R2475">
        <v>6175559555</v>
      </c>
      <c r="S2475" t="s">
        <v>380</v>
      </c>
      <c r="U2475" s="1" t="str">
        <f t="shared" si="231"/>
        <v>Boston</v>
      </c>
      <c r="V2475" t="s">
        <v>381</v>
      </c>
      <c r="W2475" t="s">
        <v>123</v>
      </c>
      <c r="X2475">
        <v>51003</v>
      </c>
      <c r="Y2475" s="1" t="str">
        <f t="shared" si="232"/>
        <v>USA</v>
      </c>
      <c r="Z2475" s="4" t="str">
        <f t="shared" si="233"/>
        <v>Usa</v>
      </c>
      <c r="AA2475" t="s">
        <v>32</v>
      </c>
      <c r="AB2475" t="s">
        <v>33</v>
      </c>
      <c r="AC2475" t="s">
        <v>382</v>
      </c>
      <c r="AD2475" t="s">
        <v>66</v>
      </c>
      <c r="AE2475" t="s">
        <v>36</v>
      </c>
    </row>
    <row r="2476" spans="1:31" x14ac:dyDescent="0.3">
      <c r="A2476">
        <v>10306</v>
      </c>
      <c r="B2476">
        <v>50</v>
      </c>
      <c r="C2476">
        <v>54</v>
      </c>
      <c r="D2476">
        <v>3</v>
      </c>
      <c r="E2476" s="4" t="str">
        <f t="shared" si="228"/>
        <v>low sales</v>
      </c>
      <c r="F2476">
        <v>2700</v>
      </c>
      <c r="G2476" t="s">
        <v>3148</v>
      </c>
      <c r="H2476" s="1" t="str">
        <f t="shared" si="229"/>
        <v>Shipped</v>
      </c>
      <c r="I2476" s="4" t="str">
        <f t="shared" si="230"/>
        <v>completed</v>
      </c>
      <c r="J2476" t="s">
        <v>25</v>
      </c>
      <c r="K2476">
        <v>4</v>
      </c>
      <c r="L2476">
        <v>10</v>
      </c>
      <c r="M2476">
        <v>2004</v>
      </c>
      <c r="N2476" t="s">
        <v>598</v>
      </c>
      <c r="O2476">
        <v>66</v>
      </c>
      <c r="P2476" t="s">
        <v>661</v>
      </c>
      <c r="Q2476" t="s">
        <v>492</v>
      </c>
      <c r="R2476" t="s">
        <v>493</v>
      </c>
      <c r="S2476" t="s">
        <v>494</v>
      </c>
      <c r="U2476" s="1" t="str">
        <f t="shared" si="231"/>
        <v>Manchester</v>
      </c>
      <c r="V2476" t="s">
        <v>495</v>
      </c>
      <c r="X2476" t="s">
        <v>496</v>
      </c>
      <c r="Y2476" s="1" t="str">
        <f t="shared" si="232"/>
        <v>UK</v>
      </c>
      <c r="Z2476" s="4" t="str">
        <f t="shared" si="233"/>
        <v>Uk</v>
      </c>
      <c r="AA2476" t="s">
        <v>170</v>
      </c>
      <c r="AB2476" t="s">
        <v>42</v>
      </c>
      <c r="AC2476" t="s">
        <v>497</v>
      </c>
      <c r="AD2476" t="s">
        <v>94</v>
      </c>
      <c r="AE2476" t="s">
        <v>36</v>
      </c>
    </row>
    <row r="2477" spans="1:31" x14ac:dyDescent="0.3">
      <c r="A2477">
        <v>10315</v>
      </c>
      <c r="B2477">
        <v>41</v>
      </c>
      <c r="C2477">
        <v>62</v>
      </c>
      <c r="D2477">
        <v>2</v>
      </c>
      <c r="E2477" s="4" t="str">
        <f t="shared" si="228"/>
        <v>low sales</v>
      </c>
      <c r="F2477">
        <v>2542</v>
      </c>
      <c r="G2477" t="s">
        <v>3149</v>
      </c>
      <c r="H2477" s="1" t="str">
        <f t="shared" si="229"/>
        <v>Shipped</v>
      </c>
      <c r="I2477" s="4" t="str">
        <f t="shared" si="230"/>
        <v>completed</v>
      </c>
      <c r="J2477" t="s">
        <v>25</v>
      </c>
      <c r="K2477">
        <v>4</v>
      </c>
      <c r="L2477">
        <v>10</v>
      </c>
      <c r="M2477">
        <v>2004</v>
      </c>
      <c r="N2477" t="s">
        <v>598</v>
      </c>
      <c r="O2477">
        <v>66</v>
      </c>
      <c r="P2477" t="s">
        <v>661</v>
      </c>
      <c r="Q2477" t="s">
        <v>114</v>
      </c>
      <c r="R2477" t="s">
        <v>115</v>
      </c>
      <c r="S2477" t="s">
        <v>116</v>
      </c>
      <c r="U2477" s="1" t="str">
        <f t="shared" si="231"/>
        <v>Nantes</v>
      </c>
      <c r="V2477" t="s">
        <v>117</v>
      </c>
      <c r="X2477">
        <v>44000</v>
      </c>
      <c r="Y2477" s="1" t="str">
        <f t="shared" si="232"/>
        <v>FRANCE</v>
      </c>
      <c r="Z2477" s="4" t="str">
        <f t="shared" si="233"/>
        <v>France</v>
      </c>
      <c r="AA2477" t="s">
        <v>41</v>
      </c>
      <c r="AB2477" t="s">
        <v>42</v>
      </c>
      <c r="AC2477" t="s">
        <v>118</v>
      </c>
      <c r="AD2477" t="s">
        <v>119</v>
      </c>
      <c r="AE2477" t="s">
        <v>36</v>
      </c>
    </row>
    <row r="2478" spans="1:31" x14ac:dyDescent="0.3">
      <c r="A2478">
        <v>10326</v>
      </c>
      <c r="B2478">
        <v>39</v>
      </c>
      <c r="C2478">
        <v>60</v>
      </c>
      <c r="D2478">
        <v>1</v>
      </c>
      <c r="E2478" s="4" t="str">
        <f t="shared" si="228"/>
        <v>low sales</v>
      </c>
      <c r="F2478">
        <v>2340</v>
      </c>
      <c r="G2478" t="s">
        <v>3150</v>
      </c>
      <c r="H2478" s="1" t="str">
        <f t="shared" si="229"/>
        <v>Shipped</v>
      </c>
      <c r="I2478" s="4" t="str">
        <f t="shared" si="230"/>
        <v>completed</v>
      </c>
      <c r="J2478" t="s">
        <v>25</v>
      </c>
      <c r="K2478">
        <v>4</v>
      </c>
      <c r="L2478">
        <v>11</v>
      </c>
      <c r="M2478">
        <v>2004</v>
      </c>
      <c r="N2478" t="s">
        <v>598</v>
      </c>
      <c r="O2478">
        <v>66</v>
      </c>
      <c r="P2478" t="s">
        <v>661</v>
      </c>
      <c r="Q2478" t="s">
        <v>183</v>
      </c>
      <c r="R2478" t="s">
        <v>184</v>
      </c>
      <c r="S2478" t="s">
        <v>185</v>
      </c>
      <c r="U2478" s="1" t="str">
        <f t="shared" si="231"/>
        <v>Lule</v>
      </c>
      <c r="V2478" t="s">
        <v>186</v>
      </c>
      <c r="X2478" t="s">
        <v>187</v>
      </c>
      <c r="Y2478" s="1" t="str">
        <f t="shared" si="232"/>
        <v>SWEDEN</v>
      </c>
      <c r="Z2478" s="4" t="str">
        <f t="shared" si="233"/>
        <v>Sweden</v>
      </c>
      <c r="AA2478" t="s">
        <v>188</v>
      </c>
      <c r="AB2478" t="s">
        <v>42</v>
      </c>
      <c r="AC2478" t="s">
        <v>189</v>
      </c>
      <c r="AD2478" t="s">
        <v>190</v>
      </c>
      <c r="AE2478" t="s">
        <v>36</v>
      </c>
    </row>
    <row r="2479" spans="1:31" x14ac:dyDescent="0.3">
      <c r="A2479">
        <v>10339</v>
      </c>
      <c r="B2479">
        <v>22</v>
      </c>
      <c r="C2479">
        <v>100</v>
      </c>
      <c r="D2479">
        <v>5</v>
      </c>
      <c r="E2479" s="4" t="str">
        <f t="shared" si="228"/>
        <v>low sales</v>
      </c>
      <c r="F2479">
        <v>2816.44</v>
      </c>
      <c r="G2479" t="s">
        <v>3151</v>
      </c>
      <c r="H2479" s="1" t="str">
        <f t="shared" si="229"/>
        <v>Shipped</v>
      </c>
      <c r="I2479" s="4" t="str">
        <f t="shared" si="230"/>
        <v>completed</v>
      </c>
      <c r="J2479" t="s">
        <v>25</v>
      </c>
      <c r="K2479">
        <v>4</v>
      </c>
      <c r="L2479">
        <v>11</v>
      </c>
      <c r="M2479">
        <v>2004</v>
      </c>
      <c r="N2479" t="s">
        <v>598</v>
      </c>
      <c r="O2479">
        <v>66</v>
      </c>
      <c r="P2479" t="s">
        <v>661</v>
      </c>
      <c r="Q2479" t="s">
        <v>246</v>
      </c>
      <c r="R2479" t="s">
        <v>247</v>
      </c>
      <c r="S2479" t="s">
        <v>248</v>
      </c>
      <c r="U2479" s="1" t="str">
        <f t="shared" si="231"/>
        <v>Minato-Ku</v>
      </c>
      <c r="V2479" t="s">
        <v>249</v>
      </c>
      <c r="W2479" t="s">
        <v>250</v>
      </c>
      <c r="X2479" t="s">
        <v>251</v>
      </c>
      <c r="Y2479" s="1" t="str">
        <f t="shared" si="232"/>
        <v>JAPAN</v>
      </c>
      <c r="Z2479" s="4" t="str">
        <f t="shared" si="233"/>
        <v>Japan</v>
      </c>
      <c r="AA2479" t="s">
        <v>200</v>
      </c>
      <c r="AB2479" t="s">
        <v>200</v>
      </c>
      <c r="AC2479" t="s">
        <v>252</v>
      </c>
      <c r="AD2479" t="s">
        <v>253</v>
      </c>
      <c r="AE2479" t="s">
        <v>36</v>
      </c>
    </row>
    <row r="2480" spans="1:31" x14ac:dyDescent="0.3">
      <c r="A2480">
        <v>10350</v>
      </c>
      <c r="B2480">
        <v>46</v>
      </c>
      <c r="C2480">
        <v>76.67</v>
      </c>
      <c r="D2480">
        <v>11</v>
      </c>
      <c r="E2480" s="4" t="str">
        <f t="shared" si="228"/>
        <v>low sales</v>
      </c>
      <c r="F2480">
        <v>3526.82</v>
      </c>
      <c r="G2480" t="s">
        <v>3152</v>
      </c>
      <c r="H2480" s="1" t="str">
        <f t="shared" si="229"/>
        <v>Shipped</v>
      </c>
      <c r="I2480" s="4" t="str">
        <f t="shared" si="230"/>
        <v>completed</v>
      </c>
      <c r="J2480" t="s">
        <v>25</v>
      </c>
      <c r="K2480">
        <v>4</v>
      </c>
      <c r="L2480">
        <v>12</v>
      </c>
      <c r="M2480">
        <v>2004</v>
      </c>
      <c r="N2480" t="s">
        <v>598</v>
      </c>
      <c r="O2480">
        <v>66</v>
      </c>
      <c r="P2480" t="s">
        <v>661</v>
      </c>
      <c r="Q2480" t="s">
        <v>174</v>
      </c>
      <c r="R2480" t="s">
        <v>175</v>
      </c>
      <c r="S2480" t="s">
        <v>176</v>
      </c>
      <c r="U2480" s="1" t="str">
        <f t="shared" si="231"/>
        <v>Madrid</v>
      </c>
      <c r="V2480" t="s">
        <v>177</v>
      </c>
      <c r="X2480">
        <v>28034</v>
      </c>
      <c r="Y2480" s="1" t="str">
        <f t="shared" si="232"/>
        <v>SPAIN</v>
      </c>
      <c r="Z2480" s="4" t="str">
        <f t="shared" si="233"/>
        <v>Spain</v>
      </c>
      <c r="AA2480" t="s">
        <v>178</v>
      </c>
      <c r="AB2480" t="s">
        <v>42</v>
      </c>
      <c r="AC2480" t="s">
        <v>179</v>
      </c>
      <c r="AD2480" t="s">
        <v>180</v>
      </c>
      <c r="AE2480" t="s">
        <v>51</v>
      </c>
    </row>
    <row r="2481" spans="1:31" x14ac:dyDescent="0.3">
      <c r="A2481">
        <v>10373</v>
      </c>
      <c r="B2481">
        <v>44</v>
      </c>
      <c r="C2481">
        <v>100</v>
      </c>
      <c r="D2481">
        <v>14</v>
      </c>
      <c r="E2481" s="4" t="str">
        <f t="shared" si="228"/>
        <v>high sales</v>
      </c>
      <c r="F2481">
        <v>4627.92</v>
      </c>
      <c r="G2481" t="s">
        <v>3153</v>
      </c>
      <c r="H2481" s="1" t="str">
        <f t="shared" si="229"/>
        <v>Shipped</v>
      </c>
      <c r="I2481" s="4" t="str">
        <f t="shared" si="230"/>
        <v>completed</v>
      </c>
      <c r="J2481" t="s">
        <v>25</v>
      </c>
      <c r="K2481">
        <v>1</v>
      </c>
      <c r="L2481">
        <v>1</v>
      </c>
      <c r="M2481">
        <v>2005</v>
      </c>
      <c r="N2481" t="s">
        <v>598</v>
      </c>
      <c r="O2481">
        <v>66</v>
      </c>
      <c r="P2481" t="s">
        <v>661</v>
      </c>
      <c r="Q2481" t="s">
        <v>391</v>
      </c>
      <c r="R2481" t="s">
        <v>392</v>
      </c>
      <c r="S2481" t="s">
        <v>393</v>
      </c>
      <c r="U2481" s="1" t="str">
        <f t="shared" si="231"/>
        <v>Oulu</v>
      </c>
      <c r="V2481" t="s">
        <v>394</v>
      </c>
      <c r="X2481">
        <v>90110</v>
      </c>
      <c r="Y2481" s="1" t="str">
        <f t="shared" si="232"/>
        <v>FINLAND</v>
      </c>
      <c r="Z2481" s="4" t="str">
        <f t="shared" si="233"/>
        <v>Finland</v>
      </c>
      <c r="AA2481" t="s">
        <v>130</v>
      </c>
      <c r="AB2481" t="s">
        <v>42</v>
      </c>
      <c r="AC2481" t="s">
        <v>395</v>
      </c>
      <c r="AD2481" t="s">
        <v>396</v>
      </c>
      <c r="AE2481" t="s">
        <v>51</v>
      </c>
    </row>
    <row r="2482" spans="1:31" x14ac:dyDescent="0.3">
      <c r="A2482">
        <v>10385</v>
      </c>
      <c r="B2482">
        <v>25</v>
      </c>
      <c r="C2482">
        <v>77.34</v>
      </c>
      <c r="D2482">
        <v>1</v>
      </c>
      <c r="E2482" s="4" t="str">
        <f t="shared" si="228"/>
        <v>low sales</v>
      </c>
      <c r="F2482">
        <v>1933.5</v>
      </c>
      <c r="G2482" t="s">
        <v>3154</v>
      </c>
      <c r="H2482" s="1" t="str">
        <f t="shared" si="229"/>
        <v>Shipped</v>
      </c>
      <c r="I2482" s="4" t="str">
        <f t="shared" si="230"/>
        <v>completed</v>
      </c>
      <c r="J2482" t="s">
        <v>25</v>
      </c>
      <c r="K2482">
        <v>1</v>
      </c>
      <c r="L2482">
        <v>2</v>
      </c>
      <c r="M2482">
        <v>2005</v>
      </c>
      <c r="N2482" t="s">
        <v>598</v>
      </c>
      <c r="O2482">
        <v>66</v>
      </c>
      <c r="P2482" t="s">
        <v>661</v>
      </c>
      <c r="Q2482" t="s">
        <v>272</v>
      </c>
      <c r="R2482">
        <v>4155551450</v>
      </c>
      <c r="S2482" t="s">
        <v>273</v>
      </c>
      <c r="U2482" s="1" t="str">
        <f t="shared" si="231"/>
        <v>San Rafael</v>
      </c>
      <c r="V2482" t="s">
        <v>274</v>
      </c>
      <c r="W2482" t="s">
        <v>55</v>
      </c>
      <c r="X2482">
        <v>97562</v>
      </c>
      <c r="Y2482" s="1" t="str">
        <f t="shared" si="232"/>
        <v>USA</v>
      </c>
      <c r="Z2482" s="4" t="str">
        <f t="shared" si="233"/>
        <v>Usa</v>
      </c>
      <c r="AA2482" t="s">
        <v>32</v>
      </c>
      <c r="AB2482" t="s">
        <v>33</v>
      </c>
      <c r="AC2482" t="s">
        <v>275</v>
      </c>
      <c r="AD2482" t="s">
        <v>276</v>
      </c>
      <c r="AE2482" t="s">
        <v>36</v>
      </c>
    </row>
    <row r="2483" spans="1:31" x14ac:dyDescent="0.3">
      <c r="A2483">
        <v>10396</v>
      </c>
      <c r="B2483">
        <v>39</v>
      </c>
      <c r="C2483">
        <v>66.67</v>
      </c>
      <c r="D2483">
        <v>1</v>
      </c>
      <c r="E2483" s="4" t="str">
        <f t="shared" si="228"/>
        <v>low sales</v>
      </c>
      <c r="F2483">
        <v>2600.13</v>
      </c>
      <c r="G2483" t="s">
        <v>3155</v>
      </c>
      <c r="H2483" s="1" t="str">
        <f t="shared" si="229"/>
        <v>Shipped</v>
      </c>
      <c r="I2483" s="4" t="str">
        <f t="shared" si="230"/>
        <v>completed</v>
      </c>
      <c r="J2483" t="s">
        <v>25</v>
      </c>
      <c r="K2483">
        <v>1</v>
      </c>
      <c r="L2483">
        <v>3</v>
      </c>
      <c r="M2483">
        <v>2005</v>
      </c>
      <c r="N2483" t="s">
        <v>598</v>
      </c>
      <c r="O2483">
        <v>66</v>
      </c>
      <c r="P2483" t="s">
        <v>661</v>
      </c>
      <c r="Q2483" t="s">
        <v>272</v>
      </c>
      <c r="R2483">
        <v>4155551450</v>
      </c>
      <c r="S2483" t="s">
        <v>273</v>
      </c>
      <c r="U2483" s="1" t="str">
        <f t="shared" si="231"/>
        <v>San Rafael</v>
      </c>
      <c r="V2483" t="s">
        <v>274</v>
      </c>
      <c r="W2483" t="s">
        <v>55</v>
      </c>
      <c r="X2483">
        <v>97562</v>
      </c>
      <c r="Y2483" s="1" t="str">
        <f t="shared" si="232"/>
        <v>USA</v>
      </c>
      <c r="Z2483" s="4" t="str">
        <f t="shared" si="233"/>
        <v>Usa</v>
      </c>
      <c r="AA2483" t="s">
        <v>32</v>
      </c>
      <c r="AB2483" t="s">
        <v>33</v>
      </c>
      <c r="AC2483" t="s">
        <v>275</v>
      </c>
      <c r="AD2483" t="s">
        <v>276</v>
      </c>
      <c r="AE2483" t="s">
        <v>36</v>
      </c>
    </row>
    <row r="2484" spans="1:31" x14ac:dyDescent="0.3">
      <c r="A2484">
        <v>10414</v>
      </c>
      <c r="B2484">
        <v>37</v>
      </c>
      <c r="C2484">
        <v>71.34</v>
      </c>
      <c r="D2484">
        <v>6</v>
      </c>
      <c r="E2484" s="4" t="str">
        <f t="shared" si="228"/>
        <v>low sales</v>
      </c>
      <c r="F2484">
        <v>2639.58</v>
      </c>
      <c r="G2484" t="s">
        <v>3156</v>
      </c>
      <c r="H2484" s="1" t="str">
        <f t="shared" si="229"/>
        <v>On Hold</v>
      </c>
      <c r="I2484" s="4" t="str">
        <f t="shared" si="230"/>
        <v>not completed</v>
      </c>
      <c r="J2484" t="s">
        <v>401</v>
      </c>
      <c r="K2484">
        <v>2</v>
      </c>
      <c r="L2484">
        <v>5</v>
      </c>
      <c r="M2484">
        <v>2005</v>
      </c>
      <c r="N2484" t="s">
        <v>598</v>
      </c>
      <c r="O2484">
        <v>66</v>
      </c>
      <c r="P2484" t="s">
        <v>661</v>
      </c>
      <c r="Q2484" t="s">
        <v>379</v>
      </c>
      <c r="R2484">
        <v>6175559555</v>
      </c>
      <c r="S2484" t="s">
        <v>380</v>
      </c>
      <c r="U2484" s="1" t="str">
        <f t="shared" si="231"/>
        <v>Boston</v>
      </c>
      <c r="V2484" t="s">
        <v>381</v>
      </c>
      <c r="W2484" t="s">
        <v>123</v>
      </c>
      <c r="X2484">
        <v>51003</v>
      </c>
      <c r="Y2484" s="1" t="str">
        <f t="shared" si="232"/>
        <v>USA</v>
      </c>
      <c r="Z2484" s="4" t="str">
        <f t="shared" si="233"/>
        <v>Usa</v>
      </c>
      <c r="AA2484" t="s">
        <v>32</v>
      </c>
      <c r="AB2484" t="s">
        <v>33</v>
      </c>
      <c r="AC2484" t="s">
        <v>382</v>
      </c>
      <c r="AD2484" t="s">
        <v>66</v>
      </c>
      <c r="AE2484" t="s">
        <v>36</v>
      </c>
    </row>
    <row r="2485" spans="1:31" x14ac:dyDescent="0.3">
      <c r="A2485">
        <v>10106</v>
      </c>
      <c r="B2485">
        <v>31</v>
      </c>
      <c r="C2485">
        <v>100</v>
      </c>
      <c r="D2485">
        <v>7</v>
      </c>
      <c r="E2485" s="4" t="str">
        <f t="shared" si="228"/>
        <v>low sales</v>
      </c>
      <c r="F2485">
        <v>3312.97</v>
      </c>
      <c r="G2485" t="s">
        <v>3157</v>
      </c>
      <c r="H2485" s="1" t="str">
        <f t="shared" si="229"/>
        <v>Shipped</v>
      </c>
      <c r="I2485" s="4" t="str">
        <f t="shared" si="230"/>
        <v>completed</v>
      </c>
      <c r="J2485" t="s">
        <v>25</v>
      </c>
      <c r="K2485">
        <v>1</v>
      </c>
      <c r="L2485">
        <v>2</v>
      </c>
      <c r="M2485">
        <v>2003</v>
      </c>
      <c r="N2485" t="s">
        <v>566</v>
      </c>
      <c r="O2485">
        <v>91</v>
      </c>
      <c r="P2485" t="s">
        <v>662</v>
      </c>
      <c r="Q2485" t="s">
        <v>552</v>
      </c>
      <c r="R2485" t="s">
        <v>553</v>
      </c>
      <c r="S2485" t="s">
        <v>554</v>
      </c>
      <c r="U2485" s="1" t="str">
        <f t="shared" si="231"/>
        <v>Bergamo</v>
      </c>
      <c r="V2485" t="s">
        <v>555</v>
      </c>
      <c r="X2485">
        <v>24100</v>
      </c>
      <c r="Y2485" s="1" t="str">
        <f t="shared" si="232"/>
        <v>ITALY</v>
      </c>
      <c r="Z2485" s="4" t="str">
        <f t="shared" si="233"/>
        <v>Italy</v>
      </c>
      <c r="AA2485" t="s">
        <v>258</v>
      </c>
      <c r="AB2485" t="s">
        <v>42</v>
      </c>
      <c r="AC2485" t="s">
        <v>556</v>
      </c>
      <c r="AD2485" t="s">
        <v>557</v>
      </c>
      <c r="AE2485" t="s">
        <v>51</v>
      </c>
    </row>
    <row r="2486" spans="1:31" x14ac:dyDescent="0.3">
      <c r="A2486">
        <v>10120</v>
      </c>
      <c r="B2486">
        <v>47</v>
      </c>
      <c r="C2486">
        <v>82.21</v>
      </c>
      <c r="D2486">
        <v>13</v>
      </c>
      <c r="E2486" s="4" t="str">
        <f t="shared" si="228"/>
        <v>low sales</v>
      </c>
      <c r="F2486">
        <v>3863.87</v>
      </c>
      <c r="G2486" t="s">
        <v>3158</v>
      </c>
      <c r="H2486" s="1" t="str">
        <f t="shared" si="229"/>
        <v>Shipped</v>
      </c>
      <c r="I2486" s="4" t="str">
        <f t="shared" si="230"/>
        <v>completed</v>
      </c>
      <c r="J2486" t="s">
        <v>25</v>
      </c>
      <c r="K2486">
        <v>2</v>
      </c>
      <c r="L2486">
        <v>4</v>
      </c>
      <c r="M2486">
        <v>2003</v>
      </c>
      <c r="N2486" t="s">
        <v>566</v>
      </c>
      <c r="O2486">
        <v>91</v>
      </c>
      <c r="P2486" t="s">
        <v>662</v>
      </c>
      <c r="Q2486" t="s">
        <v>89</v>
      </c>
      <c r="R2486" t="s">
        <v>90</v>
      </c>
      <c r="S2486" t="s">
        <v>91</v>
      </c>
      <c r="T2486" t="s">
        <v>92</v>
      </c>
      <c r="U2486" s="1" t="str">
        <f t="shared" si="231"/>
        <v>Melbourne</v>
      </c>
      <c r="V2486" t="s">
        <v>93</v>
      </c>
      <c r="W2486" t="s">
        <v>94</v>
      </c>
      <c r="X2486">
        <v>3004</v>
      </c>
      <c r="Y2486" s="1" t="str">
        <f t="shared" si="232"/>
        <v>AUSTRALIA</v>
      </c>
      <c r="Z2486" s="4" t="str">
        <f t="shared" si="233"/>
        <v>Australia</v>
      </c>
      <c r="AA2486" t="s">
        <v>95</v>
      </c>
      <c r="AB2486" t="s">
        <v>96</v>
      </c>
      <c r="AC2486" t="s">
        <v>97</v>
      </c>
      <c r="AD2486" t="s">
        <v>98</v>
      </c>
      <c r="AE2486" t="s">
        <v>51</v>
      </c>
    </row>
    <row r="2487" spans="1:31" x14ac:dyDescent="0.3">
      <c r="A2487">
        <v>10133</v>
      </c>
      <c r="B2487">
        <v>24</v>
      </c>
      <c r="C2487">
        <v>77.64</v>
      </c>
      <c r="D2487">
        <v>8</v>
      </c>
      <c r="E2487" s="4" t="str">
        <f t="shared" si="228"/>
        <v>low sales</v>
      </c>
      <c r="F2487">
        <v>1863.36</v>
      </c>
      <c r="G2487" t="s">
        <v>3159</v>
      </c>
      <c r="H2487" s="1" t="str">
        <f t="shared" si="229"/>
        <v>Shipped</v>
      </c>
      <c r="I2487" s="4" t="str">
        <f t="shared" si="230"/>
        <v>completed</v>
      </c>
      <c r="J2487" t="s">
        <v>25</v>
      </c>
      <c r="K2487">
        <v>2</v>
      </c>
      <c r="L2487">
        <v>6</v>
      </c>
      <c r="M2487">
        <v>2003</v>
      </c>
      <c r="N2487" t="s">
        <v>566</v>
      </c>
      <c r="O2487">
        <v>91</v>
      </c>
      <c r="P2487" t="s">
        <v>662</v>
      </c>
      <c r="Q2487" t="s">
        <v>174</v>
      </c>
      <c r="R2487" t="s">
        <v>175</v>
      </c>
      <c r="S2487" t="s">
        <v>176</v>
      </c>
      <c r="U2487" s="1" t="str">
        <f t="shared" si="231"/>
        <v>Madrid</v>
      </c>
      <c r="V2487" t="s">
        <v>177</v>
      </c>
      <c r="X2487">
        <v>28034</v>
      </c>
      <c r="Y2487" s="1" t="str">
        <f t="shared" si="232"/>
        <v>SPAIN</v>
      </c>
      <c r="Z2487" s="4" t="str">
        <f t="shared" si="233"/>
        <v>Spain</v>
      </c>
      <c r="AA2487" t="s">
        <v>178</v>
      </c>
      <c r="AB2487" t="s">
        <v>42</v>
      </c>
      <c r="AC2487" t="s">
        <v>179</v>
      </c>
      <c r="AD2487" t="s">
        <v>180</v>
      </c>
      <c r="AE2487" t="s">
        <v>36</v>
      </c>
    </row>
    <row r="2488" spans="1:31" x14ac:dyDescent="0.3">
      <c r="A2488">
        <v>10143</v>
      </c>
      <c r="B2488">
        <v>36</v>
      </c>
      <c r="C2488">
        <v>100</v>
      </c>
      <c r="D2488">
        <v>2</v>
      </c>
      <c r="E2488" s="4" t="str">
        <f t="shared" si="228"/>
        <v>low sales</v>
      </c>
      <c r="F2488">
        <v>3945.96</v>
      </c>
      <c r="G2488" t="s">
        <v>3160</v>
      </c>
      <c r="H2488" s="1" t="str">
        <f t="shared" si="229"/>
        <v>Shipped</v>
      </c>
      <c r="I2488" s="4" t="str">
        <f t="shared" si="230"/>
        <v>completed</v>
      </c>
      <c r="J2488" t="s">
        <v>25</v>
      </c>
      <c r="K2488">
        <v>3</v>
      </c>
      <c r="L2488">
        <v>8</v>
      </c>
      <c r="M2488">
        <v>2003</v>
      </c>
      <c r="N2488" t="s">
        <v>566</v>
      </c>
      <c r="O2488">
        <v>91</v>
      </c>
      <c r="P2488" t="s">
        <v>662</v>
      </c>
      <c r="Q2488" t="s">
        <v>335</v>
      </c>
      <c r="R2488">
        <v>5085559555</v>
      </c>
      <c r="S2488" t="s">
        <v>336</v>
      </c>
      <c r="U2488" s="1" t="str">
        <f t="shared" si="231"/>
        <v>New Bedford</v>
      </c>
      <c r="V2488" t="s">
        <v>162</v>
      </c>
      <c r="W2488" t="s">
        <v>123</v>
      </c>
      <c r="X2488">
        <v>50553</v>
      </c>
      <c r="Y2488" s="1" t="str">
        <f t="shared" si="232"/>
        <v>USA</v>
      </c>
      <c r="Z2488" s="4" t="str">
        <f t="shared" si="233"/>
        <v>Usa</v>
      </c>
      <c r="AA2488" t="s">
        <v>32</v>
      </c>
      <c r="AB2488" t="s">
        <v>33</v>
      </c>
      <c r="AC2488" t="s">
        <v>337</v>
      </c>
      <c r="AD2488" t="s">
        <v>338</v>
      </c>
      <c r="AE2488" t="s">
        <v>51</v>
      </c>
    </row>
    <row r="2489" spans="1:31" x14ac:dyDescent="0.3">
      <c r="A2489">
        <v>10156</v>
      </c>
      <c r="B2489">
        <v>48</v>
      </c>
      <c r="C2489">
        <v>100</v>
      </c>
      <c r="D2489">
        <v>2</v>
      </c>
      <c r="E2489" s="4" t="str">
        <f t="shared" si="228"/>
        <v>high sales</v>
      </c>
      <c r="F2489">
        <v>4954.08</v>
      </c>
      <c r="G2489" t="s">
        <v>3161</v>
      </c>
      <c r="H2489" s="1" t="str">
        <f t="shared" si="229"/>
        <v>Shipped</v>
      </c>
      <c r="I2489" s="4" t="str">
        <f t="shared" si="230"/>
        <v>completed</v>
      </c>
      <c r="J2489" t="s">
        <v>25</v>
      </c>
      <c r="K2489">
        <v>4</v>
      </c>
      <c r="L2489">
        <v>10</v>
      </c>
      <c r="M2489">
        <v>2003</v>
      </c>
      <c r="N2489" t="s">
        <v>566</v>
      </c>
      <c r="O2489">
        <v>91</v>
      </c>
      <c r="P2489" t="s">
        <v>662</v>
      </c>
      <c r="Q2489" t="s">
        <v>174</v>
      </c>
      <c r="R2489" t="s">
        <v>175</v>
      </c>
      <c r="S2489" t="s">
        <v>176</v>
      </c>
      <c r="U2489" s="1" t="str">
        <f t="shared" si="231"/>
        <v>Madrid</v>
      </c>
      <c r="V2489" t="s">
        <v>177</v>
      </c>
      <c r="X2489">
        <v>28034</v>
      </c>
      <c r="Y2489" s="1" t="str">
        <f t="shared" si="232"/>
        <v>SPAIN</v>
      </c>
      <c r="Z2489" s="4" t="str">
        <f t="shared" si="233"/>
        <v>Spain</v>
      </c>
      <c r="AA2489" t="s">
        <v>178</v>
      </c>
      <c r="AB2489" t="s">
        <v>42</v>
      </c>
      <c r="AC2489" t="s">
        <v>179</v>
      </c>
      <c r="AD2489" t="s">
        <v>180</v>
      </c>
      <c r="AE2489" t="s">
        <v>51</v>
      </c>
    </row>
    <row r="2490" spans="1:31" x14ac:dyDescent="0.3">
      <c r="A2490">
        <v>10168</v>
      </c>
      <c r="B2490">
        <v>28</v>
      </c>
      <c r="C2490">
        <v>98.65</v>
      </c>
      <c r="D2490">
        <v>14</v>
      </c>
      <c r="E2490" s="4" t="str">
        <f t="shared" si="228"/>
        <v>low sales</v>
      </c>
      <c r="F2490">
        <v>2762.2</v>
      </c>
      <c r="G2490" t="s">
        <v>3162</v>
      </c>
      <c r="H2490" s="1" t="str">
        <f t="shared" si="229"/>
        <v>Shipped</v>
      </c>
      <c r="I2490" s="4" t="str">
        <f t="shared" si="230"/>
        <v>completed</v>
      </c>
      <c r="J2490" t="s">
        <v>25</v>
      </c>
      <c r="K2490">
        <v>4</v>
      </c>
      <c r="L2490">
        <v>10</v>
      </c>
      <c r="M2490">
        <v>2003</v>
      </c>
      <c r="N2490" t="s">
        <v>566</v>
      </c>
      <c r="O2490">
        <v>91</v>
      </c>
      <c r="P2490" t="s">
        <v>662</v>
      </c>
      <c r="Q2490" t="s">
        <v>62</v>
      </c>
      <c r="R2490">
        <v>6505556809</v>
      </c>
      <c r="S2490" t="s">
        <v>63</v>
      </c>
      <c r="U2490" s="1" t="str">
        <f t="shared" si="231"/>
        <v>Burlingame</v>
      </c>
      <c r="V2490" t="s">
        <v>64</v>
      </c>
      <c r="W2490" t="s">
        <v>55</v>
      </c>
      <c r="X2490">
        <v>94217</v>
      </c>
      <c r="Y2490" s="1" t="str">
        <f t="shared" si="232"/>
        <v>USA</v>
      </c>
      <c r="Z2490" s="4" t="str">
        <f t="shared" si="233"/>
        <v>Usa</v>
      </c>
      <c r="AA2490" t="s">
        <v>32</v>
      </c>
      <c r="AB2490" t="s">
        <v>33</v>
      </c>
      <c r="AC2490" t="s">
        <v>65</v>
      </c>
      <c r="AD2490" t="s">
        <v>66</v>
      </c>
      <c r="AE2490" t="s">
        <v>36</v>
      </c>
    </row>
    <row r="2491" spans="1:31" x14ac:dyDescent="0.3">
      <c r="A2491">
        <v>10199</v>
      </c>
      <c r="B2491">
        <v>48</v>
      </c>
      <c r="C2491">
        <v>83.12</v>
      </c>
      <c r="D2491">
        <v>2</v>
      </c>
      <c r="E2491" s="4" t="str">
        <f t="shared" si="228"/>
        <v>low sales</v>
      </c>
      <c r="F2491">
        <v>3989.76</v>
      </c>
      <c r="G2491" t="s">
        <v>3163</v>
      </c>
      <c r="H2491" s="1" t="str">
        <f t="shared" si="229"/>
        <v>Shipped</v>
      </c>
      <c r="I2491" s="4" t="str">
        <f t="shared" si="230"/>
        <v>completed</v>
      </c>
      <c r="J2491" t="s">
        <v>25</v>
      </c>
      <c r="K2491">
        <v>4</v>
      </c>
      <c r="L2491">
        <v>12</v>
      </c>
      <c r="M2491">
        <v>2003</v>
      </c>
      <c r="N2491" t="s">
        <v>566</v>
      </c>
      <c r="O2491">
        <v>91</v>
      </c>
      <c r="P2491" t="s">
        <v>662</v>
      </c>
      <c r="Q2491" t="s">
        <v>234</v>
      </c>
      <c r="R2491">
        <v>3105553722</v>
      </c>
      <c r="S2491" t="s">
        <v>235</v>
      </c>
      <c r="U2491" s="1" t="str">
        <f t="shared" si="231"/>
        <v>Burbank</v>
      </c>
      <c r="V2491" t="s">
        <v>236</v>
      </c>
      <c r="W2491" t="s">
        <v>55</v>
      </c>
      <c r="X2491">
        <v>94019</v>
      </c>
      <c r="Y2491" s="1" t="str">
        <f t="shared" si="232"/>
        <v>USA</v>
      </c>
      <c r="Z2491" s="4" t="str">
        <f t="shared" si="233"/>
        <v>Usa</v>
      </c>
      <c r="AA2491" t="s">
        <v>32</v>
      </c>
      <c r="AB2491" t="s">
        <v>33</v>
      </c>
      <c r="AC2491" t="s">
        <v>237</v>
      </c>
      <c r="AD2491" t="s">
        <v>238</v>
      </c>
      <c r="AE2491" t="s">
        <v>51</v>
      </c>
    </row>
    <row r="2492" spans="1:31" x14ac:dyDescent="0.3">
      <c r="A2492">
        <v>10210</v>
      </c>
      <c r="B2492">
        <v>21</v>
      </c>
      <c r="C2492">
        <v>78.55</v>
      </c>
      <c r="D2492">
        <v>12</v>
      </c>
      <c r="E2492" s="4" t="str">
        <f t="shared" si="228"/>
        <v>low sales</v>
      </c>
      <c r="F2492">
        <v>1649.55</v>
      </c>
      <c r="G2492" t="s">
        <v>3164</v>
      </c>
      <c r="H2492" s="1" t="str">
        <f t="shared" si="229"/>
        <v>Shipped</v>
      </c>
      <c r="I2492" s="4" t="str">
        <f t="shared" si="230"/>
        <v>completed</v>
      </c>
      <c r="J2492" t="s">
        <v>25</v>
      </c>
      <c r="K2492">
        <v>1</v>
      </c>
      <c r="L2492">
        <v>1</v>
      </c>
      <c r="M2492">
        <v>2004</v>
      </c>
      <c r="N2492" t="s">
        <v>566</v>
      </c>
      <c r="O2492">
        <v>91</v>
      </c>
      <c r="P2492" t="s">
        <v>662</v>
      </c>
      <c r="Q2492" t="s">
        <v>302</v>
      </c>
      <c r="R2492" t="s">
        <v>303</v>
      </c>
      <c r="S2492" t="s">
        <v>304</v>
      </c>
      <c r="U2492" s="1" t="str">
        <f t="shared" si="231"/>
        <v>Osaka</v>
      </c>
      <c r="V2492" t="s">
        <v>305</v>
      </c>
      <c r="W2492" t="s">
        <v>305</v>
      </c>
      <c r="X2492" t="s">
        <v>306</v>
      </c>
      <c r="Y2492" s="1" t="str">
        <f t="shared" si="232"/>
        <v>JAPAN</v>
      </c>
      <c r="Z2492" s="4" t="str">
        <f t="shared" si="233"/>
        <v>Japan</v>
      </c>
      <c r="AA2492" t="s">
        <v>200</v>
      </c>
      <c r="AB2492" t="s">
        <v>200</v>
      </c>
      <c r="AC2492" t="s">
        <v>307</v>
      </c>
      <c r="AD2492" t="s">
        <v>308</v>
      </c>
      <c r="AE2492" t="s">
        <v>36</v>
      </c>
    </row>
    <row r="2493" spans="1:31" x14ac:dyDescent="0.3">
      <c r="A2493">
        <v>10223</v>
      </c>
      <c r="B2493">
        <v>25</v>
      </c>
      <c r="C2493">
        <v>100</v>
      </c>
      <c r="D2493">
        <v>14</v>
      </c>
      <c r="E2493" s="4" t="str">
        <f t="shared" si="228"/>
        <v>low sales</v>
      </c>
      <c r="F2493">
        <v>2534.75</v>
      </c>
      <c r="G2493" t="s">
        <v>3165</v>
      </c>
      <c r="H2493" s="1" t="str">
        <f t="shared" si="229"/>
        <v>Shipped</v>
      </c>
      <c r="I2493" s="4" t="str">
        <f t="shared" si="230"/>
        <v>completed</v>
      </c>
      <c r="J2493" t="s">
        <v>25</v>
      </c>
      <c r="K2493">
        <v>1</v>
      </c>
      <c r="L2493">
        <v>2</v>
      </c>
      <c r="M2493">
        <v>2004</v>
      </c>
      <c r="N2493" t="s">
        <v>566</v>
      </c>
      <c r="O2493">
        <v>91</v>
      </c>
      <c r="P2493" t="s">
        <v>662</v>
      </c>
      <c r="Q2493" t="s">
        <v>89</v>
      </c>
      <c r="R2493" t="s">
        <v>90</v>
      </c>
      <c r="S2493" t="s">
        <v>91</v>
      </c>
      <c r="T2493" t="s">
        <v>92</v>
      </c>
      <c r="U2493" s="1" t="str">
        <f t="shared" si="231"/>
        <v>Melbourne</v>
      </c>
      <c r="V2493" t="s">
        <v>93</v>
      </c>
      <c r="W2493" t="s">
        <v>94</v>
      </c>
      <c r="X2493">
        <v>3004</v>
      </c>
      <c r="Y2493" s="1" t="str">
        <f t="shared" si="232"/>
        <v>AUSTRALIA</v>
      </c>
      <c r="Z2493" s="4" t="str">
        <f t="shared" si="233"/>
        <v>Australia</v>
      </c>
      <c r="AA2493" t="s">
        <v>95</v>
      </c>
      <c r="AB2493" t="s">
        <v>96</v>
      </c>
      <c r="AC2493" t="s">
        <v>97</v>
      </c>
      <c r="AD2493" t="s">
        <v>98</v>
      </c>
      <c r="AE2493" t="s">
        <v>36</v>
      </c>
    </row>
    <row r="2494" spans="1:31" x14ac:dyDescent="0.3">
      <c r="A2494">
        <v>10235</v>
      </c>
      <c r="B2494">
        <v>25</v>
      </c>
      <c r="C2494">
        <v>100</v>
      </c>
      <c r="D2494">
        <v>8</v>
      </c>
      <c r="E2494" s="4" t="str">
        <f t="shared" si="228"/>
        <v>low sales</v>
      </c>
      <c r="F2494">
        <v>2580.25</v>
      </c>
      <c r="G2494" t="s">
        <v>3166</v>
      </c>
      <c r="H2494" s="1" t="str">
        <f t="shared" si="229"/>
        <v>Shipped</v>
      </c>
      <c r="I2494" s="4" t="str">
        <f t="shared" si="230"/>
        <v>completed</v>
      </c>
      <c r="J2494" t="s">
        <v>25</v>
      </c>
      <c r="K2494">
        <v>2</v>
      </c>
      <c r="L2494">
        <v>4</v>
      </c>
      <c r="M2494">
        <v>2004</v>
      </c>
      <c r="N2494" t="s">
        <v>566</v>
      </c>
      <c r="O2494">
        <v>91</v>
      </c>
      <c r="P2494" t="s">
        <v>662</v>
      </c>
      <c r="Q2494" t="s">
        <v>373</v>
      </c>
      <c r="R2494" t="s">
        <v>374</v>
      </c>
      <c r="S2494" t="s">
        <v>375</v>
      </c>
      <c r="U2494" s="1" t="str">
        <f t="shared" si="231"/>
        <v>Tsawassen</v>
      </c>
      <c r="V2494" t="s">
        <v>376</v>
      </c>
      <c r="W2494" t="s">
        <v>229</v>
      </c>
      <c r="X2494" t="s">
        <v>377</v>
      </c>
      <c r="Y2494" s="1" t="str">
        <f t="shared" si="232"/>
        <v>CANADA</v>
      </c>
      <c r="Z2494" s="4" t="str">
        <f t="shared" si="233"/>
        <v>Canada</v>
      </c>
      <c r="AA2494" t="s">
        <v>231</v>
      </c>
      <c r="AB2494" t="s">
        <v>33</v>
      </c>
      <c r="AC2494" t="s">
        <v>378</v>
      </c>
      <c r="AD2494" t="s">
        <v>172</v>
      </c>
      <c r="AE2494" t="s">
        <v>36</v>
      </c>
    </row>
    <row r="2495" spans="1:31" x14ac:dyDescent="0.3">
      <c r="A2495">
        <v>10250</v>
      </c>
      <c r="B2495">
        <v>31</v>
      </c>
      <c r="C2495">
        <v>91.34</v>
      </c>
      <c r="D2495">
        <v>9</v>
      </c>
      <c r="E2495" s="4" t="str">
        <f t="shared" si="228"/>
        <v>low sales</v>
      </c>
      <c r="F2495">
        <v>2831.54</v>
      </c>
      <c r="G2495" t="s">
        <v>3167</v>
      </c>
      <c r="H2495" s="1" t="str">
        <f t="shared" si="229"/>
        <v>Shipped</v>
      </c>
      <c r="I2495" s="4" t="str">
        <f t="shared" si="230"/>
        <v>completed</v>
      </c>
      <c r="J2495" t="s">
        <v>25</v>
      </c>
      <c r="K2495">
        <v>2</v>
      </c>
      <c r="L2495">
        <v>5</v>
      </c>
      <c r="M2495">
        <v>2004</v>
      </c>
      <c r="N2495" t="s">
        <v>566</v>
      </c>
      <c r="O2495">
        <v>91</v>
      </c>
      <c r="P2495" t="s">
        <v>662</v>
      </c>
      <c r="Q2495" t="s">
        <v>397</v>
      </c>
      <c r="R2495">
        <v>4085553659</v>
      </c>
      <c r="S2495" t="s">
        <v>398</v>
      </c>
      <c r="U2495" s="1" t="str">
        <f t="shared" si="231"/>
        <v>San Jose</v>
      </c>
      <c r="V2495" t="s">
        <v>399</v>
      </c>
      <c r="W2495" t="s">
        <v>55</v>
      </c>
      <c r="X2495">
        <v>94217</v>
      </c>
      <c r="Y2495" s="1" t="str">
        <f t="shared" si="232"/>
        <v>USA</v>
      </c>
      <c r="Z2495" s="4" t="str">
        <f t="shared" si="233"/>
        <v>Usa</v>
      </c>
      <c r="AA2495" t="s">
        <v>32</v>
      </c>
      <c r="AB2495" t="s">
        <v>33</v>
      </c>
      <c r="AC2495" t="s">
        <v>102</v>
      </c>
      <c r="AD2495" t="s">
        <v>400</v>
      </c>
      <c r="AE2495" t="s">
        <v>36</v>
      </c>
    </row>
    <row r="2496" spans="1:31" x14ac:dyDescent="0.3">
      <c r="A2496">
        <v>10262</v>
      </c>
      <c r="B2496">
        <v>40</v>
      </c>
      <c r="C2496">
        <v>84.03</v>
      </c>
      <c r="D2496">
        <v>4</v>
      </c>
      <c r="E2496" s="4" t="str">
        <f t="shared" si="228"/>
        <v>low sales</v>
      </c>
      <c r="F2496">
        <v>3361.2</v>
      </c>
      <c r="G2496" t="s">
        <v>3168</v>
      </c>
      <c r="H2496" s="1" t="str">
        <f t="shared" si="229"/>
        <v>Cancelled</v>
      </c>
      <c r="I2496" s="4" t="str">
        <f t="shared" si="230"/>
        <v>not completed</v>
      </c>
      <c r="J2496" t="s">
        <v>339</v>
      </c>
      <c r="K2496">
        <v>2</v>
      </c>
      <c r="L2496">
        <v>6</v>
      </c>
      <c r="M2496">
        <v>2004</v>
      </c>
      <c r="N2496" t="s">
        <v>566</v>
      </c>
      <c r="O2496">
        <v>91</v>
      </c>
      <c r="P2496" t="s">
        <v>662</v>
      </c>
      <c r="Q2496" t="s">
        <v>174</v>
      </c>
      <c r="R2496" t="s">
        <v>175</v>
      </c>
      <c r="S2496" t="s">
        <v>176</v>
      </c>
      <c r="U2496" s="1" t="str">
        <f t="shared" si="231"/>
        <v>Madrid</v>
      </c>
      <c r="V2496" t="s">
        <v>177</v>
      </c>
      <c r="X2496">
        <v>28034</v>
      </c>
      <c r="Y2496" s="1" t="str">
        <f t="shared" si="232"/>
        <v>SPAIN</v>
      </c>
      <c r="Z2496" s="4" t="str">
        <f t="shared" si="233"/>
        <v>Spain</v>
      </c>
      <c r="AA2496" t="s">
        <v>178</v>
      </c>
      <c r="AB2496" t="s">
        <v>42</v>
      </c>
      <c r="AC2496" t="s">
        <v>179</v>
      </c>
      <c r="AD2496" t="s">
        <v>180</v>
      </c>
      <c r="AE2496" t="s">
        <v>51</v>
      </c>
    </row>
    <row r="2497" spans="1:31" x14ac:dyDescent="0.3">
      <c r="A2497">
        <v>10275</v>
      </c>
      <c r="B2497">
        <v>32</v>
      </c>
      <c r="C2497">
        <v>89.51</v>
      </c>
      <c r="D2497">
        <v>14</v>
      </c>
      <c r="E2497" s="4" t="str">
        <f t="shared" si="228"/>
        <v>low sales</v>
      </c>
      <c r="F2497">
        <v>2864.32</v>
      </c>
      <c r="G2497" t="s">
        <v>3169</v>
      </c>
      <c r="H2497" s="1" t="str">
        <f t="shared" si="229"/>
        <v>Shipped</v>
      </c>
      <c r="I2497" s="4" t="str">
        <f t="shared" si="230"/>
        <v>completed</v>
      </c>
      <c r="J2497" t="s">
        <v>25</v>
      </c>
      <c r="K2497">
        <v>3</v>
      </c>
      <c r="L2497">
        <v>7</v>
      </c>
      <c r="M2497">
        <v>2004</v>
      </c>
      <c r="N2497" t="s">
        <v>566</v>
      </c>
      <c r="O2497">
        <v>91</v>
      </c>
      <c r="P2497" t="s">
        <v>662</v>
      </c>
      <c r="Q2497" t="s">
        <v>114</v>
      </c>
      <c r="R2497" t="s">
        <v>115</v>
      </c>
      <c r="S2497" t="s">
        <v>116</v>
      </c>
      <c r="U2497" s="1" t="str">
        <f t="shared" si="231"/>
        <v>Nantes</v>
      </c>
      <c r="V2497" t="s">
        <v>117</v>
      </c>
      <c r="X2497">
        <v>44000</v>
      </c>
      <c r="Y2497" s="1" t="str">
        <f t="shared" si="232"/>
        <v>FRANCE</v>
      </c>
      <c r="Z2497" s="4" t="str">
        <f t="shared" si="233"/>
        <v>France</v>
      </c>
      <c r="AA2497" t="s">
        <v>41</v>
      </c>
      <c r="AB2497" t="s">
        <v>42</v>
      </c>
      <c r="AC2497" t="s">
        <v>118</v>
      </c>
      <c r="AD2497" t="s">
        <v>119</v>
      </c>
      <c r="AE2497" t="s">
        <v>36</v>
      </c>
    </row>
    <row r="2498" spans="1:31" x14ac:dyDescent="0.3">
      <c r="A2498">
        <v>10284</v>
      </c>
      <c r="B2498">
        <v>24</v>
      </c>
      <c r="C2498">
        <v>83.12</v>
      </c>
      <c r="D2498">
        <v>6</v>
      </c>
      <c r="E2498" s="4" t="str">
        <f t="shared" si="228"/>
        <v>low sales</v>
      </c>
      <c r="F2498">
        <v>1994.88</v>
      </c>
      <c r="G2498" t="s">
        <v>3170</v>
      </c>
      <c r="H2498" s="1" t="str">
        <f t="shared" si="229"/>
        <v>Shipped</v>
      </c>
      <c r="I2498" s="4" t="str">
        <f t="shared" si="230"/>
        <v>completed</v>
      </c>
      <c r="J2498" t="s">
        <v>25</v>
      </c>
      <c r="K2498">
        <v>3</v>
      </c>
      <c r="L2498">
        <v>8</v>
      </c>
      <c r="M2498">
        <v>2004</v>
      </c>
      <c r="N2498" t="s">
        <v>566</v>
      </c>
      <c r="O2498">
        <v>91</v>
      </c>
      <c r="P2498" t="s">
        <v>662</v>
      </c>
      <c r="Q2498" t="s">
        <v>543</v>
      </c>
      <c r="R2498" t="s">
        <v>544</v>
      </c>
      <c r="S2498" t="s">
        <v>545</v>
      </c>
      <c r="U2498" s="1" t="str">
        <f t="shared" si="231"/>
        <v>Oslo</v>
      </c>
      <c r="V2498" t="s">
        <v>546</v>
      </c>
      <c r="X2498" t="s">
        <v>547</v>
      </c>
      <c r="Y2498" s="1" t="str">
        <f t="shared" si="232"/>
        <v>NORWAY</v>
      </c>
      <c r="Z2498" s="4" t="str">
        <f t="shared" si="233"/>
        <v>Norway</v>
      </c>
      <c r="AA2498" t="s">
        <v>78</v>
      </c>
      <c r="AB2498" t="s">
        <v>42</v>
      </c>
      <c r="AC2498" t="s">
        <v>548</v>
      </c>
      <c r="AD2498" t="s">
        <v>549</v>
      </c>
      <c r="AE2498" t="s">
        <v>36</v>
      </c>
    </row>
    <row r="2499" spans="1:31" x14ac:dyDescent="0.3">
      <c r="A2499">
        <v>10296</v>
      </c>
      <c r="B2499">
        <v>42</v>
      </c>
      <c r="C2499">
        <v>100</v>
      </c>
      <c r="D2499">
        <v>2</v>
      </c>
      <c r="E2499" s="4" t="str">
        <f t="shared" ref="E2499:E2562" si="234">IF(F2499&gt;4000,"high sales","low sales")</f>
        <v>high sales</v>
      </c>
      <c r="F2499">
        <v>4296.6000000000004</v>
      </c>
      <c r="G2499" t="s">
        <v>3171</v>
      </c>
      <c r="H2499" s="1" t="str">
        <f t="shared" ref="H2499:H2562" si="235">PROPER(TRIM(J2499))</f>
        <v>Shipped</v>
      </c>
      <c r="I2499" s="4" t="str">
        <f t="shared" ref="I2499:I2562" si="236">IF(J2499="shipped","completed","not completed")</f>
        <v>completed</v>
      </c>
      <c r="J2499" t="s">
        <v>25</v>
      </c>
      <c r="K2499">
        <v>3</v>
      </c>
      <c r="L2499">
        <v>9</v>
      </c>
      <c r="M2499">
        <v>2004</v>
      </c>
      <c r="N2499" t="s">
        <v>566</v>
      </c>
      <c r="O2499">
        <v>91</v>
      </c>
      <c r="P2499" t="s">
        <v>662</v>
      </c>
      <c r="Q2499" t="s">
        <v>572</v>
      </c>
      <c r="R2499" t="s">
        <v>573</v>
      </c>
      <c r="S2499" t="s">
        <v>574</v>
      </c>
      <c r="U2499" s="1" t="str">
        <f t="shared" ref="U2499:U2562" si="237">PROPER(TRIM(V2499))</f>
        <v>Munich</v>
      </c>
      <c r="V2499" t="s">
        <v>575</v>
      </c>
      <c r="X2499">
        <v>80686</v>
      </c>
      <c r="Y2499" s="1" t="str">
        <f t="shared" ref="Y2499:Y2562" si="238">UPPER(TRIM(AA2499))</f>
        <v>GERMANY</v>
      </c>
      <c r="Z2499" s="4" t="str">
        <f t="shared" ref="Z2499:Z2562" si="239">PROPER(TRIM(AA2499))</f>
        <v>Germany</v>
      </c>
      <c r="AA2499" t="s">
        <v>443</v>
      </c>
      <c r="AB2499" t="s">
        <v>42</v>
      </c>
      <c r="AC2499" t="s">
        <v>576</v>
      </c>
      <c r="AD2499" t="s">
        <v>103</v>
      </c>
      <c r="AE2499" t="s">
        <v>51</v>
      </c>
    </row>
    <row r="2500" spans="1:31" x14ac:dyDescent="0.3">
      <c r="A2500">
        <v>10308</v>
      </c>
      <c r="B2500">
        <v>21</v>
      </c>
      <c r="C2500">
        <v>100</v>
      </c>
      <c r="D2500">
        <v>12</v>
      </c>
      <c r="E2500" s="4" t="str">
        <f t="shared" si="234"/>
        <v>low sales</v>
      </c>
      <c r="F2500">
        <v>2224.9499999999998</v>
      </c>
      <c r="G2500" t="s">
        <v>3172</v>
      </c>
      <c r="H2500" s="1" t="str">
        <f t="shared" si="235"/>
        <v>Shipped</v>
      </c>
      <c r="I2500" s="4" t="str">
        <f t="shared" si="236"/>
        <v>completed</v>
      </c>
      <c r="J2500" t="s">
        <v>25</v>
      </c>
      <c r="K2500">
        <v>4</v>
      </c>
      <c r="L2500">
        <v>10</v>
      </c>
      <c r="M2500">
        <v>2004</v>
      </c>
      <c r="N2500" t="s">
        <v>566</v>
      </c>
      <c r="O2500">
        <v>91</v>
      </c>
      <c r="P2500" t="s">
        <v>662</v>
      </c>
      <c r="Q2500" t="s">
        <v>317</v>
      </c>
      <c r="R2500">
        <v>9145554562</v>
      </c>
      <c r="S2500" t="s">
        <v>318</v>
      </c>
      <c r="U2500" s="1" t="str">
        <f t="shared" si="237"/>
        <v>White Plains</v>
      </c>
      <c r="V2500" t="s">
        <v>319</v>
      </c>
      <c r="W2500" t="s">
        <v>31</v>
      </c>
      <c r="X2500">
        <v>24067</v>
      </c>
      <c r="Y2500" s="1" t="str">
        <f t="shared" si="238"/>
        <v>USA</v>
      </c>
      <c r="Z2500" s="4" t="str">
        <f t="shared" si="239"/>
        <v>Usa</v>
      </c>
      <c r="AA2500" t="s">
        <v>32</v>
      </c>
      <c r="AB2500" t="s">
        <v>33</v>
      </c>
      <c r="AC2500" t="s">
        <v>102</v>
      </c>
      <c r="AD2500" t="s">
        <v>238</v>
      </c>
      <c r="AE2500" t="s">
        <v>36</v>
      </c>
    </row>
    <row r="2501" spans="1:31" x14ac:dyDescent="0.3">
      <c r="A2501">
        <v>10316</v>
      </c>
      <c r="B2501">
        <v>34</v>
      </c>
      <c r="C2501">
        <v>82.21</v>
      </c>
      <c r="D2501">
        <v>4</v>
      </c>
      <c r="E2501" s="4" t="str">
        <f t="shared" si="234"/>
        <v>low sales</v>
      </c>
      <c r="F2501">
        <v>2795.14</v>
      </c>
      <c r="G2501" t="s">
        <v>3173</v>
      </c>
      <c r="H2501" s="1" t="str">
        <f t="shared" si="235"/>
        <v>Shipped</v>
      </c>
      <c r="I2501" s="4" t="str">
        <f t="shared" si="236"/>
        <v>completed</v>
      </c>
      <c r="J2501" t="s">
        <v>25</v>
      </c>
      <c r="K2501">
        <v>4</v>
      </c>
      <c r="L2501">
        <v>11</v>
      </c>
      <c r="M2501">
        <v>2004</v>
      </c>
      <c r="N2501" t="s">
        <v>566</v>
      </c>
      <c r="O2501">
        <v>91</v>
      </c>
      <c r="P2501" t="s">
        <v>662</v>
      </c>
      <c r="Q2501" t="s">
        <v>383</v>
      </c>
      <c r="R2501" t="s">
        <v>384</v>
      </c>
      <c r="S2501" t="s">
        <v>385</v>
      </c>
      <c r="U2501" s="1" t="str">
        <f t="shared" si="237"/>
        <v>Cowes</v>
      </c>
      <c r="V2501" t="s">
        <v>386</v>
      </c>
      <c r="W2501" t="s">
        <v>387</v>
      </c>
      <c r="X2501" t="s">
        <v>388</v>
      </c>
      <c r="Y2501" s="1" t="str">
        <f t="shared" si="238"/>
        <v>UK</v>
      </c>
      <c r="Z2501" s="4" t="str">
        <f t="shared" si="239"/>
        <v>Uk</v>
      </c>
      <c r="AA2501" t="s">
        <v>170</v>
      </c>
      <c r="AB2501" t="s">
        <v>42</v>
      </c>
      <c r="AC2501" t="s">
        <v>389</v>
      </c>
      <c r="AD2501" t="s">
        <v>390</v>
      </c>
      <c r="AE2501" t="s">
        <v>36</v>
      </c>
    </row>
    <row r="2502" spans="1:31" x14ac:dyDescent="0.3">
      <c r="A2502">
        <v>10328</v>
      </c>
      <c r="B2502">
        <v>27</v>
      </c>
      <c r="C2502">
        <v>100</v>
      </c>
      <c r="D2502">
        <v>8</v>
      </c>
      <c r="E2502" s="4" t="str">
        <f t="shared" si="234"/>
        <v>low sales</v>
      </c>
      <c r="F2502">
        <v>2762.1</v>
      </c>
      <c r="G2502" t="s">
        <v>3174</v>
      </c>
      <c r="H2502" s="1" t="str">
        <f t="shared" si="235"/>
        <v>Shipped</v>
      </c>
      <c r="I2502" s="4" t="str">
        <f t="shared" si="236"/>
        <v>completed</v>
      </c>
      <c r="J2502" t="s">
        <v>25</v>
      </c>
      <c r="K2502">
        <v>4</v>
      </c>
      <c r="L2502">
        <v>11</v>
      </c>
      <c r="M2502">
        <v>2004</v>
      </c>
      <c r="N2502" t="s">
        <v>566</v>
      </c>
      <c r="O2502">
        <v>91</v>
      </c>
      <c r="P2502" t="s">
        <v>662</v>
      </c>
      <c r="Q2502" t="s">
        <v>552</v>
      </c>
      <c r="R2502" t="s">
        <v>553</v>
      </c>
      <c r="S2502" t="s">
        <v>554</v>
      </c>
      <c r="U2502" s="1" t="str">
        <f t="shared" si="237"/>
        <v>Bergamo</v>
      </c>
      <c r="V2502" t="s">
        <v>555</v>
      </c>
      <c r="X2502">
        <v>24100</v>
      </c>
      <c r="Y2502" s="1" t="str">
        <f t="shared" si="238"/>
        <v>ITALY</v>
      </c>
      <c r="Z2502" s="4" t="str">
        <f t="shared" si="239"/>
        <v>Italy</v>
      </c>
      <c r="AA2502" t="s">
        <v>258</v>
      </c>
      <c r="AB2502" t="s">
        <v>42</v>
      </c>
      <c r="AC2502" t="s">
        <v>556</v>
      </c>
      <c r="AD2502" t="s">
        <v>557</v>
      </c>
      <c r="AE2502" t="s">
        <v>36</v>
      </c>
    </row>
    <row r="2503" spans="1:31" x14ac:dyDescent="0.3">
      <c r="A2503">
        <v>10340</v>
      </c>
      <c r="B2503">
        <v>30</v>
      </c>
      <c r="C2503">
        <v>88.6</v>
      </c>
      <c r="D2503">
        <v>5</v>
      </c>
      <c r="E2503" s="4" t="str">
        <f t="shared" si="234"/>
        <v>low sales</v>
      </c>
      <c r="F2503">
        <v>2658</v>
      </c>
      <c r="G2503" t="s">
        <v>3175</v>
      </c>
      <c r="H2503" s="1" t="str">
        <f t="shared" si="235"/>
        <v>Shipped</v>
      </c>
      <c r="I2503" s="4" t="str">
        <f t="shared" si="236"/>
        <v>completed</v>
      </c>
      <c r="J2503" t="s">
        <v>25</v>
      </c>
      <c r="K2503">
        <v>4</v>
      </c>
      <c r="L2503">
        <v>11</v>
      </c>
      <c r="M2503">
        <v>2004</v>
      </c>
      <c r="N2503" t="s">
        <v>566</v>
      </c>
      <c r="O2503">
        <v>91</v>
      </c>
      <c r="P2503" t="s">
        <v>662</v>
      </c>
      <c r="Q2503" t="s">
        <v>352</v>
      </c>
      <c r="R2503" t="s">
        <v>353</v>
      </c>
      <c r="S2503" t="s">
        <v>354</v>
      </c>
      <c r="U2503" s="1" t="str">
        <f t="shared" si="237"/>
        <v>Barcelona</v>
      </c>
      <c r="V2503" t="s">
        <v>355</v>
      </c>
      <c r="X2503">
        <v>8022</v>
      </c>
      <c r="Y2503" s="1" t="str">
        <f t="shared" si="238"/>
        <v>SPAIN</v>
      </c>
      <c r="Z2503" s="4" t="str">
        <f t="shared" si="239"/>
        <v>Spain</v>
      </c>
      <c r="AA2503" t="s">
        <v>178</v>
      </c>
      <c r="AB2503" t="s">
        <v>42</v>
      </c>
      <c r="AC2503" t="s">
        <v>356</v>
      </c>
      <c r="AD2503" t="s">
        <v>357</v>
      </c>
      <c r="AE2503" t="s">
        <v>36</v>
      </c>
    </row>
    <row r="2504" spans="1:31" x14ac:dyDescent="0.3">
      <c r="A2504">
        <v>10353</v>
      </c>
      <c r="B2504">
        <v>39</v>
      </c>
      <c r="C2504">
        <v>100</v>
      </c>
      <c r="D2504">
        <v>9</v>
      </c>
      <c r="E2504" s="4" t="str">
        <f t="shared" si="234"/>
        <v>high sales</v>
      </c>
      <c r="F2504">
        <v>5043.87</v>
      </c>
      <c r="G2504" t="s">
        <v>3176</v>
      </c>
      <c r="H2504" s="1" t="str">
        <f t="shared" si="235"/>
        <v>Shipped</v>
      </c>
      <c r="I2504" s="4" t="str">
        <f t="shared" si="236"/>
        <v>completed</v>
      </c>
      <c r="J2504" t="s">
        <v>25</v>
      </c>
      <c r="K2504">
        <v>4</v>
      </c>
      <c r="L2504">
        <v>12</v>
      </c>
      <c r="M2504">
        <v>2004</v>
      </c>
      <c r="N2504" t="s">
        <v>566</v>
      </c>
      <c r="O2504">
        <v>91</v>
      </c>
      <c r="P2504" t="s">
        <v>662</v>
      </c>
      <c r="Q2504" t="s">
        <v>568</v>
      </c>
      <c r="R2504">
        <v>2035554407</v>
      </c>
      <c r="S2504" t="s">
        <v>569</v>
      </c>
      <c r="U2504" s="1" t="str">
        <f t="shared" si="237"/>
        <v>Glendale</v>
      </c>
      <c r="V2504" t="s">
        <v>516</v>
      </c>
      <c r="W2504" t="s">
        <v>112</v>
      </c>
      <c r="X2504">
        <v>97561</v>
      </c>
      <c r="Y2504" s="1" t="str">
        <f t="shared" si="238"/>
        <v>USA</v>
      </c>
      <c r="Z2504" s="4" t="str">
        <f t="shared" si="239"/>
        <v>Usa</v>
      </c>
      <c r="AA2504" t="s">
        <v>32</v>
      </c>
      <c r="AB2504" t="s">
        <v>33</v>
      </c>
      <c r="AC2504" t="s">
        <v>570</v>
      </c>
      <c r="AD2504" t="s">
        <v>571</v>
      </c>
      <c r="AE2504" t="s">
        <v>51</v>
      </c>
    </row>
    <row r="2505" spans="1:31" x14ac:dyDescent="0.3">
      <c r="A2505">
        <v>10361</v>
      </c>
      <c r="B2505">
        <v>20</v>
      </c>
      <c r="C2505">
        <v>60.54</v>
      </c>
      <c r="D2505">
        <v>4</v>
      </c>
      <c r="E2505" s="4" t="str">
        <f t="shared" si="234"/>
        <v>low sales</v>
      </c>
      <c r="F2505">
        <v>1210.8</v>
      </c>
      <c r="G2505" t="s">
        <v>3177</v>
      </c>
      <c r="H2505" s="1" t="str">
        <f t="shared" si="235"/>
        <v>Shipped</v>
      </c>
      <c r="I2505" s="4" t="str">
        <f t="shared" si="236"/>
        <v>completed</v>
      </c>
      <c r="J2505" t="s">
        <v>25</v>
      </c>
      <c r="K2505">
        <v>4</v>
      </c>
      <c r="L2505">
        <v>12</v>
      </c>
      <c r="M2505">
        <v>2004</v>
      </c>
      <c r="N2505" t="s">
        <v>566</v>
      </c>
      <c r="O2505">
        <v>91</v>
      </c>
      <c r="P2505" t="s">
        <v>662</v>
      </c>
      <c r="Q2505" t="s">
        <v>152</v>
      </c>
      <c r="R2505" t="s">
        <v>153</v>
      </c>
      <c r="S2505" t="s">
        <v>154</v>
      </c>
      <c r="T2505" t="s">
        <v>155</v>
      </c>
      <c r="U2505" s="1" t="str">
        <f t="shared" si="237"/>
        <v>Chatswood</v>
      </c>
      <c r="V2505" t="s">
        <v>156</v>
      </c>
      <c r="W2505" t="s">
        <v>157</v>
      </c>
      <c r="X2505">
        <v>2067</v>
      </c>
      <c r="Y2505" s="1" t="str">
        <f t="shared" si="238"/>
        <v>AUSTRALIA</v>
      </c>
      <c r="Z2505" s="4" t="str">
        <f t="shared" si="239"/>
        <v>Australia</v>
      </c>
      <c r="AA2505" t="s">
        <v>95</v>
      </c>
      <c r="AB2505" t="s">
        <v>96</v>
      </c>
      <c r="AC2505" t="s">
        <v>158</v>
      </c>
      <c r="AD2505" t="s">
        <v>159</v>
      </c>
      <c r="AE2505" t="s">
        <v>36</v>
      </c>
    </row>
    <row r="2506" spans="1:31" x14ac:dyDescent="0.3">
      <c r="A2506">
        <v>10375</v>
      </c>
      <c r="B2506">
        <v>37</v>
      </c>
      <c r="C2506">
        <v>81.87</v>
      </c>
      <c r="D2506">
        <v>6</v>
      </c>
      <c r="E2506" s="4" t="str">
        <f t="shared" si="234"/>
        <v>low sales</v>
      </c>
      <c r="F2506">
        <v>3029.19</v>
      </c>
      <c r="G2506" t="s">
        <v>3178</v>
      </c>
      <c r="H2506" s="1" t="str">
        <f t="shared" si="235"/>
        <v>Shipped</v>
      </c>
      <c r="I2506" s="4" t="str">
        <f t="shared" si="236"/>
        <v>completed</v>
      </c>
      <c r="J2506" t="s">
        <v>25</v>
      </c>
      <c r="K2506">
        <v>1</v>
      </c>
      <c r="L2506">
        <v>2</v>
      </c>
      <c r="M2506">
        <v>2005</v>
      </c>
      <c r="N2506" t="s">
        <v>566</v>
      </c>
      <c r="O2506">
        <v>91</v>
      </c>
      <c r="P2506" t="s">
        <v>662</v>
      </c>
      <c r="Q2506" t="s">
        <v>114</v>
      </c>
      <c r="R2506" t="s">
        <v>115</v>
      </c>
      <c r="S2506" t="s">
        <v>116</v>
      </c>
      <c r="U2506" s="1" t="str">
        <f t="shared" si="237"/>
        <v>Nantes</v>
      </c>
      <c r="V2506" t="s">
        <v>117</v>
      </c>
      <c r="X2506">
        <v>44000</v>
      </c>
      <c r="Y2506" s="1" t="str">
        <f t="shared" si="238"/>
        <v>FRANCE</v>
      </c>
      <c r="Z2506" s="4" t="str">
        <f t="shared" si="239"/>
        <v>France</v>
      </c>
      <c r="AA2506" t="s">
        <v>41</v>
      </c>
      <c r="AB2506" t="s">
        <v>42</v>
      </c>
      <c r="AC2506" t="s">
        <v>118</v>
      </c>
      <c r="AD2506" t="s">
        <v>119</v>
      </c>
      <c r="AE2506" t="s">
        <v>51</v>
      </c>
    </row>
    <row r="2507" spans="1:31" x14ac:dyDescent="0.3">
      <c r="A2507">
        <v>10388</v>
      </c>
      <c r="B2507">
        <v>46</v>
      </c>
      <c r="C2507">
        <v>100</v>
      </c>
      <c r="D2507">
        <v>2</v>
      </c>
      <c r="E2507" s="4" t="str">
        <f t="shared" si="234"/>
        <v>high sales</v>
      </c>
      <c r="F2507">
        <v>10066.6</v>
      </c>
      <c r="G2507" t="s">
        <v>3179</v>
      </c>
      <c r="H2507" s="1" t="str">
        <f t="shared" si="235"/>
        <v>Shipped</v>
      </c>
      <c r="I2507" s="4" t="str">
        <f t="shared" si="236"/>
        <v>completed</v>
      </c>
      <c r="J2507" t="s">
        <v>25</v>
      </c>
      <c r="K2507">
        <v>1</v>
      </c>
      <c r="L2507">
        <v>3</v>
      </c>
      <c r="M2507">
        <v>2005</v>
      </c>
      <c r="N2507" t="s">
        <v>566</v>
      </c>
      <c r="O2507">
        <v>91</v>
      </c>
      <c r="P2507" t="s">
        <v>662</v>
      </c>
      <c r="Q2507" t="s">
        <v>160</v>
      </c>
      <c r="R2507">
        <v>5085552555</v>
      </c>
      <c r="S2507" t="s">
        <v>161</v>
      </c>
      <c r="U2507" s="1" t="str">
        <f t="shared" si="237"/>
        <v>New Bedford</v>
      </c>
      <c r="V2507" t="s">
        <v>162</v>
      </c>
      <c r="W2507" t="s">
        <v>123</v>
      </c>
      <c r="X2507">
        <v>50553</v>
      </c>
      <c r="Y2507" s="1" t="str">
        <f t="shared" si="238"/>
        <v>USA</v>
      </c>
      <c r="Z2507" s="4" t="str">
        <f t="shared" si="239"/>
        <v>Usa</v>
      </c>
      <c r="AA2507" t="s">
        <v>32</v>
      </c>
      <c r="AB2507" t="s">
        <v>33</v>
      </c>
      <c r="AC2507" t="s">
        <v>163</v>
      </c>
      <c r="AD2507" t="s">
        <v>164</v>
      </c>
      <c r="AE2507" t="s">
        <v>151</v>
      </c>
    </row>
    <row r="2508" spans="1:31" x14ac:dyDescent="0.3">
      <c r="A2508">
        <v>10398</v>
      </c>
      <c r="B2508">
        <v>47</v>
      </c>
      <c r="C2508">
        <v>87.69</v>
      </c>
      <c r="D2508">
        <v>6</v>
      </c>
      <c r="E2508" s="4" t="str">
        <f t="shared" si="234"/>
        <v>high sales</v>
      </c>
      <c r="F2508">
        <v>4121.43</v>
      </c>
      <c r="G2508" t="s">
        <v>3180</v>
      </c>
      <c r="H2508" s="1" t="str">
        <f t="shared" si="235"/>
        <v>Shipped</v>
      </c>
      <c r="I2508" s="4" t="str">
        <f t="shared" si="236"/>
        <v>completed</v>
      </c>
      <c r="J2508" t="s">
        <v>25</v>
      </c>
      <c r="K2508">
        <v>1</v>
      </c>
      <c r="L2508">
        <v>3</v>
      </c>
      <c r="M2508">
        <v>2005</v>
      </c>
      <c r="N2508" t="s">
        <v>566</v>
      </c>
      <c r="O2508">
        <v>91</v>
      </c>
      <c r="P2508" t="s">
        <v>662</v>
      </c>
      <c r="Q2508" t="s">
        <v>37</v>
      </c>
      <c r="R2508" t="s">
        <v>38</v>
      </c>
      <c r="S2508" t="s">
        <v>39</v>
      </c>
      <c r="U2508" s="1" t="str">
        <f t="shared" si="237"/>
        <v>Reims</v>
      </c>
      <c r="V2508" t="s">
        <v>40</v>
      </c>
      <c r="X2508">
        <v>51100</v>
      </c>
      <c r="Y2508" s="1" t="str">
        <f t="shared" si="238"/>
        <v>FRANCE</v>
      </c>
      <c r="Z2508" s="4" t="str">
        <f t="shared" si="239"/>
        <v>France</v>
      </c>
      <c r="AA2508" t="s">
        <v>41</v>
      </c>
      <c r="AB2508" t="s">
        <v>42</v>
      </c>
      <c r="AC2508" t="s">
        <v>43</v>
      </c>
      <c r="AD2508" t="s">
        <v>44</v>
      </c>
      <c r="AE2508" t="s">
        <v>51</v>
      </c>
    </row>
    <row r="2509" spans="1:31" x14ac:dyDescent="0.3">
      <c r="A2509">
        <v>10401</v>
      </c>
      <c r="B2509">
        <v>11</v>
      </c>
      <c r="C2509">
        <v>100</v>
      </c>
      <c r="D2509">
        <v>8</v>
      </c>
      <c r="E2509" s="4" t="str">
        <f t="shared" si="234"/>
        <v>low sales</v>
      </c>
      <c r="F2509">
        <v>1135.31</v>
      </c>
      <c r="G2509" t="s">
        <v>3181</v>
      </c>
      <c r="H2509" s="1" t="str">
        <f t="shared" si="235"/>
        <v>On Hold</v>
      </c>
      <c r="I2509" s="4" t="str">
        <f t="shared" si="236"/>
        <v>not completed</v>
      </c>
      <c r="J2509" t="s">
        <v>401</v>
      </c>
      <c r="K2509">
        <v>2</v>
      </c>
      <c r="L2509">
        <v>4</v>
      </c>
      <c r="M2509">
        <v>2005</v>
      </c>
      <c r="N2509" t="s">
        <v>566</v>
      </c>
      <c r="O2509">
        <v>91</v>
      </c>
      <c r="P2509" t="s">
        <v>662</v>
      </c>
      <c r="Q2509" t="s">
        <v>104</v>
      </c>
      <c r="R2509">
        <v>2015559350</v>
      </c>
      <c r="S2509" t="s">
        <v>105</v>
      </c>
      <c r="U2509" s="1" t="str">
        <f t="shared" si="237"/>
        <v>Newark</v>
      </c>
      <c r="V2509" t="s">
        <v>106</v>
      </c>
      <c r="W2509" t="s">
        <v>107</v>
      </c>
      <c r="X2509">
        <v>94019</v>
      </c>
      <c r="Y2509" s="1" t="str">
        <f t="shared" si="238"/>
        <v>USA</v>
      </c>
      <c r="Z2509" s="4" t="str">
        <f t="shared" si="239"/>
        <v>Usa</v>
      </c>
      <c r="AA2509" t="s">
        <v>32</v>
      </c>
      <c r="AB2509" t="s">
        <v>33</v>
      </c>
      <c r="AC2509" t="s">
        <v>61</v>
      </c>
      <c r="AD2509" t="s">
        <v>108</v>
      </c>
      <c r="AE2509" t="s">
        <v>36</v>
      </c>
    </row>
    <row r="2510" spans="1:31" x14ac:dyDescent="0.3">
      <c r="A2510">
        <v>10416</v>
      </c>
      <c r="B2510">
        <v>23</v>
      </c>
      <c r="C2510">
        <v>91.34</v>
      </c>
      <c r="D2510">
        <v>9</v>
      </c>
      <c r="E2510" s="4" t="str">
        <f t="shared" si="234"/>
        <v>low sales</v>
      </c>
      <c r="F2510">
        <v>2100.8200000000002</v>
      </c>
      <c r="G2510" t="s">
        <v>3182</v>
      </c>
      <c r="H2510" s="1" t="str">
        <f t="shared" si="235"/>
        <v>Shipped</v>
      </c>
      <c r="I2510" s="4" t="str">
        <f t="shared" si="236"/>
        <v>completed</v>
      </c>
      <c r="J2510" t="s">
        <v>25</v>
      </c>
      <c r="K2510">
        <v>2</v>
      </c>
      <c r="L2510">
        <v>5</v>
      </c>
      <c r="M2510">
        <v>2005</v>
      </c>
      <c r="N2510" t="s">
        <v>566</v>
      </c>
      <c r="O2510">
        <v>91</v>
      </c>
      <c r="P2510" t="s">
        <v>662</v>
      </c>
      <c r="Q2510" t="s">
        <v>452</v>
      </c>
      <c r="R2510" t="s">
        <v>453</v>
      </c>
      <c r="S2510" t="s">
        <v>454</v>
      </c>
      <c r="U2510" s="1" t="str">
        <f t="shared" si="237"/>
        <v>Reggio Emilia</v>
      </c>
      <c r="V2510" t="s">
        <v>455</v>
      </c>
      <c r="X2510">
        <v>42100</v>
      </c>
      <c r="Y2510" s="1" t="str">
        <f t="shared" si="238"/>
        <v>ITALY</v>
      </c>
      <c r="Z2510" s="4" t="str">
        <f t="shared" si="239"/>
        <v>Italy</v>
      </c>
      <c r="AA2510" t="s">
        <v>258</v>
      </c>
      <c r="AB2510" t="s">
        <v>42</v>
      </c>
      <c r="AC2510" t="s">
        <v>456</v>
      </c>
      <c r="AD2510" t="s">
        <v>457</v>
      </c>
      <c r="AE2510" t="s">
        <v>36</v>
      </c>
    </row>
    <row r="2511" spans="1:31" x14ac:dyDescent="0.3">
      <c r="A2511">
        <v>10105</v>
      </c>
      <c r="B2511">
        <v>29</v>
      </c>
      <c r="C2511">
        <v>70.150000000000006</v>
      </c>
      <c r="D2511">
        <v>12</v>
      </c>
      <c r="E2511" s="4" t="str">
        <f t="shared" si="234"/>
        <v>low sales</v>
      </c>
      <c r="F2511">
        <v>2034.35</v>
      </c>
      <c r="G2511" t="s">
        <v>3183</v>
      </c>
      <c r="H2511" s="1" t="str">
        <f t="shared" si="235"/>
        <v>Shipped</v>
      </c>
      <c r="I2511" s="4" t="str">
        <f t="shared" si="236"/>
        <v>completed</v>
      </c>
      <c r="J2511" t="s">
        <v>25</v>
      </c>
      <c r="K2511">
        <v>1</v>
      </c>
      <c r="L2511">
        <v>2</v>
      </c>
      <c r="M2511">
        <v>2003</v>
      </c>
      <c r="N2511" t="s">
        <v>598</v>
      </c>
      <c r="O2511">
        <v>86</v>
      </c>
      <c r="P2511" t="s">
        <v>663</v>
      </c>
      <c r="Q2511" t="s">
        <v>322</v>
      </c>
      <c r="R2511" t="s">
        <v>323</v>
      </c>
      <c r="S2511" t="s">
        <v>324</v>
      </c>
      <c r="U2511" s="1" t="str">
        <f t="shared" si="237"/>
        <v>Kobenhavn</v>
      </c>
      <c r="V2511" t="s">
        <v>325</v>
      </c>
      <c r="X2511">
        <v>1734</v>
      </c>
      <c r="Y2511" s="1" t="str">
        <f t="shared" si="238"/>
        <v>DENMARK</v>
      </c>
      <c r="Z2511" s="4" t="str">
        <f t="shared" si="239"/>
        <v>Denmark</v>
      </c>
      <c r="AA2511" t="s">
        <v>326</v>
      </c>
      <c r="AB2511" t="s">
        <v>42</v>
      </c>
      <c r="AC2511" t="s">
        <v>327</v>
      </c>
      <c r="AD2511" t="s">
        <v>328</v>
      </c>
      <c r="AE2511" t="s">
        <v>36</v>
      </c>
    </row>
    <row r="2512" spans="1:31" x14ac:dyDescent="0.3">
      <c r="A2512">
        <v>10117</v>
      </c>
      <c r="B2512">
        <v>38</v>
      </c>
      <c r="C2512">
        <v>79.680000000000007</v>
      </c>
      <c r="D2512">
        <v>6</v>
      </c>
      <c r="E2512" s="4" t="str">
        <f t="shared" si="234"/>
        <v>low sales</v>
      </c>
      <c r="F2512">
        <v>3027.84</v>
      </c>
      <c r="G2512" t="s">
        <v>3184</v>
      </c>
      <c r="H2512" s="1" t="str">
        <f t="shared" si="235"/>
        <v>Shipped</v>
      </c>
      <c r="I2512" s="4" t="str">
        <f t="shared" si="236"/>
        <v>completed</v>
      </c>
      <c r="J2512" t="s">
        <v>25</v>
      </c>
      <c r="K2512">
        <v>2</v>
      </c>
      <c r="L2512">
        <v>4</v>
      </c>
      <c r="M2512">
        <v>2003</v>
      </c>
      <c r="N2512" t="s">
        <v>598</v>
      </c>
      <c r="O2512">
        <v>86</v>
      </c>
      <c r="P2512" t="s">
        <v>663</v>
      </c>
      <c r="Q2512" t="s">
        <v>196</v>
      </c>
      <c r="R2512" t="s">
        <v>197</v>
      </c>
      <c r="S2512" t="s">
        <v>198</v>
      </c>
      <c r="U2512" s="1" t="str">
        <f t="shared" si="237"/>
        <v>Singapore</v>
      </c>
      <c r="V2512" t="s">
        <v>199</v>
      </c>
      <c r="X2512">
        <v>79903</v>
      </c>
      <c r="Y2512" s="1" t="str">
        <f t="shared" si="238"/>
        <v>SINGAPORE</v>
      </c>
      <c r="Z2512" s="4" t="str">
        <f t="shared" si="239"/>
        <v>Singapore</v>
      </c>
      <c r="AA2512" t="s">
        <v>199</v>
      </c>
      <c r="AB2512" t="s">
        <v>200</v>
      </c>
      <c r="AC2512" t="s">
        <v>201</v>
      </c>
      <c r="AD2512" t="s">
        <v>202</v>
      </c>
      <c r="AE2512" t="s">
        <v>51</v>
      </c>
    </row>
    <row r="2513" spans="1:31" x14ac:dyDescent="0.3">
      <c r="A2513">
        <v>10128</v>
      </c>
      <c r="B2513">
        <v>32</v>
      </c>
      <c r="C2513">
        <v>97</v>
      </c>
      <c r="D2513">
        <v>3</v>
      </c>
      <c r="E2513" s="4" t="str">
        <f t="shared" si="234"/>
        <v>low sales</v>
      </c>
      <c r="F2513">
        <v>3104</v>
      </c>
      <c r="G2513" t="s">
        <v>3185</v>
      </c>
      <c r="H2513" s="1" t="str">
        <f t="shared" si="235"/>
        <v>Shipped</v>
      </c>
      <c r="I2513" s="4" t="str">
        <f t="shared" si="236"/>
        <v>completed</v>
      </c>
      <c r="J2513" t="s">
        <v>25</v>
      </c>
      <c r="K2513">
        <v>2</v>
      </c>
      <c r="L2513">
        <v>6</v>
      </c>
      <c r="M2513">
        <v>2003</v>
      </c>
      <c r="N2513" t="s">
        <v>598</v>
      </c>
      <c r="O2513">
        <v>86</v>
      </c>
      <c r="P2513" t="s">
        <v>663</v>
      </c>
      <c r="Q2513" t="s">
        <v>174</v>
      </c>
      <c r="R2513" t="s">
        <v>175</v>
      </c>
      <c r="S2513" t="s">
        <v>176</v>
      </c>
      <c r="U2513" s="1" t="str">
        <f t="shared" si="237"/>
        <v>Madrid</v>
      </c>
      <c r="V2513" t="s">
        <v>177</v>
      </c>
      <c r="X2513">
        <v>28034</v>
      </c>
      <c r="Y2513" s="1" t="str">
        <f t="shared" si="238"/>
        <v>SPAIN</v>
      </c>
      <c r="Z2513" s="4" t="str">
        <f t="shared" si="239"/>
        <v>Spain</v>
      </c>
      <c r="AA2513" t="s">
        <v>178</v>
      </c>
      <c r="AB2513" t="s">
        <v>42</v>
      </c>
      <c r="AC2513" t="s">
        <v>179</v>
      </c>
      <c r="AD2513" t="s">
        <v>180</v>
      </c>
      <c r="AE2513" t="s">
        <v>51</v>
      </c>
    </row>
    <row r="2514" spans="1:31" x14ac:dyDescent="0.3">
      <c r="A2514">
        <v>10142</v>
      </c>
      <c r="B2514">
        <v>43</v>
      </c>
      <c r="C2514">
        <v>84.01</v>
      </c>
      <c r="D2514">
        <v>9</v>
      </c>
      <c r="E2514" s="4" t="str">
        <f t="shared" si="234"/>
        <v>low sales</v>
      </c>
      <c r="F2514">
        <v>3612.43</v>
      </c>
      <c r="G2514" t="s">
        <v>3186</v>
      </c>
      <c r="H2514" s="1" t="str">
        <f t="shared" si="235"/>
        <v>Shipped</v>
      </c>
      <c r="I2514" s="4" t="str">
        <f t="shared" si="236"/>
        <v>completed</v>
      </c>
      <c r="J2514" t="s">
        <v>25</v>
      </c>
      <c r="K2514">
        <v>3</v>
      </c>
      <c r="L2514">
        <v>8</v>
      </c>
      <c r="M2514">
        <v>2003</v>
      </c>
      <c r="N2514" t="s">
        <v>598</v>
      </c>
      <c r="O2514">
        <v>86</v>
      </c>
      <c r="P2514" t="s">
        <v>663</v>
      </c>
      <c r="Q2514" t="s">
        <v>272</v>
      </c>
      <c r="R2514">
        <v>4155551450</v>
      </c>
      <c r="S2514" t="s">
        <v>273</v>
      </c>
      <c r="U2514" s="1" t="str">
        <f t="shared" si="237"/>
        <v>San Rafael</v>
      </c>
      <c r="V2514" t="s">
        <v>274</v>
      </c>
      <c r="W2514" t="s">
        <v>55</v>
      </c>
      <c r="X2514">
        <v>97562</v>
      </c>
      <c r="Y2514" s="1" t="str">
        <f t="shared" si="238"/>
        <v>USA</v>
      </c>
      <c r="Z2514" s="4" t="str">
        <f t="shared" si="239"/>
        <v>Usa</v>
      </c>
      <c r="AA2514" t="s">
        <v>32</v>
      </c>
      <c r="AB2514" t="s">
        <v>33</v>
      </c>
      <c r="AC2514" t="s">
        <v>275</v>
      </c>
      <c r="AD2514" t="s">
        <v>276</v>
      </c>
      <c r="AE2514" t="s">
        <v>51</v>
      </c>
    </row>
    <row r="2515" spans="1:31" x14ac:dyDescent="0.3">
      <c r="A2515">
        <v>10153</v>
      </c>
      <c r="B2515">
        <v>31</v>
      </c>
      <c r="C2515">
        <v>87.48</v>
      </c>
      <c r="D2515">
        <v>8</v>
      </c>
      <c r="E2515" s="4" t="str">
        <f t="shared" si="234"/>
        <v>low sales</v>
      </c>
      <c r="F2515">
        <v>2711.88</v>
      </c>
      <c r="G2515" t="s">
        <v>3187</v>
      </c>
      <c r="H2515" s="1" t="str">
        <f t="shared" si="235"/>
        <v>Shipped</v>
      </c>
      <c r="I2515" s="4" t="str">
        <f t="shared" si="236"/>
        <v>completed</v>
      </c>
      <c r="J2515" t="s">
        <v>25</v>
      </c>
      <c r="K2515">
        <v>3</v>
      </c>
      <c r="L2515">
        <v>9</v>
      </c>
      <c r="M2515">
        <v>2003</v>
      </c>
      <c r="N2515" t="s">
        <v>598</v>
      </c>
      <c r="O2515">
        <v>86</v>
      </c>
      <c r="P2515" t="s">
        <v>663</v>
      </c>
      <c r="Q2515" t="s">
        <v>174</v>
      </c>
      <c r="R2515" t="s">
        <v>175</v>
      </c>
      <c r="S2515" t="s">
        <v>176</v>
      </c>
      <c r="U2515" s="1" t="str">
        <f t="shared" si="237"/>
        <v>Madrid</v>
      </c>
      <c r="V2515" t="s">
        <v>177</v>
      </c>
      <c r="X2515">
        <v>28034</v>
      </c>
      <c r="Y2515" s="1" t="str">
        <f t="shared" si="238"/>
        <v>SPAIN</v>
      </c>
      <c r="Z2515" s="4" t="str">
        <f t="shared" si="239"/>
        <v>Spain</v>
      </c>
      <c r="AA2515" t="s">
        <v>178</v>
      </c>
      <c r="AB2515" t="s">
        <v>42</v>
      </c>
      <c r="AC2515" t="s">
        <v>179</v>
      </c>
      <c r="AD2515" t="s">
        <v>180</v>
      </c>
      <c r="AE2515" t="s">
        <v>36</v>
      </c>
    </row>
    <row r="2516" spans="1:31" x14ac:dyDescent="0.3">
      <c r="A2516">
        <v>10166</v>
      </c>
      <c r="B2516">
        <v>29</v>
      </c>
      <c r="C2516">
        <v>100</v>
      </c>
      <c r="D2516">
        <v>3</v>
      </c>
      <c r="E2516" s="4" t="str">
        <f t="shared" si="234"/>
        <v>low sales</v>
      </c>
      <c r="F2516">
        <v>3013.97</v>
      </c>
      <c r="G2516" t="s">
        <v>3188</v>
      </c>
      <c r="H2516" s="1" t="str">
        <f t="shared" si="235"/>
        <v>Shipped</v>
      </c>
      <c r="I2516" s="4" t="str">
        <f t="shared" si="236"/>
        <v>completed</v>
      </c>
      <c r="J2516" t="s">
        <v>25</v>
      </c>
      <c r="K2516">
        <v>4</v>
      </c>
      <c r="L2516">
        <v>10</v>
      </c>
      <c r="M2516">
        <v>2003</v>
      </c>
      <c r="N2516" t="s">
        <v>598</v>
      </c>
      <c r="O2516">
        <v>86</v>
      </c>
      <c r="P2516" t="s">
        <v>663</v>
      </c>
      <c r="Q2516" t="s">
        <v>160</v>
      </c>
      <c r="R2516">
        <v>5085552555</v>
      </c>
      <c r="S2516" t="s">
        <v>161</v>
      </c>
      <c r="U2516" s="1" t="str">
        <f t="shared" si="237"/>
        <v>New Bedford</v>
      </c>
      <c r="V2516" t="s">
        <v>162</v>
      </c>
      <c r="W2516" t="s">
        <v>123</v>
      </c>
      <c r="X2516">
        <v>50553</v>
      </c>
      <c r="Y2516" s="1" t="str">
        <f t="shared" si="238"/>
        <v>USA</v>
      </c>
      <c r="Z2516" s="4" t="str">
        <f t="shared" si="239"/>
        <v>Usa</v>
      </c>
      <c r="AA2516" t="s">
        <v>32</v>
      </c>
      <c r="AB2516" t="s">
        <v>33</v>
      </c>
      <c r="AC2516" t="s">
        <v>163</v>
      </c>
      <c r="AD2516" t="s">
        <v>164</v>
      </c>
      <c r="AE2516" t="s">
        <v>51</v>
      </c>
    </row>
    <row r="2517" spans="1:31" x14ac:dyDescent="0.3">
      <c r="A2517">
        <v>10177</v>
      </c>
      <c r="B2517">
        <v>31</v>
      </c>
      <c r="C2517">
        <v>88.34</v>
      </c>
      <c r="D2517">
        <v>10</v>
      </c>
      <c r="E2517" s="4" t="str">
        <f t="shared" si="234"/>
        <v>low sales</v>
      </c>
      <c r="F2517">
        <v>2738.54</v>
      </c>
      <c r="G2517" t="s">
        <v>3189</v>
      </c>
      <c r="H2517" s="1" t="str">
        <f t="shared" si="235"/>
        <v>Shipped</v>
      </c>
      <c r="I2517" s="4" t="str">
        <f t="shared" si="236"/>
        <v>completed</v>
      </c>
      <c r="J2517" t="s">
        <v>25</v>
      </c>
      <c r="K2517">
        <v>4</v>
      </c>
      <c r="L2517">
        <v>11</v>
      </c>
      <c r="M2517">
        <v>2003</v>
      </c>
      <c r="N2517" t="s">
        <v>598</v>
      </c>
      <c r="O2517">
        <v>86</v>
      </c>
      <c r="P2517" t="s">
        <v>663</v>
      </c>
      <c r="Q2517" t="s">
        <v>487</v>
      </c>
      <c r="R2517" t="s">
        <v>488</v>
      </c>
      <c r="S2517" t="s">
        <v>489</v>
      </c>
      <c r="U2517" s="1" t="str">
        <f t="shared" si="237"/>
        <v>Madrid</v>
      </c>
      <c r="V2517" t="s">
        <v>177</v>
      </c>
      <c r="X2517">
        <v>28023</v>
      </c>
      <c r="Y2517" s="1" t="str">
        <f t="shared" si="238"/>
        <v>SPAIN</v>
      </c>
      <c r="Z2517" s="4" t="str">
        <f t="shared" si="239"/>
        <v>Spain</v>
      </c>
      <c r="AA2517" t="s">
        <v>178</v>
      </c>
      <c r="AB2517" t="s">
        <v>42</v>
      </c>
      <c r="AC2517" t="s">
        <v>490</v>
      </c>
      <c r="AD2517" t="s">
        <v>491</v>
      </c>
      <c r="AE2517" t="s">
        <v>36</v>
      </c>
    </row>
    <row r="2518" spans="1:31" x14ac:dyDescent="0.3">
      <c r="A2518">
        <v>10185</v>
      </c>
      <c r="B2518">
        <v>30</v>
      </c>
      <c r="C2518">
        <v>94.4</v>
      </c>
      <c r="D2518">
        <v>10</v>
      </c>
      <c r="E2518" s="4" t="str">
        <f t="shared" si="234"/>
        <v>low sales</v>
      </c>
      <c r="F2518">
        <v>2832</v>
      </c>
      <c r="G2518" t="s">
        <v>3190</v>
      </c>
      <c r="H2518" s="1" t="str">
        <f t="shared" si="235"/>
        <v>Shipped</v>
      </c>
      <c r="I2518" s="4" t="str">
        <f t="shared" si="236"/>
        <v>completed</v>
      </c>
      <c r="J2518" t="s">
        <v>25</v>
      </c>
      <c r="K2518">
        <v>4</v>
      </c>
      <c r="L2518">
        <v>11</v>
      </c>
      <c r="M2518">
        <v>2003</v>
      </c>
      <c r="N2518" t="s">
        <v>598</v>
      </c>
      <c r="O2518">
        <v>86</v>
      </c>
      <c r="P2518" t="s">
        <v>663</v>
      </c>
      <c r="Q2518" t="s">
        <v>335</v>
      </c>
      <c r="R2518">
        <v>5085559555</v>
      </c>
      <c r="S2518" t="s">
        <v>336</v>
      </c>
      <c r="U2518" s="1" t="str">
        <f t="shared" si="237"/>
        <v>New Bedford</v>
      </c>
      <c r="V2518" t="s">
        <v>162</v>
      </c>
      <c r="W2518" t="s">
        <v>123</v>
      </c>
      <c r="X2518">
        <v>50553</v>
      </c>
      <c r="Y2518" s="1" t="str">
        <f t="shared" si="238"/>
        <v>USA</v>
      </c>
      <c r="Z2518" s="4" t="str">
        <f t="shared" si="239"/>
        <v>Usa</v>
      </c>
      <c r="AA2518" t="s">
        <v>32</v>
      </c>
      <c r="AB2518" t="s">
        <v>33</v>
      </c>
      <c r="AC2518" t="s">
        <v>337</v>
      </c>
      <c r="AD2518" t="s">
        <v>338</v>
      </c>
      <c r="AE2518" t="s">
        <v>36</v>
      </c>
    </row>
    <row r="2519" spans="1:31" x14ac:dyDescent="0.3">
      <c r="A2519">
        <v>10196</v>
      </c>
      <c r="B2519">
        <v>50</v>
      </c>
      <c r="C2519">
        <v>94.4</v>
      </c>
      <c r="D2519">
        <v>2</v>
      </c>
      <c r="E2519" s="4" t="str">
        <f t="shared" si="234"/>
        <v>high sales</v>
      </c>
      <c r="F2519">
        <v>4720</v>
      </c>
      <c r="G2519" t="s">
        <v>3191</v>
      </c>
      <c r="H2519" s="1" t="str">
        <f t="shared" si="235"/>
        <v>Shipped</v>
      </c>
      <c r="I2519" s="4" t="str">
        <f t="shared" si="236"/>
        <v>completed</v>
      </c>
      <c r="J2519" t="s">
        <v>25</v>
      </c>
      <c r="K2519">
        <v>4</v>
      </c>
      <c r="L2519">
        <v>11</v>
      </c>
      <c r="M2519">
        <v>2003</v>
      </c>
      <c r="N2519" t="s">
        <v>598</v>
      </c>
      <c r="O2519">
        <v>86</v>
      </c>
      <c r="P2519" t="s">
        <v>663</v>
      </c>
      <c r="Q2519" t="s">
        <v>242</v>
      </c>
      <c r="R2519">
        <v>2035559545</v>
      </c>
      <c r="S2519" t="s">
        <v>243</v>
      </c>
      <c r="U2519" s="1" t="str">
        <f t="shared" si="237"/>
        <v>New Haven</v>
      </c>
      <c r="V2519" t="s">
        <v>244</v>
      </c>
      <c r="W2519" t="s">
        <v>112</v>
      </c>
      <c r="X2519">
        <v>97823</v>
      </c>
      <c r="Y2519" s="1" t="str">
        <f t="shared" si="238"/>
        <v>USA</v>
      </c>
      <c r="Z2519" s="4" t="str">
        <f t="shared" si="239"/>
        <v>Usa</v>
      </c>
      <c r="AA2519" t="s">
        <v>32</v>
      </c>
      <c r="AB2519" t="s">
        <v>33</v>
      </c>
      <c r="AC2519" t="s">
        <v>83</v>
      </c>
      <c r="AD2519" t="s">
        <v>245</v>
      </c>
      <c r="AE2519" t="s">
        <v>51</v>
      </c>
    </row>
    <row r="2520" spans="1:31" x14ac:dyDescent="0.3">
      <c r="A2520">
        <v>10208</v>
      </c>
      <c r="B2520">
        <v>40</v>
      </c>
      <c r="C2520">
        <v>80.55</v>
      </c>
      <c r="D2520">
        <v>10</v>
      </c>
      <c r="E2520" s="4" t="str">
        <f t="shared" si="234"/>
        <v>low sales</v>
      </c>
      <c r="F2520">
        <v>3222</v>
      </c>
      <c r="G2520" t="s">
        <v>3192</v>
      </c>
      <c r="H2520" s="1" t="str">
        <f t="shared" si="235"/>
        <v>Shipped</v>
      </c>
      <c r="I2520" s="4" t="str">
        <f t="shared" si="236"/>
        <v>completed</v>
      </c>
      <c r="J2520" t="s">
        <v>25</v>
      </c>
      <c r="K2520">
        <v>1</v>
      </c>
      <c r="L2520">
        <v>1</v>
      </c>
      <c r="M2520">
        <v>2004</v>
      </c>
      <c r="N2520" t="s">
        <v>598</v>
      </c>
      <c r="O2520">
        <v>86</v>
      </c>
      <c r="P2520" t="s">
        <v>663</v>
      </c>
      <c r="Q2520" t="s">
        <v>219</v>
      </c>
      <c r="R2520" t="s">
        <v>220</v>
      </c>
      <c r="S2520" t="s">
        <v>221</v>
      </c>
      <c r="U2520" s="1" t="str">
        <f t="shared" si="237"/>
        <v>Lyon</v>
      </c>
      <c r="V2520" t="s">
        <v>222</v>
      </c>
      <c r="X2520">
        <v>69004</v>
      </c>
      <c r="Y2520" s="1" t="str">
        <f t="shared" si="238"/>
        <v>FRANCE</v>
      </c>
      <c r="Z2520" s="4" t="str">
        <f t="shared" si="239"/>
        <v>France</v>
      </c>
      <c r="AA2520" t="s">
        <v>41</v>
      </c>
      <c r="AB2520" t="s">
        <v>42</v>
      </c>
      <c r="AC2520" t="s">
        <v>223</v>
      </c>
      <c r="AD2520" t="s">
        <v>224</v>
      </c>
      <c r="AE2520" t="s">
        <v>51</v>
      </c>
    </row>
    <row r="2521" spans="1:31" x14ac:dyDescent="0.3">
      <c r="A2521">
        <v>10221</v>
      </c>
      <c r="B2521">
        <v>23</v>
      </c>
      <c r="C2521">
        <v>97</v>
      </c>
      <c r="D2521">
        <v>4</v>
      </c>
      <c r="E2521" s="4" t="str">
        <f t="shared" si="234"/>
        <v>low sales</v>
      </c>
      <c r="F2521">
        <v>2231</v>
      </c>
      <c r="G2521" t="s">
        <v>3193</v>
      </c>
      <c r="H2521" s="1" t="str">
        <f t="shared" si="235"/>
        <v>Shipped</v>
      </c>
      <c r="I2521" s="4" t="str">
        <f t="shared" si="236"/>
        <v>completed</v>
      </c>
      <c r="J2521" t="s">
        <v>25</v>
      </c>
      <c r="K2521">
        <v>1</v>
      </c>
      <c r="L2521">
        <v>2</v>
      </c>
      <c r="M2521">
        <v>2004</v>
      </c>
      <c r="N2521" t="s">
        <v>598</v>
      </c>
      <c r="O2521">
        <v>86</v>
      </c>
      <c r="P2521" t="s">
        <v>663</v>
      </c>
      <c r="Q2521" t="s">
        <v>365</v>
      </c>
      <c r="R2521" t="s">
        <v>366</v>
      </c>
      <c r="S2521" t="s">
        <v>367</v>
      </c>
      <c r="U2521" s="1" t="str">
        <f t="shared" si="237"/>
        <v>Bruxelles</v>
      </c>
      <c r="V2521" t="s">
        <v>368</v>
      </c>
      <c r="X2521" t="s">
        <v>369</v>
      </c>
      <c r="Y2521" s="1" t="str">
        <f t="shared" si="238"/>
        <v>BELGIUM</v>
      </c>
      <c r="Z2521" s="4" t="str">
        <f t="shared" si="239"/>
        <v>Belgium</v>
      </c>
      <c r="AA2521" t="s">
        <v>370</v>
      </c>
      <c r="AB2521" t="s">
        <v>42</v>
      </c>
      <c r="AC2521" t="s">
        <v>371</v>
      </c>
      <c r="AD2521" t="s">
        <v>372</v>
      </c>
      <c r="AE2521" t="s">
        <v>36</v>
      </c>
    </row>
    <row r="2522" spans="1:31" x14ac:dyDescent="0.3">
      <c r="A2522">
        <v>10232</v>
      </c>
      <c r="B2522">
        <v>26</v>
      </c>
      <c r="C2522">
        <v>88.34</v>
      </c>
      <c r="D2522">
        <v>7</v>
      </c>
      <c r="E2522" s="4" t="str">
        <f t="shared" si="234"/>
        <v>low sales</v>
      </c>
      <c r="F2522">
        <v>2296.84</v>
      </c>
      <c r="G2522" t="s">
        <v>3194</v>
      </c>
      <c r="H2522" s="1" t="str">
        <f t="shared" si="235"/>
        <v>Shipped</v>
      </c>
      <c r="I2522" s="4" t="str">
        <f t="shared" si="236"/>
        <v>completed</v>
      </c>
      <c r="J2522" t="s">
        <v>25</v>
      </c>
      <c r="K2522">
        <v>1</v>
      </c>
      <c r="L2522">
        <v>3</v>
      </c>
      <c r="M2522">
        <v>2004</v>
      </c>
      <c r="N2522" t="s">
        <v>598</v>
      </c>
      <c r="O2522">
        <v>86</v>
      </c>
      <c r="P2522" t="s">
        <v>663</v>
      </c>
      <c r="Q2522" t="s">
        <v>383</v>
      </c>
      <c r="R2522" t="s">
        <v>384</v>
      </c>
      <c r="S2522" t="s">
        <v>385</v>
      </c>
      <c r="U2522" s="1" t="str">
        <f t="shared" si="237"/>
        <v>Cowes</v>
      </c>
      <c r="V2522" t="s">
        <v>386</v>
      </c>
      <c r="W2522" t="s">
        <v>387</v>
      </c>
      <c r="X2522" t="s">
        <v>388</v>
      </c>
      <c r="Y2522" s="1" t="str">
        <f t="shared" si="238"/>
        <v>UK</v>
      </c>
      <c r="Z2522" s="4" t="str">
        <f t="shared" si="239"/>
        <v>Uk</v>
      </c>
      <c r="AA2522" t="s">
        <v>170</v>
      </c>
      <c r="AB2522" t="s">
        <v>42</v>
      </c>
      <c r="AC2522" t="s">
        <v>389</v>
      </c>
      <c r="AD2522" t="s">
        <v>390</v>
      </c>
      <c r="AE2522" t="s">
        <v>36</v>
      </c>
    </row>
    <row r="2523" spans="1:31" x14ac:dyDescent="0.3">
      <c r="A2523">
        <v>10248</v>
      </c>
      <c r="B2523">
        <v>40</v>
      </c>
      <c r="C2523">
        <v>100</v>
      </c>
      <c r="D2523">
        <v>13</v>
      </c>
      <c r="E2523" s="4" t="str">
        <f t="shared" si="234"/>
        <v>high sales</v>
      </c>
      <c r="F2523">
        <v>4157.2</v>
      </c>
      <c r="G2523" t="s">
        <v>3195</v>
      </c>
      <c r="H2523" s="1" t="str">
        <f t="shared" si="235"/>
        <v>Cancelled</v>
      </c>
      <c r="I2523" s="4" t="str">
        <f t="shared" si="236"/>
        <v>not completed</v>
      </c>
      <c r="J2523" t="s">
        <v>339</v>
      </c>
      <c r="K2523">
        <v>2</v>
      </c>
      <c r="L2523">
        <v>5</v>
      </c>
      <c r="M2523">
        <v>2004</v>
      </c>
      <c r="N2523" t="s">
        <v>598</v>
      </c>
      <c r="O2523">
        <v>86</v>
      </c>
      <c r="P2523" t="s">
        <v>663</v>
      </c>
      <c r="Q2523" t="s">
        <v>28</v>
      </c>
      <c r="R2523">
        <v>2125557818</v>
      </c>
      <c r="S2523" t="s">
        <v>29</v>
      </c>
      <c r="U2523" s="1" t="str">
        <f t="shared" si="237"/>
        <v>Nyc</v>
      </c>
      <c r="V2523" t="s">
        <v>30</v>
      </c>
      <c r="W2523" t="s">
        <v>31</v>
      </c>
      <c r="X2523">
        <v>10022</v>
      </c>
      <c r="Y2523" s="1" t="str">
        <f t="shared" si="238"/>
        <v>USA</v>
      </c>
      <c r="Z2523" s="4" t="str">
        <f t="shared" si="239"/>
        <v>Usa</v>
      </c>
      <c r="AA2523" t="s">
        <v>32</v>
      </c>
      <c r="AB2523" t="s">
        <v>33</v>
      </c>
      <c r="AC2523" t="s">
        <v>34</v>
      </c>
      <c r="AD2523" t="s">
        <v>35</v>
      </c>
      <c r="AE2523" t="s">
        <v>51</v>
      </c>
    </row>
    <row r="2524" spans="1:31" x14ac:dyDescent="0.3">
      <c r="A2524">
        <v>10273</v>
      </c>
      <c r="B2524">
        <v>21</v>
      </c>
      <c r="C2524">
        <v>100</v>
      </c>
      <c r="D2524">
        <v>14</v>
      </c>
      <c r="E2524" s="4" t="str">
        <f t="shared" si="234"/>
        <v>low sales</v>
      </c>
      <c r="F2524">
        <v>2146.1999999999998</v>
      </c>
      <c r="G2524" t="s">
        <v>3196</v>
      </c>
      <c r="H2524" s="1" t="str">
        <f t="shared" si="235"/>
        <v>Shipped</v>
      </c>
      <c r="I2524" s="4" t="str">
        <f t="shared" si="236"/>
        <v>completed</v>
      </c>
      <c r="J2524" t="s">
        <v>25</v>
      </c>
      <c r="K2524">
        <v>3</v>
      </c>
      <c r="L2524">
        <v>7</v>
      </c>
      <c r="M2524">
        <v>2004</v>
      </c>
      <c r="N2524" t="s">
        <v>598</v>
      </c>
      <c r="O2524">
        <v>86</v>
      </c>
      <c r="P2524" t="s">
        <v>663</v>
      </c>
      <c r="Q2524" t="s">
        <v>365</v>
      </c>
      <c r="R2524" t="s">
        <v>366</v>
      </c>
      <c r="S2524" t="s">
        <v>367</v>
      </c>
      <c r="U2524" s="1" t="str">
        <f t="shared" si="237"/>
        <v>Bruxelles</v>
      </c>
      <c r="V2524" t="s">
        <v>368</v>
      </c>
      <c r="X2524" t="s">
        <v>369</v>
      </c>
      <c r="Y2524" s="1" t="str">
        <f t="shared" si="238"/>
        <v>BELGIUM</v>
      </c>
      <c r="Z2524" s="4" t="str">
        <f t="shared" si="239"/>
        <v>Belgium</v>
      </c>
      <c r="AA2524" t="s">
        <v>370</v>
      </c>
      <c r="AB2524" t="s">
        <v>42</v>
      </c>
      <c r="AC2524" t="s">
        <v>371</v>
      </c>
      <c r="AD2524" t="s">
        <v>372</v>
      </c>
      <c r="AE2524" t="s">
        <v>36</v>
      </c>
    </row>
    <row r="2525" spans="1:31" x14ac:dyDescent="0.3">
      <c r="A2525">
        <v>10282</v>
      </c>
      <c r="B2525">
        <v>43</v>
      </c>
      <c r="C2525">
        <v>86.61</v>
      </c>
      <c r="D2525">
        <v>2</v>
      </c>
      <c r="E2525" s="4" t="str">
        <f t="shared" si="234"/>
        <v>low sales</v>
      </c>
      <c r="F2525">
        <v>3724.23</v>
      </c>
      <c r="G2525" t="s">
        <v>3197</v>
      </c>
      <c r="H2525" s="1" t="str">
        <f t="shared" si="235"/>
        <v>Shipped</v>
      </c>
      <c r="I2525" s="4" t="str">
        <f t="shared" si="236"/>
        <v>completed</v>
      </c>
      <c r="J2525" t="s">
        <v>25</v>
      </c>
      <c r="K2525">
        <v>3</v>
      </c>
      <c r="L2525">
        <v>8</v>
      </c>
      <c r="M2525">
        <v>2004</v>
      </c>
      <c r="N2525" t="s">
        <v>598</v>
      </c>
      <c r="O2525">
        <v>86</v>
      </c>
      <c r="P2525" t="s">
        <v>663</v>
      </c>
      <c r="Q2525" t="s">
        <v>272</v>
      </c>
      <c r="R2525">
        <v>4155551450</v>
      </c>
      <c r="S2525" t="s">
        <v>273</v>
      </c>
      <c r="U2525" s="1" t="str">
        <f t="shared" si="237"/>
        <v>San Rafael</v>
      </c>
      <c r="V2525" t="s">
        <v>274</v>
      </c>
      <c r="W2525" t="s">
        <v>55</v>
      </c>
      <c r="X2525">
        <v>97562</v>
      </c>
      <c r="Y2525" s="1" t="str">
        <f t="shared" si="238"/>
        <v>USA</v>
      </c>
      <c r="Z2525" s="4" t="str">
        <f t="shared" si="239"/>
        <v>Usa</v>
      </c>
      <c r="AA2525" t="s">
        <v>32</v>
      </c>
      <c r="AB2525" t="s">
        <v>33</v>
      </c>
      <c r="AC2525" t="s">
        <v>275</v>
      </c>
      <c r="AD2525" t="s">
        <v>276</v>
      </c>
      <c r="AE2525" t="s">
        <v>51</v>
      </c>
    </row>
    <row r="2526" spans="1:31" x14ac:dyDescent="0.3">
      <c r="A2526">
        <v>10293</v>
      </c>
      <c r="B2526">
        <v>29</v>
      </c>
      <c r="C2526">
        <v>71.89</v>
      </c>
      <c r="D2526">
        <v>5</v>
      </c>
      <c r="E2526" s="4" t="str">
        <f t="shared" si="234"/>
        <v>low sales</v>
      </c>
      <c r="F2526">
        <v>2084.81</v>
      </c>
      <c r="G2526" t="s">
        <v>3198</v>
      </c>
      <c r="H2526" s="1" t="str">
        <f t="shared" si="235"/>
        <v>Shipped</v>
      </c>
      <c r="I2526" s="4" t="str">
        <f t="shared" si="236"/>
        <v>completed</v>
      </c>
      <c r="J2526" t="s">
        <v>25</v>
      </c>
      <c r="K2526">
        <v>3</v>
      </c>
      <c r="L2526">
        <v>9</v>
      </c>
      <c r="M2526">
        <v>2004</v>
      </c>
      <c r="N2526" t="s">
        <v>598</v>
      </c>
      <c r="O2526">
        <v>86</v>
      </c>
      <c r="P2526" t="s">
        <v>663</v>
      </c>
      <c r="Q2526" t="s">
        <v>254</v>
      </c>
      <c r="R2526" t="s">
        <v>255</v>
      </c>
      <c r="S2526" t="s">
        <v>256</v>
      </c>
      <c r="U2526" s="1" t="str">
        <f t="shared" si="237"/>
        <v>Torino</v>
      </c>
      <c r="V2526" t="s">
        <v>257</v>
      </c>
      <c r="X2526">
        <v>10100</v>
      </c>
      <c r="Y2526" s="1" t="str">
        <f t="shared" si="238"/>
        <v>ITALY</v>
      </c>
      <c r="Z2526" s="4" t="str">
        <f t="shared" si="239"/>
        <v>Italy</v>
      </c>
      <c r="AA2526" t="s">
        <v>258</v>
      </c>
      <c r="AB2526" t="s">
        <v>42</v>
      </c>
      <c r="AC2526" t="s">
        <v>259</v>
      </c>
      <c r="AD2526" t="s">
        <v>260</v>
      </c>
      <c r="AE2526" t="s">
        <v>36</v>
      </c>
    </row>
    <row r="2527" spans="1:31" x14ac:dyDescent="0.3">
      <c r="A2527">
        <v>10306</v>
      </c>
      <c r="B2527">
        <v>38</v>
      </c>
      <c r="C2527">
        <v>91.81</v>
      </c>
      <c r="D2527">
        <v>10</v>
      </c>
      <c r="E2527" s="4" t="str">
        <f t="shared" si="234"/>
        <v>low sales</v>
      </c>
      <c r="F2527">
        <v>3488.78</v>
      </c>
      <c r="G2527" t="s">
        <v>3199</v>
      </c>
      <c r="H2527" s="1" t="str">
        <f t="shared" si="235"/>
        <v>Shipped</v>
      </c>
      <c r="I2527" s="4" t="str">
        <f t="shared" si="236"/>
        <v>completed</v>
      </c>
      <c r="J2527" t="s">
        <v>25</v>
      </c>
      <c r="K2527">
        <v>4</v>
      </c>
      <c r="L2527">
        <v>10</v>
      </c>
      <c r="M2527">
        <v>2004</v>
      </c>
      <c r="N2527" t="s">
        <v>598</v>
      </c>
      <c r="O2527">
        <v>86</v>
      </c>
      <c r="P2527" t="s">
        <v>663</v>
      </c>
      <c r="Q2527" t="s">
        <v>492</v>
      </c>
      <c r="R2527" t="s">
        <v>493</v>
      </c>
      <c r="S2527" t="s">
        <v>494</v>
      </c>
      <c r="U2527" s="1" t="str">
        <f t="shared" si="237"/>
        <v>Manchester</v>
      </c>
      <c r="V2527" t="s">
        <v>495</v>
      </c>
      <c r="X2527" t="s">
        <v>496</v>
      </c>
      <c r="Y2527" s="1" t="str">
        <f t="shared" si="238"/>
        <v>UK</v>
      </c>
      <c r="Z2527" s="4" t="str">
        <f t="shared" si="239"/>
        <v>Uk</v>
      </c>
      <c r="AA2527" t="s">
        <v>170</v>
      </c>
      <c r="AB2527" t="s">
        <v>42</v>
      </c>
      <c r="AC2527" t="s">
        <v>497</v>
      </c>
      <c r="AD2527" t="s">
        <v>94</v>
      </c>
      <c r="AE2527" t="s">
        <v>51</v>
      </c>
    </row>
    <row r="2528" spans="1:31" x14ac:dyDescent="0.3">
      <c r="A2528">
        <v>10314</v>
      </c>
      <c r="B2528">
        <v>23</v>
      </c>
      <c r="C2528">
        <v>76.22</v>
      </c>
      <c r="D2528">
        <v>2</v>
      </c>
      <c r="E2528" s="4" t="str">
        <f t="shared" si="234"/>
        <v>low sales</v>
      </c>
      <c r="F2528">
        <v>1753.06</v>
      </c>
      <c r="G2528" t="s">
        <v>3200</v>
      </c>
      <c r="H2528" s="1" t="str">
        <f t="shared" si="235"/>
        <v>Shipped</v>
      </c>
      <c r="I2528" s="4" t="str">
        <f t="shared" si="236"/>
        <v>completed</v>
      </c>
      <c r="J2528" t="s">
        <v>25</v>
      </c>
      <c r="K2528">
        <v>4</v>
      </c>
      <c r="L2528">
        <v>10</v>
      </c>
      <c r="M2528">
        <v>2004</v>
      </c>
      <c r="N2528" t="s">
        <v>598</v>
      </c>
      <c r="O2528">
        <v>86</v>
      </c>
      <c r="P2528" t="s">
        <v>663</v>
      </c>
      <c r="Q2528" t="s">
        <v>498</v>
      </c>
      <c r="R2528" t="s">
        <v>499</v>
      </c>
      <c r="S2528" t="s">
        <v>500</v>
      </c>
      <c r="U2528" s="1" t="str">
        <f t="shared" si="237"/>
        <v>Aaarhus</v>
      </c>
      <c r="V2528" t="s">
        <v>501</v>
      </c>
      <c r="X2528">
        <v>8200</v>
      </c>
      <c r="Y2528" s="1" t="str">
        <f t="shared" si="238"/>
        <v>DENMARK</v>
      </c>
      <c r="Z2528" s="4" t="str">
        <f t="shared" si="239"/>
        <v>Denmark</v>
      </c>
      <c r="AA2528" t="s">
        <v>326</v>
      </c>
      <c r="AB2528" t="s">
        <v>42</v>
      </c>
      <c r="AC2528" t="s">
        <v>502</v>
      </c>
      <c r="AD2528" t="s">
        <v>503</v>
      </c>
      <c r="AE2528" t="s">
        <v>36</v>
      </c>
    </row>
    <row r="2529" spans="1:31" x14ac:dyDescent="0.3">
      <c r="A2529">
        <v>10327</v>
      </c>
      <c r="B2529">
        <v>20</v>
      </c>
      <c r="C2529">
        <v>100</v>
      </c>
      <c r="D2529">
        <v>7</v>
      </c>
      <c r="E2529" s="4" t="str">
        <f t="shared" si="234"/>
        <v>low sales</v>
      </c>
      <c r="F2529">
        <v>3469.2</v>
      </c>
      <c r="G2529" t="s">
        <v>3201</v>
      </c>
      <c r="H2529" s="1" t="str">
        <f t="shared" si="235"/>
        <v>Resolved</v>
      </c>
      <c r="I2529" s="4" t="str">
        <f t="shared" si="236"/>
        <v>not completed</v>
      </c>
      <c r="J2529" t="s">
        <v>408</v>
      </c>
      <c r="K2529">
        <v>4</v>
      </c>
      <c r="L2529">
        <v>11</v>
      </c>
      <c r="M2529">
        <v>2004</v>
      </c>
      <c r="N2529" t="s">
        <v>598</v>
      </c>
      <c r="O2529">
        <v>86</v>
      </c>
      <c r="P2529" t="s">
        <v>663</v>
      </c>
      <c r="Q2529" t="s">
        <v>322</v>
      </c>
      <c r="R2529" t="s">
        <v>323</v>
      </c>
      <c r="S2529" t="s">
        <v>324</v>
      </c>
      <c r="U2529" s="1" t="str">
        <f t="shared" si="237"/>
        <v>Kobenhavn</v>
      </c>
      <c r="V2529" t="s">
        <v>325</v>
      </c>
      <c r="X2529">
        <v>1734</v>
      </c>
      <c r="Y2529" s="1" t="str">
        <f t="shared" si="238"/>
        <v>DENMARK</v>
      </c>
      <c r="Z2529" s="4" t="str">
        <f t="shared" si="239"/>
        <v>Denmark</v>
      </c>
      <c r="AA2529" t="s">
        <v>326</v>
      </c>
      <c r="AB2529" t="s">
        <v>42</v>
      </c>
      <c r="AC2529" t="s">
        <v>327</v>
      </c>
      <c r="AD2529" t="s">
        <v>328</v>
      </c>
      <c r="AE2529" t="s">
        <v>51</v>
      </c>
    </row>
    <row r="2530" spans="1:31" x14ac:dyDescent="0.3">
      <c r="A2530">
        <v>10337</v>
      </c>
      <c r="B2530">
        <v>36</v>
      </c>
      <c r="C2530">
        <v>70.3</v>
      </c>
      <c r="D2530">
        <v>9</v>
      </c>
      <c r="E2530" s="4" t="str">
        <f t="shared" si="234"/>
        <v>low sales</v>
      </c>
      <c r="F2530">
        <v>2530.8000000000002</v>
      </c>
      <c r="G2530" t="s">
        <v>3202</v>
      </c>
      <c r="H2530" s="1" t="str">
        <f t="shared" si="235"/>
        <v>Shipped</v>
      </c>
      <c r="I2530" s="4" t="str">
        <f t="shared" si="236"/>
        <v>completed</v>
      </c>
      <c r="J2530" t="s">
        <v>25</v>
      </c>
      <c r="K2530">
        <v>4</v>
      </c>
      <c r="L2530">
        <v>11</v>
      </c>
      <c r="M2530">
        <v>2004</v>
      </c>
      <c r="N2530" t="s">
        <v>598</v>
      </c>
      <c r="O2530">
        <v>86</v>
      </c>
      <c r="P2530" t="s">
        <v>663</v>
      </c>
      <c r="Q2530" t="s">
        <v>203</v>
      </c>
      <c r="R2530">
        <v>2125558493</v>
      </c>
      <c r="S2530" t="s">
        <v>204</v>
      </c>
      <c r="T2530" t="s">
        <v>205</v>
      </c>
      <c r="U2530" s="1" t="str">
        <f t="shared" si="237"/>
        <v>Nyc</v>
      </c>
      <c r="V2530" t="s">
        <v>30</v>
      </c>
      <c r="W2530" t="s">
        <v>31</v>
      </c>
      <c r="X2530">
        <v>10022</v>
      </c>
      <c r="Y2530" s="1" t="str">
        <f t="shared" si="238"/>
        <v>USA</v>
      </c>
      <c r="Z2530" s="4" t="str">
        <f t="shared" si="239"/>
        <v>Usa</v>
      </c>
      <c r="AA2530" t="s">
        <v>32</v>
      </c>
      <c r="AB2530" t="s">
        <v>33</v>
      </c>
      <c r="AC2530" t="s">
        <v>124</v>
      </c>
      <c r="AD2530" t="s">
        <v>206</v>
      </c>
      <c r="AE2530" t="s">
        <v>36</v>
      </c>
    </row>
    <row r="2531" spans="1:31" x14ac:dyDescent="0.3">
      <c r="A2531">
        <v>10350</v>
      </c>
      <c r="B2531">
        <v>28</v>
      </c>
      <c r="C2531">
        <v>100</v>
      </c>
      <c r="D2531">
        <v>4</v>
      </c>
      <c r="E2531" s="4" t="str">
        <f t="shared" si="234"/>
        <v>low sales</v>
      </c>
      <c r="F2531">
        <v>2924.32</v>
      </c>
      <c r="G2531" t="s">
        <v>3203</v>
      </c>
      <c r="H2531" s="1" t="str">
        <f t="shared" si="235"/>
        <v>Shipped</v>
      </c>
      <c r="I2531" s="4" t="str">
        <f t="shared" si="236"/>
        <v>completed</v>
      </c>
      <c r="J2531" t="s">
        <v>25</v>
      </c>
      <c r="K2531">
        <v>4</v>
      </c>
      <c r="L2531">
        <v>12</v>
      </c>
      <c r="M2531">
        <v>2004</v>
      </c>
      <c r="N2531" t="s">
        <v>598</v>
      </c>
      <c r="O2531">
        <v>86</v>
      </c>
      <c r="P2531" t="s">
        <v>663</v>
      </c>
      <c r="Q2531" t="s">
        <v>174</v>
      </c>
      <c r="R2531" t="s">
        <v>175</v>
      </c>
      <c r="S2531" t="s">
        <v>176</v>
      </c>
      <c r="U2531" s="1" t="str">
        <f t="shared" si="237"/>
        <v>Madrid</v>
      </c>
      <c r="V2531" t="s">
        <v>177</v>
      </c>
      <c r="X2531">
        <v>28034</v>
      </c>
      <c r="Y2531" s="1" t="str">
        <f t="shared" si="238"/>
        <v>SPAIN</v>
      </c>
      <c r="Z2531" s="4" t="str">
        <f t="shared" si="239"/>
        <v>Spain</v>
      </c>
      <c r="AA2531" t="s">
        <v>178</v>
      </c>
      <c r="AB2531" t="s">
        <v>42</v>
      </c>
      <c r="AC2531" t="s">
        <v>179</v>
      </c>
      <c r="AD2531" t="s">
        <v>180</v>
      </c>
      <c r="AE2531" t="s">
        <v>36</v>
      </c>
    </row>
    <row r="2532" spans="1:31" x14ac:dyDescent="0.3">
      <c r="A2532">
        <v>10372</v>
      </c>
      <c r="B2532">
        <v>44</v>
      </c>
      <c r="C2532">
        <v>100</v>
      </c>
      <c r="D2532">
        <v>2</v>
      </c>
      <c r="E2532" s="4" t="str">
        <f t="shared" si="234"/>
        <v>high sales</v>
      </c>
      <c r="F2532">
        <v>4496.8</v>
      </c>
      <c r="G2532" t="s">
        <v>3204</v>
      </c>
      <c r="H2532" s="1" t="str">
        <f t="shared" si="235"/>
        <v>Shipped</v>
      </c>
      <c r="I2532" s="4" t="str">
        <f t="shared" si="236"/>
        <v>completed</v>
      </c>
      <c r="J2532" t="s">
        <v>25</v>
      </c>
      <c r="K2532">
        <v>1</v>
      </c>
      <c r="L2532">
        <v>1</v>
      </c>
      <c r="M2532">
        <v>2005</v>
      </c>
      <c r="N2532" t="s">
        <v>598</v>
      </c>
      <c r="O2532">
        <v>86</v>
      </c>
      <c r="P2532" t="s">
        <v>663</v>
      </c>
      <c r="Q2532" t="s">
        <v>246</v>
      </c>
      <c r="R2532" t="s">
        <v>247</v>
      </c>
      <c r="S2532" t="s">
        <v>248</v>
      </c>
      <c r="U2532" s="1" t="str">
        <f t="shared" si="237"/>
        <v>Minato-Ku</v>
      </c>
      <c r="V2532" t="s">
        <v>249</v>
      </c>
      <c r="W2532" t="s">
        <v>250</v>
      </c>
      <c r="X2532" t="s">
        <v>251</v>
      </c>
      <c r="Y2532" s="1" t="str">
        <f t="shared" si="238"/>
        <v>JAPAN</v>
      </c>
      <c r="Z2532" s="4" t="str">
        <f t="shared" si="239"/>
        <v>Japan</v>
      </c>
      <c r="AA2532" t="s">
        <v>200</v>
      </c>
      <c r="AB2532" t="s">
        <v>200</v>
      </c>
      <c r="AC2532" t="s">
        <v>252</v>
      </c>
      <c r="AD2532" t="s">
        <v>253</v>
      </c>
      <c r="AE2532" t="s">
        <v>51</v>
      </c>
    </row>
    <row r="2533" spans="1:31" x14ac:dyDescent="0.3">
      <c r="A2533">
        <v>10384</v>
      </c>
      <c r="B2533">
        <v>49</v>
      </c>
      <c r="C2533">
        <v>100</v>
      </c>
      <c r="D2533">
        <v>1</v>
      </c>
      <c r="E2533" s="4" t="str">
        <f t="shared" si="234"/>
        <v>high sales</v>
      </c>
      <c r="F2533">
        <v>6397.44</v>
      </c>
      <c r="G2533" t="s">
        <v>3205</v>
      </c>
      <c r="H2533" s="1" t="str">
        <f t="shared" si="235"/>
        <v>Shipped</v>
      </c>
      <c r="I2533" s="4" t="str">
        <f t="shared" si="236"/>
        <v>completed</v>
      </c>
      <c r="J2533" t="s">
        <v>25</v>
      </c>
      <c r="K2533">
        <v>1</v>
      </c>
      <c r="L2533">
        <v>2</v>
      </c>
      <c r="M2533">
        <v>2005</v>
      </c>
      <c r="N2533" t="s">
        <v>598</v>
      </c>
      <c r="O2533">
        <v>86</v>
      </c>
      <c r="P2533" t="s">
        <v>663</v>
      </c>
      <c r="Q2533" t="s">
        <v>58</v>
      </c>
      <c r="R2533">
        <v>6505551386</v>
      </c>
      <c r="S2533" t="s">
        <v>59</v>
      </c>
      <c r="U2533" s="1" t="str">
        <f t="shared" si="237"/>
        <v>San Francisco</v>
      </c>
      <c r="V2533" t="s">
        <v>60</v>
      </c>
      <c r="W2533" t="s">
        <v>55</v>
      </c>
      <c r="Y2533" s="1" t="str">
        <f t="shared" si="238"/>
        <v>USA</v>
      </c>
      <c r="Z2533" s="4" t="str">
        <f t="shared" si="239"/>
        <v>Usa</v>
      </c>
      <c r="AA2533" t="s">
        <v>32</v>
      </c>
      <c r="AB2533" t="s">
        <v>33</v>
      </c>
      <c r="AC2533" t="s">
        <v>61</v>
      </c>
      <c r="AD2533" t="s">
        <v>57</v>
      </c>
      <c r="AE2533" t="s">
        <v>51</v>
      </c>
    </row>
    <row r="2534" spans="1:31" x14ac:dyDescent="0.3">
      <c r="A2534">
        <v>10397</v>
      </c>
      <c r="B2534">
        <v>32</v>
      </c>
      <c r="C2534">
        <v>80.55</v>
      </c>
      <c r="D2534">
        <v>5</v>
      </c>
      <c r="E2534" s="4" t="str">
        <f t="shared" si="234"/>
        <v>low sales</v>
      </c>
      <c r="F2534">
        <v>2577.6</v>
      </c>
      <c r="G2534" t="s">
        <v>3206</v>
      </c>
      <c r="H2534" s="1" t="str">
        <f t="shared" si="235"/>
        <v>Shipped</v>
      </c>
      <c r="I2534" s="4" t="str">
        <f t="shared" si="236"/>
        <v>completed</v>
      </c>
      <c r="J2534" t="s">
        <v>25</v>
      </c>
      <c r="K2534">
        <v>1</v>
      </c>
      <c r="L2534">
        <v>3</v>
      </c>
      <c r="M2534">
        <v>2005</v>
      </c>
      <c r="N2534" t="s">
        <v>598</v>
      </c>
      <c r="O2534">
        <v>86</v>
      </c>
      <c r="P2534" t="s">
        <v>663</v>
      </c>
      <c r="Q2534" t="s">
        <v>340</v>
      </c>
      <c r="R2534" t="s">
        <v>341</v>
      </c>
      <c r="S2534" t="s">
        <v>342</v>
      </c>
      <c r="U2534" s="1" t="str">
        <f t="shared" si="237"/>
        <v>Toulouse</v>
      </c>
      <c r="V2534" t="s">
        <v>343</v>
      </c>
      <c r="X2534">
        <v>31000</v>
      </c>
      <c r="Y2534" s="1" t="str">
        <f t="shared" si="238"/>
        <v>FRANCE</v>
      </c>
      <c r="Z2534" s="4" t="str">
        <f t="shared" si="239"/>
        <v>France</v>
      </c>
      <c r="AA2534" t="s">
        <v>41</v>
      </c>
      <c r="AB2534" t="s">
        <v>42</v>
      </c>
      <c r="AC2534" t="s">
        <v>344</v>
      </c>
      <c r="AD2534" t="s">
        <v>345</v>
      </c>
      <c r="AE2534" t="s">
        <v>36</v>
      </c>
    </row>
    <row r="2535" spans="1:31" x14ac:dyDescent="0.3">
      <c r="A2535">
        <v>10414</v>
      </c>
      <c r="B2535">
        <v>34</v>
      </c>
      <c r="C2535">
        <v>100</v>
      </c>
      <c r="D2535">
        <v>13</v>
      </c>
      <c r="E2535" s="4" t="str">
        <f t="shared" si="234"/>
        <v>low sales</v>
      </c>
      <c r="F2535">
        <v>3533.62</v>
      </c>
      <c r="G2535" t="s">
        <v>3207</v>
      </c>
      <c r="H2535" s="1" t="str">
        <f t="shared" si="235"/>
        <v>On Hold</v>
      </c>
      <c r="I2535" s="4" t="str">
        <f t="shared" si="236"/>
        <v>not completed</v>
      </c>
      <c r="J2535" t="s">
        <v>401</v>
      </c>
      <c r="K2535">
        <v>2</v>
      </c>
      <c r="L2535">
        <v>5</v>
      </c>
      <c r="M2535">
        <v>2005</v>
      </c>
      <c r="N2535" t="s">
        <v>598</v>
      </c>
      <c r="O2535">
        <v>86</v>
      </c>
      <c r="P2535" t="s">
        <v>663</v>
      </c>
      <c r="Q2535" t="s">
        <v>379</v>
      </c>
      <c r="R2535">
        <v>6175559555</v>
      </c>
      <c r="S2535" t="s">
        <v>380</v>
      </c>
      <c r="U2535" s="1" t="str">
        <f t="shared" si="237"/>
        <v>Boston</v>
      </c>
      <c r="V2535" t="s">
        <v>381</v>
      </c>
      <c r="W2535" t="s">
        <v>123</v>
      </c>
      <c r="X2535">
        <v>51003</v>
      </c>
      <c r="Y2535" s="1" t="str">
        <f t="shared" si="238"/>
        <v>USA</v>
      </c>
      <c r="Z2535" s="4" t="str">
        <f t="shared" si="239"/>
        <v>Usa</v>
      </c>
      <c r="AA2535" t="s">
        <v>32</v>
      </c>
      <c r="AB2535" t="s">
        <v>33</v>
      </c>
      <c r="AC2535" t="s">
        <v>382</v>
      </c>
      <c r="AD2535" t="s">
        <v>66</v>
      </c>
      <c r="AE2535" t="s">
        <v>51</v>
      </c>
    </row>
    <row r="2536" spans="1:31" x14ac:dyDescent="0.3">
      <c r="A2536">
        <v>10106</v>
      </c>
      <c r="B2536">
        <v>30</v>
      </c>
      <c r="C2536">
        <v>100</v>
      </c>
      <c r="D2536">
        <v>16</v>
      </c>
      <c r="E2536" s="4" t="str">
        <f t="shared" si="234"/>
        <v>low sales</v>
      </c>
      <c r="F2536">
        <v>3177.3</v>
      </c>
      <c r="G2536" t="s">
        <v>3208</v>
      </c>
      <c r="H2536" s="1" t="str">
        <f t="shared" si="235"/>
        <v>Shipped</v>
      </c>
      <c r="I2536" s="4" t="str">
        <f t="shared" si="236"/>
        <v>completed</v>
      </c>
      <c r="J2536" t="s">
        <v>25</v>
      </c>
      <c r="K2536">
        <v>1</v>
      </c>
      <c r="L2536">
        <v>2</v>
      </c>
      <c r="M2536">
        <v>2003</v>
      </c>
      <c r="N2536" t="s">
        <v>598</v>
      </c>
      <c r="O2536">
        <v>90</v>
      </c>
      <c r="P2536" t="s">
        <v>664</v>
      </c>
      <c r="Q2536" t="s">
        <v>552</v>
      </c>
      <c r="R2536" t="s">
        <v>553</v>
      </c>
      <c r="S2536" t="s">
        <v>554</v>
      </c>
      <c r="U2536" s="1" t="str">
        <f t="shared" si="237"/>
        <v>Bergamo</v>
      </c>
      <c r="V2536" t="s">
        <v>555</v>
      </c>
      <c r="X2536">
        <v>24100</v>
      </c>
      <c r="Y2536" s="1" t="str">
        <f t="shared" si="238"/>
        <v>ITALY</v>
      </c>
      <c r="Z2536" s="4" t="str">
        <f t="shared" si="239"/>
        <v>Italy</v>
      </c>
      <c r="AA2536" t="s">
        <v>258</v>
      </c>
      <c r="AB2536" t="s">
        <v>42</v>
      </c>
      <c r="AC2536" t="s">
        <v>556</v>
      </c>
      <c r="AD2536" t="s">
        <v>557</v>
      </c>
      <c r="AE2536" t="s">
        <v>51</v>
      </c>
    </row>
    <row r="2537" spans="1:31" x14ac:dyDescent="0.3">
      <c r="A2537">
        <v>10119</v>
      </c>
      <c r="B2537">
        <v>29</v>
      </c>
      <c r="C2537">
        <v>94.14</v>
      </c>
      <c r="D2537">
        <v>7</v>
      </c>
      <c r="E2537" s="4" t="str">
        <f t="shared" si="234"/>
        <v>low sales</v>
      </c>
      <c r="F2537">
        <v>2730.06</v>
      </c>
      <c r="G2537" t="s">
        <v>3209</v>
      </c>
      <c r="H2537" s="1" t="str">
        <f t="shared" si="235"/>
        <v>Shipped</v>
      </c>
      <c r="I2537" s="4" t="str">
        <f t="shared" si="236"/>
        <v>completed</v>
      </c>
      <c r="J2537" t="s">
        <v>25</v>
      </c>
      <c r="K2537">
        <v>2</v>
      </c>
      <c r="L2537">
        <v>4</v>
      </c>
      <c r="M2537">
        <v>2003</v>
      </c>
      <c r="N2537" t="s">
        <v>598</v>
      </c>
      <c r="O2537">
        <v>90</v>
      </c>
      <c r="P2537" t="s">
        <v>664</v>
      </c>
      <c r="Q2537" t="s">
        <v>144</v>
      </c>
      <c r="R2537" t="s">
        <v>145</v>
      </c>
      <c r="S2537" t="s">
        <v>146</v>
      </c>
      <c r="U2537" s="1" t="str">
        <f t="shared" si="237"/>
        <v>Salzburg</v>
      </c>
      <c r="V2537" t="s">
        <v>147</v>
      </c>
      <c r="X2537">
        <v>5020</v>
      </c>
      <c r="Y2537" s="1" t="str">
        <f t="shared" si="238"/>
        <v>AUSTRIA</v>
      </c>
      <c r="Z2537" s="4" t="str">
        <f t="shared" si="239"/>
        <v>Austria</v>
      </c>
      <c r="AA2537" t="s">
        <v>148</v>
      </c>
      <c r="AB2537" t="s">
        <v>42</v>
      </c>
      <c r="AC2537" t="s">
        <v>149</v>
      </c>
      <c r="AD2537" t="s">
        <v>150</v>
      </c>
      <c r="AE2537" t="s">
        <v>36</v>
      </c>
    </row>
    <row r="2538" spans="1:31" x14ac:dyDescent="0.3">
      <c r="A2538">
        <v>10131</v>
      </c>
      <c r="B2538">
        <v>22</v>
      </c>
      <c r="C2538">
        <v>85.99</v>
      </c>
      <c r="D2538">
        <v>8</v>
      </c>
      <c r="E2538" s="4" t="str">
        <f t="shared" si="234"/>
        <v>low sales</v>
      </c>
      <c r="F2538">
        <v>1891.78</v>
      </c>
      <c r="G2538" t="s">
        <v>3210</v>
      </c>
      <c r="H2538" s="1" t="str">
        <f t="shared" si="235"/>
        <v>Shipped</v>
      </c>
      <c r="I2538" s="4" t="str">
        <f t="shared" si="236"/>
        <v>completed</v>
      </c>
      <c r="J2538" t="s">
        <v>25</v>
      </c>
      <c r="K2538">
        <v>2</v>
      </c>
      <c r="L2538">
        <v>6</v>
      </c>
      <c r="M2538">
        <v>2003</v>
      </c>
      <c r="N2538" t="s">
        <v>598</v>
      </c>
      <c r="O2538">
        <v>90</v>
      </c>
      <c r="P2538" t="s">
        <v>664</v>
      </c>
      <c r="Q2538" t="s">
        <v>568</v>
      </c>
      <c r="R2538">
        <v>2035554407</v>
      </c>
      <c r="S2538" t="s">
        <v>569</v>
      </c>
      <c r="U2538" s="1" t="str">
        <f t="shared" si="237"/>
        <v>Glendale</v>
      </c>
      <c r="V2538" t="s">
        <v>516</v>
      </c>
      <c r="W2538" t="s">
        <v>112</v>
      </c>
      <c r="X2538">
        <v>97561</v>
      </c>
      <c r="Y2538" s="1" t="str">
        <f t="shared" si="238"/>
        <v>USA</v>
      </c>
      <c r="Z2538" s="4" t="str">
        <f t="shared" si="239"/>
        <v>Usa</v>
      </c>
      <c r="AA2538" t="s">
        <v>32</v>
      </c>
      <c r="AB2538" t="s">
        <v>33</v>
      </c>
      <c r="AC2538" t="s">
        <v>570</v>
      </c>
      <c r="AD2538" t="s">
        <v>571</v>
      </c>
      <c r="AE2538" t="s">
        <v>36</v>
      </c>
    </row>
    <row r="2539" spans="1:31" x14ac:dyDescent="0.3">
      <c r="A2539">
        <v>10143</v>
      </c>
      <c r="B2539">
        <v>26</v>
      </c>
      <c r="C2539">
        <v>100</v>
      </c>
      <c r="D2539">
        <v>11</v>
      </c>
      <c r="E2539" s="4" t="str">
        <f t="shared" si="234"/>
        <v>low sales</v>
      </c>
      <c r="F2539">
        <v>2612.48</v>
      </c>
      <c r="G2539" t="s">
        <v>3211</v>
      </c>
      <c r="H2539" s="1" t="str">
        <f t="shared" si="235"/>
        <v>Shipped</v>
      </c>
      <c r="I2539" s="4" t="str">
        <f t="shared" si="236"/>
        <v>completed</v>
      </c>
      <c r="J2539" t="s">
        <v>25</v>
      </c>
      <c r="K2539">
        <v>3</v>
      </c>
      <c r="L2539">
        <v>8</v>
      </c>
      <c r="M2539">
        <v>2003</v>
      </c>
      <c r="N2539" t="s">
        <v>598</v>
      </c>
      <c r="O2539">
        <v>90</v>
      </c>
      <c r="P2539" t="s">
        <v>664</v>
      </c>
      <c r="Q2539" t="s">
        <v>335</v>
      </c>
      <c r="R2539">
        <v>5085559555</v>
      </c>
      <c r="S2539" t="s">
        <v>336</v>
      </c>
      <c r="U2539" s="1" t="str">
        <f t="shared" si="237"/>
        <v>New Bedford</v>
      </c>
      <c r="V2539" t="s">
        <v>162</v>
      </c>
      <c r="W2539" t="s">
        <v>123</v>
      </c>
      <c r="X2539">
        <v>50553</v>
      </c>
      <c r="Y2539" s="1" t="str">
        <f t="shared" si="238"/>
        <v>USA</v>
      </c>
      <c r="Z2539" s="4" t="str">
        <f t="shared" si="239"/>
        <v>Usa</v>
      </c>
      <c r="AA2539" t="s">
        <v>32</v>
      </c>
      <c r="AB2539" t="s">
        <v>33</v>
      </c>
      <c r="AC2539" t="s">
        <v>337</v>
      </c>
      <c r="AD2539" t="s">
        <v>338</v>
      </c>
      <c r="AE2539" t="s">
        <v>36</v>
      </c>
    </row>
    <row r="2540" spans="1:31" x14ac:dyDescent="0.3">
      <c r="A2540">
        <v>10155</v>
      </c>
      <c r="B2540">
        <v>32</v>
      </c>
      <c r="C2540">
        <v>91.43</v>
      </c>
      <c r="D2540">
        <v>9</v>
      </c>
      <c r="E2540" s="4" t="str">
        <f t="shared" si="234"/>
        <v>low sales</v>
      </c>
      <c r="F2540">
        <v>2925.76</v>
      </c>
      <c r="G2540" t="s">
        <v>3212</v>
      </c>
      <c r="H2540" s="1" t="str">
        <f t="shared" si="235"/>
        <v>Shipped</v>
      </c>
      <c r="I2540" s="4" t="str">
        <f t="shared" si="236"/>
        <v>completed</v>
      </c>
      <c r="J2540" t="s">
        <v>25</v>
      </c>
      <c r="K2540">
        <v>4</v>
      </c>
      <c r="L2540">
        <v>10</v>
      </c>
      <c r="M2540">
        <v>2003</v>
      </c>
      <c r="N2540" t="s">
        <v>598</v>
      </c>
      <c r="O2540">
        <v>90</v>
      </c>
      <c r="P2540" t="s">
        <v>664</v>
      </c>
      <c r="Q2540" t="s">
        <v>126</v>
      </c>
      <c r="R2540" t="s">
        <v>127</v>
      </c>
      <c r="S2540" t="s">
        <v>128</v>
      </c>
      <c r="U2540" s="1" t="str">
        <f t="shared" si="237"/>
        <v>Helsinki</v>
      </c>
      <c r="V2540" t="s">
        <v>129</v>
      </c>
      <c r="X2540">
        <v>21240</v>
      </c>
      <c r="Y2540" s="1" t="str">
        <f t="shared" si="238"/>
        <v>FINLAND</v>
      </c>
      <c r="Z2540" s="4" t="str">
        <f t="shared" si="239"/>
        <v>Finland</v>
      </c>
      <c r="AA2540" t="s">
        <v>130</v>
      </c>
      <c r="AB2540" t="s">
        <v>42</v>
      </c>
      <c r="AC2540" t="s">
        <v>131</v>
      </c>
      <c r="AD2540" t="s">
        <v>132</v>
      </c>
      <c r="AE2540" t="s">
        <v>36</v>
      </c>
    </row>
    <row r="2541" spans="1:31" x14ac:dyDescent="0.3">
      <c r="A2541">
        <v>10167</v>
      </c>
      <c r="B2541">
        <v>29</v>
      </c>
      <c r="C2541">
        <v>100</v>
      </c>
      <c r="D2541">
        <v>5</v>
      </c>
      <c r="E2541" s="4" t="str">
        <f t="shared" si="234"/>
        <v>low sales</v>
      </c>
      <c r="F2541">
        <v>2940.02</v>
      </c>
      <c r="G2541" t="s">
        <v>3213</v>
      </c>
      <c r="H2541" s="1" t="str">
        <f t="shared" si="235"/>
        <v>Cancelled</v>
      </c>
      <c r="I2541" s="4" t="str">
        <f t="shared" si="236"/>
        <v>not completed</v>
      </c>
      <c r="J2541" t="s">
        <v>339</v>
      </c>
      <c r="K2541">
        <v>4</v>
      </c>
      <c r="L2541">
        <v>10</v>
      </c>
      <c r="M2541">
        <v>2003</v>
      </c>
      <c r="N2541" t="s">
        <v>598</v>
      </c>
      <c r="O2541">
        <v>90</v>
      </c>
      <c r="P2541" t="s">
        <v>664</v>
      </c>
      <c r="Q2541" t="s">
        <v>261</v>
      </c>
      <c r="R2541" t="s">
        <v>262</v>
      </c>
      <c r="S2541" t="s">
        <v>263</v>
      </c>
      <c r="U2541" s="1" t="str">
        <f t="shared" si="237"/>
        <v>Boras</v>
      </c>
      <c r="V2541" t="s">
        <v>264</v>
      </c>
      <c r="X2541" t="s">
        <v>265</v>
      </c>
      <c r="Y2541" s="1" t="str">
        <f t="shared" si="238"/>
        <v>SWEDEN</v>
      </c>
      <c r="Z2541" s="4" t="str">
        <f t="shared" si="239"/>
        <v>Sweden</v>
      </c>
      <c r="AA2541" t="s">
        <v>188</v>
      </c>
      <c r="AB2541" t="s">
        <v>42</v>
      </c>
      <c r="AC2541" t="s">
        <v>266</v>
      </c>
      <c r="AD2541" t="s">
        <v>206</v>
      </c>
      <c r="AE2541" t="s">
        <v>36</v>
      </c>
    </row>
    <row r="2542" spans="1:31" x14ac:dyDescent="0.3">
      <c r="A2542">
        <v>10178</v>
      </c>
      <c r="B2542">
        <v>34</v>
      </c>
      <c r="C2542">
        <v>96.86</v>
      </c>
      <c r="D2542">
        <v>8</v>
      </c>
      <c r="E2542" s="4" t="str">
        <f t="shared" si="234"/>
        <v>low sales</v>
      </c>
      <c r="F2542">
        <v>3293.24</v>
      </c>
      <c r="G2542" t="s">
        <v>3214</v>
      </c>
      <c r="H2542" s="1" t="str">
        <f t="shared" si="235"/>
        <v>Shipped</v>
      </c>
      <c r="I2542" s="4" t="str">
        <f t="shared" si="236"/>
        <v>completed</v>
      </c>
      <c r="J2542" t="s">
        <v>25</v>
      </c>
      <c r="K2542">
        <v>4</v>
      </c>
      <c r="L2542">
        <v>11</v>
      </c>
      <c r="M2542">
        <v>2003</v>
      </c>
      <c r="N2542" t="s">
        <v>598</v>
      </c>
      <c r="O2542">
        <v>90</v>
      </c>
      <c r="P2542" t="s">
        <v>664</v>
      </c>
      <c r="Q2542" t="s">
        <v>340</v>
      </c>
      <c r="R2542" t="s">
        <v>341</v>
      </c>
      <c r="S2542" t="s">
        <v>342</v>
      </c>
      <c r="U2542" s="1" t="str">
        <f t="shared" si="237"/>
        <v>Toulouse</v>
      </c>
      <c r="V2542" t="s">
        <v>343</v>
      </c>
      <c r="X2542">
        <v>31000</v>
      </c>
      <c r="Y2542" s="1" t="str">
        <f t="shared" si="238"/>
        <v>FRANCE</v>
      </c>
      <c r="Z2542" s="4" t="str">
        <f t="shared" si="239"/>
        <v>France</v>
      </c>
      <c r="AA2542" t="s">
        <v>41</v>
      </c>
      <c r="AB2542" t="s">
        <v>42</v>
      </c>
      <c r="AC2542" t="s">
        <v>344</v>
      </c>
      <c r="AD2542" t="s">
        <v>345</v>
      </c>
      <c r="AE2542" t="s">
        <v>51</v>
      </c>
    </row>
    <row r="2543" spans="1:31" x14ac:dyDescent="0.3">
      <c r="A2543">
        <v>10186</v>
      </c>
      <c r="B2543">
        <v>24</v>
      </c>
      <c r="C2543">
        <v>99.57</v>
      </c>
      <c r="D2543">
        <v>5</v>
      </c>
      <c r="E2543" s="4" t="str">
        <f t="shared" si="234"/>
        <v>low sales</v>
      </c>
      <c r="F2543">
        <v>2389.6799999999998</v>
      </c>
      <c r="G2543" t="s">
        <v>3215</v>
      </c>
      <c r="H2543" s="1" t="str">
        <f t="shared" si="235"/>
        <v>Shipped</v>
      </c>
      <c r="I2543" s="4" t="str">
        <f t="shared" si="236"/>
        <v>completed</v>
      </c>
      <c r="J2543" t="s">
        <v>25</v>
      </c>
      <c r="K2543">
        <v>4</v>
      </c>
      <c r="L2543">
        <v>11</v>
      </c>
      <c r="M2543">
        <v>2003</v>
      </c>
      <c r="N2543" t="s">
        <v>598</v>
      </c>
      <c r="O2543">
        <v>90</v>
      </c>
      <c r="P2543" t="s">
        <v>664</v>
      </c>
      <c r="Q2543" t="s">
        <v>346</v>
      </c>
      <c r="R2543" t="s">
        <v>347</v>
      </c>
      <c r="S2543" t="s">
        <v>348</v>
      </c>
      <c r="U2543" s="1" t="str">
        <f t="shared" si="237"/>
        <v>London</v>
      </c>
      <c r="V2543" t="s">
        <v>332</v>
      </c>
      <c r="X2543" t="s">
        <v>349</v>
      </c>
      <c r="Y2543" s="1" t="str">
        <f t="shared" si="238"/>
        <v>UK</v>
      </c>
      <c r="Z2543" s="4" t="str">
        <f t="shared" si="239"/>
        <v>Uk</v>
      </c>
      <c r="AA2543" t="s">
        <v>170</v>
      </c>
      <c r="AB2543" t="s">
        <v>42</v>
      </c>
      <c r="AC2543" t="s">
        <v>350</v>
      </c>
      <c r="AD2543" t="s">
        <v>351</v>
      </c>
      <c r="AE2543" t="s">
        <v>36</v>
      </c>
    </row>
    <row r="2544" spans="1:31" x14ac:dyDescent="0.3">
      <c r="A2544">
        <v>10197</v>
      </c>
      <c r="B2544">
        <v>24</v>
      </c>
      <c r="C2544">
        <v>90.52</v>
      </c>
      <c r="D2544">
        <v>2</v>
      </c>
      <c r="E2544" s="4" t="str">
        <f t="shared" si="234"/>
        <v>low sales</v>
      </c>
      <c r="F2544">
        <v>2172.48</v>
      </c>
      <c r="G2544" t="s">
        <v>3216</v>
      </c>
      <c r="H2544" s="1" t="str">
        <f t="shared" si="235"/>
        <v>Shipped</v>
      </c>
      <c r="I2544" s="4" t="str">
        <f t="shared" si="236"/>
        <v>completed</v>
      </c>
      <c r="J2544" t="s">
        <v>25</v>
      </c>
      <c r="K2544">
        <v>4</v>
      </c>
      <c r="L2544">
        <v>11</v>
      </c>
      <c r="M2544">
        <v>2003</v>
      </c>
      <c r="N2544" t="s">
        <v>598</v>
      </c>
      <c r="O2544">
        <v>90</v>
      </c>
      <c r="P2544" t="s">
        <v>664</v>
      </c>
      <c r="Q2544" t="s">
        <v>352</v>
      </c>
      <c r="R2544" t="s">
        <v>353</v>
      </c>
      <c r="S2544" t="s">
        <v>354</v>
      </c>
      <c r="U2544" s="1" t="str">
        <f t="shared" si="237"/>
        <v>Barcelona</v>
      </c>
      <c r="V2544" t="s">
        <v>355</v>
      </c>
      <c r="X2544">
        <v>8022</v>
      </c>
      <c r="Y2544" s="1" t="str">
        <f t="shared" si="238"/>
        <v>SPAIN</v>
      </c>
      <c r="Z2544" s="4" t="str">
        <f t="shared" si="239"/>
        <v>Spain</v>
      </c>
      <c r="AA2544" t="s">
        <v>178</v>
      </c>
      <c r="AB2544" t="s">
        <v>42</v>
      </c>
      <c r="AC2544" t="s">
        <v>356</v>
      </c>
      <c r="AD2544" t="s">
        <v>357</v>
      </c>
      <c r="AE2544" t="s">
        <v>36</v>
      </c>
    </row>
    <row r="2545" spans="1:31" x14ac:dyDescent="0.3">
      <c r="A2545">
        <v>10209</v>
      </c>
      <c r="B2545">
        <v>33</v>
      </c>
      <c r="C2545">
        <v>88.71</v>
      </c>
      <c r="D2545">
        <v>4</v>
      </c>
      <c r="E2545" s="4" t="str">
        <f t="shared" si="234"/>
        <v>low sales</v>
      </c>
      <c r="F2545">
        <v>2927.43</v>
      </c>
      <c r="G2545" t="s">
        <v>3217</v>
      </c>
      <c r="H2545" s="1" t="str">
        <f t="shared" si="235"/>
        <v>Shipped</v>
      </c>
      <c r="I2545" s="4" t="str">
        <f t="shared" si="236"/>
        <v>completed</v>
      </c>
      <c r="J2545" t="s">
        <v>25</v>
      </c>
      <c r="K2545">
        <v>1</v>
      </c>
      <c r="L2545">
        <v>1</v>
      </c>
      <c r="M2545">
        <v>2004</v>
      </c>
      <c r="N2545" t="s">
        <v>598</v>
      </c>
      <c r="O2545">
        <v>90</v>
      </c>
      <c r="P2545" t="s">
        <v>664</v>
      </c>
      <c r="Q2545" t="s">
        <v>358</v>
      </c>
      <c r="R2545">
        <v>2155554369</v>
      </c>
      <c r="S2545" t="s">
        <v>359</v>
      </c>
      <c r="U2545" s="1" t="str">
        <f t="shared" si="237"/>
        <v>Los Angeles</v>
      </c>
      <c r="V2545" t="s">
        <v>360</v>
      </c>
      <c r="W2545" t="s">
        <v>55</v>
      </c>
      <c r="Y2545" s="1" t="str">
        <f t="shared" si="238"/>
        <v>USA</v>
      </c>
      <c r="Z2545" s="4" t="str">
        <f t="shared" si="239"/>
        <v>Usa</v>
      </c>
      <c r="AA2545" t="s">
        <v>32</v>
      </c>
      <c r="AB2545" t="s">
        <v>33</v>
      </c>
      <c r="AC2545" t="s">
        <v>361</v>
      </c>
      <c r="AD2545" t="s">
        <v>103</v>
      </c>
      <c r="AE2545" t="s">
        <v>36</v>
      </c>
    </row>
    <row r="2546" spans="1:31" x14ac:dyDescent="0.3">
      <c r="A2546">
        <v>10222</v>
      </c>
      <c r="B2546">
        <v>26</v>
      </c>
      <c r="C2546">
        <v>100</v>
      </c>
      <c r="D2546">
        <v>8</v>
      </c>
      <c r="E2546" s="4" t="str">
        <f t="shared" si="234"/>
        <v>low sales</v>
      </c>
      <c r="F2546">
        <v>2659.54</v>
      </c>
      <c r="G2546" t="s">
        <v>3218</v>
      </c>
      <c r="H2546" s="1" t="str">
        <f t="shared" si="235"/>
        <v>Shipped</v>
      </c>
      <c r="I2546" s="4" t="str">
        <f t="shared" si="236"/>
        <v>completed</v>
      </c>
      <c r="J2546" t="s">
        <v>25</v>
      </c>
      <c r="K2546">
        <v>1</v>
      </c>
      <c r="L2546">
        <v>2</v>
      </c>
      <c r="M2546">
        <v>2004</v>
      </c>
      <c r="N2546" t="s">
        <v>598</v>
      </c>
      <c r="O2546">
        <v>90</v>
      </c>
      <c r="P2546" t="s">
        <v>664</v>
      </c>
      <c r="Q2546" t="s">
        <v>362</v>
      </c>
      <c r="R2546">
        <v>7605558146</v>
      </c>
      <c r="S2546" t="s">
        <v>363</v>
      </c>
      <c r="U2546" s="1" t="str">
        <f t="shared" si="237"/>
        <v>San Diego</v>
      </c>
      <c r="V2546" t="s">
        <v>364</v>
      </c>
      <c r="W2546" t="s">
        <v>55</v>
      </c>
      <c r="X2546">
        <v>91217</v>
      </c>
      <c r="Y2546" s="1" t="str">
        <f t="shared" si="238"/>
        <v>USA</v>
      </c>
      <c r="Z2546" s="4" t="str">
        <f t="shared" si="239"/>
        <v>Usa</v>
      </c>
      <c r="AA2546" t="s">
        <v>32</v>
      </c>
      <c r="AB2546" t="s">
        <v>33</v>
      </c>
      <c r="AC2546" t="s">
        <v>237</v>
      </c>
      <c r="AD2546" t="s">
        <v>276</v>
      </c>
      <c r="AE2546" t="s">
        <v>36</v>
      </c>
    </row>
    <row r="2547" spans="1:31" x14ac:dyDescent="0.3">
      <c r="A2547">
        <v>10249</v>
      </c>
      <c r="B2547">
        <v>40</v>
      </c>
      <c r="C2547">
        <v>95.95</v>
      </c>
      <c r="D2547">
        <v>4</v>
      </c>
      <c r="E2547" s="4" t="str">
        <f t="shared" si="234"/>
        <v>low sales</v>
      </c>
      <c r="F2547">
        <v>3838</v>
      </c>
      <c r="G2547" t="s">
        <v>3219</v>
      </c>
      <c r="H2547" s="1" t="str">
        <f t="shared" si="235"/>
        <v>Shipped</v>
      </c>
      <c r="I2547" s="4" t="str">
        <f t="shared" si="236"/>
        <v>completed</v>
      </c>
      <c r="J2547" t="s">
        <v>25</v>
      </c>
      <c r="K2547">
        <v>2</v>
      </c>
      <c r="L2547">
        <v>5</v>
      </c>
      <c r="M2547">
        <v>2004</v>
      </c>
      <c r="N2547" t="s">
        <v>598</v>
      </c>
      <c r="O2547">
        <v>90</v>
      </c>
      <c r="P2547" t="s">
        <v>664</v>
      </c>
      <c r="Q2547" t="s">
        <v>239</v>
      </c>
      <c r="R2547">
        <v>6175555555</v>
      </c>
      <c r="S2547" t="s">
        <v>240</v>
      </c>
      <c r="U2547" s="1" t="str">
        <f t="shared" si="237"/>
        <v>Cambridge</v>
      </c>
      <c r="V2547" t="s">
        <v>122</v>
      </c>
      <c r="W2547" t="s">
        <v>123</v>
      </c>
      <c r="X2547">
        <v>51247</v>
      </c>
      <c r="Y2547" s="1" t="str">
        <f t="shared" si="238"/>
        <v>USA</v>
      </c>
      <c r="Z2547" s="4" t="str">
        <f t="shared" si="239"/>
        <v>Usa</v>
      </c>
      <c r="AA2547" t="s">
        <v>32</v>
      </c>
      <c r="AB2547" t="s">
        <v>33</v>
      </c>
      <c r="AC2547" t="s">
        <v>241</v>
      </c>
      <c r="AD2547" t="s">
        <v>143</v>
      </c>
      <c r="AE2547" t="s">
        <v>51</v>
      </c>
    </row>
    <row r="2548" spans="1:31" x14ac:dyDescent="0.3">
      <c r="A2548">
        <v>10262</v>
      </c>
      <c r="B2548">
        <v>44</v>
      </c>
      <c r="C2548">
        <v>94.14</v>
      </c>
      <c r="D2548">
        <v>13</v>
      </c>
      <c r="E2548" s="4" t="str">
        <f t="shared" si="234"/>
        <v>high sales</v>
      </c>
      <c r="F2548">
        <v>4142.16</v>
      </c>
      <c r="G2548" t="s">
        <v>3220</v>
      </c>
      <c r="H2548" s="1" t="str">
        <f t="shared" si="235"/>
        <v>Cancelled</v>
      </c>
      <c r="I2548" s="4" t="str">
        <f t="shared" si="236"/>
        <v>not completed</v>
      </c>
      <c r="J2548" t="s">
        <v>339</v>
      </c>
      <c r="K2548">
        <v>2</v>
      </c>
      <c r="L2548">
        <v>6</v>
      </c>
      <c r="M2548">
        <v>2004</v>
      </c>
      <c r="N2548" t="s">
        <v>598</v>
      </c>
      <c r="O2548">
        <v>90</v>
      </c>
      <c r="P2548" t="s">
        <v>664</v>
      </c>
      <c r="Q2548" t="s">
        <v>174</v>
      </c>
      <c r="R2548" t="s">
        <v>175</v>
      </c>
      <c r="S2548" t="s">
        <v>176</v>
      </c>
      <c r="U2548" s="1" t="str">
        <f t="shared" si="237"/>
        <v>Madrid</v>
      </c>
      <c r="V2548" t="s">
        <v>177</v>
      </c>
      <c r="X2548">
        <v>28034</v>
      </c>
      <c r="Y2548" s="1" t="str">
        <f t="shared" si="238"/>
        <v>SPAIN</v>
      </c>
      <c r="Z2548" s="4" t="str">
        <f t="shared" si="239"/>
        <v>Spain</v>
      </c>
      <c r="AA2548" t="s">
        <v>178</v>
      </c>
      <c r="AB2548" t="s">
        <v>42</v>
      </c>
      <c r="AC2548" t="s">
        <v>179</v>
      </c>
      <c r="AD2548" t="s">
        <v>180</v>
      </c>
      <c r="AE2548" t="s">
        <v>51</v>
      </c>
    </row>
    <row r="2549" spans="1:31" x14ac:dyDescent="0.3">
      <c r="A2549">
        <v>10274</v>
      </c>
      <c r="B2549">
        <v>24</v>
      </c>
      <c r="C2549">
        <v>90.52</v>
      </c>
      <c r="D2549">
        <v>5</v>
      </c>
      <c r="E2549" s="4" t="str">
        <f t="shared" si="234"/>
        <v>low sales</v>
      </c>
      <c r="F2549">
        <v>2172.48</v>
      </c>
      <c r="G2549" t="s">
        <v>3221</v>
      </c>
      <c r="H2549" s="1" t="str">
        <f t="shared" si="235"/>
        <v>Shipped</v>
      </c>
      <c r="I2549" s="4" t="str">
        <f t="shared" si="236"/>
        <v>completed</v>
      </c>
      <c r="J2549" t="s">
        <v>25</v>
      </c>
      <c r="K2549">
        <v>3</v>
      </c>
      <c r="L2549">
        <v>7</v>
      </c>
      <c r="M2549">
        <v>2004</v>
      </c>
      <c r="N2549" t="s">
        <v>598</v>
      </c>
      <c r="O2549">
        <v>90</v>
      </c>
      <c r="P2549" t="s">
        <v>664</v>
      </c>
      <c r="Q2549" t="s">
        <v>281</v>
      </c>
      <c r="R2549">
        <v>6175558555</v>
      </c>
      <c r="S2549" t="s">
        <v>282</v>
      </c>
      <c r="U2549" s="1" t="str">
        <f t="shared" si="237"/>
        <v>Brickhaven</v>
      </c>
      <c r="V2549" t="s">
        <v>283</v>
      </c>
      <c r="W2549" t="s">
        <v>123</v>
      </c>
      <c r="X2549">
        <v>58339</v>
      </c>
      <c r="Y2549" s="1" t="str">
        <f t="shared" si="238"/>
        <v>USA</v>
      </c>
      <c r="Z2549" s="4" t="str">
        <f t="shared" si="239"/>
        <v>Usa</v>
      </c>
      <c r="AA2549" t="s">
        <v>32</v>
      </c>
      <c r="AB2549" t="s">
        <v>33</v>
      </c>
      <c r="AC2549" t="s">
        <v>275</v>
      </c>
      <c r="AD2549" t="s">
        <v>284</v>
      </c>
      <c r="AE2549" t="s">
        <v>36</v>
      </c>
    </row>
    <row r="2550" spans="1:31" x14ac:dyDescent="0.3">
      <c r="A2550">
        <v>10283</v>
      </c>
      <c r="B2550">
        <v>20</v>
      </c>
      <c r="C2550">
        <v>94.14</v>
      </c>
      <c r="D2550">
        <v>2</v>
      </c>
      <c r="E2550" s="4" t="str">
        <f t="shared" si="234"/>
        <v>low sales</v>
      </c>
      <c r="F2550">
        <v>1882.8</v>
      </c>
      <c r="G2550" t="s">
        <v>3222</v>
      </c>
      <c r="H2550" s="1" t="str">
        <f t="shared" si="235"/>
        <v>Shipped</v>
      </c>
      <c r="I2550" s="4" t="str">
        <f t="shared" si="236"/>
        <v>completed</v>
      </c>
      <c r="J2550" t="s">
        <v>25</v>
      </c>
      <c r="K2550">
        <v>3</v>
      </c>
      <c r="L2550">
        <v>8</v>
      </c>
      <c r="M2550">
        <v>2004</v>
      </c>
      <c r="N2550" t="s">
        <v>598</v>
      </c>
      <c r="O2550">
        <v>90</v>
      </c>
      <c r="P2550" t="s">
        <v>664</v>
      </c>
      <c r="Q2550" t="s">
        <v>373</v>
      </c>
      <c r="R2550" t="s">
        <v>374</v>
      </c>
      <c r="S2550" t="s">
        <v>375</v>
      </c>
      <c r="U2550" s="1" t="str">
        <f t="shared" si="237"/>
        <v>Tsawassen</v>
      </c>
      <c r="V2550" t="s">
        <v>376</v>
      </c>
      <c r="W2550" t="s">
        <v>229</v>
      </c>
      <c r="X2550" t="s">
        <v>377</v>
      </c>
      <c r="Y2550" s="1" t="str">
        <f t="shared" si="238"/>
        <v>CANADA</v>
      </c>
      <c r="Z2550" s="4" t="str">
        <f t="shared" si="239"/>
        <v>Canada</v>
      </c>
      <c r="AA2550" t="s">
        <v>231</v>
      </c>
      <c r="AB2550" t="s">
        <v>33</v>
      </c>
      <c r="AC2550" t="s">
        <v>378</v>
      </c>
      <c r="AD2550" t="s">
        <v>172</v>
      </c>
      <c r="AE2550" t="s">
        <v>36</v>
      </c>
    </row>
    <row r="2551" spans="1:31" x14ac:dyDescent="0.3">
      <c r="A2551">
        <v>10296</v>
      </c>
      <c r="B2551">
        <v>34</v>
      </c>
      <c r="C2551">
        <v>100</v>
      </c>
      <c r="D2551">
        <v>11</v>
      </c>
      <c r="E2551" s="4" t="str">
        <f t="shared" si="234"/>
        <v>low sales</v>
      </c>
      <c r="F2551">
        <v>3477.86</v>
      </c>
      <c r="G2551" t="s">
        <v>3223</v>
      </c>
      <c r="H2551" s="1" t="str">
        <f t="shared" si="235"/>
        <v>Shipped</v>
      </c>
      <c r="I2551" s="4" t="str">
        <f t="shared" si="236"/>
        <v>completed</v>
      </c>
      <c r="J2551" t="s">
        <v>25</v>
      </c>
      <c r="K2551">
        <v>3</v>
      </c>
      <c r="L2551">
        <v>9</v>
      </c>
      <c r="M2551">
        <v>2004</v>
      </c>
      <c r="N2551" t="s">
        <v>598</v>
      </c>
      <c r="O2551">
        <v>90</v>
      </c>
      <c r="P2551" t="s">
        <v>664</v>
      </c>
      <c r="Q2551" t="s">
        <v>572</v>
      </c>
      <c r="R2551" t="s">
        <v>573</v>
      </c>
      <c r="S2551" t="s">
        <v>574</v>
      </c>
      <c r="U2551" s="1" t="str">
        <f t="shared" si="237"/>
        <v>Munich</v>
      </c>
      <c r="V2551" t="s">
        <v>575</v>
      </c>
      <c r="X2551">
        <v>80686</v>
      </c>
      <c r="Y2551" s="1" t="str">
        <f t="shared" si="238"/>
        <v>GERMANY</v>
      </c>
      <c r="Z2551" s="4" t="str">
        <f t="shared" si="239"/>
        <v>Germany</v>
      </c>
      <c r="AA2551" t="s">
        <v>443</v>
      </c>
      <c r="AB2551" t="s">
        <v>42</v>
      </c>
      <c r="AC2551" t="s">
        <v>576</v>
      </c>
      <c r="AD2551" t="s">
        <v>103</v>
      </c>
      <c r="AE2551" t="s">
        <v>51</v>
      </c>
    </row>
    <row r="2552" spans="1:31" x14ac:dyDescent="0.3">
      <c r="A2552">
        <v>10307</v>
      </c>
      <c r="B2552">
        <v>34</v>
      </c>
      <c r="C2552">
        <v>97.76</v>
      </c>
      <c r="D2552">
        <v>5</v>
      </c>
      <c r="E2552" s="4" t="str">
        <f t="shared" si="234"/>
        <v>low sales</v>
      </c>
      <c r="F2552">
        <v>3323.84</v>
      </c>
      <c r="G2552" t="s">
        <v>3224</v>
      </c>
      <c r="H2552" s="1" t="str">
        <f t="shared" si="235"/>
        <v>Shipped</v>
      </c>
      <c r="I2552" s="4" t="str">
        <f t="shared" si="236"/>
        <v>completed</v>
      </c>
      <c r="J2552" t="s">
        <v>25</v>
      </c>
      <c r="K2552">
        <v>4</v>
      </c>
      <c r="L2552">
        <v>10</v>
      </c>
      <c r="M2552">
        <v>2004</v>
      </c>
      <c r="N2552" t="s">
        <v>598</v>
      </c>
      <c r="O2552">
        <v>90</v>
      </c>
      <c r="P2552" t="s">
        <v>664</v>
      </c>
      <c r="Q2552" t="s">
        <v>214</v>
      </c>
      <c r="R2552">
        <v>2155554695</v>
      </c>
      <c r="S2552" t="s">
        <v>215</v>
      </c>
      <c r="U2552" s="1" t="str">
        <f t="shared" si="237"/>
        <v>Philadelphia</v>
      </c>
      <c r="V2552" t="s">
        <v>216</v>
      </c>
      <c r="W2552" t="s">
        <v>142</v>
      </c>
      <c r="X2552">
        <v>71270</v>
      </c>
      <c r="Y2552" s="1" t="str">
        <f t="shared" si="238"/>
        <v>USA</v>
      </c>
      <c r="Z2552" s="4" t="str">
        <f t="shared" si="239"/>
        <v>Usa</v>
      </c>
      <c r="AA2552" t="s">
        <v>32</v>
      </c>
      <c r="AB2552" t="s">
        <v>33</v>
      </c>
      <c r="AC2552" t="s">
        <v>217</v>
      </c>
      <c r="AD2552" t="s">
        <v>218</v>
      </c>
      <c r="AE2552" t="s">
        <v>51</v>
      </c>
    </row>
    <row r="2553" spans="1:31" x14ac:dyDescent="0.3">
      <c r="A2553">
        <v>10316</v>
      </c>
      <c r="B2553">
        <v>45</v>
      </c>
      <c r="C2553">
        <v>93.24</v>
      </c>
      <c r="D2553">
        <v>13</v>
      </c>
      <c r="E2553" s="4" t="str">
        <f t="shared" si="234"/>
        <v>high sales</v>
      </c>
      <c r="F2553">
        <v>4195.8</v>
      </c>
      <c r="G2553" t="s">
        <v>3225</v>
      </c>
      <c r="H2553" s="1" t="str">
        <f t="shared" si="235"/>
        <v>Shipped</v>
      </c>
      <c r="I2553" s="4" t="str">
        <f t="shared" si="236"/>
        <v>completed</v>
      </c>
      <c r="J2553" t="s">
        <v>25</v>
      </c>
      <c r="K2553">
        <v>4</v>
      </c>
      <c r="L2553">
        <v>11</v>
      </c>
      <c r="M2553">
        <v>2004</v>
      </c>
      <c r="N2553" t="s">
        <v>598</v>
      </c>
      <c r="O2553">
        <v>90</v>
      </c>
      <c r="P2553" t="s">
        <v>664</v>
      </c>
      <c r="Q2553" t="s">
        <v>383</v>
      </c>
      <c r="R2553" t="s">
        <v>384</v>
      </c>
      <c r="S2553" t="s">
        <v>385</v>
      </c>
      <c r="U2553" s="1" t="str">
        <f t="shared" si="237"/>
        <v>Cowes</v>
      </c>
      <c r="V2553" t="s">
        <v>386</v>
      </c>
      <c r="W2553" t="s">
        <v>387</v>
      </c>
      <c r="X2553" t="s">
        <v>388</v>
      </c>
      <c r="Y2553" s="1" t="str">
        <f t="shared" si="238"/>
        <v>UK</v>
      </c>
      <c r="Z2553" s="4" t="str">
        <f t="shared" si="239"/>
        <v>Uk</v>
      </c>
      <c r="AA2553" t="s">
        <v>170</v>
      </c>
      <c r="AB2553" t="s">
        <v>42</v>
      </c>
      <c r="AC2553" t="s">
        <v>389</v>
      </c>
      <c r="AD2553" t="s">
        <v>390</v>
      </c>
      <c r="AE2553" t="s">
        <v>51</v>
      </c>
    </row>
    <row r="2554" spans="1:31" x14ac:dyDescent="0.3">
      <c r="A2554">
        <v>10328</v>
      </c>
      <c r="B2554">
        <v>41</v>
      </c>
      <c r="C2554">
        <v>100</v>
      </c>
      <c r="D2554">
        <v>9</v>
      </c>
      <c r="E2554" s="4" t="str">
        <f t="shared" si="234"/>
        <v>high sales</v>
      </c>
      <c r="F2554">
        <v>4156.58</v>
      </c>
      <c r="G2554" t="s">
        <v>3226</v>
      </c>
      <c r="H2554" s="1" t="str">
        <f t="shared" si="235"/>
        <v>Shipped</v>
      </c>
      <c r="I2554" s="4" t="str">
        <f t="shared" si="236"/>
        <v>completed</v>
      </c>
      <c r="J2554" t="s">
        <v>25</v>
      </c>
      <c r="K2554">
        <v>4</v>
      </c>
      <c r="L2554">
        <v>11</v>
      </c>
      <c r="M2554">
        <v>2004</v>
      </c>
      <c r="N2554" t="s">
        <v>598</v>
      </c>
      <c r="O2554">
        <v>90</v>
      </c>
      <c r="P2554" t="s">
        <v>664</v>
      </c>
      <c r="Q2554" t="s">
        <v>552</v>
      </c>
      <c r="R2554" t="s">
        <v>553</v>
      </c>
      <c r="S2554" t="s">
        <v>554</v>
      </c>
      <c r="U2554" s="1" t="str">
        <f t="shared" si="237"/>
        <v>Bergamo</v>
      </c>
      <c r="V2554" t="s">
        <v>555</v>
      </c>
      <c r="X2554">
        <v>24100</v>
      </c>
      <c r="Y2554" s="1" t="str">
        <f t="shared" si="238"/>
        <v>ITALY</v>
      </c>
      <c r="Z2554" s="4" t="str">
        <f t="shared" si="239"/>
        <v>Italy</v>
      </c>
      <c r="AA2554" t="s">
        <v>258</v>
      </c>
      <c r="AB2554" t="s">
        <v>42</v>
      </c>
      <c r="AC2554" t="s">
        <v>556</v>
      </c>
      <c r="AD2554" t="s">
        <v>557</v>
      </c>
      <c r="AE2554" t="s">
        <v>51</v>
      </c>
    </row>
    <row r="2555" spans="1:31" x14ac:dyDescent="0.3">
      <c r="A2555">
        <v>10339</v>
      </c>
      <c r="B2555">
        <v>55</v>
      </c>
      <c r="C2555">
        <v>71.25</v>
      </c>
      <c r="D2555">
        <v>15</v>
      </c>
      <c r="E2555" s="4" t="str">
        <f t="shared" si="234"/>
        <v>low sales</v>
      </c>
      <c r="F2555">
        <v>3918.75</v>
      </c>
      <c r="G2555" t="s">
        <v>3227</v>
      </c>
      <c r="H2555" s="1" t="str">
        <f t="shared" si="235"/>
        <v>Shipped</v>
      </c>
      <c r="I2555" s="4" t="str">
        <f t="shared" si="236"/>
        <v>completed</v>
      </c>
      <c r="J2555" t="s">
        <v>25</v>
      </c>
      <c r="K2555">
        <v>4</v>
      </c>
      <c r="L2555">
        <v>11</v>
      </c>
      <c r="M2555">
        <v>2004</v>
      </c>
      <c r="N2555" t="s">
        <v>598</v>
      </c>
      <c r="O2555">
        <v>90</v>
      </c>
      <c r="P2555" t="s">
        <v>664</v>
      </c>
      <c r="Q2555" t="s">
        <v>246</v>
      </c>
      <c r="R2555" t="s">
        <v>247</v>
      </c>
      <c r="S2555" t="s">
        <v>248</v>
      </c>
      <c r="U2555" s="1" t="str">
        <f t="shared" si="237"/>
        <v>Minato-Ku</v>
      </c>
      <c r="V2555" t="s">
        <v>249</v>
      </c>
      <c r="W2555" t="s">
        <v>250</v>
      </c>
      <c r="X2555" t="s">
        <v>251</v>
      </c>
      <c r="Y2555" s="1" t="str">
        <f t="shared" si="238"/>
        <v>JAPAN</v>
      </c>
      <c r="Z2555" s="4" t="str">
        <f t="shared" si="239"/>
        <v>Japan</v>
      </c>
      <c r="AA2555" t="s">
        <v>200</v>
      </c>
      <c r="AB2555" t="s">
        <v>200</v>
      </c>
      <c r="AC2555" t="s">
        <v>252</v>
      </c>
      <c r="AD2555" t="s">
        <v>253</v>
      </c>
      <c r="AE2555" t="s">
        <v>51</v>
      </c>
    </row>
    <row r="2556" spans="1:31" x14ac:dyDescent="0.3">
      <c r="A2556">
        <v>10352</v>
      </c>
      <c r="B2556">
        <v>23</v>
      </c>
      <c r="C2556">
        <v>100</v>
      </c>
      <c r="D2556">
        <v>3</v>
      </c>
      <c r="E2556" s="4" t="str">
        <f t="shared" si="234"/>
        <v>low sales</v>
      </c>
      <c r="F2556">
        <v>2352.67</v>
      </c>
      <c r="G2556" t="s">
        <v>3228</v>
      </c>
      <c r="H2556" s="1" t="str">
        <f t="shared" si="235"/>
        <v>Shipped</v>
      </c>
      <c r="I2556" s="4" t="str">
        <f t="shared" si="236"/>
        <v>completed</v>
      </c>
      <c r="J2556" t="s">
        <v>25</v>
      </c>
      <c r="K2556">
        <v>4</v>
      </c>
      <c r="L2556">
        <v>12</v>
      </c>
      <c r="M2556">
        <v>2004</v>
      </c>
      <c r="N2556" t="s">
        <v>598</v>
      </c>
      <c r="O2556">
        <v>90</v>
      </c>
      <c r="P2556" t="s">
        <v>664</v>
      </c>
      <c r="Q2556" t="s">
        <v>600</v>
      </c>
      <c r="R2556">
        <v>6175558428</v>
      </c>
      <c r="S2556" t="s">
        <v>601</v>
      </c>
      <c r="U2556" s="1" t="str">
        <f t="shared" si="237"/>
        <v>Brickhaven</v>
      </c>
      <c r="V2556" t="s">
        <v>283</v>
      </c>
      <c r="W2556" t="s">
        <v>123</v>
      </c>
      <c r="X2556">
        <v>58339</v>
      </c>
      <c r="Y2556" s="1" t="str">
        <f t="shared" si="238"/>
        <v>USA</v>
      </c>
      <c r="Z2556" s="4" t="str">
        <f t="shared" si="239"/>
        <v>Usa</v>
      </c>
      <c r="AA2556" t="s">
        <v>32</v>
      </c>
      <c r="AB2556" t="s">
        <v>33</v>
      </c>
      <c r="AC2556" t="s">
        <v>529</v>
      </c>
      <c r="AD2556" t="s">
        <v>245</v>
      </c>
      <c r="AE2556" t="s">
        <v>36</v>
      </c>
    </row>
    <row r="2557" spans="1:31" x14ac:dyDescent="0.3">
      <c r="A2557">
        <v>10361</v>
      </c>
      <c r="B2557">
        <v>24</v>
      </c>
      <c r="C2557">
        <v>45.39</v>
      </c>
      <c r="D2557">
        <v>14</v>
      </c>
      <c r="E2557" s="4" t="str">
        <f t="shared" si="234"/>
        <v>low sales</v>
      </c>
      <c r="F2557">
        <v>1089.3599999999999</v>
      </c>
      <c r="G2557" t="s">
        <v>3229</v>
      </c>
      <c r="H2557" s="1" t="str">
        <f t="shared" si="235"/>
        <v>Shipped</v>
      </c>
      <c r="I2557" s="4" t="str">
        <f t="shared" si="236"/>
        <v>completed</v>
      </c>
      <c r="J2557" t="s">
        <v>25</v>
      </c>
      <c r="K2557">
        <v>4</v>
      </c>
      <c r="L2557">
        <v>12</v>
      </c>
      <c r="M2557">
        <v>2004</v>
      </c>
      <c r="N2557" t="s">
        <v>598</v>
      </c>
      <c r="O2557">
        <v>90</v>
      </c>
      <c r="P2557" t="s">
        <v>664</v>
      </c>
      <c r="Q2557" t="s">
        <v>152</v>
      </c>
      <c r="R2557" t="s">
        <v>153</v>
      </c>
      <c r="S2557" t="s">
        <v>154</v>
      </c>
      <c r="T2557" t="s">
        <v>155</v>
      </c>
      <c r="U2557" s="1" t="str">
        <f t="shared" si="237"/>
        <v>Chatswood</v>
      </c>
      <c r="V2557" t="s">
        <v>156</v>
      </c>
      <c r="W2557" t="s">
        <v>157</v>
      </c>
      <c r="X2557">
        <v>2067</v>
      </c>
      <c r="Y2557" s="1" t="str">
        <f t="shared" si="238"/>
        <v>AUSTRALIA</v>
      </c>
      <c r="Z2557" s="4" t="str">
        <f t="shared" si="239"/>
        <v>Australia</v>
      </c>
      <c r="AA2557" t="s">
        <v>95</v>
      </c>
      <c r="AB2557" t="s">
        <v>96</v>
      </c>
      <c r="AC2557" t="s">
        <v>158</v>
      </c>
      <c r="AD2557" t="s">
        <v>159</v>
      </c>
      <c r="AE2557" t="s">
        <v>36</v>
      </c>
    </row>
    <row r="2558" spans="1:31" x14ac:dyDescent="0.3">
      <c r="A2558">
        <v>10373</v>
      </c>
      <c r="B2558">
        <v>32</v>
      </c>
      <c r="C2558">
        <v>84.41</v>
      </c>
      <c r="D2558">
        <v>15</v>
      </c>
      <c r="E2558" s="4" t="str">
        <f t="shared" si="234"/>
        <v>low sales</v>
      </c>
      <c r="F2558">
        <v>2701.12</v>
      </c>
      <c r="G2558" t="s">
        <v>3230</v>
      </c>
      <c r="H2558" s="1" t="str">
        <f t="shared" si="235"/>
        <v>Shipped</v>
      </c>
      <c r="I2558" s="4" t="str">
        <f t="shared" si="236"/>
        <v>completed</v>
      </c>
      <c r="J2558" t="s">
        <v>25</v>
      </c>
      <c r="K2558">
        <v>1</v>
      </c>
      <c r="L2558">
        <v>1</v>
      </c>
      <c r="M2558">
        <v>2005</v>
      </c>
      <c r="N2558" t="s">
        <v>598</v>
      </c>
      <c r="O2558">
        <v>90</v>
      </c>
      <c r="P2558" t="s">
        <v>664</v>
      </c>
      <c r="Q2558" t="s">
        <v>391</v>
      </c>
      <c r="R2558" t="s">
        <v>392</v>
      </c>
      <c r="S2558" t="s">
        <v>393</v>
      </c>
      <c r="U2558" s="1" t="str">
        <f t="shared" si="237"/>
        <v>Oulu</v>
      </c>
      <c r="V2558" t="s">
        <v>394</v>
      </c>
      <c r="X2558">
        <v>90110</v>
      </c>
      <c r="Y2558" s="1" t="str">
        <f t="shared" si="238"/>
        <v>FINLAND</v>
      </c>
      <c r="Z2558" s="4" t="str">
        <f t="shared" si="239"/>
        <v>Finland</v>
      </c>
      <c r="AA2558" t="s">
        <v>130</v>
      </c>
      <c r="AB2558" t="s">
        <v>42</v>
      </c>
      <c r="AC2558" t="s">
        <v>395</v>
      </c>
      <c r="AD2558" t="s">
        <v>396</v>
      </c>
      <c r="AE2558" t="s">
        <v>36</v>
      </c>
    </row>
    <row r="2559" spans="1:31" x14ac:dyDescent="0.3">
      <c r="A2559">
        <v>10386</v>
      </c>
      <c r="B2559">
        <v>29</v>
      </c>
      <c r="C2559">
        <v>85.76</v>
      </c>
      <c r="D2559">
        <v>13</v>
      </c>
      <c r="E2559" s="4" t="str">
        <f t="shared" si="234"/>
        <v>low sales</v>
      </c>
      <c r="F2559">
        <v>2487.04</v>
      </c>
      <c r="G2559" t="s">
        <v>3231</v>
      </c>
      <c r="H2559" s="1" t="str">
        <f t="shared" si="235"/>
        <v>Resolved</v>
      </c>
      <c r="I2559" s="4" t="str">
        <f t="shared" si="236"/>
        <v>not completed</v>
      </c>
      <c r="J2559" t="s">
        <v>408</v>
      </c>
      <c r="K2559">
        <v>1</v>
      </c>
      <c r="L2559">
        <v>3</v>
      </c>
      <c r="M2559">
        <v>2005</v>
      </c>
      <c r="N2559" t="s">
        <v>598</v>
      </c>
      <c r="O2559">
        <v>90</v>
      </c>
      <c r="P2559" t="s">
        <v>664</v>
      </c>
      <c r="Q2559" t="s">
        <v>174</v>
      </c>
      <c r="R2559" t="s">
        <v>175</v>
      </c>
      <c r="S2559" t="s">
        <v>176</v>
      </c>
      <c r="U2559" s="1" t="str">
        <f t="shared" si="237"/>
        <v>Madrid</v>
      </c>
      <c r="V2559" t="s">
        <v>177</v>
      </c>
      <c r="X2559">
        <v>28034</v>
      </c>
      <c r="Y2559" s="1" t="str">
        <f t="shared" si="238"/>
        <v>SPAIN</v>
      </c>
      <c r="Z2559" s="4" t="str">
        <f t="shared" si="239"/>
        <v>Spain</v>
      </c>
      <c r="AA2559" t="s">
        <v>178</v>
      </c>
      <c r="AB2559" t="s">
        <v>42</v>
      </c>
      <c r="AC2559" t="s">
        <v>179</v>
      </c>
      <c r="AD2559" t="s">
        <v>180</v>
      </c>
      <c r="AE2559" t="s">
        <v>36</v>
      </c>
    </row>
    <row r="2560" spans="1:31" x14ac:dyDescent="0.3">
      <c r="A2560">
        <v>10398</v>
      </c>
      <c r="B2560">
        <v>36</v>
      </c>
      <c r="C2560">
        <v>100</v>
      </c>
      <c r="D2560">
        <v>7</v>
      </c>
      <c r="E2560" s="4" t="str">
        <f t="shared" si="234"/>
        <v>low sales</v>
      </c>
      <c r="F2560">
        <v>3910.32</v>
      </c>
      <c r="G2560" t="s">
        <v>3232</v>
      </c>
      <c r="H2560" s="1" t="str">
        <f t="shared" si="235"/>
        <v>Shipped</v>
      </c>
      <c r="I2560" s="4" t="str">
        <f t="shared" si="236"/>
        <v>completed</v>
      </c>
      <c r="J2560" t="s">
        <v>25</v>
      </c>
      <c r="K2560">
        <v>1</v>
      </c>
      <c r="L2560">
        <v>3</v>
      </c>
      <c r="M2560">
        <v>2005</v>
      </c>
      <c r="N2560" t="s">
        <v>598</v>
      </c>
      <c r="O2560">
        <v>90</v>
      </c>
      <c r="P2560" t="s">
        <v>664</v>
      </c>
      <c r="Q2560" t="s">
        <v>37</v>
      </c>
      <c r="R2560" t="s">
        <v>38</v>
      </c>
      <c r="S2560" t="s">
        <v>39</v>
      </c>
      <c r="U2560" s="1" t="str">
        <f t="shared" si="237"/>
        <v>Reims</v>
      </c>
      <c r="V2560" t="s">
        <v>40</v>
      </c>
      <c r="X2560">
        <v>51100</v>
      </c>
      <c r="Y2560" s="1" t="str">
        <f t="shared" si="238"/>
        <v>FRANCE</v>
      </c>
      <c r="Z2560" s="4" t="str">
        <f t="shared" si="239"/>
        <v>France</v>
      </c>
      <c r="AA2560" t="s">
        <v>41</v>
      </c>
      <c r="AB2560" t="s">
        <v>42</v>
      </c>
      <c r="AC2560" t="s">
        <v>43</v>
      </c>
      <c r="AD2560" t="s">
        <v>44</v>
      </c>
      <c r="AE2560" t="s">
        <v>51</v>
      </c>
    </row>
    <row r="2561" spans="1:31" x14ac:dyDescent="0.3">
      <c r="A2561">
        <v>10400</v>
      </c>
      <c r="B2561">
        <v>46</v>
      </c>
      <c r="C2561">
        <v>87.8</v>
      </c>
      <c r="D2561">
        <v>5</v>
      </c>
      <c r="E2561" s="4" t="str">
        <f t="shared" si="234"/>
        <v>high sales</v>
      </c>
      <c r="F2561">
        <v>4038.8</v>
      </c>
      <c r="G2561" t="s">
        <v>3233</v>
      </c>
      <c r="H2561" s="1" t="str">
        <f t="shared" si="235"/>
        <v>Shipped</v>
      </c>
      <c r="I2561" s="4" t="str">
        <f t="shared" si="236"/>
        <v>completed</v>
      </c>
      <c r="J2561" t="s">
        <v>25</v>
      </c>
      <c r="K2561">
        <v>2</v>
      </c>
      <c r="L2561">
        <v>4</v>
      </c>
      <c r="M2561">
        <v>2005</v>
      </c>
      <c r="N2561" t="s">
        <v>598</v>
      </c>
      <c r="O2561">
        <v>90</v>
      </c>
      <c r="P2561" t="s">
        <v>664</v>
      </c>
      <c r="Q2561" t="s">
        <v>397</v>
      </c>
      <c r="R2561">
        <v>4085553659</v>
      </c>
      <c r="S2561" t="s">
        <v>398</v>
      </c>
      <c r="U2561" s="1" t="str">
        <f t="shared" si="237"/>
        <v>San Jose</v>
      </c>
      <c r="V2561" t="s">
        <v>399</v>
      </c>
      <c r="W2561" t="s">
        <v>55</v>
      </c>
      <c r="X2561">
        <v>94217</v>
      </c>
      <c r="Y2561" s="1" t="str">
        <f t="shared" si="238"/>
        <v>USA</v>
      </c>
      <c r="Z2561" s="4" t="str">
        <f t="shared" si="239"/>
        <v>Usa</v>
      </c>
      <c r="AA2561" t="s">
        <v>32</v>
      </c>
      <c r="AB2561" t="s">
        <v>33</v>
      </c>
      <c r="AC2561" t="s">
        <v>102</v>
      </c>
      <c r="AD2561" t="s">
        <v>400</v>
      </c>
      <c r="AE2561" t="s">
        <v>51</v>
      </c>
    </row>
    <row r="2562" spans="1:31" x14ac:dyDescent="0.3">
      <c r="A2562">
        <v>10415</v>
      </c>
      <c r="B2562">
        <v>32</v>
      </c>
      <c r="C2562">
        <v>95.95</v>
      </c>
      <c r="D2562">
        <v>4</v>
      </c>
      <c r="E2562" s="4" t="str">
        <f t="shared" si="234"/>
        <v>low sales</v>
      </c>
      <c r="F2562">
        <v>3070.4</v>
      </c>
      <c r="G2562" t="s">
        <v>3234</v>
      </c>
      <c r="H2562" s="1" t="str">
        <f t="shared" si="235"/>
        <v>Disputed</v>
      </c>
      <c r="I2562" s="4" t="str">
        <f t="shared" si="236"/>
        <v>not completed</v>
      </c>
      <c r="J2562" t="s">
        <v>173</v>
      </c>
      <c r="K2562">
        <v>2</v>
      </c>
      <c r="L2562">
        <v>5</v>
      </c>
      <c r="M2562">
        <v>2005</v>
      </c>
      <c r="N2562" t="s">
        <v>598</v>
      </c>
      <c r="O2562">
        <v>90</v>
      </c>
      <c r="P2562" t="s">
        <v>664</v>
      </c>
      <c r="Q2562" t="s">
        <v>558</v>
      </c>
      <c r="R2562" t="s">
        <v>559</v>
      </c>
      <c r="S2562" t="s">
        <v>560</v>
      </c>
      <c r="U2562" s="1" t="str">
        <f t="shared" si="237"/>
        <v>Glen Waverly</v>
      </c>
      <c r="V2562" t="s">
        <v>561</v>
      </c>
      <c r="W2562" t="s">
        <v>94</v>
      </c>
      <c r="X2562">
        <v>3150</v>
      </c>
      <c r="Y2562" s="1" t="str">
        <f t="shared" si="238"/>
        <v>AUSTRALIA</v>
      </c>
      <c r="Z2562" s="4" t="str">
        <f t="shared" si="239"/>
        <v>Australia</v>
      </c>
      <c r="AA2562" t="s">
        <v>95</v>
      </c>
      <c r="AB2562" t="s">
        <v>96</v>
      </c>
      <c r="AC2562" t="s">
        <v>562</v>
      </c>
      <c r="AD2562" t="s">
        <v>563</v>
      </c>
      <c r="AE2562" t="s">
        <v>51</v>
      </c>
    </row>
    <row r="2563" spans="1:31" x14ac:dyDescent="0.3">
      <c r="A2563">
        <v>10106</v>
      </c>
      <c r="B2563">
        <v>34</v>
      </c>
      <c r="C2563">
        <v>100</v>
      </c>
      <c r="D2563">
        <v>9</v>
      </c>
      <c r="E2563" s="4" t="str">
        <f t="shared" ref="E2563:E2626" si="240">IF(F2563&gt;4000,"high sales","low sales")</f>
        <v>low sales</v>
      </c>
      <c r="F2563">
        <v>3763.46</v>
      </c>
      <c r="G2563" t="s">
        <v>3235</v>
      </c>
      <c r="H2563" s="1" t="str">
        <f t="shared" ref="H2563:H2626" si="241">PROPER(TRIM(J2563))</f>
        <v>Shipped</v>
      </c>
      <c r="I2563" s="4" t="str">
        <f t="shared" ref="I2563:I2626" si="242">IF(J2563="shipped","completed","not completed")</f>
        <v>completed</v>
      </c>
      <c r="J2563" t="s">
        <v>25</v>
      </c>
      <c r="K2563">
        <v>1</v>
      </c>
      <c r="L2563">
        <v>2</v>
      </c>
      <c r="M2563">
        <v>2003</v>
      </c>
      <c r="N2563" t="s">
        <v>566</v>
      </c>
      <c r="O2563">
        <v>99</v>
      </c>
      <c r="P2563" t="s">
        <v>665</v>
      </c>
      <c r="Q2563" t="s">
        <v>552</v>
      </c>
      <c r="R2563" t="s">
        <v>553</v>
      </c>
      <c r="S2563" t="s">
        <v>554</v>
      </c>
      <c r="U2563" s="1" t="str">
        <f t="shared" ref="U2563:U2626" si="243">PROPER(TRIM(V2563))</f>
        <v>Bergamo</v>
      </c>
      <c r="V2563" t="s">
        <v>555</v>
      </c>
      <c r="X2563">
        <v>24100</v>
      </c>
      <c r="Y2563" s="1" t="str">
        <f t="shared" ref="Y2563:Y2626" si="244">UPPER(TRIM(AA2563))</f>
        <v>ITALY</v>
      </c>
      <c r="Z2563" s="4" t="str">
        <f t="shared" ref="Z2563:Z2626" si="245">PROPER(TRIM(AA2563))</f>
        <v>Italy</v>
      </c>
      <c r="AA2563" t="s">
        <v>258</v>
      </c>
      <c r="AB2563" t="s">
        <v>42</v>
      </c>
      <c r="AC2563" t="s">
        <v>556</v>
      </c>
      <c r="AD2563" t="s">
        <v>557</v>
      </c>
      <c r="AE2563" t="s">
        <v>51</v>
      </c>
    </row>
    <row r="2564" spans="1:31" x14ac:dyDescent="0.3">
      <c r="A2564">
        <v>10120</v>
      </c>
      <c r="B2564">
        <v>24</v>
      </c>
      <c r="C2564">
        <v>100</v>
      </c>
      <c r="D2564">
        <v>15</v>
      </c>
      <c r="E2564" s="4" t="str">
        <f t="shared" si="240"/>
        <v>low sales</v>
      </c>
      <c r="F2564">
        <v>2584.8000000000002</v>
      </c>
      <c r="G2564" t="s">
        <v>3236</v>
      </c>
      <c r="H2564" s="1" t="str">
        <f t="shared" si="241"/>
        <v>Shipped</v>
      </c>
      <c r="I2564" s="4" t="str">
        <f t="shared" si="242"/>
        <v>completed</v>
      </c>
      <c r="J2564" t="s">
        <v>25</v>
      </c>
      <c r="K2564">
        <v>2</v>
      </c>
      <c r="L2564">
        <v>4</v>
      </c>
      <c r="M2564">
        <v>2003</v>
      </c>
      <c r="N2564" t="s">
        <v>566</v>
      </c>
      <c r="O2564">
        <v>99</v>
      </c>
      <c r="P2564" t="s">
        <v>665</v>
      </c>
      <c r="Q2564" t="s">
        <v>89</v>
      </c>
      <c r="R2564" t="s">
        <v>90</v>
      </c>
      <c r="S2564" t="s">
        <v>91</v>
      </c>
      <c r="T2564" t="s">
        <v>92</v>
      </c>
      <c r="U2564" s="1" t="str">
        <f t="shared" si="243"/>
        <v>Melbourne</v>
      </c>
      <c r="V2564" t="s">
        <v>93</v>
      </c>
      <c r="W2564" t="s">
        <v>94</v>
      </c>
      <c r="X2564">
        <v>3004</v>
      </c>
      <c r="Y2564" s="1" t="str">
        <f t="shared" si="244"/>
        <v>AUSTRALIA</v>
      </c>
      <c r="Z2564" s="4" t="str">
        <f t="shared" si="245"/>
        <v>Australia</v>
      </c>
      <c r="AA2564" t="s">
        <v>95</v>
      </c>
      <c r="AB2564" t="s">
        <v>96</v>
      </c>
      <c r="AC2564" t="s">
        <v>97</v>
      </c>
      <c r="AD2564" t="s">
        <v>98</v>
      </c>
      <c r="AE2564" t="s">
        <v>36</v>
      </c>
    </row>
    <row r="2565" spans="1:31" x14ac:dyDescent="0.3">
      <c r="A2565">
        <v>10131</v>
      </c>
      <c r="B2565">
        <v>40</v>
      </c>
      <c r="C2565">
        <v>100</v>
      </c>
      <c r="D2565">
        <v>1</v>
      </c>
      <c r="E2565" s="4" t="str">
        <f t="shared" si="240"/>
        <v>high sales</v>
      </c>
      <c r="F2565">
        <v>4427.6000000000004</v>
      </c>
      <c r="G2565" t="s">
        <v>3237</v>
      </c>
      <c r="H2565" s="1" t="str">
        <f t="shared" si="241"/>
        <v>Shipped</v>
      </c>
      <c r="I2565" s="4" t="str">
        <f t="shared" si="242"/>
        <v>completed</v>
      </c>
      <c r="J2565" t="s">
        <v>25</v>
      </c>
      <c r="K2565">
        <v>2</v>
      </c>
      <c r="L2565">
        <v>6</v>
      </c>
      <c r="M2565">
        <v>2003</v>
      </c>
      <c r="N2565" t="s">
        <v>566</v>
      </c>
      <c r="O2565">
        <v>99</v>
      </c>
      <c r="P2565" t="s">
        <v>665</v>
      </c>
      <c r="Q2565" t="s">
        <v>568</v>
      </c>
      <c r="R2565">
        <v>2035554407</v>
      </c>
      <c r="S2565" t="s">
        <v>569</v>
      </c>
      <c r="U2565" s="1" t="str">
        <f t="shared" si="243"/>
        <v>Glendale</v>
      </c>
      <c r="V2565" t="s">
        <v>516</v>
      </c>
      <c r="W2565" t="s">
        <v>112</v>
      </c>
      <c r="X2565">
        <v>97561</v>
      </c>
      <c r="Y2565" s="1" t="str">
        <f t="shared" si="244"/>
        <v>USA</v>
      </c>
      <c r="Z2565" s="4" t="str">
        <f t="shared" si="245"/>
        <v>Usa</v>
      </c>
      <c r="AA2565" t="s">
        <v>32</v>
      </c>
      <c r="AB2565" t="s">
        <v>33</v>
      </c>
      <c r="AC2565" t="s">
        <v>570</v>
      </c>
      <c r="AD2565" t="s">
        <v>571</v>
      </c>
      <c r="AE2565" t="s">
        <v>51</v>
      </c>
    </row>
    <row r="2566" spans="1:31" x14ac:dyDescent="0.3">
      <c r="A2566">
        <v>10143</v>
      </c>
      <c r="B2566">
        <v>26</v>
      </c>
      <c r="C2566">
        <v>82.77</v>
      </c>
      <c r="D2566">
        <v>4</v>
      </c>
      <c r="E2566" s="4" t="str">
        <f t="shared" si="240"/>
        <v>low sales</v>
      </c>
      <c r="F2566">
        <v>2152.02</v>
      </c>
      <c r="G2566" t="s">
        <v>3238</v>
      </c>
      <c r="H2566" s="1" t="str">
        <f t="shared" si="241"/>
        <v>Shipped</v>
      </c>
      <c r="I2566" s="4" t="str">
        <f t="shared" si="242"/>
        <v>completed</v>
      </c>
      <c r="J2566" t="s">
        <v>25</v>
      </c>
      <c r="K2566">
        <v>3</v>
      </c>
      <c r="L2566">
        <v>8</v>
      </c>
      <c r="M2566">
        <v>2003</v>
      </c>
      <c r="N2566" t="s">
        <v>566</v>
      </c>
      <c r="O2566">
        <v>99</v>
      </c>
      <c r="P2566" t="s">
        <v>665</v>
      </c>
      <c r="Q2566" t="s">
        <v>335</v>
      </c>
      <c r="R2566">
        <v>5085559555</v>
      </c>
      <c r="S2566" t="s">
        <v>336</v>
      </c>
      <c r="U2566" s="1" t="str">
        <f t="shared" si="243"/>
        <v>New Bedford</v>
      </c>
      <c r="V2566" t="s">
        <v>162</v>
      </c>
      <c r="W2566" t="s">
        <v>123</v>
      </c>
      <c r="X2566">
        <v>50553</v>
      </c>
      <c r="Y2566" s="1" t="str">
        <f t="shared" si="244"/>
        <v>USA</v>
      </c>
      <c r="Z2566" s="4" t="str">
        <f t="shared" si="245"/>
        <v>Usa</v>
      </c>
      <c r="AA2566" t="s">
        <v>32</v>
      </c>
      <c r="AB2566" t="s">
        <v>33</v>
      </c>
      <c r="AC2566" t="s">
        <v>337</v>
      </c>
      <c r="AD2566" t="s">
        <v>338</v>
      </c>
      <c r="AE2566" t="s">
        <v>36</v>
      </c>
    </row>
    <row r="2567" spans="1:31" x14ac:dyDescent="0.3">
      <c r="A2567">
        <v>10155</v>
      </c>
      <c r="B2567">
        <v>20</v>
      </c>
      <c r="C2567">
        <v>100</v>
      </c>
      <c r="D2567">
        <v>2</v>
      </c>
      <c r="E2567" s="4" t="str">
        <f t="shared" si="240"/>
        <v>low sales</v>
      </c>
      <c r="F2567">
        <v>2353.4</v>
      </c>
      <c r="G2567" t="s">
        <v>3239</v>
      </c>
      <c r="H2567" s="1" t="str">
        <f t="shared" si="241"/>
        <v>Shipped</v>
      </c>
      <c r="I2567" s="4" t="str">
        <f t="shared" si="242"/>
        <v>completed</v>
      </c>
      <c r="J2567" t="s">
        <v>25</v>
      </c>
      <c r="K2567">
        <v>4</v>
      </c>
      <c r="L2567">
        <v>10</v>
      </c>
      <c r="M2567">
        <v>2003</v>
      </c>
      <c r="N2567" t="s">
        <v>566</v>
      </c>
      <c r="O2567">
        <v>99</v>
      </c>
      <c r="P2567" t="s">
        <v>665</v>
      </c>
      <c r="Q2567" t="s">
        <v>126</v>
      </c>
      <c r="R2567" t="s">
        <v>127</v>
      </c>
      <c r="S2567" t="s">
        <v>128</v>
      </c>
      <c r="U2567" s="1" t="str">
        <f t="shared" si="243"/>
        <v>Helsinki</v>
      </c>
      <c r="V2567" t="s">
        <v>129</v>
      </c>
      <c r="X2567">
        <v>21240</v>
      </c>
      <c r="Y2567" s="1" t="str">
        <f t="shared" si="244"/>
        <v>FINLAND</v>
      </c>
      <c r="Z2567" s="4" t="str">
        <f t="shared" si="245"/>
        <v>Finland</v>
      </c>
      <c r="AA2567" t="s">
        <v>130</v>
      </c>
      <c r="AB2567" t="s">
        <v>42</v>
      </c>
      <c r="AC2567" t="s">
        <v>131</v>
      </c>
      <c r="AD2567" t="s">
        <v>132</v>
      </c>
      <c r="AE2567" t="s">
        <v>36</v>
      </c>
    </row>
    <row r="2568" spans="1:31" x14ac:dyDescent="0.3">
      <c r="A2568">
        <v>10168</v>
      </c>
      <c r="B2568">
        <v>31</v>
      </c>
      <c r="C2568">
        <v>100</v>
      </c>
      <c r="D2568">
        <v>16</v>
      </c>
      <c r="E2568" s="4" t="str">
        <f t="shared" si="240"/>
        <v>low sales</v>
      </c>
      <c r="F2568">
        <v>3431.39</v>
      </c>
      <c r="G2568" t="s">
        <v>3240</v>
      </c>
      <c r="H2568" s="1" t="str">
        <f t="shared" si="241"/>
        <v>Shipped</v>
      </c>
      <c r="I2568" s="4" t="str">
        <f t="shared" si="242"/>
        <v>completed</v>
      </c>
      <c r="J2568" t="s">
        <v>25</v>
      </c>
      <c r="K2568">
        <v>4</v>
      </c>
      <c r="L2568">
        <v>10</v>
      </c>
      <c r="M2568">
        <v>2003</v>
      </c>
      <c r="N2568" t="s">
        <v>566</v>
      </c>
      <c r="O2568">
        <v>99</v>
      </c>
      <c r="P2568" t="s">
        <v>665</v>
      </c>
      <c r="Q2568" t="s">
        <v>62</v>
      </c>
      <c r="R2568">
        <v>6505556809</v>
      </c>
      <c r="S2568" t="s">
        <v>63</v>
      </c>
      <c r="U2568" s="1" t="str">
        <f t="shared" si="243"/>
        <v>Burlingame</v>
      </c>
      <c r="V2568" t="s">
        <v>64</v>
      </c>
      <c r="W2568" t="s">
        <v>55</v>
      </c>
      <c r="X2568">
        <v>94217</v>
      </c>
      <c r="Y2568" s="1" t="str">
        <f t="shared" si="244"/>
        <v>USA</v>
      </c>
      <c r="Z2568" s="4" t="str">
        <f t="shared" si="245"/>
        <v>Usa</v>
      </c>
      <c r="AA2568" t="s">
        <v>32</v>
      </c>
      <c r="AB2568" t="s">
        <v>33</v>
      </c>
      <c r="AC2568" t="s">
        <v>65</v>
      </c>
      <c r="AD2568" t="s">
        <v>66</v>
      </c>
      <c r="AE2568" t="s">
        <v>51</v>
      </c>
    </row>
    <row r="2569" spans="1:31" x14ac:dyDescent="0.3">
      <c r="A2569">
        <v>10178</v>
      </c>
      <c r="B2569">
        <v>22</v>
      </c>
      <c r="C2569">
        <v>87.75</v>
      </c>
      <c r="D2569">
        <v>1</v>
      </c>
      <c r="E2569" s="4" t="str">
        <f t="shared" si="240"/>
        <v>low sales</v>
      </c>
      <c r="F2569">
        <v>1930.5</v>
      </c>
      <c r="G2569" t="s">
        <v>3241</v>
      </c>
      <c r="H2569" s="1" t="str">
        <f t="shared" si="241"/>
        <v>Shipped</v>
      </c>
      <c r="I2569" s="4" t="str">
        <f t="shared" si="242"/>
        <v>completed</v>
      </c>
      <c r="J2569" t="s">
        <v>25</v>
      </c>
      <c r="K2569">
        <v>4</v>
      </c>
      <c r="L2569">
        <v>11</v>
      </c>
      <c r="M2569">
        <v>2003</v>
      </c>
      <c r="N2569" t="s">
        <v>566</v>
      </c>
      <c r="O2569">
        <v>99</v>
      </c>
      <c r="P2569" t="s">
        <v>665</v>
      </c>
      <c r="Q2569" t="s">
        <v>340</v>
      </c>
      <c r="R2569" t="s">
        <v>341</v>
      </c>
      <c r="S2569" t="s">
        <v>342</v>
      </c>
      <c r="U2569" s="1" t="str">
        <f t="shared" si="243"/>
        <v>Toulouse</v>
      </c>
      <c r="V2569" t="s">
        <v>343</v>
      </c>
      <c r="X2569">
        <v>31000</v>
      </c>
      <c r="Y2569" s="1" t="str">
        <f t="shared" si="244"/>
        <v>FRANCE</v>
      </c>
      <c r="Z2569" s="4" t="str">
        <f t="shared" si="245"/>
        <v>France</v>
      </c>
      <c r="AA2569" t="s">
        <v>41</v>
      </c>
      <c r="AB2569" t="s">
        <v>42</v>
      </c>
      <c r="AC2569" t="s">
        <v>344</v>
      </c>
      <c r="AD2569" t="s">
        <v>345</v>
      </c>
      <c r="AE2569" t="s">
        <v>36</v>
      </c>
    </row>
    <row r="2570" spans="1:31" x14ac:dyDescent="0.3">
      <c r="A2570">
        <v>10198</v>
      </c>
      <c r="B2570">
        <v>42</v>
      </c>
      <c r="C2570">
        <v>100</v>
      </c>
      <c r="D2570">
        <v>1</v>
      </c>
      <c r="E2570" s="4" t="str">
        <f t="shared" si="240"/>
        <v>high sales</v>
      </c>
      <c r="F2570">
        <v>4774.5600000000004</v>
      </c>
      <c r="G2570" t="s">
        <v>3242</v>
      </c>
      <c r="H2570" s="1" t="str">
        <f t="shared" si="241"/>
        <v>Shipped</v>
      </c>
      <c r="I2570" s="4" t="str">
        <f t="shared" si="242"/>
        <v>completed</v>
      </c>
      <c r="J2570" t="s">
        <v>25</v>
      </c>
      <c r="K2570">
        <v>4</v>
      </c>
      <c r="L2570">
        <v>11</v>
      </c>
      <c r="M2570">
        <v>2003</v>
      </c>
      <c r="N2570" t="s">
        <v>566</v>
      </c>
      <c r="O2570">
        <v>99</v>
      </c>
      <c r="P2570" t="s">
        <v>665</v>
      </c>
      <c r="Q2570" t="s">
        <v>425</v>
      </c>
      <c r="R2570" t="s">
        <v>426</v>
      </c>
      <c r="S2570" t="s">
        <v>427</v>
      </c>
      <c r="U2570" s="1" t="str">
        <f t="shared" si="243"/>
        <v>Makati City</v>
      </c>
      <c r="V2570" t="s">
        <v>428</v>
      </c>
      <c r="X2570" t="s">
        <v>429</v>
      </c>
      <c r="Y2570" s="1" t="str">
        <f t="shared" si="244"/>
        <v>PHILIPPINES</v>
      </c>
      <c r="Z2570" s="4" t="str">
        <f t="shared" si="245"/>
        <v>Philippines</v>
      </c>
      <c r="AA2570" t="s">
        <v>430</v>
      </c>
      <c r="AB2570" t="s">
        <v>200</v>
      </c>
      <c r="AC2570" t="s">
        <v>431</v>
      </c>
      <c r="AD2570" t="s">
        <v>432</v>
      </c>
      <c r="AE2570" t="s">
        <v>51</v>
      </c>
    </row>
    <row r="2571" spans="1:31" x14ac:dyDescent="0.3">
      <c r="A2571">
        <v>10210</v>
      </c>
      <c r="B2571">
        <v>26</v>
      </c>
      <c r="C2571">
        <v>99.72</v>
      </c>
      <c r="D2571">
        <v>14</v>
      </c>
      <c r="E2571" s="4" t="str">
        <f t="shared" si="240"/>
        <v>low sales</v>
      </c>
      <c r="F2571">
        <v>2592.7199999999998</v>
      </c>
      <c r="G2571" t="s">
        <v>3243</v>
      </c>
      <c r="H2571" s="1" t="str">
        <f t="shared" si="241"/>
        <v>Shipped</v>
      </c>
      <c r="I2571" s="4" t="str">
        <f t="shared" si="242"/>
        <v>completed</v>
      </c>
      <c r="J2571" t="s">
        <v>25</v>
      </c>
      <c r="K2571">
        <v>1</v>
      </c>
      <c r="L2571">
        <v>1</v>
      </c>
      <c r="M2571">
        <v>2004</v>
      </c>
      <c r="N2571" t="s">
        <v>566</v>
      </c>
      <c r="O2571">
        <v>99</v>
      </c>
      <c r="P2571" t="s">
        <v>665</v>
      </c>
      <c r="Q2571" t="s">
        <v>302</v>
      </c>
      <c r="R2571" t="s">
        <v>303</v>
      </c>
      <c r="S2571" t="s">
        <v>304</v>
      </c>
      <c r="U2571" s="1" t="str">
        <f t="shared" si="243"/>
        <v>Osaka</v>
      </c>
      <c r="V2571" t="s">
        <v>305</v>
      </c>
      <c r="W2571" t="s">
        <v>305</v>
      </c>
      <c r="X2571" t="s">
        <v>306</v>
      </c>
      <c r="Y2571" s="1" t="str">
        <f t="shared" si="244"/>
        <v>JAPAN</v>
      </c>
      <c r="Z2571" s="4" t="str">
        <f t="shared" si="245"/>
        <v>Japan</v>
      </c>
      <c r="AA2571" t="s">
        <v>200</v>
      </c>
      <c r="AB2571" t="s">
        <v>200</v>
      </c>
      <c r="AC2571" t="s">
        <v>307</v>
      </c>
      <c r="AD2571" t="s">
        <v>308</v>
      </c>
      <c r="AE2571" t="s">
        <v>36</v>
      </c>
    </row>
    <row r="2572" spans="1:31" x14ac:dyDescent="0.3">
      <c r="A2572">
        <v>10222</v>
      </c>
      <c r="B2572">
        <v>37</v>
      </c>
      <c r="C2572">
        <v>87.75</v>
      </c>
      <c r="D2572">
        <v>1</v>
      </c>
      <c r="E2572" s="4" t="str">
        <f t="shared" si="240"/>
        <v>low sales</v>
      </c>
      <c r="F2572">
        <v>3246.75</v>
      </c>
      <c r="G2572" t="s">
        <v>3244</v>
      </c>
      <c r="H2572" s="1" t="str">
        <f t="shared" si="241"/>
        <v>Shipped</v>
      </c>
      <c r="I2572" s="4" t="str">
        <f t="shared" si="242"/>
        <v>completed</v>
      </c>
      <c r="J2572" t="s">
        <v>25</v>
      </c>
      <c r="K2572">
        <v>1</v>
      </c>
      <c r="L2572">
        <v>2</v>
      </c>
      <c r="M2572">
        <v>2004</v>
      </c>
      <c r="N2572" t="s">
        <v>566</v>
      </c>
      <c r="O2572">
        <v>99</v>
      </c>
      <c r="P2572" t="s">
        <v>665</v>
      </c>
      <c r="Q2572" t="s">
        <v>362</v>
      </c>
      <c r="R2572">
        <v>7605558146</v>
      </c>
      <c r="S2572" t="s">
        <v>363</v>
      </c>
      <c r="U2572" s="1" t="str">
        <f t="shared" si="243"/>
        <v>San Diego</v>
      </c>
      <c r="V2572" t="s">
        <v>364</v>
      </c>
      <c r="W2572" t="s">
        <v>55</v>
      </c>
      <c r="X2572">
        <v>91217</v>
      </c>
      <c r="Y2572" s="1" t="str">
        <f t="shared" si="244"/>
        <v>USA</v>
      </c>
      <c r="Z2572" s="4" t="str">
        <f t="shared" si="245"/>
        <v>Usa</v>
      </c>
      <c r="AA2572" t="s">
        <v>32</v>
      </c>
      <c r="AB2572" t="s">
        <v>33</v>
      </c>
      <c r="AC2572" t="s">
        <v>237</v>
      </c>
      <c r="AD2572" t="s">
        <v>276</v>
      </c>
      <c r="AE2572" t="s">
        <v>51</v>
      </c>
    </row>
    <row r="2573" spans="1:31" x14ac:dyDescent="0.3">
      <c r="A2573">
        <v>10235</v>
      </c>
      <c r="B2573">
        <v>38</v>
      </c>
      <c r="C2573">
        <v>88.75</v>
      </c>
      <c r="D2573">
        <v>10</v>
      </c>
      <c r="E2573" s="4" t="str">
        <f t="shared" si="240"/>
        <v>low sales</v>
      </c>
      <c r="F2573">
        <v>3372.5</v>
      </c>
      <c r="G2573" t="s">
        <v>3245</v>
      </c>
      <c r="H2573" s="1" t="str">
        <f t="shared" si="241"/>
        <v>Shipped</v>
      </c>
      <c r="I2573" s="4" t="str">
        <f t="shared" si="242"/>
        <v>completed</v>
      </c>
      <c r="J2573" t="s">
        <v>25</v>
      </c>
      <c r="K2573">
        <v>2</v>
      </c>
      <c r="L2573">
        <v>4</v>
      </c>
      <c r="M2573">
        <v>2004</v>
      </c>
      <c r="N2573" t="s">
        <v>566</v>
      </c>
      <c r="O2573">
        <v>99</v>
      </c>
      <c r="P2573" t="s">
        <v>665</v>
      </c>
      <c r="Q2573" t="s">
        <v>373</v>
      </c>
      <c r="R2573" t="s">
        <v>374</v>
      </c>
      <c r="S2573" t="s">
        <v>375</v>
      </c>
      <c r="U2573" s="1" t="str">
        <f t="shared" si="243"/>
        <v>Tsawassen</v>
      </c>
      <c r="V2573" t="s">
        <v>376</v>
      </c>
      <c r="W2573" t="s">
        <v>229</v>
      </c>
      <c r="X2573" t="s">
        <v>377</v>
      </c>
      <c r="Y2573" s="1" t="str">
        <f t="shared" si="244"/>
        <v>CANADA</v>
      </c>
      <c r="Z2573" s="4" t="str">
        <f t="shared" si="245"/>
        <v>Canada</v>
      </c>
      <c r="AA2573" t="s">
        <v>231</v>
      </c>
      <c r="AB2573" t="s">
        <v>33</v>
      </c>
      <c r="AC2573" t="s">
        <v>378</v>
      </c>
      <c r="AD2573" t="s">
        <v>172</v>
      </c>
      <c r="AE2573" t="s">
        <v>51</v>
      </c>
    </row>
    <row r="2574" spans="1:31" x14ac:dyDescent="0.3">
      <c r="A2574">
        <v>10250</v>
      </c>
      <c r="B2574">
        <v>35</v>
      </c>
      <c r="C2574">
        <v>100</v>
      </c>
      <c r="D2574">
        <v>11</v>
      </c>
      <c r="E2574" s="4" t="str">
        <f t="shared" si="240"/>
        <v>low sales</v>
      </c>
      <c r="F2574">
        <v>3909.15</v>
      </c>
      <c r="G2574" t="s">
        <v>3246</v>
      </c>
      <c r="H2574" s="1" t="str">
        <f t="shared" si="241"/>
        <v>Shipped</v>
      </c>
      <c r="I2574" s="4" t="str">
        <f t="shared" si="242"/>
        <v>completed</v>
      </c>
      <c r="J2574" t="s">
        <v>25</v>
      </c>
      <c r="K2574">
        <v>2</v>
      </c>
      <c r="L2574">
        <v>5</v>
      </c>
      <c r="M2574">
        <v>2004</v>
      </c>
      <c r="N2574" t="s">
        <v>566</v>
      </c>
      <c r="O2574">
        <v>99</v>
      </c>
      <c r="P2574" t="s">
        <v>665</v>
      </c>
      <c r="Q2574" t="s">
        <v>397</v>
      </c>
      <c r="R2574">
        <v>4085553659</v>
      </c>
      <c r="S2574" t="s">
        <v>398</v>
      </c>
      <c r="U2574" s="1" t="str">
        <f t="shared" si="243"/>
        <v>San Jose</v>
      </c>
      <c r="V2574" t="s">
        <v>399</v>
      </c>
      <c r="W2574" t="s">
        <v>55</v>
      </c>
      <c r="X2574">
        <v>94217</v>
      </c>
      <c r="Y2574" s="1" t="str">
        <f t="shared" si="244"/>
        <v>USA</v>
      </c>
      <c r="Z2574" s="4" t="str">
        <f t="shared" si="245"/>
        <v>Usa</v>
      </c>
      <c r="AA2574" t="s">
        <v>32</v>
      </c>
      <c r="AB2574" t="s">
        <v>33</v>
      </c>
      <c r="AC2574" t="s">
        <v>102</v>
      </c>
      <c r="AD2574" t="s">
        <v>400</v>
      </c>
      <c r="AE2574" t="s">
        <v>51</v>
      </c>
    </row>
    <row r="2575" spans="1:31" x14ac:dyDescent="0.3">
      <c r="A2575">
        <v>10262</v>
      </c>
      <c r="B2575">
        <v>33</v>
      </c>
      <c r="C2575">
        <v>90.75</v>
      </c>
      <c r="D2575">
        <v>6</v>
      </c>
      <c r="E2575" s="4" t="str">
        <f t="shared" si="240"/>
        <v>low sales</v>
      </c>
      <c r="F2575">
        <v>2994.75</v>
      </c>
      <c r="G2575" t="s">
        <v>3247</v>
      </c>
      <c r="H2575" s="1" t="str">
        <f t="shared" si="241"/>
        <v>Cancelled</v>
      </c>
      <c r="I2575" s="4" t="str">
        <f t="shared" si="242"/>
        <v>not completed</v>
      </c>
      <c r="J2575" t="s">
        <v>339</v>
      </c>
      <c r="K2575">
        <v>2</v>
      </c>
      <c r="L2575">
        <v>6</v>
      </c>
      <c r="M2575">
        <v>2004</v>
      </c>
      <c r="N2575" t="s">
        <v>566</v>
      </c>
      <c r="O2575">
        <v>99</v>
      </c>
      <c r="P2575" t="s">
        <v>665</v>
      </c>
      <c r="Q2575" t="s">
        <v>174</v>
      </c>
      <c r="R2575" t="s">
        <v>175</v>
      </c>
      <c r="S2575" t="s">
        <v>176</v>
      </c>
      <c r="U2575" s="1" t="str">
        <f t="shared" si="243"/>
        <v>Madrid</v>
      </c>
      <c r="V2575" t="s">
        <v>177</v>
      </c>
      <c r="X2575">
        <v>28034</v>
      </c>
      <c r="Y2575" s="1" t="str">
        <f t="shared" si="244"/>
        <v>SPAIN</v>
      </c>
      <c r="Z2575" s="4" t="str">
        <f t="shared" si="245"/>
        <v>Spain</v>
      </c>
      <c r="AA2575" t="s">
        <v>178</v>
      </c>
      <c r="AB2575" t="s">
        <v>42</v>
      </c>
      <c r="AC2575" t="s">
        <v>179</v>
      </c>
      <c r="AD2575" t="s">
        <v>180</v>
      </c>
      <c r="AE2575" t="s">
        <v>36</v>
      </c>
    </row>
    <row r="2576" spans="1:31" x14ac:dyDescent="0.3">
      <c r="A2576">
        <v>10275</v>
      </c>
      <c r="B2576">
        <v>39</v>
      </c>
      <c r="C2576">
        <v>100</v>
      </c>
      <c r="D2576">
        <v>16</v>
      </c>
      <c r="E2576" s="4" t="str">
        <f t="shared" si="240"/>
        <v>high sales</v>
      </c>
      <c r="F2576">
        <v>4472.5200000000004</v>
      </c>
      <c r="G2576" t="s">
        <v>3248</v>
      </c>
      <c r="H2576" s="1" t="str">
        <f t="shared" si="241"/>
        <v>Shipped</v>
      </c>
      <c r="I2576" s="4" t="str">
        <f t="shared" si="242"/>
        <v>completed</v>
      </c>
      <c r="J2576" t="s">
        <v>25</v>
      </c>
      <c r="K2576">
        <v>3</v>
      </c>
      <c r="L2576">
        <v>7</v>
      </c>
      <c r="M2576">
        <v>2004</v>
      </c>
      <c r="N2576" t="s">
        <v>566</v>
      </c>
      <c r="O2576">
        <v>99</v>
      </c>
      <c r="P2576" t="s">
        <v>665</v>
      </c>
      <c r="Q2576" t="s">
        <v>114</v>
      </c>
      <c r="R2576" t="s">
        <v>115</v>
      </c>
      <c r="S2576" t="s">
        <v>116</v>
      </c>
      <c r="U2576" s="1" t="str">
        <f t="shared" si="243"/>
        <v>Nantes</v>
      </c>
      <c r="V2576" t="s">
        <v>117</v>
      </c>
      <c r="X2576">
        <v>44000</v>
      </c>
      <c r="Y2576" s="1" t="str">
        <f t="shared" si="244"/>
        <v>FRANCE</v>
      </c>
      <c r="Z2576" s="4" t="str">
        <f t="shared" si="245"/>
        <v>France</v>
      </c>
      <c r="AA2576" t="s">
        <v>41</v>
      </c>
      <c r="AB2576" t="s">
        <v>42</v>
      </c>
      <c r="AC2576" t="s">
        <v>118</v>
      </c>
      <c r="AD2576" t="s">
        <v>119</v>
      </c>
      <c r="AE2576" t="s">
        <v>51</v>
      </c>
    </row>
    <row r="2577" spans="1:31" x14ac:dyDescent="0.3">
      <c r="A2577">
        <v>10284</v>
      </c>
      <c r="B2577">
        <v>45</v>
      </c>
      <c r="C2577">
        <v>100</v>
      </c>
      <c r="D2577">
        <v>8</v>
      </c>
      <c r="E2577" s="4" t="str">
        <f t="shared" si="240"/>
        <v>high sales</v>
      </c>
      <c r="F2577">
        <v>4576.95</v>
      </c>
      <c r="G2577" t="s">
        <v>3249</v>
      </c>
      <c r="H2577" s="1" t="str">
        <f t="shared" si="241"/>
        <v>Shipped</v>
      </c>
      <c r="I2577" s="4" t="str">
        <f t="shared" si="242"/>
        <v>completed</v>
      </c>
      <c r="J2577" t="s">
        <v>25</v>
      </c>
      <c r="K2577">
        <v>3</v>
      </c>
      <c r="L2577">
        <v>8</v>
      </c>
      <c r="M2577">
        <v>2004</v>
      </c>
      <c r="N2577" t="s">
        <v>566</v>
      </c>
      <c r="O2577">
        <v>99</v>
      </c>
      <c r="P2577" t="s">
        <v>665</v>
      </c>
      <c r="Q2577" t="s">
        <v>543</v>
      </c>
      <c r="R2577" t="s">
        <v>544</v>
      </c>
      <c r="S2577" t="s">
        <v>545</v>
      </c>
      <c r="U2577" s="1" t="str">
        <f t="shared" si="243"/>
        <v>Oslo</v>
      </c>
      <c r="V2577" t="s">
        <v>546</v>
      </c>
      <c r="X2577" t="s">
        <v>547</v>
      </c>
      <c r="Y2577" s="1" t="str">
        <f t="shared" si="244"/>
        <v>NORWAY</v>
      </c>
      <c r="Z2577" s="4" t="str">
        <f t="shared" si="245"/>
        <v>Norway</v>
      </c>
      <c r="AA2577" t="s">
        <v>78</v>
      </c>
      <c r="AB2577" t="s">
        <v>42</v>
      </c>
      <c r="AC2577" t="s">
        <v>548</v>
      </c>
      <c r="AD2577" t="s">
        <v>549</v>
      </c>
      <c r="AE2577" t="s">
        <v>51</v>
      </c>
    </row>
    <row r="2578" spans="1:31" x14ac:dyDescent="0.3">
      <c r="A2578">
        <v>10296</v>
      </c>
      <c r="B2578">
        <v>24</v>
      </c>
      <c r="C2578">
        <v>100</v>
      </c>
      <c r="D2578">
        <v>4</v>
      </c>
      <c r="E2578" s="4" t="str">
        <f t="shared" si="240"/>
        <v>low sales</v>
      </c>
      <c r="F2578">
        <v>2441.04</v>
      </c>
      <c r="G2578" t="s">
        <v>3250</v>
      </c>
      <c r="H2578" s="1" t="str">
        <f t="shared" si="241"/>
        <v>Shipped</v>
      </c>
      <c r="I2578" s="4" t="str">
        <f t="shared" si="242"/>
        <v>completed</v>
      </c>
      <c r="J2578" t="s">
        <v>25</v>
      </c>
      <c r="K2578">
        <v>3</v>
      </c>
      <c r="L2578">
        <v>9</v>
      </c>
      <c r="M2578">
        <v>2004</v>
      </c>
      <c r="N2578" t="s">
        <v>566</v>
      </c>
      <c r="O2578">
        <v>99</v>
      </c>
      <c r="P2578" t="s">
        <v>665</v>
      </c>
      <c r="Q2578" t="s">
        <v>572</v>
      </c>
      <c r="R2578" t="s">
        <v>573</v>
      </c>
      <c r="S2578" t="s">
        <v>574</v>
      </c>
      <c r="U2578" s="1" t="str">
        <f t="shared" si="243"/>
        <v>Munich</v>
      </c>
      <c r="V2578" t="s">
        <v>575</v>
      </c>
      <c r="X2578">
        <v>80686</v>
      </c>
      <c r="Y2578" s="1" t="str">
        <f t="shared" si="244"/>
        <v>GERMANY</v>
      </c>
      <c r="Z2578" s="4" t="str">
        <f t="shared" si="245"/>
        <v>Germany</v>
      </c>
      <c r="AA2578" t="s">
        <v>443</v>
      </c>
      <c r="AB2578" t="s">
        <v>42</v>
      </c>
      <c r="AC2578" t="s">
        <v>576</v>
      </c>
      <c r="AD2578" t="s">
        <v>103</v>
      </c>
      <c r="AE2578" t="s">
        <v>36</v>
      </c>
    </row>
    <row r="2579" spans="1:31" x14ac:dyDescent="0.3">
      <c r="A2579">
        <v>10308</v>
      </c>
      <c r="B2579">
        <v>35</v>
      </c>
      <c r="C2579">
        <v>88.75</v>
      </c>
      <c r="D2579">
        <v>14</v>
      </c>
      <c r="E2579" s="4" t="str">
        <f t="shared" si="240"/>
        <v>low sales</v>
      </c>
      <c r="F2579">
        <v>3106.25</v>
      </c>
      <c r="G2579" t="s">
        <v>3251</v>
      </c>
      <c r="H2579" s="1" t="str">
        <f t="shared" si="241"/>
        <v>Shipped</v>
      </c>
      <c r="I2579" s="4" t="str">
        <f t="shared" si="242"/>
        <v>completed</v>
      </c>
      <c r="J2579" t="s">
        <v>25</v>
      </c>
      <c r="K2579">
        <v>4</v>
      </c>
      <c r="L2579">
        <v>10</v>
      </c>
      <c r="M2579">
        <v>2004</v>
      </c>
      <c r="N2579" t="s">
        <v>566</v>
      </c>
      <c r="O2579">
        <v>99</v>
      </c>
      <c r="P2579" t="s">
        <v>665</v>
      </c>
      <c r="Q2579" t="s">
        <v>317</v>
      </c>
      <c r="R2579">
        <v>9145554562</v>
      </c>
      <c r="S2579" t="s">
        <v>318</v>
      </c>
      <c r="U2579" s="1" t="str">
        <f t="shared" si="243"/>
        <v>White Plains</v>
      </c>
      <c r="V2579" t="s">
        <v>319</v>
      </c>
      <c r="W2579" t="s">
        <v>31</v>
      </c>
      <c r="X2579">
        <v>24067</v>
      </c>
      <c r="Y2579" s="1" t="str">
        <f t="shared" si="244"/>
        <v>USA</v>
      </c>
      <c r="Z2579" s="4" t="str">
        <f t="shared" si="245"/>
        <v>Usa</v>
      </c>
      <c r="AA2579" t="s">
        <v>32</v>
      </c>
      <c r="AB2579" t="s">
        <v>33</v>
      </c>
      <c r="AC2579" t="s">
        <v>102</v>
      </c>
      <c r="AD2579" t="s">
        <v>238</v>
      </c>
      <c r="AE2579" t="s">
        <v>51</v>
      </c>
    </row>
    <row r="2580" spans="1:31" x14ac:dyDescent="0.3">
      <c r="A2580">
        <v>10316</v>
      </c>
      <c r="B2580">
        <v>23</v>
      </c>
      <c r="C2580">
        <v>100</v>
      </c>
      <c r="D2580">
        <v>6</v>
      </c>
      <c r="E2580" s="4" t="str">
        <f t="shared" si="240"/>
        <v>low sales</v>
      </c>
      <c r="F2580">
        <v>2706.41</v>
      </c>
      <c r="G2580" t="s">
        <v>3252</v>
      </c>
      <c r="H2580" s="1" t="str">
        <f t="shared" si="241"/>
        <v>Shipped</v>
      </c>
      <c r="I2580" s="4" t="str">
        <f t="shared" si="242"/>
        <v>completed</v>
      </c>
      <c r="J2580" t="s">
        <v>25</v>
      </c>
      <c r="K2580">
        <v>4</v>
      </c>
      <c r="L2580">
        <v>11</v>
      </c>
      <c r="M2580">
        <v>2004</v>
      </c>
      <c r="N2580" t="s">
        <v>566</v>
      </c>
      <c r="O2580">
        <v>99</v>
      </c>
      <c r="P2580" t="s">
        <v>665</v>
      </c>
      <c r="Q2580" t="s">
        <v>383</v>
      </c>
      <c r="R2580" t="s">
        <v>384</v>
      </c>
      <c r="S2580" t="s">
        <v>385</v>
      </c>
      <c r="U2580" s="1" t="str">
        <f t="shared" si="243"/>
        <v>Cowes</v>
      </c>
      <c r="V2580" t="s">
        <v>386</v>
      </c>
      <c r="W2580" t="s">
        <v>387</v>
      </c>
      <c r="X2580" t="s">
        <v>388</v>
      </c>
      <c r="Y2580" s="1" t="str">
        <f t="shared" si="244"/>
        <v>UK</v>
      </c>
      <c r="Z2580" s="4" t="str">
        <f t="shared" si="245"/>
        <v>Uk</v>
      </c>
      <c r="AA2580" t="s">
        <v>170</v>
      </c>
      <c r="AB2580" t="s">
        <v>42</v>
      </c>
      <c r="AC2580" t="s">
        <v>389</v>
      </c>
      <c r="AD2580" t="s">
        <v>390</v>
      </c>
      <c r="AE2580" t="s">
        <v>36</v>
      </c>
    </row>
    <row r="2581" spans="1:31" x14ac:dyDescent="0.3">
      <c r="A2581">
        <v>10328</v>
      </c>
      <c r="B2581">
        <v>37</v>
      </c>
      <c r="C2581">
        <v>100</v>
      </c>
      <c r="D2581">
        <v>10</v>
      </c>
      <c r="E2581" s="4" t="str">
        <f t="shared" si="240"/>
        <v>high sales</v>
      </c>
      <c r="F2581">
        <v>4021.53</v>
      </c>
      <c r="G2581" t="s">
        <v>3253</v>
      </c>
      <c r="H2581" s="1" t="str">
        <f t="shared" si="241"/>
        <v>Shipped</v>
      </c>
      <c r="I2581" s="4" t="str">
        <f t="shared" si="242"/>
        <v>completed</v>
      </c>
      <c r="J2581" t="s">
        <v>25</v>
      </c>
      <c r="K2581">
        <v>4</v>
      </c>
      <c r="L2581">
        <v>11</v>
      </c>
      <c r="M2581">
        <v>2004</v>
      </c>
      <c r="N2581" t="s">
        <v>566</v>
      </c>
      <c r="O2581">
        <v>99</v>
      </c>
      <c r="P2581" t="s">
        <v>665</v>
      </c>
      <c r="Q2581" t="s">
        <v>552</v>
      </c>
      <c r="R2581" t="s">
        <v>553</v>
      </c>
      <c r="S2581" t="s">
        <v>554</v>
      </c>
      <c r="U2581" s="1" t="str">
        <f t="shared" si="243"/>
        <v>Bergamo</v>
      </c>
      <c r="V2581" t="s">
        <v>555</v>
      </c>
      <c r="X2581">
        <v>24100</v>
      </c>
      <c r="Y2581" s="1" t="str">
        <f t="shared" si="244"/>
        <v>ITALY</v>
      </c>
      <c r="Z2581" s="4" t="str">
        <f t="shared" si="245"/>
        <v>Italy</v>
      </c>
      <c r="AA2581" t="s">
        <v>258</v>
      </c>
      <c r="AB2581" t="s">
        <v>42</v>
      </c>
      <c r="AC2581" t="s">
        <v>556</v>
      </c>
      <c r="AD2581" t="s">
        <v>557</v>
      </c>
      <c r="AE2581" t="s">
        <v>51</v>
      </c>
    </row>
    <row r="2582" spans="1:31" x14ac:dyDescent="0.3">
      <c r="A2582">
        <v>10340</v>
      </c>
      <c r="B2582">
        <v>55</v>
      </c>
      <c r="C2582">
        <v>87.75</v>
      </c>
      <c r="D2582">
        <v>7</v>
      </c>
      <c r="E2582" s="4" t="str">
        <f t="shared" si="240"/>
        <v>high sales</v>
      </c>
      <c r="F2582">
        <v>4826.25</v>
      </c>
      <c r="G2582" t="s">
        <v>3254</v>
      </c>
      <c r="H2582" s="1" t="str">
        <f t="shared" si="241"/>
        <v>Shipped</v>
      </c>
      <c r="I2582" s="4" t="str">
        <f t="shared" si="242"/>
        <v>completed</v>
      </c>
      <c r="J2582" t="s">
        <v>25</v>
      </c>
      <c r="K2582">
        <v>4</v>
      </c>
      <c r="L2582">
        <v>11</v>
      </c>
      <c r="M2582">
        <v>2004</v>
      </c>
      <c r="N2582" t="s">
        <v>566</v>
      </c>
      <c r="O2582">
        <v>99</v>
      </c>
      <c r="P2582" t="s">
        <v>665</v>
      </c>
      <c r="Q2582" t="s">
        <v>352</v>
      </c>
      <c r="R2582" t="s">
        <v>353</v>
      </c>
      <c r="S2582" t="s">
        <v>354</v>
      </c>
      <c r="U2582" s="1" t="str">
        <f t="shared" si="243"/>
        <v>Barcelona</v>
      </c>
      <c r="V2582" t="s">
        <v>355</v>
      </c>
      <c r="X2582">
        <v>8022</v>
      </c>
      <c r="Y2582" s="1" t="str">
        <f t="shared" si="244"/>
        <v>SPAIN</v>
      </c>
      <c r="Z2582" s="4" t="str">
        <f t="shared" si="245"/>
        <v>Spain</v>
      </c>
      <c r="AA2582" t="s">
        <v>178</v>
      </c>
      <c r="AB2582" t="s">
        <v>42</v>
      </c>
      <c r="AC2582" t="s">
        <v>356</v>
      </c>
      <c r="AD2582" t="s">
        <v>357</v>
      </c>
      <c r="AE2582" t="s">
        <v>51</v>
      </c>
    </row>
    <row r="2583" spans="1:31" x14ac:dyDescent="0.3">
      <c r="A2583">
        <v>10352</v>
      </c>
      <c r="B2583">
        <v>49</v>
      </c>
      <c r="C2583">
        <v>100</v>
      </c>
      <c r="D2583">
        <v>2</v>
      </c>
      <c r="E2583" s="4" t="str">
        <f t="shared" si="240"/>
        <v>high sales</v>
      </c>
      <c r="F2583">
        <v>4935.28</v>
      </c>
      <c r="G2583" t="s">
        <v>3255</v>
      </c>
      <c r="H2583" s="1" t="str">
        <f t="shared" si="241"/>
        <v>Shipped</v>
      </c>
      <c r="I2583" s="4" t="str">
        <f t="shared" si="242"/>
        <v>completed</v>
      </c>
      <c r="J2583" t="s">
        <v>25</v>
      </c>
      <c r="K2583">
        <v>4</v>
      </c>
      <c r="L2583">
        <v>12</v>
      </c>
      <c r="M2583">
        <v>2004</v>
      </c>
      <c r="N2583" t="s">
        <v>566</v>
      </c>
      <c r="O2583">
        <v>99</v>
      </c>
      <c r="P2583" t="s">
        <v>665</v>
      </c>
      <c r="Q2583" t="s">
        <v>600</v>
      </c>
      <c r="R2583">
        <v>6175558428</v>
      </c>
      <c r="S2583" t="s">
        <v>601</v>
      </c>
      <c r="U2583" s="1" t="str">
        <f t="shared" si="243"/>
        <v>Brickhaven</v>
      </c>
      <c r="V2583" t="s">
        <v>283</v>
      </c>
      <c r="W2583" t="s">
        <v>123</v>
      </c>
      <c r="X2583">
        <v>58339</v>
      </c>
      <c r="Y2583" s="1" t="str">
        <f t="shared" si="244"/>
        <v>USA</v>
      </c>
      <c r="Z2583" s="4" t="str">
        <f t="shared" si="245"/>
        <v>Usa</v>
      </c>
      <c r="AA2583" t="s">
        <v>32</v>
      </c>
      <c r="AB2583" t="s">
        <v>33</v>
      </c>
      <c r="AC2583" t="s">
        <v>529</v>
      </c>
      <c r="AD2583" t="s">
        <v>245</v>
      </c>
      <c r="AE2583" t="s">
        <v>51</v>
      </c>
    </row>
    <row r="2584" spans="1:31" x14ac:dyDescent="0.3">
      <c r="A2584">
        <v>10361</v>
      </c>
      <c r="B2584">
        <v>26</v>
      </c>
      <c r="C2584">
        <v>100</v>
      </c>
      <c r="D2584">
        <v>9</v>
      </c>
      <c r="E2584" s="4" t="str">
        <f t="shared" si="240"/>
        <v>low sales</v>
      </c>
      <c r="F2584">
        <v>2754.7</v>
      </c>
      <c r="G2584" t="s">
        <v>3256</v>
      </c>
      <c r="H2584" s="1" t="str">
        <f t="shared" si="241"/>
        <v>Shipped</v>
      </c>
      <c r="I2584" s="4" t="str">
        <f t="shared" si="242"/>
        <v>completed</v>
      </c>
      <c r="J2584" t="s">
        <v>25</v>
      </c>
      <c r="K2584">
        <v>4</v>
      </c>
      <c r="L2584">
        <v>12</v>
      </c>
      <c r="M2584">
        <v>2004</v>
      </c>
      <c r="N2584" t="s">
        <v>566</v>
      </c>
      <c r="O2584">
        <v>99</v>
      </c>
      <c r="P2584" t="s">
        <v>665</v>
      </c>
      <c r="Q2584" t="s">
        <v>152</v>
      </c>
      <c r="R2584" t="s">
        <v>153</v>
      </c>
      <c r="S2584" t="s">
        <v>154</v>
      </c>
      <c r="T2584" t="s">
        <v>155</v>
      </c>
      <c r="U2584" s="1" t="str">
        <f t="shared" si="243"/>
        <v>Chatswood</v>
      </c>
      <c r="V2584" t="s">
        <v>156</v>
      </c>
      <c r="W2584" t="s">
        <v>157</v>
      </c>
      <c r="X2584">
        <v>2067</v>
      </c>
      <c r="Y2584" s="1" t="str">
        <f t="shared" si="244"/>
        <v>AUSTRALIA</v>
      </c>
      <c r="Z2584" s="4" t="str">
        <f t="shared" si="245"/>
        <v>Australia</v>
      </c>
      <c r="AA2584" t="s">
        <v>95</v>
      </c>
      <c r="AB2584" t="s">
        <v>96</v>
      </c>
      <c r="AC2584" t="s">
        <v>158</v>
      </c>
      <c r="AD2584" t="s">
        <v>159</v>
      </c>
      <c r="AE2584" t="s">
        <v>36</v>
      </c>
    </row>
    <row r="2585" spans="1:31" x14ac:dyDescent="0.3">
      <c r="A2585">
        <v>10375</v>
      </c>
      <c r="B2585">
        <v>33</v>
      </c>
      <c r="C2585">
        <v>100</v>
      </c>
      <c r="D2585">
        <v>1</v>
      </c>
      <c r="E2585" s="4" t="str">
        <f t="shared" si="240"/>
        <v>low sales</v>
      </c>
      <c r="F2585">
        <v>3856.71</v>
      </c>
      <c r="G2585" t="s">
        <v>3257</v>
      </c>
      <c r="H2585" s="1" t="str">
        <f t="shared" si="241"/>
        <v>Shipped</v>
      </c>
      <c r="I2585" s="4" t="str">
        <f t="shared" si="242"/>
        <v>completed</v>
      </c>
      <c r="J2585" t="s">
        <v>25</v>
      </c>
      <c r="K2585">
        <v>1</v>
      </c>
      <c r="L2585">
        <v>2</v>
      </c>
      <c r="M2585">
        <v>2005</v>
      </c>
      <c r="N2585" t="s">
        <v>566</v>
      </c>
      <c r="O2585">
        <v>99</v>
      </c>
      <c r="P2585" t="s">
        <v>665</v>
      </c>
      <c r="Q2585" t="s">
        <v>114</v>
      </c>
      <c r="R2585" t="s">
        <v>115</v>
      </c>
      <c r="S2585" t="s">
        <v>116</v>
      </c>
      <c r="U2585" s="1" t="str">
        <f t="shared" si="243"/>
        <v>Nantes</v>
      </c>
      <c r="V2585" t="s">
        <v>117</v>
      </c>
      <c r="X2585">
        <v>44000</v>
      </c>
      <c r="Y2585" s="1" t="str">
        <f t="shared" si="244"/>
        <v>FRANCE</v>
      </c>
      <c r="Z2585" s="4" t="str">
        <f t="shared" si="245"/>
        <v>France</v>
      </c>
      <c r="AA2585" t="s">
        <v>41</v>
      </c>
      <c r="AB2585" t="s">
        <v>42</v>
      </c>
      <c r="AC2585" t="s">
        <v>118</v>
      </c>
      <c r="AD2585" t="s">
        <v>119</v>
      </c>
      <c r="AE2585" t="s">
        <v>51</v>
      </c>
    </row>
    <row r="2586" spans="1:31" x14ac:dyDescent="0.3">
      <c r="A2586">
        <v>10386</v>
      </c>
      <c r="B2586">
        <v>37</v>
      </c>
      <c r="C2586">
        <v>83.84</v>
      </c>
      <c r="D2586">
        <v>14</v>
      </c>
      <c r="E2586" s="4" t="str">
        <f t="shared" si="240"/>
        <v>low sales</v>
      </c>
      <c r="F2586">
        <v>3102.08</v>
      </c>
      <c r="G2586" t="s">
        <v>3258</v>
      </c>
      <c r="H2586" s="1" t="str">
        <f t="shared" si="241"/>
        <v>Resolved</v>
      </c>
      <c r="I2586" s="4" t="str">
        <f t="shared" si="242"/>
        <v>not completed</v>
      </c>
      <c r="J2586" t="s">
        <v>408</v>
      </c>
      <c r="K2586">
        <v>1</v>
      </c>
      <c r="L2586">
        <v>3</v>
      </c>
      <c r="M2586">
        <v>2005</v>
      </c>
      <c r="N2586" t="s">
        <v>566</v>
      </c>
      <c r="O2586">
        <v>99</v>
      </c>
      <c r="P2586" t="s">
        <v>665</v>
      </c>
      <c r="Q2586" t="s">
        <v>174</v>
      </c>
      <c r="R2586" t="s">
        <v>175</v>
      </c>
      <c r="S2586" t="s">
        <v>176</v>
      </c>
      <c r="U2586" s="1" t="str">
        <f t="shared" si="243"/>
        <v>Madrid</v>
      </c>
      <c r="V2586" t="s">
        <v>177</v>
      </c>
      <c r="X2586">
        <v>28034</v>
      </c>
      <c r="Y2586" s="1" t="str">
        <f t="shared" si="244"/>
        <v>SPAIN</v>
      </c>
      <c r="Z2586" s="4" t="str">
        <f t="shared" si="245"/>
        <v>Spain</v>
      </c>
      <c r="AA2586" t="s">
        <v>178</v>
      </c>
      <c r="AB2586" t="s">
        <v>42</v>
      </c>
      <c r="AC2586" t="s">
        <v>179</v>
      </c>
      <c r="AD2586" t="s">
        <v>180</v>
      </c>
      <c r="AE2586" t="s">
        <v>51</v>
      </c>
    </row>
    <row r="2587" spans="1:31" x14ac:dyDescent="0.3">
      <c r="A2587">
        <v>10398</v>
      </c>
      <c r="B2587">
        <v>22</v>
      </c>
      <c r="C2587">
        <v>86.76</v>
      </c>
      <c r="D2587">
        <v>8</v>
      </c>
      <c r="E2587" s="4" t="str">
        <f t="shared" si="240"/>
        <v>low sales</v>
      </c>
      <c r="F2587">
        <v>1908.72</v>
      </c>
      <c r="G2587" t="s">
        <v>3259</v>
      </c>
      <c r="H2587" s="1" t="str">
        <f t="shared" si="241"/>
        <v>Shipped</v>
      </c>
      <c r="I2587" s="4" t="str">
        <f t="shared" si="242"/>
        <v>completed</v>
      </c>
      <c r="J2587" t="s">
        <v>25</v>
      </c>
      <c r="K2587">
        <v>1</v>
      </c>
      <c r="L2587">
        <v>3</v>
      </c>
      <c r="M2587">
        <v>2005</v>
      </c>
      <c r="N2587" t="s">
        <v>566</v>
      </c>
      <c r="O2587">
        <v>99</v>
      </c>
      <c r="P2587" t="s">
        <v>665</v>
      </c>
      <c r="Q2587" t="s">
        <v>37</v>
      </c>
      <c r="R2587" t="s">
        <v>38</v>
      </c>
      <c r="S2587" t="s">
        <v>39</v>
      </c>
      <c r="U2587" s="1" t="str">
        <f t="shared" si="243"/>
        <v>Reims</v>
      </c>
      <c r="V2587" t="s">
        <v>40</v>
      </c>
      <c r="X2587">
        <v>51100</v>
      </c>
      <c r="Y2587" s="1" t="str">
        <f t="shared" si="244"/>
        <v>FRANCE</v>
      </c>
      <c r="Z2587" s="4" t="str">
        <f t="shared" si="245"/>
        <v>France</v>
      </c>
      <c r="AA2587" t="s">
        <v>41</v>
      </c>
      <c r="AB2587" t="s">
        <v>42</v>
      </c>
      <c r="AC2587" t="s">
        <v>43</v>
      </c>
      <c r="AD2587" t="s">
        <v>44</v>
      </c>
      <c r="AE2587" t="s">
        <v>36</v>
      </c>
    </row>
    <row r="2588" spans="1:31" x14ac:dyDescent="0.3">
      <c r="A2588">
        <v>10401</v>
      </c>
      <c r="B2588">
        <v>85</v>
      </c>
      <c r="C2588">
        <v>88.75</v>
      </c>
      <c r="D2588">
        <v>10</v>
      </c>
      <c r="E2588" s="4" t="str">
        <f t="shared" si="240"/>
        <v>high sales</v>
      </c>
      <c r="F2588">
        <v>7543.75</v>
      </c>
      <c r="G2588" t="s">
        <v>3260</v>
      </c>
      <c r="H2588" s="1" t="str">
        <f t="shared" si="241"/>
        <v>On Hold</v>
      </c>
      <c r="I2588" s="4" t="str">
        <f t="shared" si="242"/>
        <v>not completed</v>
      </c>
      <c r="J2588" t="s">
        <v>401</v>
      </c>
      <c r="K2588">
        <v>2</v>
      </c>
      <c r="L2588">
        <v>4</v>
      </c>
      <c r="M2588">
        <v>2005</v>
      </c>
      <c r="N2588" t="s">
        <v>566</v>
      </c>
      <c r="O2588">
        <v>99</v>
      </c>
      <c r="P2588" t="s">
        <v>665</v>
      </c>
      <c r="Q2588" t="s">
        <v>104</v>
      </c>
      <c r="R2588">
        <v>2015559350</v>
      </c>
      <c r="S2588" t="s">
        <v>105</v>
      </c>
      <c r="U2588" s="1" t="str">
        <f t="shared" si="243"/>
        <v>Newark</v>
      </c>
      <c r="V2588" t="s">
        <v>106</v>
      </c>
      <c r="W2588" t="s">
        <v>107</v>
      </c>
      <c r="X2588">
        <v>94019</v>
      </c>
      <c r="Y2588" s="1" t="str">
        <f t="shared" si="244"/>
        <v>USA</v>
      </c>
      <c r="Z2588" s="4" t="str">
        <f t="shared" si="245"/>
        <v>Usa</v>
      </c>
      <c r="AA2588" t="s">
        <v>32</v>
      </c>
      <c r="AB2588" t="s">
        <v>33</v>
      </c>
      <c r="AC2588" t="s">
        <v>61</v>
      </c>
      <c r="AD2588" t="s">
        <v>108</v>
      </c>
      <c r="AE2588" t="s">
        <v>151</v>
      </c>
    </row>
    <row r="2589" spans="1:31" x14ac:dyDescent="0.3">
      <c r="A2589">
        <v>10416</v>
      </c>
      <c r="B2589">
        <v>22</v>
      </c>
      <c r="C2589">
        <v>100</v>
      </c>
      <c r="D2589">
        <v>11</v>
      </c>
      <c r="E2589" s="4" t="str">
        <f t="shared" si="240"/>
        <v>low sales</v>
      </c>
      <c r="F2589">
        <v>2457.1799999999998</v>
      </c>
      <c r="G2589" t="s">
        <v>3261</v>
      </c>
      <c r="H2589" s="1" t="str">
        <f t="shared" si="241"/>
        <v>Shipped</v>
      </c>
      <c r="I2589" s="4" t="str">
        <f t="shared" si="242"/>
        <v>completed</v>
      </c>
      <c r="J2589" t="s">
        <v>25</v>
      </c>
      <c r="K2589">
        <v>2</v>
      </c>
      <c r="L2589">
        <v>5</v>
      </c>
      <c r="M2589">
        <v>2005</v>
      </c>
      <c r="N2589" t="s">
        <v>566</v>
      </c>
      <c r="O2589">
        <v>99</v>
      </c>
      <c r="P2589" t="s">
        <v>665</v>
      </c>
      <c r="Q2589" t="s">
        <v>452</v>
      </c>
      <c r="R2589" t="s">
        <v>453</v>
      </c>
      <c r="S2589" t="s">
        <v>454</v>
      </c>
      <c r="U2589" s="1" t="str">
        <f t="shared" si="243"/>
        <v>Reggio Emilia</v>
      </c>
      <c r="V2589" t="s">
        <v>455</v>
      </c>
      <c r="X2589">
        <v>42100</v>
      </c>
      <c r="Y2589" s="1" t="str">
        <f t="shared" si="244"/>
        <v>ITALY</v>
      </c>
      <c r="Z2589" s="4" t="str">
        <f t="shared" si="245"/>
        <v>Italy</v>
      </c>
      <c r="AA2589" t="s">
        <v>258</v>
      </c>
      <c r="AB2589" t="s">
        <v>42</v>
      </c>
      <c r="AC2589" t="s">
        <v>456</v>
      </c>
      <c r="AD2589" t="s">
        <v>457</v>
      </c>
      <c r="AE2589" t="s">
        <v>36</v>
      </c>
    </row>
    <row r="2590" spans="1:31" x14ac:dyDescent="0.3">
      <c r="A2590">
        <v>10105</v>
      </c>
      <c r="B2590">
        <v>31</v>
      </c>
      <c r="C2590">
        <v>65.77</v>
      </c>
      <c r="D2590">
        <v>3</v>
      </c>
      <c r="E2590" s="4" t="str">
        <f t="shared" si="240"/>
        <v>low sales</v>
      </c>
      <c r="F2590">
        <v>2038.87</v>
      </c>
      <c r="G2590" t="s">
        <v>3262</v>
      </c>
      <c r="H2590" s="1" t="str">
        <f t="shared" si="241"/>
        <v>Shipped</v>
      </c>
      <c r="I2590" s="4" t="str">
        <f t="shared" si="242"/>
        <v>completed</v>
      </c>
      <c r="J2590" t="s">
        <v>25</v>
      </c>
      <c r="K2590">
        <v>1</v>
      </c>
      <c r="L2590">
        <v>2</v>
      </c>
      <c r="M2590">
        <v>2003</v>
      </c>
      <c r="N2590" t="s">
        <v>598</v>
      </c>
      <c r="O2590">
        <v>72</v>
      </c>
      <c r="P2590" t="s">
        <v>666</v>
      </c>
      <c r="Q2590" t="s">
        <v>322</v>
      </c>
      <c r="R2590" t="s">
        <v>323</v>
      </c>
      <c r="S2590" t="s">
        <v>324</v>
      </c>
      <c r="U2590" s="1" t="str">
        <f t="shared" si="243"/>
        <v>Kobenhavn</v>
      </c>
      <c r="V2590" t="s">
        <v>325</v>
      </c>
      <c r="X2590">
        <v>1734</v>
      </c>
      <c r="Y2590" s="1" t="str">
        <f t="shared" si="244"/>
        <v>DENMARK</v>
      </c>
      <c r="Z2590" s="4" t="str">
        <f t="shared" si="245"/>
        <v>Denmark</v>
      </c>
      <c r="AA2590" t="s">
        <v>326</v>
      </c>
      <c r="AB2590" t="s">
        <v>42</v>
      </c>
      <c r="AC2590" t="s">
        <v>327</v>
      </c>
      <c r="AD2590" t="s">
        <v>328</v>
      </c>
      <c r="AE2590" t="s">
        <v>36</v>
      </c>
    </row>
    <row r="2591" spans="1:31" x14ac:dyDescent="0.3">
      <c r="A2591">
        <v>10119</v>
      </c>
      <c r="B2591">
        <v>38</v>
      </c>
      <c r="C2591">
        <v>65.77</v>
      </c>
      <c r="D2591">
        <v>12</v>
      </c>
      <c r="E2591" s="4" t="str">
        <f t="shared" si="240"/>
        <v>low sales</v>
      </c>
      <c r="F2591">
        <v>2499.2600000000002</v>
      </c>
      <c r="G2591" t="s">
        <v>3263</v>
      </c>
      <c r="H2591" s="1" t="str">
        <f t="shared" si="241"/>
        <v>Shipped</v>
      </c>
      <c r="I2591" s="4" t="str">
        <f t="shared" si="242"/>
        <v>completed</v>
      </c>
      <c r="J2591" t="s">
        <v>25</v>
      </c>
      <c r="K2591">
        <v>2</v>
      </c>
      <c r="L2591">
        <v>4</v>
      </c>
      <c r="M2591">
        <v>2003</v>
      </c>
      <c r="N2591" t="s">
        <v>598</v>
      </c>
      <c r="O2591">
        <v>72</v>
      </c>
      <c r="P2591" t="s">
        <v>666</v>
      </c>
      <c r="Q2591" t="s">
        <v>144</v>
      </c>
      <c r="R2591" t="s">
        <v>145</v>
      </c>
      <c r="S2591" t="s">
        <v>146</v>
      </c>
      <c r="U2591" s="1" t="str">
        <f t="shared" si="243"/>
        <v>Salzburg</v>
      </c>
      <c r="V2591" t="s">
        <v>147</v>
      </c>
      <c r="X2591">
        <v>5020</v>
      </c>
      <c r="Y2591" s="1" t="str">
        <f t="shared" si="244"/>
        <v>AUSTRIA</v>
      </c>
      <c r="Z2591" s="4" t="str">
        <f t="shared" si="245"/>
        <v>Austria</v>
      </c>
      <c r="AA2591" t="s">
        <v>148</v>
      </c>
      <c r="AB2591" t="s">
        <v>42</v>
      </c>
      <c r="AC2591" t="s">
        <v>149</v>
      </c>
      <c r="AD2591" t="s">
        <v>150</v>
      </c>
      <c r="AE2591" t="s">
        <v>36</v>
      </c>
    </row>
    <row r="2592" spans="1:31" x14ac:dyDescent="0.3">
      <c r="A2592">
        <v>10129</v>
      </c>
      <c r="B2592">
        <v>45</v>
      </c>
      <c r="C2592">
        <v>85.29</v>
      </c>
      <c r="D2592">
        <v>3</v>
      </c>
      <c r="E2592" s="4" t="str">
        <f t="shared" si="240"/>
        <v>low sales</v>
      </c>
      <c r="F2592">
        <v>3838.05</v>
      </c>
      <c r="G2592" t="s">
        <v>3264</v>
      </c>
      <c r="H2592" s="1" t="str">
        <f t="shared" si="241"/>
        <v>Shipped</v>
      </c>
      <c r="I2592" s="4" t="str">
        <f t="shared" si="242"/>
        <v>completed</v>
      </c>
      <c r="J2592" t="s">
        <v>25</v>
      </c>
      <c r="K2592">
        <v>2</v>
      </c>
      <c r="L2592">
        <v>6</v>
      </c>
      <c r="M2592">
        <v>2003</v>
      </c>
      <c r="N2592" t="s">
        <v>598</v>
      </c>
      <c r="O2592">
        <v>72</v>
      </c>
      <c r="P2592" t="s">
        <v>666</v>
      </c>
      <c r="Q2592" t="s">
        <v>329</v>
      </c>
      <c r="R2592" t="s">
        <v>330</v>
      </c>
      <c r="S2592" t="s">
        <v>331</v>
      </c>
      <c r="U2592" s="1" t="str">
        <f t="shared" si="243"/>
        <v>London</v>
      </c>
      <c r="V2592" t="s">
        <v>332</v>
      </c>
      <c r="X2592" t="s">
        <v>333</v>
      </c>
      <c r="Y2592" s="1" t="str">
        <f t="shared" si="244"/>
        <v>UK</v>
      </c>
      <c r="Z2592" s="4" t="str">
        <f t="shared" si="245"/>
        <v>Uk</v>
      </c>
      <c r="AA2592" t="s">
        <v>170</v>
      </c>
      <c r="AB2592" t="s">
        <v>42</v>
      </c>
      <c r="AC2592" t="s">
        <v>61</v>
      </c>
      <c r="AD2592" t="s">
        <v>334</v>
      </c>
      <c r="AE2592" t="s">
        <v>51</v>
      </c>
    </row>
    <row r="2593" spans="1:31" x14ac:dyDescent="0.3">
      <c r="A2593">
        <v>10143</v>
      </c>
      <c r="B2593">
        <v>31</v>
      </c>
      <c r="C2593">
        <v>85.29</v>
      </c>
      <c r="D2593">
        <v>16</v>
      </c>
      <c r="E2593" s="4" t="str">
        <f t="shared" si="240"/>
        <v>low sales</v>
      </c>
      <c r="F2593">
        <v>2643.99</v>
      </c>
      <c r="G2593" t="s">
        <v>3265</v>
      </c>
      <c r="H2593" s="1" t="str">
        <f t="shared" si="241"/>
        <v>Shipped</v>
      </c>
      <c r="I2593" s="4" t="str">
        <f t="shared" si="242"/>
        <v>completed</v>
      </c>
      <c r="J2593" t="s">
        <v>25</v>
      </c>
      <c r="K2593">
        <v>3</v>
      </c>
      <c r="L2593">
        <v>8</v>
      </c>
      <c r="M2593">
        <v>2003</v>
      </c>
      <c r="N2593" t="s">
        <v>598</v>
      </c>
      <c r="O2593">
        <v>72</v>
      </c>
      <c r="P2593" t="s">
        <v>666</v>
      </c>
      <c r="Q2593" t="s">
        <v>335</v>
      </c>
      <c r="R2593">
        <v>5085559555</v>
      </c>
      <c r="S2593" t="s">
        <v>336</v>
      </c>
      <c r="U2593" s="1" t="str">
        <f t="shared" si="243"/>
        <v>New Bedford</v>
      </c>
      <c r="V2593" t="s">
        <v>162</v>
      </c>
      <c r="W2593" t="s">
        <v>123</v>
      </c>
      <c r="X2593">
        <v>50553</v>
      </c>
      <c r="Y2593" s="1" t="str">
        <f t="shared" si="244"/>
        <v>USA</v>
      </c>
      <c r="Z2593" s="4" t="str">
        <f t="shared" si="245"/>
        <v>Usa</v>
      </c>
      <c r="AA2593" t="s">
        <v>32</v>
      </c>
      <c r="AB2593" t="s">
        <v>33</v>
      </c>
      <c r="AC2593" t="s">
        <v>337</v>
      </c>
      <c r="AD2593" t="s">
        <v>338</v>
      </c>
      <c r="AE2593" t="s">
        <v>36</v>
      </c>
    </row>
    <row r="2594" spans="1:31" x14ac:dyDescent="0.3">
      <c r="A2594">
        <v>10154</v>
      </c>
      <c r="B2594">
        <v>36</v>
      </c>
      <c r="C2594">
        <v>64.33</v>
      </c>
      <c r="D2594">
        <v>1</v>
      </c>
      <c r="E2594" s="4" t="str">
        <f t="shared" si="240"/>
        <v>low sales</v>
      </c>
      <c r="F2594">
        <v>2315.88</v>
      </c>
      <c r="G2594" t="s">
        <v>3266</v>
      </c>
      <c r="H2594" s="1" t="str">
        <f t="shared" si="241"/>
        <v>Shipped</v>
      </c>
      <c r="I2594" s="4" t="str">
        <f t="shared" si="242"/>
        <v>completed</v>
      </c>
      <c r="J2594" t="s">
        <v>25</v>
      </c>
      <c r="K2594">
        <v>4</v>
      </c>
      <c r="L2594">
        <v>10</v>
      </c>
      <c r="M2594">
        <v>2003</v>
      </c>
      <c r="N2594" t="s">
        <v>598</v>
      </c>
      <c r="O2594">
        <v>72</v>
      </c>
      <c r="P2594" t="s">
        <v>666</v>
      </c>
      <c r="Q2594" t="s">
        <v>514</v>
      </c>
      <c r="R2594">
        <v>3105552373</v>
      </c>
      <c r="S2594" t="s">
        <v>515</v>
      </c>
      <c r="U2594" s="1" t="str">
        <f t="shared" si="243"/>
        <v>Glendale</v>
      </c>
      <c r="V2594" t="s">
        <v>516</v>
      </c>
      <c r="W2594" t="s">
        <v>55</v>
      </c>
      <c r="X2594">
        <v>92561</v>
      </c>
      <c r="Y2594" s="1" t="str">
        <f t="shared" si="244"/>
        <v>USA</v>
      </c>
      <c r="Z2594" s="4" t="str">
        <f t="shared" si="245"/>
        <v>Usa</v>
      </c>
      <c r="AA2594" t="s">
        <v>32</v>
      </c>
      <c r="AB2594" t="s">
        <v>33</v>
      </c>
      <c r="AC2594" t="s">
        <v>56</v>
      </c>
      <c r="AD2594" t="s">
        <v>245</v>
      </c>
      <c r="AE2594" t="s">
        <v>36</v>
      </c>
    </row>
    <row r="2595" spans="1:31" x14ac:dyDescent="0.3">
      <c r="A2595">
        <v>10167</v>
      </c>
      <c r="B2595">
        <v>46</v>
      </c>
      <c r="C2595">
        <v>70.11</v>
      </c>
      <c r="D2595">
        <v>10</v>
      </c>
      <c r="E2595" s="4" t="str">
        <f t="shared" si="240"/>
        <v>low sales</v>
      </c>
      <c r="F2595">
        <v>3225.06</v>
      </c>
      <c r="G2595" t="s">
        <v>3267</v>
      </c>
      <c r="H2595" s="1" t="str">
        <f t="shared" si="241"/>
        <v>Cancelled</v>
      </c>
      <c r="I2595" s="4" t="str">
        <f t="shared" si="242"/>
        <v>not completed</v>
      </c>
      <c r="J2595" t="s">
        <v>339</v>
      </c>
      <c r="K2595">
        <v>4</v>
      </c>
      <c r="L2595">
        <v>10</v>
      </c>
      <c r="M2595">
        <v>2003</v>
      </c>
      <c r="N2595" t="s">
        <v>598</v>
      </c>
      <c r="O2595">
        <v>72</v>
      </c>
      <c r="P2595" t="s">
        <v>666</v>
      </c>
      <c r="Q2595" t="s">
        <v>261</v>
      </c>
      <c r="R2595" t="s">
        <v>262</v>
      </c>
      <c r="S2595" t="s">
        <v>263</v>
      </c>
      <c r="U2595" s="1" t="str">
        <f t="shared" si="243"/>
        <v>Boras</v>
      </c>
      <c r="V2595" t="s">
        <v>264</v>
      </c>
      <c r="X2595" t="s">
        <v>265</v>
      </c>
      <c r="Y2595" s="1" t="str">
        <f t="shared" si="244"/>
        <v>SWEDEN</v>
      </c>
      <c r="Z2595" s="4" t="str">
        <f t="shared" si="245"/>
        <v>Sweden</v>
      </c>
      <c r="AA2595" t="s">
        <v>188</v>
      </c>
      <c r="AB2595" t="s">
        <v>42</v>
      </c>
      <c r="AC2595" t="s">
        <v>266</v>
      </c>
      <c r="AD2595" t="s">
        <v>206</v>
      </c>
      <c r="AE2595" t="s">
        <v>51</v>
      </c>
    </row>
    <row r="2596" spans="1:31" x14ac:dyDescent="0.3">
      <c r="A2596">
        <v>10177</v>
      </c>
      <c r="B2596">
        <v>32</v>
      </c>
      <c r="C2596">
        <v>76.62</v>
      </c>
      <c r="D2596">
        <v>1</v>
      </c>
      <c r="E2596" s="4" t="str">
        <f t="shared" si="240"/>
        <v>low sales</v>
      </c>
      <c r="F2596">
        <v>2451.84</v>
      </c>
      <c r="G2596" t="s">
        <v>3268</v>
      </c>
      <c r="H2596" s="1" t="str">
        <f t="shared" si="241"/>
        <v>Shipped</v>
      </c>
      <c r="I2596" s="4" t="str">
        <f t="shared" si="242"/>
        <v>completed</v>
      </c>
      <c r="J2596" t="s">
        <v>25</v>
      </c>
      <c r="K2596">
        <v>4</v>
      </c>
      <c r="L2596">
        <v>11</v>
      </c>
      <c r="M2596">
        <v>2003</v>
      </c>
      <c r="N2596" t="s">
        <v>598</v>
      </c>
      <c r="O2596">
        <v>72</v>
      </c>
      <c r="P2596" t="s">
        <v>666</v>
      </c>
      <c r="Q2596" t="s">
        <v>487</v>
      </c>
      <c r="R2596" t="s">
        <v>488</v>
      </c>
      <c r="S2596" t="s">
        <v>489</v>
      </c>
      <c r="U2596" s="1" t="str">
        <f t="shared" si="243"/>
        <v>Madrid</v>
      </c>
      <c r="V2596" t="s">
        <v>177</v>
      </c>
      <c r="X2596">
        <v>28023</v>
      </c>
      <c r="Y2596" s="1" t="str">
        <f t="shared" si="244"/>
        <v>SPAIN</v>
      </c>
      <c r="Z2596" s="4" t="str">
        <f t="shared" si="245"/>
        <v>Spain</v>
      </c>
      <c r="AA2596" t="s">
        <v>178</v>
      </c>
      <c r="AB2596" t="s">
        <v>42</v>
      </c>
      <c r="AC2596" t="s">
        <v>490</v>
      </c>
      <c r="AD2596" t="s">
        <v>491</v>
      </c>
      <c r="AE2596" t="s">
        <v>36</v>
      </c>
    </row>
    <row r="2597" spans="1:31" x14ac:dyDescent="0.3">
      <c r="A2597">
        <v>10185</v>
      </c>
      <c r="B2597">
        <v>39</v>
      </c>
      <c r="C2597">
        <v>57.82</v>
      </c>
      <c r="D2597">
        <v>1</v>
      </c>
      <c r="E2597" s="4" t="str">
        <f t="shared" si="240"/>
        <v>low sales</v>
      </c>
      <c r="F2597">
        <v>2254.98</v>
      </c>
      <c r="G2597" t="s">
        <v>3269</v>
      </c>
      <c r="H2597" s="1" t="str">
        <f t="shared" si="241"/>
        <v>Shipped</v>
      </c>
      <c r="I2597" s="4" t="str">
        <f t="shared" si="242"/>
        <v>completed</v>
      </c>
      <c r="J2597" t="s">
        <v>25</v>
      </c>
      <c r="K2597">
        <v>4</v>
      </c>
      <c r="L2597">
        <v>11</v>
      </c>
      <c r="M2597">
        <v>2003</v>
      </c>
      <c r="N2597" t="s">
        <v>598</v>
      </c>
      <c r="O2597">
        <v>72</v>
      </c>
      <c r="P2597" t="s">
        <v>666</v>
      </c>
      <c r="Q2597" t="s">
        <v>335</v>
      </c>
      <c r="R2597">
        <v>5085559555</v>
      </c>
      <c r="S2597" t="s">
        <v>336</v>
      </c>
      <c r="U2597" s="1" t="str">
        <f t="shared" si="243"/>
        <v>New Bedford</v>
      </c>
      <c r="V2597" t="s">
        <v>162</v>
      </c>
      <c r="W2597" t="s">
        <v>123</v>
      </c>
      <c r="X2597">
        <v>50553</v>
      </c>
      <c r="Y2597" s="1" t="str">
        <f t="shared" si="244"/>
        <v>USA</v>
      </c>
      <c r="Z2597" s="4" t="str">
        <f t="shared" si="245"/>
        <v>Usa</v>
      </c>
      <c r="AA2597" t="s">
        <v>32</v>
      </c>
      <c r="AB2597" t="s">
        <v>33</v>
      </c>
      <c r="AC2597" t="s">
        <v>337</v>
      </c>
      <c r="AD2597" t="s">
        <v>338</v>
      </c>
      <c r="AE2597" t="s">
        <v>36</v>
      </c>
    </row>
    <row r="2598" spans="1:31" x14ac:dyDescent="0.3">
      <c r="A2598">
        <v>10197</v>
      </c>
      <c r="B2598">
        <v>50</v>
      </c>
      <c r="C2598">
        <v>78.790000000000006</v>
      </c>
      <c r="D2598">
        <v>7</v>
      </c>
      <c r="E2598" s="4" t="str">
        <f t="shared" si="240"/>
        <v>low sales</v>
      </c>
      <c r="F2598">
        <v>3939.5</v>
      </c>
      <c r="G2598" t="s">
        <v>3270</v>
      </c>
      <c r="H2598" s="1" t="str">
        <f t="shared" si="241"/>
        <v>Shipped</v>
      </c>
      <c r="I2598" s="4" t="str">
        <f t="shared" si="242"/>
        <v>completed</v>
      </c>
      <c r="J2598" t="s">
        <v>25</v>
      </c>
      <c r="K2598">
        <v>4</v>
      </c>
      <c r="L2598">
        <v>11</v>
      </c>
      <c r="M2598">
        <v>2003</v>
      </c>
      <c r="N2598" t="s">
        <v>598</v>
      </c>
      <c r="O2598">
        <v>72</v>
      </c>
      <c r="P2598" t="s">
        <v>666</v>
      </c>
      <c r="Q2598" t="s">
        <v>352</v>
      </c>
      <c r="R2598" t="s">
        <v>353</v>
      </c>
      <c r="S2598" t="s">
        <v>354</v>
      </c>
      <c r="U2598" s="1" t="str">
        <f t="shared" si="243"/>
        <v>Barcelona</v>
      </c>
      <c r="V2598" t="s">
        <v>355</v>
      </c>
      <c r="X2598">
        <v>8022</v>
      </c>
      <c r="Y2598" s="1" t="str">
        <f t="shared" si="244"/>
        <v>SPAIN</v>
      </c>
      <c r="Z2598" s="4" t="str">
        <f t="shared" si="245"/>
        <v>Spain</v>
      </c>
      <c r="AA2598" t="s">
        <v>178</v>
      </c>
      <c r="AB2598" t="s">
        <v>42</v>
      </c>
      <c r="AC2598" t="s">
        <v>356</v>
      </c>
      <c r="AD2598" t="s">
        <v>357</v>
      </c>
      <c r="AE2598" t="s">
        <v>51</v>
      </c>
    </row>
    <row r="2599" spans="1:31" x14ac:dyDescent="0.3">
      <c r="A2599">
        <v>10208</v>
      </c>
      <c r="B2599">
        <v>46</v>
      </c>
      <c r="C2599">
        <v>74.45</v>
      </c>
      <c r="D2599">
        <v>1</v>
      </c>
      <c r="E2599" s="4" t="str">
        <f t="shared" si="240"/>
        <v>low sales</v>
      </c>
      <c r="F2599">
        <v>3424.7</v>
      </c>
      <c r="G2599" t="s">
        <v>3271</v>
      </c>
      <c r="H2599" s="1" t="str">
        <f t="shared" si="241"/>
        <v>Shipped</v>
      </c>
      <c r="I2599" s="4" t="str">
        <f t="shared" si="242"/>
        <v>completed</v>
      </c>
      <c r="J2599" t="s">
        <v>25</v>
      </c>
      <c r="K2599">
        <v>1</v>
      </c>
      <c r="L2599">
        <v>1</v>
      </c>
      <c r="M2599">
        <v>2004</v>
      </c>
      <c r="N2599" t="s">
        <v>598</v>
      </c>
      <c r="O2599">
        <v>72</v>
      </c>
      <c r="P2599" t="s">
        <v>666</v>
      </c>
      <c r="Q2599" t="s">
        <v>219</v>
      </c>
      <c r="R2599" t="s">
        <v>220</v>
      </c>
      <c r="S2599" t="s">
        <v>221</v>
      </c>
      <c r="U2599" s="1" t="str">
        <f t="shared" si="243"/>
        <v>Lyon</v>
      </c>
      <c r="V2599" t="s">
        <v>222</v>
      </c>
      <c r="X2599">
        <v>69004</v>
      </c>
      <c r="Y2599" s="1" t="str">
        <f t="shared" si="244"/>
        <v>FRANCE</v>
      </c>
      <c r="Z2599" s="4" t="str">
        <f t="shared" si="245"/>
        <v>France</v>
      </c>
      <c r="AA2599" t="s">
        <v>41</v>
      </c>
      <c r="AB2599" t="s">
        <v>42</v>
      </c>
      <c r="AC2599" t="s">
        <v>223</v>
      </c>
      <c r="AD2599" t="s">
        <v>224</v>
      </c>
      <c r="AE2599" t="s">
        <v>51</v>
      </c>
    </row>
    <row r="2600" spans="1:31" x14ac:dyDescent="0.3">
      <c r="A2600">
        <v>10222</v>
      </c>
      <c r="B2600">
        <v>36</v>
      </c>
      <c r="C2600">
        <v>80.95</v>
      </c>
      <c r="D2600">
        <v>13</v>
      </c>
      <c r="E2600" s="4" t="str">
        <f t="shared" si="240"/>
        <v>low sales</v>
      </c>
      <c r="F2600">
        <v>2914.2</v>
      </c>
      <c r="G2600" t="s">
        <v>3272</v>
      </c>
      <c r="H2600" s="1" t="str">
        <f t="shared" si="241"/>
        <v>Shipped</v>
      </c>
      <c r="I2600" s="4" t="str">
        <f t="shared" si="242"/>
        <v>completed</v>
      </c>
      <c r="J2600" t="s">
        <v>25</v>
      </c>
      <c r="K2600">
        <v>1</v>
      </c>
      <c r="L2600">
        <v>2</v>
      </c>
      <c r="M2600">
        <v>2004</v>
      </c>
      <c r="N2600" t="s">
        <v>598</v>
      </c>
      <c r="O2600">
        <v>72</v>
      </c>
      <c r="P2600" t="s">
        <v>666</v>
      </c>
      <c r="Q2600" t="s">
        <v>362</v>
      </c>
      <c r="R2600">
        <v>7605558146</v>
      </c>
      <c r="S2600" t="s">
        <v>363</v>
      </c>
      <c r="U2600" s="1" t="str">
        <f t="shared" si="243"/>
        <v>San Diego</v>
      </c>
      <c r="V2600" t="s">
        <v>364</v>
      </c>
      <c r="W2600" t="s">
        <v>55</v>
      </c>
      <c r="X2600">
        <v>91217</v>
      </c>
      <c r="Y2600" s="1" t="str">
        <f t="shared" si="244"/>
        <v>USA</v>
      </c>
      <c r="Z2600" s="4" t="str">
        <f t="shared" si="245"/>
        <v>Usa</v>
      </c>
      <c r="AA2600" t="s">
        <v>32</v>
      </c>
      <c r="AB2600" t="s">
        <v>33</v>
      </c>
      <c r="AC2600" t="s">
        <v>237</v>
      </c>
      <c r="AD2600" t="s">
        <v>276</v>
      </c>
      <c r="AE2600" t="s">
        <v>36</v>
      </c>
    </row>
    <row r="2601" spans="1:31" x14ac:dyDescent="0.3">
      <c r="A2601">
        <v>10233</v>
      </c>
      <c r="B2601">
        <v>29</v>
      </c>
      <c r="C2601">
        <v>82.4</v>
      </c>
      <c r="D2601">
        <v>1</v>
      </c>
      <c r="E2601" s="4" t="str">
        <f t="shared" si="240"/>
        <v>low sales</v>
      </c>
      <c r="F2601">
        <v>2389.6</v>
      </c>
      <c r="G2601" t="s">
        <v>3273</v>
      </c>
      <c r="H2601" s="1" t="str">
        <f t="shared" si="241"/>
        <v>Shipped</v>
      </c>
      <c r="I2601" s="4" t="str">
        <f t="shared" si="242"/>
        <v>completed</v>
      </c>
      <c r="J2601" t="s">
        <v>25</v>
      </c>
      <c r="K2601">
        <v>1</v>
      </c>
      <c r="L2601">
        <v>3</v>
      </c>
      <c r="M2601">
        <v>2004</v>
      </c>
      <c r="N2601" t="s">
        <v>598</v>
      </c>
      <c r="O2601">
        <v>72</v>
      </c>
      <c r="P2601" t="s">
        <v>666</v>
      </c>
      <c r="Q2601" t="s">
        <v>104</v>
      </c>
      <c r="R2601">
        <v>2015559350</v>
      </c>
      <c r="S2601" t="s">
        <v>105</v>
      </c>
      <c r="U2601" s="1" t="str">
        <f t="shared" si="243"/>
        <v>Newark</v>
      </c>
      <c r="V2601" t="s">
        <v>106</v>
      </c>
      <c r="W2601" t="s">
        <v>107</v>
      </c>
      <c r="X2601">
        <v>94019</v>
      </c>
      <c r="Y2601" s="1" t="str">
        <f t="shared" si="244"/>
        <v>USA</v>
      </c>
      <c r="Z2601" s="4" t="str">
        <f t="shared" si="245"/>
        <v>Usa</v>
      </c>
      <c r="AA2601" t="s">
        <v>32</v>
      </c>
      <c r="AB2601" t="s">
        <v>33</v>
      </c>
      <c r="AC2601" t="s">
        <v>61</v>
      </c>
      <c r="AD2601" t="s">
        <v>108</v>
      </c>
      <c r="AE2601" t="s">
        <v>36</v>
      </c>
    </row>
    <row r="2602" spans="1:31" x14ac:dyDescent="0.3">
      <c r="A2602">
        <v>10248</v>
      </c>
      <c r="B2602">
        <v>32</v>
      </c>
      <c r="C2602">
        <v>75.89</v>
      </c>
      <c r="D2602">
        <v>4</v>
      </c>
      <c r="E2602" s="4" t="str">
        <f t="shared" si="240"/>
        <v>low sales</v>
      </c>
      <c r="F2602">
        <v>2428.48</v>
      </c>
      <c r="G2602" t="s">
        <v>3274</v>
      </c>
      <c r="H2602" s="1" t="str">
        <f t="shared" si="241"/>
        <v>Cancelled</v>
      </c>
      <c r="I2602" s="4" t="str">
        <f t="shared" si="242"/>
        <v>not completed</v>
      </c>
      <c r="J2602" t="s">
        <v>339</v>
      </c>
      <c r="K2602">
        <v>2</v>
      </c>
      <c r="L2602">
        <v>5</v>
      </c>
      <c r="M2602">
        <v>2004</v>
      </c>
      <c r="N2602" t="s">
        <v>598</v>
      </c>
      <c r="O2602">
        <v>72</v>
      </c>
      <c r="P2602" t="s">
        <v>666</v>
      </c>
      <c r="Q2602" t="s">
        <v>28</v>
      </c>
      <c r="R2602">
        <v>2125557818</v>
      </c>
      <c r="S2602" t="s">
        <v>29</v>
      </c>
      <c r="U2602" s="1" t="str">
        <f t="shared" si="243"/>
        <v>Nyc</v>
      </c>
      <c r="V2602" t="s">
        <v>30</v>
      </c>
      <c r="W2602" t="s">
        <v>31</v>
      </c>
      <c r="X2602">
        <v>10022</v>
      </c>
      <c r="Y2602" s="1" t="str">
        <f t="shared" si="244"/>
        <v>USA</v>
      </c>
      <c r="Z2602" s="4" t="str">
        <f t="shared" si="245"/>
        <v>Usa</v>
      </c>
      <c r="AA2602" t="s">
        <v>32</v>
      </c>
      <c r="AB2602" t="s">
        <v>33</v>
      </c>
      <c r="AC2602" t="s">
        <v>34</v>
      </c>
      <c r="AD2602" t="s">
        <v>35</v>
      </c>
      <c r="AE2602" t="s">
        <v>36</v>
      </c>
    </row>
    <row r="2603" spans="1:31" x14ac:dyDescent="0.3">
      <c r="A2603">
        <v>10261</v>
      </c>
      <c r="B2603">
        <v>44</v>
      </c>
      <c r="C2603">
        <v>68.67</v>
      </c>
      <c r="D2603">
        <v>2</v>
      </c>
      <c r="E2603" s="4" t="str">
        <f t="shared" si="240"/>
        <v>low sales</v>
      </c>
      <c r="F2603">
        <v>3021.48</v>
      </c>
      <c r="G2603" t="s">
        <v>3275</v>
      </c>
      <c r="H2603" s="1" t="str">
        <f t="shared" si="241"/>
        <v>Shipped</v>
      </c>
      <c r="I2603" s="4" t="str">
        <f t="shared" si="242"/>
        <v>completed</v>
      </c>
      <c r="J2603" t="s">
        <v>25</v>
      </c>
      <c r="K2603">
        <v>2</v>
      </c>
      <c r="L2603">
        <v>6</v>
      </c>
      <c r="M2603">
        <v>2004</v>
      </c>
      <c r="N2603" t="s">
        <v>598</v>
      </c>
      <c r="O2603">
        <v>72</v>
      </c>
      <c r="P2603" t="s">
        <v>666</v>
      </c>
      <c r="Q2603" t="s">
        <v>292</v>
      </c>
      <c r="R2603" t="s">
        <v>293</v>
      </c>
      <c r="S2603" t="s">
        <v>294</v>
      </c>
      <c r="U2603" s="1" t="str">
        <f t="shared" si="243"/>
        <v>Montreal</v>
      </c>
      <c r="V2603" t="s">
        <v>295</v>
      </c>
      <c r="W2603" t="s">
        <v>296</v>
      </c>
      <c r="X2603" t="s">
        <v>297</v>
      </c>
      <c r="Y2603" s="1" t="str">
        <f t="shared" si="244"/>
        <v>CANADA</v>
      </c>
      <c r="Z2603" s="4" t="str">
        <f t="shared" si="245"/>
        <v>Canada</v>
      </c>
      <c r="AA2603" t="s">
        <v>231</v>
      </c>
      <c r="AB2603" t="s">
        <v>33</v>
      </c>
      <c r="AC2603" t="s">
        <v>298</v>
      </c>
      <c r="AD2603" t="s">
        <v>299</v>
      </c>
      <c r="AE2603" t="s">
        <v>51</v>
      </c>
    </row>
    <row r="2604" spans="1:31" x14ac:dyDescent="0.3">
      <c r="A2604">
        <v>10273</v>
      </c>
      <c r="B2604">
        <v>42</v>
      </c>
      <c r="C2604">
        <v>62.16</v>
      </c>
      <c r="D2604">
        <v>5</v>
      </c>
      <c r="E2604" s="4" t="str">
        <f t="shared" si="240"/>
        <v>low sales</v>
      </c>
      <c r="F2604">
        <v>2610.7199999999998</v>
      </c>
      <c r="G2604" t="s">
        <v>3276</v>
      </c>
      <c r="H2604" s="1" t="str">
        <f t="shared" si="241"/>
        <v>Shipped</v>
      </c>
      <c r="I2604" s="4" t="str">
        <f t="shared" si="242"/>
        <v>completed</v>
      </c>
      <c r="J2604" t="s">
        <v>25</v>
      </c>
      <c r="K2604">
        <v>3</v>
      </c>
      <c r="L2604">
        <v>7</v>
      </c>
      <c r="M2604">
        <v>2004</v>
      </c>
      <c r="N2604" t="s">
        <v>598</v>
      </c>
      <c r="O2604">
        <v>72</v>
      </c>
      <c r="P2604" t="s">
        <v>666</v>
      </c>
      <c r="Q2604" t="s">
        <v>365</v>
      </c>
      <c r="R2604" t="s">
        <v>366</v>
      </c>
      <c r="S2604" t="s">
        <v>367</v>
      </c>
      <c r="U2604" s="1" t="str">
        <f t="shared" si="243"/>
        <v>Bruxelles</v>
      </c>
      <c r="V2604" t="s">
        <v>368</v>
      </c>
      <c r="X2604" t="s">
        <v>369</v>
      </c>
      <c r="Y2604" s="1" t="str">
        <f t="shared" si="244"/>
        <v>BELGIUM</v>
      </c>
      <c r="Z2604" s="4" t="str">
        <f t="shared" si="245"/>
        <v>Belgium</v>
      </c>
      <c r="AA2604" t="s">
        <v>370</v>
      </c>
      <c r="AB2604" t="s">
        <v>42</v>
      </c>
      <c r="AC2604" t="s">
        <v>371</v>
      </c>
      <c r="AD2604" t="s">
        <v>372</v>
      </c>
      <c r="AE2604" t="s">
        <v>36</v>
      </c>
    </row>
    <row r="2605" spans="1:31" x14ac:dyDescent="0.3">
      <c r="A2605">
        <v>10283</v>
      </c>
      <c r="B2605">
        <v>47</v>
      </c>
      <c r="C2605">
        <v>65.77</v>
      </c>
      <c r="D2605">
        <v>7</v>
      </c>
      <c r="E2605" s="4" t="str">
        <f t="shared" si="240"/>
        <v>low sales</v>
      </c>
      <c r="F2605">
        <v>3091.19</v>
      </c>
      <c r="G2605" t="s">
        <v>3277</v>
      </c>
      <c r="H2605" s="1" t="str">
        <f t="shared" si="241"/>
        <v>Shipped</v>
      </c>
      <c r="I2605" s="4" t="str">
        <f t="shared" si="242"/>
        <v>completed</v>
      </c>
      <c r="J2605" t="s">
        <v>25</v>
      </c>
      <c r="K2605">
        <v>3</v>
      </c>
      <c r="L2605">
        <v>8</v>
      </c>
      <c r="M2605">
        <v>2004</v>
      </c>
      <c r="N2605" t="s">
        <v>598</v>
      </c>
      <c r="O2605">
        <v>72</v>
      </c>
      <c r="P2605" t="s">
        <v>666</v>
      </c>
      <c r="Q2605" t="s">
        <v>373</v>
      </c>
      <c r="R2605" t="s">
        <v>374</v>
      </c>
      <c r="S2605" t="s">
        <v>375</v>
      </c>
      <c r="U2605" s="1" t="str">
        <f t="shared" si="243"/>
        <v>Tsawassen</v>
      </c>
      <c r="V2605" t="s">
        <v>376</v>
      </c>
      <c r="W2605" t="s">
        <v>229</v>
      </c>
      <c r="X2605" t="s">
        <v>377</v>
      </c>
      <c r="Y2605" s="1" t="str">
        <f t="shared" si="244"/>
        <v>CANADA</v>
      </c>
      <c r="Z2605" s="4" t="str">
        <f t="shared" si="245"/>
        <v>Canada</v>
      </c>
      <c r="AA2605" t="s">
        <v>231</v>
      </c>
      <c r="AB2605" t="s">
        <v>33</v>
      </c>
      <c r="AC2605" t="s">
        <v>378</v>
      </c>
      <c r="AD2605" t="s">
        <v>172</v>
      </c>
      <c r="AE2605" t="s">
        <v>51</v>
      </c>
    </row>
    <row r="2606" spans="1:31" x14ac:dyDescent="0.3">
      <c r="A2606">
        <v>10295</v>
      </c>
      <c r="B2606">
        <v>44</v>
      </c>
      <c r="C2606">
        <v>58.55</v>
      </c>
      <c r="D2606">
        <v>2</v>
      </c>
      <c r="E2606" s="4" t="str">
        <f t="shared" si="240"/>
        <v>low sales</v>
      </c>
      <c r="F2606">
        <v>2576.1999999999998</v>
      </c>
      <c r="G2606" t="s">
        <v>3278</v>
      </c>
      <c r="H2606" s="1" t="str">
        <f t="shared" si="241"/>
        <v>Shipped</v>
      </c>
      <c r="I2606" s="4" t="str">
        <f t="shared" si="242"/>
        <v>completed</v>
      </c>
      <c r="J2606" t="s">
        <v>25</v>
      </c>
      <c r="K2606">
        <v>3</v>
      </c>
      <c r="L2606">
        <v>9</v>
      </c>
      <c r="M2606">
        <v>2004</v>
      </c>
      <c r="N2606" t="s">
        <v>598</v>
      </c>
      <c r="O2606">
        <v>72</v>
      </c>
      <c r="P2606" t="s">
        <v>666</v>
      </c>
      <c r="Q2606" t="s">
        <v>379</v>
      </c>
      <c r="R2606">
        <v>6175559555</v>
      </c>
      <c r="S2606" t="s">
        <v>380</v>
      </c>
      <c r="U2606" s="1" t="str">
        <f t="shared" si="243"/>
        <v>Boston</v>
      </c>
      <c r="V2606" t="s">
        <v>381</v>
      </c>
      <c r="W2606" t="s">
        <v>123</v>
      </c>
      <c r="X2606">
        <v>51003</v>
      </c>
      <c r="Y2606" s="1" t="str">
        <f t="shared" si="244"/>
        <v>USA</v>
      </c>
      <c r="Z2606" s="4" t="str">
        <f t="shared" si="245"/>
        <v>Usa</v>
      </c>
      <c r="AA2606" t="s">
        <v>32</v>
      </c>
      <c r="AB2606" t="s">
        <v>33</v>
      </c>
      <c r="AC2606" t="s">
        <v>382</v>
      </c>
      <c r="AD2606" t="s">
        <v>66</v>
      </c>
      <c r="AE2606" t="s">
        <v>36</v>
      </c>
    </row>
    <row r="2607" spans="1:31" x14ac:dyDescent="0.3">
      <c r="A2607">
        <v>10306</v>
      </c>
      <c r="B2607">
        <v>43</v>
      </c>
      <c r="C2607">
        <v>75.17</v>
      </c>
      <c r="D2607">
        <v>1</v>
      </c>
      <c r="E2607" s="4" t="str">
        <f t="shared" si="240"/>
        <v>low sales</v>
      </c>
      <c r="F2607">
        <v>3232.31</v>
      </c>
      <c r="G2607" t="s">
        <v>3279</v>
      </c>
      <c r="H2607" s="1" t="str">
        <f t="shared" si="241"/>
        <v>Shipped</v>
      </c>
      <c r="I2607" s="4" t="str">
        <f t="shared" si="242"/>
        <v>completed</v>
      </c>
      <c r="J2607" t="s">
        <v>25</v>
      </c>
      <c r="K2607">
        <v>4</v>
      </c>
      <c r="L2607">
        <v>10</v>
      </c>
      <c r="M2607">
        <v>2004</v>
      </c>
      <c r="N2607" t="s">
        <v>598</v>
      </c>
      <c r="O2607">
        <v>72</v>
      </c>
      <c r="P2607" t="s">
        <v>666</v>
      </c>
      <c r="Q2607" t="s">
        <v>492</v>
      </c>
      <c r="R2607" t="s">
        <v>493</v>
      </c>
      <c r="S2607" t="s">
        <v>494</v>
      </c>
      <c r="U2607" s="1" t="str">
        <f t="shared" si="243"/>
        <v>Manchester</v>
      </c>
      <c r="V2607" t="s">
        <v>495</v>
      </c>
      <c r="X2607" t="s">
        <v>496</v>
      </c>
      <c r="Y2607" s="1" t="str">
        <f t="shared" si="244"/>
        <v>UK</v>
      </c>
      <c r="Z2607" s="4" t="str">
        <f t="shared" si="245"/>
        <v>Uk</v>
      </c>
      <c r="AA2607" t="s">
        <v>170</v>
      </c>
      <c r="AB2607" t="s">
        <v>42</v>
      </c>
      <c r="AC2607" t="s">
        <v>497</v>
      </c>
      <c r="AD2607" t="s">
        <v>94</v>
      </c>
      <c r="AE2607" t="s">
        <v>51</v>
      </c>
    </row>
    <row r="2608" spans="1:31" x14ac:dyDescent="0.3">
      <c r="A2608">
        <v>10316</v>
      </c>
      <c r="B2608">
        <v>48</v>
      </c>
      <c r="C2608">
        <v>74.45</v>
      </c>
      <c r="D2608">
        <v>18</v>
      </c>
      <c r="E2608" s="4" t="str">
        <f t="shared" si="240"/>
        <v>low sales</v>
      </c>
      <c r="F2608">
        <v>3573.6</v>
      </c>
      <c r="G2608" t="s">
        <v>3280</v>
      </c>
      <c r="H2608" s="1" t="str">
        <f t="shared" si="241"/>
        <v>Shipped</v>
      </c>
      <c r="I2608" s="4" t="str">
        <f t="shared" si="242"/>
        <v>completed</v>
      </c>
      <c r="J2608" t="s">
        <v>25</v>
      </c>
      <c r="K2608">
        <v>4</v>
      </c>
      <c r="L2608">
        <v>11</v>
      </c>
      <c r="M2608">
        <v>2004</v>
      </c>
      <c r="N2608" t="s">
        <v>598</v>
      </c>
      <c r="O2608">
        <v>72</v>
      </c>
      <c r="P2608" t="s">
        <v>666</v>
      </c>
      <c r="Q2608" t="s">
        <v>383</v>
      </c>
      <c r="R2608" t="s">
        <v>384</v>
      </c>
      <c r="S2608" t="s">
        <v>385</v>
      </c>
      <c r="U2608" s="1" t="str">
        <f t="shared" si="243"/>
        <v>Cowes</v>
      </c>
      <c r="V2608" t="s">
        <v>386</v>
      </c>
      <c r="W2608" t="s">
        <v>387</v>
      </c>
      <c r="X2608" t="s">
        <v>388</v>
      </c>
      <c r="Y2608" s="1" t="str">
        <f t="shared" si="244"/>
        <v>UK</v>
      </c>
      <c r="Z2608" s="4" t="str">
        <f t="shared" si="245"/>
        <v>Uk</v>
      </c>
      <c r="AA2608" t="s">
        <v>170</v>
      </c>
      <c r="AB2608" t="s">
        <v>42</v>
      </c>
      <c r="AC2608" t="s">
        <v>389</v>
      </c>
      <c r="AD2608" t="s">
        <v>390</v>
      </c>
      <c r="AE2608" t="s">
        <v>51</v>
      </c>
    </row>
    <row r="2609" spans="1:31" x14ac:dyDescent="0.3">
      <c r="A2609">
        <v>10327</v>
      </c>
      <c r="B2609">
        <v>21</v>
      </c>
      <c r="C2609">
        <v>96.31</v>
      </c>
      <c r="D2609">
        <v>1</v>
      </c>
      <c r="E2609" s="4" t="str">
        <f t="shared" si="240"/>
        <v>low sales</v>
      </c>
      <c r="F2609">
        <v>2022.51</v>
      </c>
      <c r="G2609" t="s">
        <v>3281</v>
      </c>
      <c r="H2609" s="1" t="str">
        <f t="shared" si="241"/>
        <v>Resolved</v>
      </c>
      <c r="I2609" s="4" t="str">
        <f t="shared" si="242"/>
        <v>not completed</v>
      </c>
      <c r="J2609" t="s">
        <v>408</v>
      </c>
      <c r="K2609">
        <v>4</v>
      </c>
      <c r="L2609">
        <v>11</v>
      </c>
      <c r="M2609">
        <v>2004</v>
      </c>
      <c r="N2609" t="s">
        <v>598</v>
      </c>
      <c r="O2609">
        <v>72</v>
      </c>
      <c r="P2609" t="s">
        <v>666</v>
      </c>
      <c r="Q2609" t="s">
        <v>322</v>
      </c>
      <c r="R2609" t="s">
        <v>323</v>
      </c>
      <c r="S2609" t="s">
        <v>324</v>
      </c>
      <c r="U2609" s="1" t="str">
        <f t="shared" si="243"/>
        <v>Kobenhavn</v>
      </c>
      <c r="V2609" t="s">
        <v>325</v>
      </c>
      <c r="X2609">
        <v>1734</v>
      </c>
      <c r="Y2609" s="1" t="str">
        <f t="shared" si="244"/>
        <v>DENMARK</v>
      </c>
      <c r="Z2609" s="4" t="str">
        <f t="shared" si="245"/>
        <v>Denmark</v>
      </c>
      <c r="AA2609" t="s">
        <v>326</v>
      </c>
      <c r="AB2609" t="s">
        <v>42</v>
      </c>
      <c r="AC2609" t="s">
        <v>327</v>
      </c>
      <c r="AD2609" t="s">
        <v>328</v>
      </c>
      <c r="AE2609" t="s">
        <v>36</v>
      </c>
    </row>
    <row r="2610" spans="1:31" x14ac:dyDescent="0.3">
      <c r="A2610">
        <v>10339</v>
      </c>
      <c r="B2610">
        <v>50</v>
      </c>
      <c r="C2610">
        <v>74.349999999999994</v>
      </c>
      <c r="D2610">
        <v>9</v>
      </c>
      <c r="E2610" s="4" t="str">
        <f t="shared" si="240"/>
        <v>low sales</v>
      </c>
      <c r="F2610">
        <v>3717.5</v>
      </c>
      <c r="G2610" t="s">
        <v>3282</v>
      </c>
      <c r="H2610" s="1" t="str">
        <f t="shared" si="241"/>
        <v>Shipped</v>
      </c>
      <c r="I2610" s="4" t="str">
        <f t="shared" si="242"/>
        <v>completed</v>
      </c>
      <c r="J2610" t="s">
        <v>25</v>
      </c>
      <c r="K2610">
        <v>4</v>
      </c>
      <c r="L2610">
        <v>11</v>
      </c>
      <c r="M2610">
        <v>2004</v>
      </c>
      <c r="N2610" t="s">
        <v>598</v>
      </c>
      <c r="O2610">
        <v>72</v>
      </c>
      <c r="P2610" t="s">
        <v>666</v>
      </c>
      <c r="Q2610" t="s">
        <v>246</v>
      </c>
      <c r="R2610" t="s">
        <v>247</v>
      </c>
      <c r="S2610" t="s">
        <v>248</v>
      </c>
      <c r="U2610" s="1" t="str">
        <f t="shared" si="243"/>
        <v>Minato-Ku</v>
      </c>
      <c r="V2610" t="s">
        <v>249</v>
      </c>
      <c r="W2610" t="s">
        <v>250</v>
      </c>
      <c r="X2610" t="s">
        <v>251</v>
      </c>
      <c r="Y2610" s="1" t="str">
        <f t="shared" si="244"/>
        <v>JAPAN</v>
      </c>
      <c r="Z2610" s="4" t="str">
        <f t="shared" si="245"/>
        <v>Japan</v>
      </c>
      <c r="AA2610" t="s">
        <v>200</v>
      </c>
      <c r="AB2610" t="s">
        <v>200</v>
      </c>
      <c r="AC2610" t="s">
        <v>252</v>
      </c>
      <c r="AD2610" t="s">
        <v>253</v>
      </c>
      <c r="AE2610" t="s">
        <v>51</v>
      </c>
    </row>
    <row r="2611" spans="1:31" x14ac:dyDescent="0.3">
      <c r="A2611">
        <v>10350</v>
      </c>
      <c r="B2611">
        <v>29</v>
      </c>
      <c r="C2611">
        <v>75.349999999999994</v>
      </c>
      <c r="D2611">
        <v>12</v>
      </c>
      <c r="E2611" s="4" t="str">
        <f t="shared" si="240"/>
        <v>low sales</v>
      </c>
      <c r="F2611">
        <v>2185.15</v>
      </c>
      <c r="G2611" t="s">
        <v>3283</v>
      </c>
      <c r="H2611" s="1" t="str">
        <f t="shared" si="241"/>
        <v>Shipped</v>
      </c>
      <c r="I2611" s="4" t="str">
        <f t="shared" si="242"/>
        <v>completed</v>
      </c>
      <c r="J2611" t="s">
        <v>25</v>
      </c>
      <c r="K2611">
        <v>4</v>
      </c>
      <c r="L2611">
        <v>12</v>
      </c>
      <c r="M2611">
        <v>2004</v>
      </c>
      <c r="N2611" t="s">
        <v>598</v>
      </c>
      <c r="O2611">
        <v>72</v>
      </c>
      <c r="P2611" t="s">
        <v>666</v>
      </c>
      <c r="Q2611" t="s">
        <v>174</v>
      </c>
      <c r="R2611" t="s">
        <v>175</v>
      </c>
      <c r="S2611" t="s">
        <v>176</v>
      </c>
      <c r="U2611" s="1" t="str">
        <f t="shared" si="243"/>
        <v>Madrid</v>
      </c>
      <c r="V2611" t="s">
        <v>177</v>
      </c>
      <c r="X2611">
        <v>28034</v>
      </c>
      <c r="Y2611" s="1" t="str">
        <f t="shared" si="244"/>
        <v>SPAIN</v>
      </c>
      <c r="Z2611" s="4" t="str">
        <f t="shared" si="245"/>
        <v>Spain</v>
      </c>
      <c r="AA2611" t="s">
        <v>178</v>
      </c>
      <c r="AB2611" t="s">
        <v>42</v>
      </c>
      <c r="AC2611" t="s">
        <v>179</v>
      </c>
      <c r="AD2611" t="s">
        <v>180</v>
      </c>
      <c r="AE2611" t="s">
        <v>36</v>
      </c>
    </row>
    <row r="2612" spans="1:31" x14ac:dyDescent="0.3">
      <c r="A2612">
        <v>10373</v>
      </c>
      <c r="B2612">
        <v>41</v>
      </c>
      <c r="C2612">
        <v>70.33</v>
      </c>
      <c r="D2612">
        <v>16</v>
      </c>
      <c r="E2612" s="4" t="str">
        <f t="shared" si="240"/>
        <v>low sales</v>
      </c>
      <c r="F2612">
        <v>2883.53</v>
      </c>
      <c r="G2612" t="s">
        <v>3284</v>
      </c>
      <c r="H2612" s="1" t="str">
        <f t="shared" si="241"/>
        <v>Shipped</v>
      </c>
      <c r="I2612" s="4" t="str">
        <f t="shared" si="242"/>
        <v>completed</v>
      </c>
      <c r="J2612" t="s">
        <v>25</v>
      </c>
      <c r="K2612">
        <v>1</v>
      </c>
      <c r="L2612">
        <v>1</v>
      </c>
      <c r="M2612">
        <v>2005</v>
      </c>
      <c r="N2612" t="s">
        <v>598</v>
      </c>
      <c r="O2612">
        <v>72</v>
      </c>
      <c r="P2612" t="s">
        <v>666</v>
      </c>
      <c r="Q2612" t="s">
        <v>391</v>
      </c>
      <c r="R2612" t="s">
        <v>392</v>
      </c>
      <c r="S2612" t="s">
        <v>393</v>
      </c>
      <c r="U2612" s="1" t="str">
        <f t="shared" si="243"/>
        <v>Oulu</v>
      </c>
      <c r="V2612" t="s">
        <v>394</v>
      </c>
      <c r="X2612">
        <v>90110</v>
      </c>
      <c r="Y2612" s="1" t="str">
        <f t="shared" si="244"/>
        <v>FINLAND</v>
      </c>
      <c r="Z2612" s="4" t="str">
        <f t="shared" si="245"/>
        <v>Finland</v>
      </c>
      <c r="AA2612" t="s">
        <v>130</v>
      </c>
      <c r="AB2612" t="s">
        <v>42</v>
      </c>
      <c r="AC2612" t="s">
        <v>395</v>
      </c>
      <c r="AD2612" t="s">
        <v>396</v>
      </c>
      <c r="AE2612" t="s">
        <v>36</v>
      </c>
    </row>
    <row r="2613" spans="1:31" x14ac:dyDescent="0.3">
      <c r="A2613">
        <v>10386</v>
      </c>
      <c r="B2613">
        <v>37</v>
      </c>
      <c r="C2613">
        <v>100</v>
      </c>
      <c r="D2613">
        <v>10</v>
      </c>
      <c r="E2613" s="4" t="str">
        <f t="shared" si="240"/>
        <v>high sales</v>
      </c>
      <c r="F2613">
        <v>5017.57</v>
      </c>
      <c r="G2613" t="s">
        <v>3285</v>
      </c>
      <c r="H2613" s="1" t="str">
        <f t="shared" si="241"/>
        <v>Resolved</v>
      </c>
      <c r="I2613" s="4" t="str">
        <f t="shared" si="242"/>
        <v>not completed</v>
      </c>
      <c r="J2613" t="s">
        <v>408</v>
      </c>
      <c r="K2613">
        <v>1</v>
      </c>
      <c r="L2613">
        <v>3</v>
      </c>
      <c r="M2613">
        <v>2005</v>
      </c>
      <c r="N2613" t="s">
        <v>598</v>
      </c>
      <c r="O2613">
        <v>72</v>
      </c>
      <c r="P2613" t="s">
        <v>666</v>
      </c>
      <c r="Q2613" t="s">
        <v>174</v>
      </c>
      <c r="R2613" t="s">
        <v>175</v>
      </c>
      <c r="S2613" t="s">
        <v>176</v>
      </c>
      <c r="U2613" s="1" t="str">
        <f t="shared" si="243"/>
        <v>Madrid</v>
      </c>
      <c r="V2613" t="s">
        <v>177</v>
      </c>
      <c r="X2613">
        <v>28034</v>
      </c>
      <c r="Y2613" s="1" t="str">
        <f t="shared" si="244"/>
        <v>SPAIN</v>
      </c>
      <c r="Z2613" s="4" t="str">
        <f t="shared" si="245"/>
        <v>Spain</v>
      </c>
      <c r="AA2613" t="s">
        <v>178</v>
      </c>
      <c r="AB2613" t="s">
        <v>42</v>
      </c>
      <c r="AC2613" t="s">
        <v>179</v>
      </c>
      <c r="AD2613" t="s">
        <v>180</v>
      </c>
      <c r="AE2613" t="s">
        <v>51</v>
      </c>
    </row>
    <row r="2614" spans="1:31" x14ac:dyDescent="0.3">
      <c r="A2614">
        <v>10397</v>
      </c>
      <c r="B2614">
        <v>22</v>
      </c>
      <c r="C2614">
        <v>66.5</v>
      </c>
      <c r="D2614">
        <v>4</v>
      </c>
      <c r="E2614" s="4" t="str">
        <f t="shared" si="240"/>
        <v>low sales</v>
      </c>
      <c r="F2614">
        <v>1463</v>
      </c>
      <c r="G2614" t="s">
        <v>3286</v>
      </c>
      <c r="H2614" s="1" t="str">
        <f t="shared" si="241"/>
        <v>Shipped</v>
      </c>
      <c r="I2614" s="4" t="str">
        <f t="shared" si="242"/>
        <v>completed</v>
      </c>
      <c r="J2614" t="s">
        <v>25</v>
      </c>
      <c r="K2614">
        <v>1</v>
      </c>
      <c r="L2614">
        <v>3</v>
      </c>
      <c r="M2614">
        <v>2005</v>
      </c>
      <c r="N2614" t="s">
        <v>598</v>
      </c>
      <c r="O2614">
        <v>72</v>
      </c>
      <c r="P2614" t="s">
        <v>666</v>
      </c>
      <c r="Q2614" t="s">
        <v>340</v>
      </c>
      <c r="R2614" t="s">
        <v>341</v>
      </c>
      <c r="S2614" t="s">
        <v>342</v>
      </c>
      <c r="U2614" s="1" t="str">
        <f t="shared" si="243"/>
        <v>Toulouse</v>
      </c>
      <c r="V2614" t="s">
        <v>343</v>
      </c>
      <c r="X2614">
        <v>31000</v>
      </c>
      <c r="Y2614" s="1" t="str">
        <f t="shared" si="244"/>
        <v>FRANCE</v>
      </c>
      <c r="Z2614" s="4" t="str">
        <f t="shared" si="245"/>
        <v>France</v>
      </c>
      <c r="AA2614" t="s">
        <v>41</v>
      </c>
      <c r="AB2614" t="s">
        <v>42</v>
      </c>
      <c r="AC2614" t="s">
        <v>344</v>
      </c>
      <c r="AD2614" t="s">
        <v>345</v>
      </c>
      <c r="AE2614" t="s">
        <v>36</v>
      </c>
    </row>
    <row r="2615" spans="1:31" x14ac:dyDescent="0.3">
      <c r="A2615">
        <v>10414</v>
      </c>
      <c r="B2615">
        <v>31</v>
      </c>
      <c r="C2615">
        <v>75.89</v>
      </c>
      <c r="D2615">
        <v>4</v>
      </c>
      <c r="E2615" s="4" t="str">
        <f t="shared" si="240"/>
        <v>low sales</v>
      </c>
      <c r="F2615">
        <v>2352.59</v>
      </c>
      <c r="G2615" t="s">
        <v>3287</v>
      </c>
      <c r="H2615" s="1" t="str">
        <f t="shared" si="241"/>
        <v>On Hold</v>
      </c>
      <c r="I2615" s="4" t="str">
        <f t="shared" si="242"/>
        <v>not completed</v>
      </c>
      <c r="J2615" t="s">
        <v>401</v>
      </c>
      <c r="K2615">
        <v>2</v>
      </c>
      <c r="L2615">
        <v>5</v>
      </c>
      <c r="M2615">
        <v>2005</v>
      </c>
      <c r="N2615" t="s">
        <v>598</v>
      </c>
      <c r="O2615">
        <v>72</v>
      </c>
      <c r="P2615" t="s">
        <v>666</v>
      </c>
      <c r="Q2615" t="s">
        <v>379</v>
      </c>
      <c r="R2615">
        <v>6175559555</v>
      </c>
      <c r="S2615" t="s">
        <v>380</v>
      </c>
      <c r="U2615" s="1" t="str">
        <f t="shared" si="243"/>
        <v>Boston</v>
      </c>
      <c r="V2615" t="s">
        <v>381</v>
      </c>
      <c r="W2615" t="s">
        <v>123</v>
      </c>
      <c r="X2615">
        <v>51003</v>
      </c>
      <c r="Y2615" s="1" t="str">
        <f t="shared" si="244"/>
        <v>USA</v>
      </c>
      <c r="Z2615" s="4" t="str">
        <f t="shared" si="245"/>
        <v>Usa</v>
      </c>
      <c r="AA2615" t="s">
        <v>32</v>
      </c>
      <c r="AB2615" t="s">
        <v>33</v>
      </c>
      <c r="AC2615" t="s">
        <v>382</v>
      </c>
      <c r="AD2615" t="s">
        <v>66</v>
      </c>
      <c r="AE2615" t="s">
        <v>36</v>
      </c>
    </row>
    <row r="2616" spans="1:31" x14ac:dyDescent="0.3">
      <c r="A2616">
        <v>10103</v>
      </c>
      <c r="B2616">
        <v>42</v>
      </c>
      <c r="C2616">
        <v>100</v>
      </c>
      <c r="D2616">
        <v>6</v>
      </c>
      <c r="E2616" s="4" t="str">
        <f t="shared" si="240"/>
        <v>high sales</v>
      </c>
      <c r="F2616">
        <v>4460.82</v>
      </c>
      <c r="G2616" t="s">
        <v>3288</v>
      </c>
      <c r="H2616" s="1" t="str">
        <f t="shared" si="241"/>
        <v>Shipped</v>
      </c>
      <c r="I2616" s="4" t="str">
        <f t="shared" si="242"/>
        <v>completed</v>
      </c>
      <c r="J2616" t="s">
        <v>25</v>
      </c>
      <c r="K2616">
        <v>1</v>
      </c>
      <c r="L2616">
        <v>1</v>
      </c>
      <c r="M2616">
        <v>2003</v>
      </c>
      <c r="N2616" t="s">
        <v>181</v>
      </c>
      <c r="O2616">
        <v>101</v>
      </c>
      <c r="P2616" t="s">
        <v>667</v>
      </c>
      <c r="Q2616" t="s">
        <v>133</v>
      </c>
      <c r="R2616" t="s">
        <v>134</v>
      </c>
      <c r="S2616" t="s">
        <v>135</v>
      </c>
      <c r="U2616" s="1" t="str">
        <f t="shared" si="243"/>
        <v>Stavern</v>
      </c>
      <c r="V2616" t="s">
        <v>136</v>
      </c>
      <c r="X2616">
        <v>4110</v>
      </c>
      <c r="Y2616" s="1" t="str">
        <f t="shared" si="244"/>
        <v>NORWAY</v>
      </c>
      <c r="Z2616" s="4" t="str">
        <f t="shared" si="245"/>
        <v>Norway</v>
      </c>
      <c r="AA2616" t="s">
        <v>78</v>
      </c>
      <c r="AB2616" t="s">
        <v>42</v>
      </c>
      <c r="AC2616" t="s">
        <v>137</v>
      </c>
      <c r="AD2616" t="s">
        <v>138</v>
      </c>
      <c r="AE2616" t="s">
        <v>51</v>
      </c>
    </row>
    <row r="2617" spans="1:31" x14ac:dyDescent="0.3">
      <c r="A2617">
        <v>10114</v>
      </c>
      <c r="B2617">
        <v>42</v>
      </c>
      <c r="C2617">
        <v>100</v>
      </c>
      <c r="D2617">
        <v>10</v>
      </c>
      <c r="E2617" s="4" t="str">
        <f t="shared" si="240"/>
        <v>high sales</v>
      </c>
      <c r="F2617">
        <v>4758.18</v>
      </c>
      <c r="G2617" t="s">
        <v>3289</v>
      </c>
      <c r="H2617" s="1" t="str">
        <f t="shared" si="241"/>
        <v>Shipped</v>
      </c>
      <c r="I2617" s="4" t="str">
        <f t="shared" si="242"/>
        <v>completed</v>
      </c>
      <c r="J2617" t="s">
        <v>25</v>
      </c>
      <c r="K2617">
        <v>2</v>
      </c>
      <c r="L2617">
        <v>4</v>
      </c>
      <c r="M2617">
        <v>2003</v>
      </c>
      <c r="N2617" t="s">
        <v>181</v>
      </c>
      <c r="O2617">
        <v>101</v>
      </c>
      <c r="P2617" t="s">
        <v>667</v>
      </c>
      <c r="Q2617" t="s">
        <v>403</v>
      </c>
      <c r="R2617" t="s">
        <v>404</v>
      </c>
      <c r="S2617" t="s">
        <v>405</v>
      </c>
      <c r="U2617" s="1" t="str">
        <f t="shared" si="243"/>
        <v>Paris</v>
      </c>
      <c r="V2617" t="s">
        <v>48</v>
      </c>
      <c r="X2617">
        <v>75012</v>
      </c>
      <c r="Y2617" s="1" t="str">
        <f t="shared" si="244"/>
        <v>FRANCE</v>
      </c>
      <c r="Z2617" s="4" t="str">
        <f t="shared" si="245"/>
        <v>France</v>
      </c>
      <c r="AA2617" t="s">
        <v>41</v>
      </c>
      <c r="AB2617" t="s">
        <v>42</v>
      </c>
      <c r="AC2617" t="s">
        <v>406</v>
      </c>
      <c r="AD2617" t="s">
        <v>407</v>
      </c>
      <c r="AE2617" t="s">
        <v>51</v>
      </c>
    </row>
    <row r="2618" spans="1:31" x14ac:dyDescent="0.3">
      <c r="A2618">
        <v>10126</v>
      </c>
      <c r="B2618">
        <v>45</v>
      </c>
      <c r="C2618">
        <v>100</v>
      </c>
      <c r="D2618">
        <v>6</v>
      </c>
      <c r="E2618" s="4" t="str">
        <f t="shared" si="240"/>
        <v>high sales</v>
      </c>
      <c r="F2618">
        <v>4597.2</v>
      </c>
      <c r="G2618" t="s">
        <v>3290</v>
      </c>
      <c r="H2618" s="1" t="str">
        <f t="shared" si="241"/>
        <v>Shipped</v>
      </c>
      <c r="I2618" s="4" t="str">
        <f t="shared" si="242"/>
        <v>completed</v>
      </c>
      <c r="J2618" t="s">
        <v>25</v>
      </c>
      <c r="K2618">
        <v>2</v>
      </c>
      <c r="L2618">
        <v>5</v>
      </c>
      <c r="M2618">
        <v>2003</v>
      </c>
      <c r="N2618" t="s">
        <v>181</v>
      </c>
      <c r="O2618">
        <v>101</v>
      </c>
      <c r="P2618" t="s">
        <v>667</v>
      </c>
      <c r="Q2618" t="s">
        <v>191</v>
      </c>
      <c r="R2618" t="s">
        <v>192</v>
      </c>
      <c r="S2618" t="s">
        <v>193</v>
      </c>
      <c r="U2618" s="1" t="str">
        <f t="shared" si="243"/>
        <v>Madrid</v>
      </c>
      <c r="V2618" t="s">
        <v>177</v>
      </c>
      <c r="X2618">
        <v>28023</v>
      </c>
      <c r="Y2618" s="1" t="str">
        <f t="shared" si="244"/>
        <v>SPAIN</v>
      </c>
      <c r="Z2618" s="4" t="str">
        <f t="shared" si="245"/>
        <v>Spain</v>
      </c>
      <c r="AA2618" t="s">
        <v>178</v>
      </c>
      <c r="AB2618" t="s">
        <v>42</v>
      </c>
      <c r="AC2618" t="s">
        <v>194</v>
      </c>
      <c r="AD2618" t="s">
        <v>195</v>
      </c>
      <c r="AE2618" t="s">
        <v>51</v>
      </c>
    </row>
    <row r="2619" spans="1:31" x14ac:dyDescent="0.3">
      <c r="A2619">
        <v>10140</v>
      </c>
      <c r="B2619">
        <v>36</v>
      </c>
      <c r="C2619">
        <v>100</v>
      </c>
      <c r="D2619">
        <v>6</v>
      </c>
      <c r="E2619" s="4" t="str">
        <f t="shared" si="240"/>
        <v>high sales</v>
      </c>
      <c r="F2619">
        <v>4114.8</v>
      </c>
      <c r="G2619" t="s">
        <v>3291</v>
      </c>
      <c r="H2619" s="1" t="str">
        <f t="shared" si="241"/>
        <v>Shipped</v>
      </c>
      <c r="I2619" s="4" t="str">
        <f t="shared" si="242"/>
        <v>completed</v>
      </c>
      <c r="J2619" t="s">
        <v>25</v>
      </c>
      <c r="K2619">
        <v>3</v>
      </c>
      <c r="L2619">
        <v>7</v>
      </c>
      <c r="M2619">
        <v>2003</v>
      </c>
      <c r="N2619" t="s">
        <v>181</v>
      </c>
      <c r="O2619">
        <v>101</v>
      </c>
      <c r="P2619" t="s">
        <v>667</v>
      </c>
      <c r="Q2619" t="s">
        <v>62</v>
      </c>
      <c r="R2619">
        <v>6505556809</v>
      </c>
      <c r="S2619" t="s">
        <v>63</v>
      </c>
      <c r="U2619" s="1" t="str">
        <f t="shared" si="243"/>
        <v>Burlingame</v>
      </c>
      <c r="V2619" t="s">
        <v>64</v>
      </c>
      <c r="W2619" t="s">
        <v>55</v>
      </c>
      <c r="X2619">
        <v>94217</v>
      </c>
      <c r="Y2619" s="1" t="str">
        <f t="shared" si="244"/>
        <v>USA</v>
      </c>
      <c r="Z2619" s="4" t="str">
        <f t="shared" si="245"/>
        <v>Usa</v>
      </c>
      <c r="AA2619" t="s">
        <v>32</v>
      </c>
      <c r="AB2619" t="s">
        <v>33</v>
      </c>
      <c r="AC2619" t="s">
        <v>65</v>
      </c>
      <c r="AD2619" t="s">
        <v>66</v>
      </c>
      <c r="AE2619" t="s">
        <v>51</v>
      </c>
    </row>
    <row r="2620" spans="1:31" x14ac:dyDescent="0.3">
      <c r="A2620">
        <v>10150</v>
      </c>
      <c r="B2620">
        <v>20</v>
      </c>
      <c r="C2620">
        <v>100</v>
      </c>
      <c r="D2620">
        <v>3</v>
      </c>
      <c r="E2620" s="4" t="str">
        <f t="shared" si="240"/>
        <v>low sales</v>
      </c>
      <c r="F2620">
        <v>2104</v>
      </c>
      <c r="G2620" t="s">
        <v>3292</v>
      </c>
      <c r="H2620" s="1" t="str">
        <f t="shared" si="241"/>
        <v>Shipped</v>
      </c>
      <c r="I2620" s="4" t="str">
        <f t="shared" si="242"/>
        <v>completed</v>
      </c>
      <c r="J2620" t="s">
        <v>25</v>
      </c>
      <c r="K2620">
        <v>3</v>
      </c>
      <c r="L2620">
        <v>9</v>
      </c>
      <c r="M2620">
        <v>2003</v>
      </c>
      <c r="N2620" t="s">
        <v>181</v>
      </c>
      <c r="O2620">
        <v>101</v>
      </c>
      <c r="P2620" t="s">
        <v>667</v>
      </c>
      <c r="Q2620" t="s">
        <v>196</v>
      </c>
      <c r="R2620" t="s">
        <v>197</v>
      </c>
      <c r="S2620" t="s">
        <v>198</v>
      </c>
      <c r="U2620" s="1" t="str">
        <f t="shared" si="243"/>
        <v>Singapore</v>
      </c>
      <c r="V2620" t="s">
        <v>199</v>
      </c>
      <c r="X2620">
        <v>79903</v>
      </c>
      <c r="Y2620" s="1" t="str">
        <f t="shared" si="244"/>
        <v>SINGAPORE</v>
      </c>
      <c r="Z2620" s="4" t="str">
        <f t="shared" si="245"/>
        <v>Singapore</v>
      </c>
      <c r="AA2620" t="s">
        <v>199</v>
      </c>
      <c r="AB2620" t="s">
        <v>200</v>
      </c>
      <c r="AC2620" t="s">
        <v>201</v>
      </c>
      <c r="AD2620" t="s">
        <v>202</v>
      </c>
      <c r="AE2620" t="s">
        <v>36</v>
      </c>
    </row>
    <row r="2621" spans="1:31" x14ac:dyDescent="0.3">
      <c r="A2621">
        <v>10164</v>
      </c>
      <c r="B2621">
        <v>39</v>
      </c>
      <c r="C2621">
        <v>81.93</v>
      </c>
      <c r="D2621">
        <v>4</v>
      </c>
      <c r="E2621" s="4" t="str">
        <f t="shared" si="240"/>
        <v>low sales</v>
      </c>
      <c r="F2621">
        <v>3195.27</v>
      </c>
      <c r="G2621" t="s">
        <v>3293</v>
      </c>
      <c r="H2621" s="1" t="str">
        <f t="shared" si="241"/>
        <v>Resolved</v>
      </c>
      <c r="I2621" s="4" t="str">
        <f t="shared" si="242"/>
        <v>not completed</v>
      </c>
      <c r="J2621" t="s">
        <v>408</v>
      </c>
      <c r="K2621">
        <v>4</v>
      </c>
      <c r="L2621">
        <v>10</v>
      </c>
      <c r="M2621">
        <v>2003</v>
      </c>
      <c r="N2621" t="s">
        <v>181</v>
      </c>
      <c r="O2621">
        <v>101</v>
      </c>
      <c r="P2621" t="s">
        <v>667</v>
      </c>
      <c r="Q2621" t="s">
        <v>409</v>
      </c>
      <c r="R2621" t="s">
        <v>410</v>
      </c>
      <c r="S2621" t="s">
        <v>411</v>
      </c>
      <c r="U2621" s="1" t="str">
        <f t="shared" si="243"/>
        <v>Graz</v>
      </c>
      <c r="V2621" t="s">
        <v>412</v>
      </c>
      <c r="X2621">
        <v>8010</v>
      </c>
      <c r="Y2621" s="1" t="str">
        <f t="shared" si="244"/>
        <v>AUSTRIA</v>
      </c>
      <c r="Z2621" s="4" t="str">
        <f t="shared" si="245"/>
        <v>Austria</v>
      </c>
      <c r="AA2621" t="s">
        <v>148</v>
      </c>
      <c r="AB2621" t="s">
        <v>42</v>
      </c>
      <c r="AC2621" t="s">
        <v>413</v>
      </c>
      <c r="AD2621" t="s">
        <v>414</v>
      </c>
      <c r="AE2621" t="s">
        <v>51</v>
      </c>
    </row>
    <row r="2622" spans="1:31" x14ac:dyDescent="0.3">
      <c r="A2622">
        <v>10175</v>
      </c>
      <c r="B2622">
        <v>42</v>
      </c>
      <c r="C2622">
        <v>85.98</v>
      </c>
      <c r="D2622">
        <v>11</v>
      </c>
      <c r="E2622" s="4" t="str">
        <f t="shared" si="240"/>
        <v>low sales</v>
      </c>
      <c r="F2622">
        <v>3611.16</v>
      </c>
      <c r="G2622" t="s">
        <v>3294</v>
      </c>
      <c r="H2622" s="1" t="str">
        <f t="shared" si="241"/>
        <v>Shipped</v>
      </c>
      <c r="I2622" s="4" t="str">
        <f t="shared" si="242"/>
        <v>completed</v>
      </c>
      <c r="J2622" t="s">
        <v>25</v>
      </c>
      <c r="K2622">
        <v>4</v>
      </c>
      <c r="L2622">
        <v>11</v>
      </c>
      <c r="M2622">
        <v>2003</v>
      </c>
      <c r="N2622" t="s">
        <v>181</v>
      </c>
      <c r="O2622">
        <v>101</v>
      </c>
      <c r="P2622" t="s">
        <v>667</v>
      </c>
      <c r="Q2622" t="s">
        <v>329</v>
      </c>
      <c r="R2622" t="s">
        <v>330</v>
      </c>
      <c r="S2622" t="s">
        <v>331</v>
      </c>
      <c r="U2622" s="1" t="str">
        <f t="shared" si="243"/>
        <v>London</v>
      </c>
      <c r="V2622" t="s">
        <v>332</v>
      </c>
      <c r="X2622" t="s">
        <v>333</v>
      </c>
      <c r="Y2622" s="1" t="str">
        <f t="shared" si="244"/>
        <v>UK</v>
      </c>
      <c r="Z2622" s="4" t="str">
        <f t="shared" si="245"/>
        <v>Uk</v>
      </c>
      <c r="AA2622" t="s">
        <v>170</v>
      </c>
      <c r="AB2622" t="s">
        <v>42</v>
      </c>
      <c r="AC2622" t="s">
        <v>61</v>
      </c>
      <c r="AD2622" t="s">
        <v>334</v>
      </c>
      <c r="AE2622" t="s">
        <v>51</v>
      </c>
    </row>
    <row r="2623" spans="1:31" x14ac:dyDescent="0.3">
      <c r="A2623">
        <v>10183</v>
      </c>
      <c r="B2623">
        <v>23</v>
      </c>
      <c r="C2623">
        <v>86.99</v>
      </c>
      <c r="D2623">
        <v>3</v>
      </c>
      <c r="E2623" s="4" t="str">
        <f t="shared" si="240"/>
        <v>low sales</v>
      </c>
      <c r="F2623">
        <v>2000.77</v>
      </c>
      <c r="G2623" t="s">
        <v>3295</v>
      </c>
      <c r="H2623" s="1" t="str">
        <f t="shared" si="241"/>
        <v>Shipped</v>
      </c>
      <c r="I2623" s="4" t="str">
        <f t="shared" si="242"/>
        <v>completed</v>
      </c>
      <c r="J2623" t="s">
        <v>25</v>
      </c>
      <c r="K2623">
        <v>4</v>
      </c>
      <c r="L2623">
        <v>11</v>
      </c>
      <c r="M2623">
        <v>2003</v>
      </c>
      <c r="N2623" t="s">
        <v>181</v>
      </c>
      <c r="O2623">
        <v>101</v>
      </c>
      <c r="P2623" t="s">
        <v>667</v>
      </c>
      <c r="Q2623" t="s">
        <v>214</v>
      </c>
      <c r="R2623">
        <v>2155554695</v>
      </c>
      <c r="S2623" t="s">
        <v>215</v>
      </c>
      <c r="U2623" s="1" t="str">
        <f t="shared" si="243"/>
        <v>Philadelphia</v>
      </c>
      <c r="V2623" t="s">
        <v>216</v>
      </c>
      <c r="W2623" t="s">
        <v>142</v>
      </c>
      <c r="X2623">
        <v>71270</v>
      </c>
      <c r="Y2623" s="1" t="str">
        <f t="shared" si="244"/>
        <v>USA</v>
      </c>
      <c r="Z2623" s="4" t="str">
        <f t="shared" si="245"/>
        <v>Usa</v>
      </c>
      <c r="AA2623" t="s">
        <v>32</v>
      </c>
      <c r="AB2623" t="s">
        <v>33</v>
      </c>
      <c r="AC2623" t="s">
        <v>217</v>
      </c>
      <c r="AD2623" t="s">
        <v>218</v>
      </c>
      <c r="AE2623" t="s">
        <v>36</v>
      </c>
    </row>
    <row r="2624" spans="1:31" x14ac:dyDescent="0.3">
      <c r="A2624">
        <v>10194</v>
      </c>
      <c r="B2624">
        <v>26</v>
      </c>
      <c r="C2624">
        <v>89.01</v>
      </c>
      <c r="D2624">
        <v>6</v>
      </c>
      <c r="E2624" s="4" t="str">
        <f t="shared" si="240"/>
        <v>low sales</v>
      </c>
      <c r="F2624">
        <v>2314.2600000000002</v>
      </c>
      <c r="G2624" t="s">
        <v>3296</v>
      </c>
      <c r="H2624" s="1" t="str">
        <f t="shared" si="241"/>
        <v>Shipped</v>
      </c>
      <c r="I2624" s="4" t="str">
        <f t="shared" si="242"/>
        <v>completed</v>
      </c>
      <c r="J2624" t="s">
        <v>25</v>
      </c>
      <c r="K2624">
        <v>4</v>
      </c>
      <c r="L2624">
        <v>11</v>
      </c>
      <c r="M2624">
        <v>2003</v>
      </c>
      <c r="N2624" t="s">
        <v>181</v>
      </c>
      <c r="O2624">
        <v>101</v>
      </c>
      <c r="P2624" t="s">
        <v>667</v>
      </c>
      <c r="Q2624" t="s">
        <v>219</v>
      </c>
      <c r="R2624" t="s">
        <v>220</v>
      </c>
      <c r="S2624" t="s">
        <v>221</v>
      </c>
      <c r="U2624" s="1" t="str">
        <f t="shared" si="243"/>
        <v>Lyon</v>
      </c>
      <c r="V2624" t="s">
        <v>222</v>
      </c>
      <c r="X2624">
        <v>69004</v>
      </c>
      <c r="Y2624" s="1" t="str">
        <f t="shared" si="244"/>
        <v>FRANCE</v>
      </c>
      <c r="Z2624" s="4" t="str">
        <f t="shared" si="245"/>
        <v>France</v>
      </c>
      <c r="AA2624" t="s">
        <v>41</v>
      </c>
      <c r="AB2624" t="s">
        <v>42</v>
      </c>
      <c r="AC2624" t="s">
        <v>223</v>
      </c>
      <c r="AD2624" t="s">
        <v>224</v>
      </c>
      <c r="AE2624" t="s">
        <v>36</v>
      </c>
    </row>
    <row r="2625" spans="1:31" x14ac:dyDescent="0.3">
      <c r="A2625">
        <v>10206</v>
      </c>
      <c r="B2625">
        <v>33</v>
      </c>
      <c r="C2625">
        <v>100</v>
      </c>
      <c r="D2625">
        <v>1</v>
      </c>
      <c r="E2625" s="4" t="str">
        <f t="shared" si="240"/>
        <v>low sales</v>
      </c>
      <c r="F2625">
        <v>3871.89</v>
      </c>
      <c r="G2625" t="s">
        <v>3297</v>
      </c>
      <c r="H2625" s="1" t="str">
        <f t="shared" si="241"/>
        <v>Shipped</v>
      </c>
      <c r="I2625" s="4" t="str">
        <f t="shared" si="242"/>
        <v>completed</v>
      </c>
      <c r="J2625" t="s">
        <v>25</v>
      </c>
      <c r="K2625">
        <v>4</v>
      </c>
      <c r="L2625">
        <v>12</v>
      </c>
      <c r="M2625">
        <v>2003</v>
      </c>
      <c r="N2625" t="s">
        <v>181</v>
      </c>
      <c r="O2625">
        <v>101</v>
      </c>
      <c r="P2625" t="s">
        <v>667</v>
      </c>
      <c r="Q2625" t="s">
        <v>225</v>
      </c>
      <c r="R2625" t="s">
        <v>226</v>
      </c>
      <c r="S2625" t="s">
        <v>227</v>
      </c>
      <c r="U2625" s="1" t="str">
        <f t="shared" si="243"/>
        <v>Vancouver</v>
      </c>
      <c r="V2625" t="s">
        <v>228</v>
      </c>
      <c r="W2625" t="s">
        <v>229</v>
      </c>
      <c r="X2625" t="s">
        <v>230</v>
      </c>
      <c r="Y2625" s="1" t="str">
        <f t="shared" si="244"/>
        <v>CANADA</v>
      </c>
      <c r="Z2625" s="4" t="str">
        <f t="shared" si="245"/>
        <v>Canada</v>
      </c>
      <c r="AA2625" t="s">
        <v>231</v>
      </c>
      <c r="AB2625" t="s">
        <v>33</v>
      </c>
      <c r="AC2625" t="s">
        <v>232</v>
      </c>
      <c r="AD2625" t="s">
        <v>233</v>
      </c>
      <c r="AE2625" t="s">
        <v>51</v>
      </c>
    </row>
    <row r="2626" spans="1:31" x14ac:dyDescent="0.3">
      <c r="A2626">
        <v>10217</v>
      </c>
      <c r="B2626">
        <v>31</v>
      </c>
      <c r="C2626">
        <v>88</v>
      </c>
      <c r="D2626">
        <v>6</v>
      </c>
      <c r="E2626" s="4" t="str">
        <f t="shared" si="240"/>
        <v>low sales</v>
      </c>
      <c r="F2626">
        <v>2728</v>
      </c>
      <c r="G2626" t="s">
        <v>3298</v>
      </c>
      <c r="H2626" s="1" t="str">
        <f t="shared" si="241"/>
        <v>Shipped</v>
      </c>
      <c r="I2626" s="4" t="str">
        <f t="shared" si="242"/>
        <v>completed</v>
      </c>
      <c r="J2626" t="s">
        <v>25</v>
      </c>
      <c r="K2626">
        <v>1</v>
      </c>
      <c r="L2626">
        <v>2</v>
      </c>
      <c r="M2626">
        <v>2004</v>
      </c>
      <c r="N2626" t="s">
        <v>181</v>
      </c>
      <c r="O2626">
        <v>101</v>
      </c>
      <c r="P2626" t="s">
        <v>667</v>
      </c>
      <c r="Q2626" t="s">
        <v>418</v>
      </c>
      <c r="R2626" t="s">
        <v>419</v>
      </c>
      <c r="S2626" t="s">
        <v>420</v>
      </c>
      <c r="T2626" t="s">
        <v>421</v>
      </c>
      <c r="U2626" s="1" t="str">
        <f t="shared" si="243"/>
        <v>Singapore</v>
      </c>
      <c r="V2626" t="s">
        <v>199</v>
      </c>
      <c r="X2626">
        <v>69045</v>
      </c>
      <c r="Y2626" s="1" t="str">
        <f t="shared" si="244"/>
        <v>SINGAPORE</v>
      </c>
      <c r="Z2626" s="4" t="str">
        <f t="shared" si="245"/>
        <v>Singapore</v>
      </c>
      <c r="AA2626" t="s">
        <v>199</v>
      </c>
      <c r="AB2626" t="s">
        <v>96</v>
      </c>
      <c r="AC2626" t="s">
        <v>422</v>
      </c>
      <c r="AD2626" t="s">
        <v>423</v>
      </c>
      <c r="AE2626" t="s">
        <v>36</v>
      </c>
    </row>
    <row r="2627" spans="1:31" x14ac:dyDescent="0.3">
      <c r="A2627">
        <v>10229</v>
      </c>
      <c r="B2627">
        <v>50</v>
      </c>
      <c r="C2627">
        <v>100</v>
      </c>
      <c r="D2627">
        <v>11</v>
      </c>
      <c r="E2627" s="4" t="str">
        <f t="shared" ref="E2627:E2690" si="246">IF(F2627&gt;4000,"high sales","low sales")</f>
        <v>high sales</v>
      </c>
      <c r="F2627">
        <v>5614</v>
      </c>
      <c r="G2627" t="s">
        <v>3299</v>
      </c>
      <c r="H2627" s="1" t="str">
        <f t="shared" ref="H2627:H2690" si="247">PROPER(TRIM(J2627))</f>
        <v>Shipped</v>
      </c>
      <c r="I2627" s="4" t="str">
        <f t="shared" ref="I2627:I2690" si="248">IF(J2627="shipped","completed","not completed")</f>
        <v>completed</v>
      </c>
      <c r="J2627" t="s">
        <v>25</v>
      </c>
      <c r="K2627">
        <v>1</v>
      </c>
      <c r="L2627">
        <v>3</v>
      </c>
      <c r="M2627">
        <v>2004</v>
      </c>
      <c r="N2627" t="s">
        <v>181</v>
      </c>
      <c r="O2627">
        <v>101</v>
      </c>
      <c r="P2627" t="s">
        <v>667</v>
      </c>
      <c r="Q2627" t="s">
        <v>272</v>
      </c>
      <c r="R2627">
        <v>4155551450</v>
      </c>
      <c r="S2627" t="s">
        <v>273</v>
      </c>
      <c r="U2627" s="1" t="str">
        <f t="shared" ref="U2627:U2690" si="249">PROPER(TRIM(V2627))</f>
        <v>San Rafael</v>
      </c>
      <c r="V2627" t="s">
        <v>274</v>
      </c>
      <c r="W2627" t="s">
        <v>55</v>
      </c>
      <c r="X2627">
        <v>97562</v>
      </c>
      <c r="Y2627" s="1" t="str">
        <f t="shared" ref="Y2627:Y2690" si="250">UPPER(TRIM(AA2627))</f>
        <v>USA</v>
      </c>
      <c r="Z2627" s="4" t="str">
        <f t="shared" ref="Z2627:Z2690" si="251">PROPER(TRIM(AA2627))</f>
        <v>Usa</v>
      </c>
      <c r="AA2627" t="s">
        <v>32</v>
      </c>
      <c r="AB2627" t="s">
        <v>33</v>
      </c>
      <c r="AC2627" t="s">
        <v>275</v>
      </c>
      <c r="AD2627" t="s">
        <v>276</v>
      </c>
      <c r="AE2627" t="s">
        <v>51</v>
      </c>
    </row>
    <row r="2628" spans="1:31" x14ac:dyDescent="0.3">
      <c r="A2628">
        <v>10245</v>
      </c>
      <c r="B2628">
        <v>44</v>
      </c>
      <c r="C2628">
        <v>100</v>
      </c>
      <c r="D2628">
        <v>4</v>
      </c>
      <c r="E2628" s="4" t="str">
        <f t="shared" si="246"/>
        <v>high sales</v>
      </c>
      <c r="F2628">
        <v>4628.8</v>
      </c>
      <c r="G2628" t="s">
        <v>3300</v>
      </c>
      <c r="H2628" s="1" t="str">
        <f t="shared" si="247"/>
        <v>Shipped</v>
      </c>
      <c r="I2628" s="4" t="str">
        <f t="shared" si="248"/>
        <v>completed</v>
      </c>
      <c r="J2628" t="s">
        <v>25</v>
      </c>
      <c r="K2628">
        <v>2</v>
      </c>
      <c r="L2628">
        <v>5</v>
      </c>
      <c r="M2628">
        <v>2004</v>
      </c>
      <c r="N2628" t="s">
        <v>181</v>
      </c>
      <c r="O2628">
        <v>101</v>
      </c>
      <c r="P2628" t="s">
        <v>667</v>
      </c>
      <c r="Q2628" t="s">
        <v>242</v>
      </c>
      <c r="R2628">
        <v>2035559545</v>
      </c>
      <c r="S2628" t="s">
        <v>243</v>
      </c>
      <c r="U2628" s="1" t="str">
        <f t="shared" si="249"/>
        <v>New Haven</v>
      </c>
      <c r="V2628" t="s">
        <v>244</v>
      </c>
      <c r="W2628" t="s">
        <v>112</v>
      </c>
      <c r="X2628">
        <v>97823</v>
      </c>
      <c r="Y2628" s="1" t="str">
        <f t="shared" si="250"/>
        <v>USA</v>
      </c>
      <c r="Z2628" s="4" t="str">
        <f t="shared" si="251"/>
        <v>Usa</v>
      </c>
      <c r="AA2628" t="s">
        <v>32</v>
      </c>
      <c r="AB2628" t="s">
        <v>33</v>
      </c>
      <c r="AC2628" t="s">
        <v>83</v>
      </c>
      <c r="AD2628" t="s">
        <v>245</v>
      </c>
      <c r="AE2628" t="s">
        <v>51</v>
      </c>
    </row>
    <row r="2629" spans="1:31" x14ac:dyDescent="0.3">
      <c r="A2629">
        <v>10258</v>
      </c>
      <c r="B2629">
        <v>45</v>
      </c>
      <c r="C2629">
        <v>80.92</v>
      </c>
      <c r="D2629">
        <v>1</v>
      </c>
      <c r="E2629" s="4" t="str">
        <f t="shared" si="246"/>
        <v>low sales</v>
      </c>
      <c r="F2629">
        <v>3641.4</v>
      </c>
      <c r="G2629" t="s">
        <v>3301</v>
      </c>
      <c r="H2629" s="1" t="str">
        <f t="shared" si="247"/>
        <v>Shipped</v>
      </c>
      <c r="I2629" s="4" t="str">
        <f t="shared" si="248"/>
        <v>completed</v>
      </c>
      <c r="J2629" t="s">
        <v>25</v>
      </c>
      <c r="K2629">
        <v>2</v>
      </c>
      <c r="L2629">
        <v>6</v>
      </c>
      <c r="M2629">
        <v>2004</v>
      </c>
      <c r="N2629" t="s">
        <v>181</v>
      </c>
      <c r="O2629">
        <v>101</v>
      </c>
      <c r="P2629" t="s">
        <v>667</v>
      </c>
      <c r="Q2629" t="s">
        <v>246</v>
      </c>
      <c r="R2629" t="s">
        <v>247</v>
      </c>
      <c r="S2629" t="s">
        <v>248</v>
      </c>
      <c r="U2629" s="1" t="str">
        <f t="shared" si="249"/>
        <v>Minato-Ku</v>
      </c>
      <c r="V2629" t="s">
        <v>249</v>
      </c>
      <c r="W2629" t="s">
        <v>250</v>
      </c>
      <c r="X2629" t="s">
        <v>251</v>
      </c>
      <c r="Y2629" s="1" t="str">
        <f t="shared" si="250"/>
        <v>JAPAN</v>
      </c>
      <c r="Z2629" s="4" t="str">
        <f t="shared" si="251"/>
        <v>Japan</v>
      </c>
      <c r="AA2629" t="s">
        <v>200</v>
      </c>
      <c r="AB2629" t="s">
        <v>200</v>
      </c>
      <c r="AC2629" t="s">
        <v>252</v>
      </c>
      <c r="AD2629" t="s">
        <v>253</v>
      </c>
      <c r="AE2629" t="s">
        <v>51</v>
      </c>
    </row>
    <row r="2630" spans="1:31" x14ac:dyDescent="0.3">
      <c r="A2630">
        <v>10270</v>
      </c>
      <c r="B2630">
        <v>46</v>
      </c>
      <c r="C2630">
        <v>88</v>
      </c>
      <c r="D2630">
        <v>4</v>
      </c>
      <c r="E2630" s="4" t="str">
        <f t="shared" si="246"/>
        <v>high sales</v>
      </c>
      <c r="F2630">
        <v>4048</v>
      </c>
      <c r="G2630" t="s">
        <v>3302</v>
      </c>
      <c r="H2630" s="1" t="str">
        <f t="shared" si="247"/>
        <v>Shipped</v>
      </c>
      <c r="I2630" s="4" t="str">
        <f t="shared" si="248"/>
        <v>completed</v>
      </c>
      <c r="J2630" t="s">
        <v>25</v>
      </c>
      <c r="K2630">
        <v>3</v>
      </c>
      <c r="L2630">
        <v>7</v>
      </c>
      <c r="M2630">
        <v>2004</v>
      </c>
      <c r="N2630" t="s">
        <v>181</v>
      </c>
      <c r="O2630">
        <v>101</v>
      </c>
      <c r="P2630" t="s">
        <v>667</v>
      </c>
      <c r="Q2630" t="s">
        <v>152</v>
      </c>
      <c r="R2630" t="s">
        <v>153</v>
      </c>
      <c r="S2630" t="s">
        <v>154</v>
      </c>
      <c r="T2630" t="s">
        <v>155</v>
      </c>
      <c r="U2630" s="1" t="str">
        <f t="shared" si="249"/>
        <v>Chatswood</v>
      </c>
      <c r="V2630" t="s">
        <v>156</v>
      </c>
      <c r="W2630" t="s">
        <v>157</v>
      </c>
      <c r="X2630">
        <v>2067</v>
      </c>
      <c r="Y2630" s="1" t="str">
        <f t="shared" si="250"/>
        <v>AUSTRALIA</v>
      </c>
      <c r="Z2630" s="4" t="str">
        <f t="shared" si="251"/>
        <v>Australia</v>
      </c>
      <c r="AA2630" t="s">
        <v>95</v>
      </c>
      <c r="AB2630" t="s">
        <v>96</v>
      </c>
      <c r="AC2630" t="s">
        <v>158</v>
      </c>
      <c r="AD2630" t="s">
        <v>159</v>
      </c>
      <c r="AE2630" t="s">
        <v>51</v>
      </c>
    </row>
    <row r="2631" spans="1:31" x14ac:dyDescent="0.3">
      <c r="A2631">
        <v>10281</v>
      </c>
      <c r="B2631">
        <v>27</v>
      </c>
      <c r="C2631">
        <v>85.98</v>
      </c>
      <c r="D2631">
        <v>11</v>
      </c>
      <c r="E2631" s="4" t="str">
        <f t="shared" si="246"/>
        <v>low sales</v>
      </c>
      <c r="F2631">
        <v>2321.46</v>
      </c>
      <c r="G2631" t="s">
        <v>3303</v>
      </c>
      <c r="H2631" s="1" t="str">
        <f t="shared" si="247"/>
        <v>Shipped</v>
      </c>
      <c r="I2631" s="4" t="str">
        <f t="shared" si="248"/>
        <v>completed</v>
      </c>
      <c r="J2631" t="s">
        <v>25</v>
      </c>
      <c r="K2631">
        <v>3</v>
      </c>
      <c r="L2631">
        <v>8</v>
      </c>
      <c r="M2631">
        <v>2004</v>
      </c>
      <c r="N2631" t="s">
        <v>181</v>
      </c>
      <c r="O2631">
        <v>101</v>
      </c>
      <c r="P2631" t="s">
        <v>667</v>
      </c>
      <c r="Q2631" t="s">
        <v>139</v>
      </c>
      <c r="R2631">
        <v>2155551555</v>
      </c>
      <c r="S2631" t="s">
        <v>140</v>
      </c>
      <c r="U2631" s="1" t="str">
        <f t="shared" si="249"/>
        <v>Allentown</v>
      </c>
      <c r="V2631" t="s">
        <v>141</v>
      </c>
      <c r="W2631" t="s">
        <v>142</v>
      </c>
      <c r="X2631">
        <v>70267</v>
      </c>
      <c r="Y2631" s="1" t="str">
        <f t="shared" si="250"/>
        <v>USA</v>
      </c>
      <c r="Z2631" s="4" t="str">
        <f t="shared" si="251"/>
        <v>Usa</v>
      </c>
      <c r="AA2631" t="s">
        <v>32</v>
      </c>
      <c r="AB2631" t="s">
        <v>33</v>
      </c>
      <c r="AC2631" t="s">
        <v>34</v>
      </c>
      <c r="AD2631" t="s">
        <v>143</v>
      </c>
      <c r="AE2631" t="s">
        <v>36</v>
      </c>
    </row>
    <row r="2632" spans="1:31" x14ac:dyDescent="0.3">
      <c r="A2632">
        <v>10291</v>
      </c>
      <c r="B2632">
        <v>28</v>
      </c>
      <c r="C2632">
        <v>100</v>
      </c>
      <c r="D2632">
        <v>6</v>
      </c>
      <c r="E2632" s="4" t="str">
        <f t="shared" si="246"/>
        <v>low sales</v>
      </c>
      <c r="F2632">
        <v>3256.96</v>
      </c>
      <c r="G2632" t="s">
        <v>3304</v>
      </c>
      <c r="H2632" s="1" t="str">
        <f t="shared" si="247"/>
        <v>Shipped</v>
      </c>
      <c r="I2632" s="4" t="str">
        <f t="shared" si="248"/>
        <v>completed</v>
      </c>
      <c r="J2632" t="s">
        <v>25</v>
      </c>
      <c r="K2632">
        <v>3</v>
      </c>
      <c r="L2632">
        <v>9</v>
      </c>
      <c r="M2632">
        <v>2004</v>
      </c>
      <c r="N2632" t="s">
        <v>181</v>
      </c>
      <c r="O2632">
        <v>101</v>
      </c>
      <c r="P2632" t="s">
        <v>667</v>
      </c>
      <c r="Q2632" t="s">
        <v>261</v>
      </c>
      <c r="R2632" t="s">
        <v>262</v>
      </c>
      <c r="S2632" t="s">
        <v>263</v>
      </c>
      <c r="U2632" s="1" t="str">
        <f t="shared" si="249"/>
        <v>Boras</v>
      </c>
      <c r="V2632" t="s">
        <v>264</v>
      </c>
      <c r="X2632" t="s">
        <v>265</v>
      </c>
      <c r="Y2632" s="1" t="str">
        <f t="shared" si="250"/>
        <v>SWEDEN</v>
      </c>
      <c r="Z2632" s="4" t="str">
        <f t="shared" si="251"/>
        <v>Sweden</v>
      </c>
      <c r="AA2632" t="s">
        <v>188</v>
      </c>
      <c r="AB2632" t="s">
        <v>42</v>
      </c>
      <c r="AC2632" t="s">
        <v>266</v>
      </c>
      <c r="AD2632" t="s">
        <v>206</v>
      </c>
      <c r="AE2632" t="s">
        <v>51</v>
      </c>
    </row>
    <row r="2633" spans="1:31" x14ac:dyDescent="0.3">
      <c r="A2633">
        <v>10304</v>
      </c>
      <c r="B2633">
        <v>40</v>
      </c>
      <c r="C2633">
        <v>100</v>
      </c>
      <c r="D2633">
        <v>1</v>
      </c>
      <c r="E2633" s="4" t="str">
        <f t="shared" si="246"/>
        <v>high sales</v>
      </c>
      <c r="F2633">
        <v>4208</v>
      </c>
      <c r="G2633" t="s">
        <v>3305</v>
      </c>
      <c r="H2633" s="1" t="str">
        <f t="shared" si="247"/>
        <v>Shipped</v>
      </c>
      <c r="I2633" s="4" t="str">
        <f t="shared" si="248"/>
        <v>completed</v>
      </c>
      <c r="J2633" t="s">
        <v>25</v>
      </c>
      <c r="K2633">
        <v>4</v>
      </c>
      <c r="L2633">
        <v>10</v>
      </c>
      <c r="M2633">
        <v>2004</v>
      </c>
      <c r="N2633" t="s">
        <v>181</v>
      </c>
      <c r="O2633">
        <v>101</v>
      </c>
      <c r="P2633" t="s">
        <v>667</v>
      </c>
      <c r="Q2633" t="s">
        <v>267</v>
      </c>
      <c r="R2633" t="s">
        <v>268</v>
      </c>
      <c r="S2633" t="s">
        <v>269</v>
      </c>
      <c r="U2633" s="1" t="str">
        <f t="shared" si="249"/>
        <v>Versailles</v>
      </c>
      <c r="V2633" t="s">
        <v>270</v>
      </c>
      <c r="X2633">
        <v>78000</v>
      </c>
      <c r="Y2633" s="1" t="str">
        <f t="shared" si="250"/>
        <v>FRANCE</v>
      </c>
      <c r="Z2633" s="4" t="str">
        <f t="shared" si="251"/>
        <v>France</v>
      </c>
      <c r="AA2633" t="s">
        <v>41</v>
      </c>
      <c r="AB2633" t="s">
        <v>42</v>
      </c>
      <c r="AC2633" t="s">
        <v>271</v>
      </c>
      <c r="AD2633" t="s">
        <v>50</v>
      </c>
      <c r="AE2633" t="s">
        <v>51</v>
      </c>
    </row>
    <row r="2634" spans="1:31" x14ac:dyDescent="0.3">
      <c r="A2634">
        <v>10313</v>
      </c>
      <c r="B2634">
        <v>30</v>
      </c>
      <c r="C2634">
        <v>99.13</v>
      </c>
      <c r="D2634">
        <v>9</v>
      </c>
      <c r="E2634" s="4" t="str">
        <f t="shared" si="246"/>
        <v>low sales</v>
      </c>
      <c r="F2634">
        <v>2973.9</v>
      </c>
      <c r="G2634" t="s">
        <v>3306</v>
      </c>
      <c r="H2634" s="1" t="str">
        <f t="shared" si="247"/>
        <v>Shipped</v>
      </c>
      <c r="I2634" s="4" t="str">
        <f t="shared" si="248"/>
        <v>completed</v>
      </c>
      <c r="J2634" t="s">
        <v>25</v>
      </c>
      <c r="K2634">
        <v>4</v>
      </c>
      <c r="L2634">
        <v>10</v>
      </c>
      <c r="M2634">
        <v>2004</v>
      </c>
      <c r="N2634" t="s">
        <v>181</v>
      </c>
      <c r="O2634">
        <v>101</v>
      </c>
      <c r="P2634" t="s">
        <v>667</v>
      </c>
      <c r="Q2634" t="s">
        <v>225</v>
      </c>
      <c r="R2634" t="s">
        <v>226</v>
      </c>
      <c r="S2634" t="s">
        <v>227</v>
      </c>
      <c r="U2634" s="1" t="str">
        <f t="shared" si="249"/>
        <v>Vancouver</v>
      </c>
      <c r="V2634" t="s">
        <v>228</v>
      </c>
      <c r="W2634" t="s">
        <v>229</v>
      </c>
      <c r="X2634" t="s">
        <v>230</v>
      </c>
      <c r="Y2634" s="1" t="str">
        <f t="shared" si="250"/>
        <v>CANADA</v>
      </c>
      <c r="Z2634" s="4" t="str">
        <f t="shared" si="251"/>
        <v>Canada</v>
      </c>
      <c r="AA2634" t="s">
        <v>231</v>
      </c>
      <c r="AB2634" t="s">
        <v>33</v>
      </c>
      <c r="AC2634" t="s">
        <v>232</v>
      </c>
      <c r="AD2634" t="s">
        <v>233</v>
      </c>
      <c r="AE2634" t="s">
        <v>36</v>
      </c>
    </row>
    <row r="2635" spans="1:31" x14ac:dyDescent="0.3">
      <c r="A2635">
        <v>10324</v>
      </c>
      <c r="B2635">
        <v>34</v>
      </c>
      <c r="C2635">
        <v>100</v>
      </c>
      <c r="D2635">
        <v>5</v>
      </c>
      <c r="E2635" s="4" t="str">
        <f t="shared" si="246"/>
        <v>high sales</v>
      </c>
      <c r="F2635">
        <v>4248.3</v>
      </c>
      <c r="G2635" t="s">
        <v>3307</v>
      </c>
      <c r="H2635" s="1" t="str">
        <f t="shared" si="247"/>
        <v>Shipped</v>
      </c>
      <c r="I2635" s="4" t="str">
        <f t="shared" si="248"/>
        <v>completed</v>
      </c>
      <c r="J2635" t="s">
        <v>25</v>
      </c>
      <c r="K2635">
        <v>4</v>
      </c>
      <c r="L2635">
        <v>11</v>
      </c>
      <c r="M2635">
        <v>2004</v>
      </c>
      <c r="N2635" t="s">
        <v>181</v>
      </c>
      <c r="O2635">
        <v>101</v>
      </c>
      <c r="P2635" t="s">
        <v>667</v>
      </c>
      <c r="Q2635" t="s">
        <v>99</v>
      </c>
      <c r="R2635">
        <v>2125551500</v>
      </c>
      <c r="S2635" t="s">
        <v>100</v>
      </c>
      <c r="T2635" t="s">
        <v>101</v>
      </c>
      <c r="U2635" s="1" t="str">
        <f t="shared" si="249"/>
        <v>Nyc</v>
      </c>
      <c r="V2635" t="s">
        <v>30</v>
      </c>
      <c r="W2635" t="s">
        <v>31</v>
      </c>
      <c r="X2635">
        <v>10022</v>
      </c>
      <c r="Y2635" s="1" t="str">
        <f t="shared" si="250"/>
        <v>USA</v>
      </c>
      <c r="Z2635" s="4" t="str">
        <f t="shared" si="251"/>
        <v>Usa</v>
      </c>
      <c r="AA2635" t="s">
        <v>32</v>
      </c>
      <c r="AB2635" t="s">
        <v>33</v>
      </c>
      <c r="AC2635" t="s">
        <v>102</v>
      </c>
      <c r="AD2635" t="s">
        <v>103</v>
      </c>
      <c r="AE2635" t="s">
        <v>51</v>
      </c>
    </row>
    <row r="2636" spans="1:31" x14ac:dyDescent="0.3">
      <c r="A2636">
        <v>10336</v>
      </c>
      <c r="B2636">
        <v>46</v>
      </c>
      <c r="C2636">
        <v>100</v>
      </c>
      <c r="D2636">
        <v>2</v>
      </c>
      <c r="E2636" s="4" t="str">
        <f t="shared" si="246"/>
        <v>high sales</v>
      </c>
      <c r="F2636">
        <v>9558.7999999999993</v>
      </c>
      <c r="G2636" t="s">
        <v>3308</v>
      </c>
      <c r="H2636" s="1" t="str">
        <f t="shared" si="247"/>
        <v>Shipped</v>
      </c>
      <c r="I2636" s="4" t="str">
        <f t="shared" si="248"/>
        <v>completed</v>
      </c>
      <c r="J2636" t="s">
        <v>25</v>
      </c>
      <c r="K2636">
        <v>4</v>
      </c>
      <c r="L2636">
        <v>11</v>
      </c>
      <c r="M2636">
        <v>2004</v>
      </c>
      <c r="N2636" t="s">
        <v>181</v>
      </c>
      <c r="O2636">
        <v>101</v>
      </c>
      <c r="P2636" t="s">
        <v>667</v>
      </c>
      <c r="Q2636" t="s">
        <v>403</v>
      </c>
      <c r="R2636" t="s">
        <v>404</v>
      </c>
      <c r="S2636" t="s">
        <v>405</v>
      </c>
      <c r="U2636" s="1" t="str">
        <f t="shared" si="249"/>
        <v>Paris</v>
      </c>
      <c r="V2636" t="s">
        <v>48</v>
      </c>
      <c r="X2636">
        <v>75012</v>
      </c>
      <c r="Y2636" s="1" t="str">
        <f t="shared" si="250"/>
        <v>FRANCE</v>
      </c>
      <c r="Z2636" s="4" t="str">
        <f t="shared" si="251"/>
        <v>France</v>
      </c>
      <c r="AA2636" t="s">
        <v>41</v>
      </c>
      <c r="AB2636" t="s">
        <v>42</v>
      </c>
      <c r="AC2636" t="s">
        <v>406</v>
      </c>
      <c r="AD2636" t="s">
        <v>407</v>
      </c>
      <c r="AE2636" t="s">
        <v>151</v>
      </c>
    </row>
    <row r="2637" spans="1:31" x14ac:dyDescent="0.3">
      <c r="A2637">
        <v>10348</v>
      </c>
      <c r="B2637">
        <v>32</v>
      </c>
      <c r="C2637">
        <v>82.83</v>
      </c>
      <c r="D2637">
        <v>7</v>
      </c>
      <c r="E2637" s="4" t="str">
        <f t="shared" si="246"/>
        <v>low sales</v>
      </c>
      <c r="F2637">
        <v>2650.56</v>
      </c>
      <c r="G2637" t="s">
        <v>3309</v>
      </c>
      <c r="H2637" s="1" t="str">
        <f t="shared" si="247"/>
        <v>Shipped</v>
      </c>
      <c r="I2637" s="4" t="str">
        <f t="shared" si="248"/>
        <v>completed</v>
      </c>
      <c r="J2637" t="s">
        <v>25</v>
      </c>
      <c r="K2637">
        <v>4</v>
      </c>
      <c r="L2637">
        <v>11</v>
      </c>
      <c r="M2637">
        <v>2004</v>
      </c>
      <c r="N2637" t="s">
        <v>181</v>
      </c>
      <c r="O2637">
        <v>101</v>
      </c>
      <c r="P2637" t="s">
        <v>667</v>
      </c>
      <c r="Q2637" t="s">
        <v>191</v>
      </c>
      <c r="R2637" t="s">
        <v>192</v>
      </c>
      <c r="S2637" t="s">
        <v>193</v>
      </c>
      <c r="U2637" s="1" t="str">
        <f t="shared" si="249"/>
        <v>Madrid</v>
      </c>
      <c r="V2637" t="s">
        <v>177</v>
      </c>
      <c r="X2637">
        <v>28023</v>
      </c>
      <c r="Y2637" s="1" t="str">
        <f t="shared" si="250"/>
        <v>SPAIN</v>
      </c>
      <c r="Z2637" s="4" t="str">
        <f t="shared" si="251"/>
        <v>Spain</v>
      </c>
      <c r="AA2637" t="s">
        <v>178</v>
      </c>
      <c r="AB2637" t="s">
        <v>42</v>
      </c>
      <c r="AC2637" t="s">
        <v>194</v>
      </c>
      <c r="AD2637" t="s">
        <v>195</v>
      </c>
      <c r="AE2637" t="s">
        <v>36</v>
      </c>
    </row>
    <row r="2638" spans="1:31" x14ac:dyDescent="0.3">
      <c r="A2638">
        <v>10358</v>
      </c>
      <c r="B2638">
        <v>27</v>
      </c>
      <c r="C2638">
        <v>100</v>
      </c>
      <c r="D2638">
        <v>3</v>
      </c>
      <c r="E2638" s="4" t="str">
        <f t="shared" si="246"/>
        <v>low sales</v>
      </c>
      <c r="F2638">
        <v>3761.37</v>
      </c>
      <c r="G2638" t="s">
        <v>3310</v>
      </c>
      <c r="H2638" s="1" t="str">
        <f t="shared" si="247"/>
        <v>Shipped</v>
      </c>
      <c r="I2638" s="4" t="str">
        <f t="shared" si="248"/>
        <v>completed</v>
      </c>
      <c r="J2638" t="s">
        <v>25</v>
      </c>
      <c r="K2638">
        <v>4</v>
      </c>
      <c r="L2638">
        <v>12</v>
      </c>
      <c r="M2638">
        <v>2004</v>
      </c>
      <c r="N2638" t="s">
        <v>181</v>
      </c>
      <c r="O2638">
        <v>101</v>
      </c>
      <c r="P2638" t="s">
        <v>667</v>
      </c>
      <c r="Q2638" t="s">
        <v>174</v>
      </c>
      <c r="R2638" t="s">
        <v>175</v>
      </c>
      <c r="S2638" t="s">
        <v>176</v>
      </c>
      <c r="U2638" s="1" t="str">
        <f t="shared" si="249"/>
        <v>Madrid</v>
      </c>
      <c r="V2638" t="s">
        <v>177</v>
      </c>
      <c r="X2638">
        <v>28034</v>
      </c>
      <c r="Y2638" s="1" t="str">
        <f t="shared" si="250"/>
        <v>SPAIN</v>
      </c>
      <c r="Z2638" s="4" t="str">
        <f t="shared" si="251"/>
        <v>Spain</v>
      </c>
      <c r="AA2638" t="s">
        <v>178</v>
      </c>
      <c r="AB2638" t="s">
        <v>42</v>
      </c>
      <c r="AC2638" t="s">
        <v>179</v>
      </c>
      <c r="AD2638" t="s">
        <v>180</v>
      </c>
      <c r="AE2638" t="s">
        <v>51</v>
      </c>
    </row>
    <row r="2639" spans="1:31" x14ac:dyDescent="0.3">
      <c r="A2639">
        <v>10371</v>
      </c>
      <c r="B2639">
        <v>34</v>
      </c>
      <c r="C2639">
        <v>100</v>
      </c>
      <c r="D2639">
        <v>3</v>
      </c>
      <c r="E2639" s="4" t="str">
        <f t="shared" si="246"/>
        <v>high sales</v>
      </c>
      <c r="F2639">
        <v>4301.34</v>
      </c>
      <c r="G2639" t="s">
        <v>3311</v>
      </c>
      <c r="H2639" s="1" t="str">
        <f t="shared" si="247"/>
        <v>Shipped</v>
      </c>
      <c r="I2639" s="4" t="str">
        <f t="shared" si="248"/>
        <v>completed</v>
      </c>
      <c r="J2639" t="s">
        <v>25</v>
      </c>
      <c r="K2639">
        <v>1</v>
      </c>
      <c r="L2639">
        <v>1</v>
      </c>
      <c r="M2639">
        <v>2005</v>
      </c>
      <c r="N2639" t="s">
        <v>181</v>
      </c>
      <c r="O2639">
        <v>101</v>
      </c>
      <c r="P2639" t="s">
        <v>667</v>
      </c>
      <c r="Q2639" t="s">
        <v>272</v>
      </c>
      <c r="R2639">
        <v>4155551450</v>
      </c>
      <c r="S2639" t="s">
        <v>273</v>
      </c>
      <c r="U2639" s="1" t="str">
        <f t="shared" si="249"/>
        <v>San Rafael</v>
      </c>
      <c r="V2639" t="s">
        <v>274</v>
      </c>
      <c r="W2639" t="s">
        <v>55</v>
      </c>
      <c r="X2639">
        <v>97562</v>
      </c>
      <c r="Y2639" s="1" t="str">
        <f t="shared" si="250"/>
        <v>USA</v>
      </c>
      <c r="Z2639" s="4" t="str">
        <f t="shared" si="251"/>
        <v>Usa</v>
      </c>
      <c r="AA2639" t="s">
        <v>32</v>
      </c>
      <c r="AB2639" t="s">
        <v>33</v>
      </c>
      <c r="AC2639" t="s">
        <v>275</v>
      </c>
      <c r="AD2639" t="s">
        <v>276</v>
      </c>
      <c r="AE2639" t="s">
        <v>51</v>
      </c>
    </row>
    <row r="2640" spans="1:31" x14ac:dyDescent="0.3">
      <c r="A2640">
        <v>10382</v>
      </c>
      <c r="B2640">
        <v>34</v>
      </c>
      <c r="C2640">
        <v>54.84</v>
      </c>
      <c r="D2640">
        <v>9</v>
      </c>
      <c r="E2640" s="4" t="str">
        <f t="shared" si="246"/>
        <v>low sales</v>
      </c>
      <c r="F2640">
        <v>1864.56</v>
      </c>
      <c r="G2640" t="s">
        <v>3312</v>
      </c>
      <c r="H2640" s="1" t="str">
        <f t="shared" si="247"/>
        <v>Shipped</v>
      </c>
      <c r="I2640" s="4" t="str">
        <f t="shared" si="248"/>
        <v>completed</v>
      </c>
      <c r="J2640" t="s">
        <v>25</v>
      </c>
      <c r="K2640">
        <v>1</v>
      </c>
      <c r="L2640">
        <v>2</v>
      </c>
      <c r="M2640">
        <v>2005</v>
      </c>
      <c r="N2640" t="s">
        <v>181</v>
      </c>
      <c r="O2640">
        <v>101</v>
      </c>
      <c r="P2640" t="s">
        <v>667</v>
      </c>
      <c r="Q2640" t="s">
        <v>272</v>
      </c>
      <c r="R2640">
        <v>4155551450</v>
      </c>
      <c r="S2640" t="s">
        <v>273</v>
      </c>
      <c r="U2640" s="1" t="str">
        <f t="shared" si="249"/>
        <v>San Rafael</v>
      </c>
      <c r="V2640" t="s">
        <v>274</v>
      </c>
      <c r="W2640" t="s">
        <v>55</v>
      </c>
      <c r="X2640">
        <v>97562</v>
      </c>
      <c r="Y2640" s="1" t="str">
        <f t="shared" si="250"/>
        <v>USA</v>
      </c>
      <c r="Z2640" s="4" t="str">
        <f t="shared" si="251"/>
        <v>Usa</v>
      </c>
      <c r="AA2640" t="s">
        <v>32</v>
      </c>
      <c r="AB2640" t="s">
        <v>33</v>
      </c>
      <c r="AC2640" t="s">
        <v>275</v>
      </c>
      <c r="AD2640" t="s">
        <v>276</v>
      </c>
      <c r="AE2640" t="s">
        <v>36</v>
      </c>
    </row>
    <row r="2641" spans="1:31" x14ac:dyDescent="0.3">
      <c r="A2641">
        <v>10411</v>
      </c>
      <c r="B2641">
        <v>34</v>
      </c>
      <c r="C2641">
        <v>100</v>
      </c>
      <c r="D2641">
        <v>4</v>
      </c>
      <c r="E2641" s="4" t="str">
        <f t="shared" si="246"/>
        <v>low sales</v>
      </c>
      <c r="F2641">
        <v>3576.8</v>
      </c>
      <c r="G2641" t="s">
        <v>3313</v>
      </c>
      <c r="H2641" s="1" t="str">
        <f t="shared" si="247"/>
        <v>Shipped</v>
      </c>
      <c r="I2641" s="4" t="str">
        <f t="shared" si="248"/>
        <v>completed</v>
      </c>
      <c r="J2641" t="s">
        <v>25</v>
      </c>
      <c r="K2641">
        <v>2</v>
      </c>
      <c r="L2641">
        <v>5</v>
      </c>
      <c r="M2641">
        <v>2005</v>
      </c>
      <c r="N2641" t="s">
        <v>181</v>
      </c>
      <c r="O2641">
        <v>101</v>
      </c>
      <c r="P2641" t="s">
        <v>667</v>
      </c>
      <c r="Q2641" t="s">
        <v>292</v>
      </c>
      <c r="R2641" t="s">
        <v>293</v>
      </c>
      <c r="S2641" t="s">
        <v>294</v>
      </c>
      <c r="U2641" s="1" t="str">
        <f t="shared" si="249"/>
        <v>Montreal</v>
      </c>
      <c r="V2641" t="s">
        <v>295</v>
      </c>
      <c r="W2641" t="s">
        <v>296</v>
      </c>
      <c r="X2641" t="s">
        <v>297</v>
      </c>
      <c r="Y2641" s="1" t="str">
        <f t="shared" si="250"/>
        <v>CANADA</v>
      </c>
      <c r="Z2641" s="4" t="str">
        <f t="shared" si="251"/>
        <v>Canada</v>
      </c>
      <c r="AA2641" t="s">
        <v>231</v>
      </c>
      <c r="AB2641" t="s">
        <v>33</v>
      </c>
      <c r="AC2641" t="s">
        <v>298</v>
      </c>
      <c r="AD2641" t="s">
        <v>299</v>
      </c>
      <c r="AE2641" t="s">
        <v>51</v>
      </c>
    </row>
    <row r="2642" spans="1:31" x14ac:dyDescent="0.3">
      <c r="A2642">
        <v>10424</v>
      </c>
      <c r="B2642">
        <v>46</v>
      </c>
      <c r="C2642">
        <v>80.92</v>
      </c>
      <c r="D2642">
        <v>1</v>
      </c>
      <c r="E2642" s="4" t="str">
        <f t="shared" si="246"/>
        <v>low sales</v>
      </c>
      <c r="F2642">
        <v>3722.32</v>
      </c>
      <c r="G2642" t="s">
        <v>3314</v>
      </c>
      <c r="H2642" s="1" t="str">
        <f t="shared" si="247"/>
        <v>In Process</v>
      </c>
      <c r="I2642" s="4" t="str">
        <f t="shared" si="248"/>
        <v>not completed</v>
      </c>
      <c r="J2642" t="s">
        <v>300</v>
      </c>
      <c r="K2642">
        <v>2</v>
      </c>
      <c r="L2642">
        <v>5</v>
      </c>
      <c r="M2642">
        <v>2005</v>
      </c>
      <c r="N2642" t="s">
        <v>181</v>
      </c>
      <c r="O2642">
        <v>101</v>
      </c>
      <c r="P2642" t="s">
        <v>667</v>
      </c>
      <c r="Q2642" t="s">
        <v>174</v>
      </c>
      <c r="R2642" t="s">
        <v>175</v>
      </c>
      <c r="S2642" t="s">
        <v>176</v>
      </c>
      <c r="U2642" s="1" t="str">
        <f t="shared" si="249"/>
        <v>Madrid</v>
      </c>
      <c r="V2642" t="s">
        <v>177</v>
      </c>
      <c r="X2642">
        <v>28034</v>
      </c>
      <c r="Y2642" s="1" t="str">
        <f t="shared" si="250"/>
        <v>SPAIN</v>
      </c>
      <c r="Z2642" s="4" t="str">
        <f t="shared" si="251"/>
        <v>Spain</v>
      </c>
      <c r="AA2642" t="s">
        <v>178</v>
      </c>
      <c r="AB2642" t="s">
        <v>42</v>
      </c>
      <c r="AC2642" t="s">
        <v>179</v>
      </c>
      <c r="AD2642" t="s">
        <v>180</v>
      </c>
      <c r="AE2642" t="s">
        <v>51</v>
      </c>
    </row>
    <row r="2643" spans="1:31" x14ac:dyDescent="0.3">
      <c r="A2643">
        <v>10106</v>
      </c>
      <c r="B2643">
        <v>32</v>
      </c>
      <c r="C2643">
        <v>100</v>
      </c>
      <c r="D2643">
        <v>1</v>
      </c>
      <c r="E2643" s="4" t="str">
        <f t="shared" si="246"/>
        <v>low sales</v>
      </c>
      <c r="F2643">
        <v>3986.56</v>
      </c>
      <c r="G2643" t="s">
        <v>3315</v>
      </c>
      <c r="H2643" s="1" t="str">
        <f t="shared" si="247"/>
        <v>Shipped</v>
      </c>
      <c r="I2643" s="4" t="str">
        <f t="shared" si="248"/>
        <v>completed</v>
      </c>
      <c r="J2643" t="s">
        <v>25</v>
      </c>
      <c r="K2643">
        <v>1</v>
      </c>
      <c r="L2643">
        <v>2</v>
      </c>
      <c r="M2643">
        <v>2003</v>
      </c>
      <c r="N2643" t="s">
        <v>566</v>
      </c>
      <c r="O2643">
        <v>118</v>
      </c>
      <c r="P2643" t="s">
        <v>668</v>
      </c>
      <c r="Q2643" t="s">
        <v>552</v>
      </c>
      <c r="R2643" t="s">
        <v>553</v>
      </c>
      <c r="S2643" t="s">
        <v>554</v>
      </c>
      <c r="U2643" s="1" t="str">
        <f t="shared" si="249"/>
        <v>Bergamo</v>
      </c>
      <c r="V2643" t="s">
        <v>555</v>
      </c>
      <c r="X2643">
        <v>24100</v>
      </c>
      <c r="Y2643" s="1" t="str">
        <f t="shared" si="250"/>
        <v>ITALY</v>
      </c>
      <c r="Z2643" s="4" t="str">
        <f t="shared" si="251"/>
        <v>Italy</v>
      </c>
      <c r="AA2643" t="s">
        <v>258</v>
      </c>
      <c r="AB2643" t="s">
        <v>42</v>
      </c>
      <c r="AC2643" t="s">
        <v>556</v>
      </c>
      <c r="AD2643" t="s">
        <v>557</v>
      </c>
      <c r="AE2643" t="s">
        <v>51</v>
      </c>
    </row>
    <row r="2644" spans="1:31" x14ac:dyDescent="0.3">
      <c r="A2644">
        <v>10120</v>
      </c>
      <c r="B2644">
        <v>24</v>
      </c>
      <c r="C2644">
        <v>100</v>
      </c>
      <c r="D2644">
        <v>7</v>
      </c>
      <c r="E2644" s="4" t="str">
        <f t="shared" si="246"/>
        <v>low sales</v>
      </c>
      <c r="F2644">
        <v>3417.12</v>
      </c>
      <c r="G2644" t="s">
        <v>3316</v>
      </c>
      <c r="H2644" s="1" t="str">
        <f t="shared" si="247"/>
        <v>Shipped</v>
      </c>
      <c r="I2644" s="4" t="str">
        <f t="shared" si="248"/>
        <v>completed</v>
      </c>
      <c r="J2644" t="s">
        <v>25</v>
      </c>
      <c r="K2644">
        <v>2</v>
      </c>
      <c r="L2644">
        <v>4</v>
      </c>
      <c r="M2644">
        <v>2003</v>
      </c>
      <c r="N2644" t="s">
        <v>566</v>
      </c>
      <c r="O2644">
        <v>118</v>
      </c>
      <c r="P2644" t="s">
        <v>668</v>
      </c>
      <c r="Q2644" t="s">
        <v>89</v>
      </c>
      <c r="R2644" t="s">
        <v>90</v>
      </c>
      <c r="S2644" t="s">
        <v>91</v>
      </c>
      <c r="T2644" t="s">
        <v>92</v>
      </c>
      <c r="U2644" s="1" t="str">
        <f t="shared" si="249"/>
        <v>Melbourne</v>
      </c>
      <c r="V2644" t="s">
        <v>93</v>
      </c>
      <c r="W2644" t="s">
        <v>94</v>
      </c>
      <c r="X2644">
        <v>3004</v>
      </c>
      <c r="Y2644" s="1" t="str">
        <f t="shared" si="250"/>
        <v>AUSTRALIA</v>
      </c>
      <c r="Z2644" s="4" t="str">
        <f t="shared" si="251"/>
        <v>Australia</v>
      </c>
      <c r="AA2644" t="s">
        <v>95</v>
      </c>
      <c r="AB2644" t="s">
        <v>96</v>
      </c>
      <c r="AC2644" t="s">
        <v>97</v>
      </c>
      <c r="AD2644" t="s">
        <v>98</v>
      </c>
      <c r="AE2644" t="s">
        <v>51</v>
      </c>
    </row>
    <row r="2645" spans="1:31" x14ac:dyDescent="0.3">
      <c r="A2645">
        <v>10133</v>
      </c>
      <c r="B2645">
        <v>27</v>
      </c>
      <c r="C2645">
        <v>99.67</v>
      </c>
      <c r="D2645">
        <v>2</v>
      </c>
      <c r="E2645" s="4" t="str">
        <f t="shared" si="246"/>
        <v>low sales</v>
      </c>
      <c r="F2645">
        <v>2691.09</v>
      </c>
      <c r="G2645" t="s">
        <v>3317</v>
      </c>
      <c r="H2645" s="1" t="str">
        <f t="shared" si="247"/>
        <v>Shipped</v>
      </c>
      <c r="I2645" s="4" t="str">
        <f t="shared" si="248"/>
        <v>completed</v>
      </c>
      <c r="J2645" t="s">
        <v>25</v>
      </c>
      <c r="K2645">
        <v>2</v>
      </c>
      <c r="L2645">
        <v>6</v>
      </c>
      <c r="M2645">
        <v>2003</v>
      </c>
      <c r="N2645" t="s">
        <v>566</v>
      </c>
      <c r="O2645">
        <v>118</v>
      </c>
      <c r="P2645" t="s">
        <v>668</v>
      </c>
      <c r="Q2645" t="s">
        <v>174</v>
      </c>
      <c r="R2645" t="s">
        <v>175</v>
      </c>
      <c r="S2645" t="s">
        <v>176</v>
      </c>
      <c r="U2645" s="1" t="str">
        <f t="shared" si="249"/>
        <v>Madrid</v>
      </c>
      <c r="V2645" t="s">
        <v>177</v>
      </c>
      <c r="X2645">
        <v>28034</v>
      </c>
      <c r="Y2645" s="1" t="str">
        <f t="shared" si="250"/>
        <v>SPAIN</v>
      </c>
      <c r="Z2645" s="4" t="str">
        <f t="shared" si="251"/>
        <v>Spain</v>
      </c>
      <c r="AA2645" t="s">
        <v>178</v>
      </c>
      <c r="AB2645" t="s">
        <v>42</v>
      </c>
      <c r="AC2645" t="s">
        <v>179</v>
      </c>
      <c r="AD2645" t="s">
        <v>180</v>
      </c>
      <c r="AE2645" t="s">
        <v>36</v>
      </c>
    </row>
    <row r="2646" spans="1:31" x14ac:dyDescent="0.3">
      <c r="A2646">
        <v>10145</v>
      </c>
      <c r="B2646">
        <v>20</v>
      </c>
      <c r="C2646">
        <v>100</v>
      </c>
      <c r="D2646">
        <v>13</v>
      </c>
      <c r="E2646" s="4" t="str">
        <f t="shared" si="246"/>
        <v>low sales</v>
      </c>
      <c r="F2646">
        <v>2752.6</v>
      </c>
      <c r="G2646" t="s">
        <v>3318</v>
      </c>
      <c r="H2646" s="1" t="str">
        <f t="shared" si="247"/>
        <v>Shipped</v>
      </c>
      <c r="I2646" s="4" t="str">
        <f t="shared" si="248"/>
        <v>completed</v>
      </c>
      <c r="J2646" t="s">
        <v>25</v>
      </c>
      <c r="K2646">
        <v>3</v>
      </c>
      <c r="L2646">
        <v>8</v>
      </c>
      <c r="M2646">
        <v>2003</v>
      </c>
      <c r="N2646" t="s">
        <v>566</v>
      </c>
      <c r="O2646">
        <v>118</v>
      </c>
      <c r="P2646" t="s">
        <v>668</v>
      </c>
      <c r="Q2646" t="s">
        <v>52</v>
      </c>
      <c r="R2646">
        <v>6265557265</v>
      </c>
      <c r="S2646" t="s">
        <v>53</v>
      </c>
      <c r="U2646" s="1" t="str">
        <f t="shared" si="249"/>
        <v>Pasadena</v>
      </c>
      <c r="V2646" t="s">
        <v>54</v>
      </c>
      <c r="W2646" t="s">
        <v>55</v>
      </c>
      <c r="X2646">
        <v>90003</v>
      </c>
      <c r="Y2646" s="1" t="str">
        <f t="shared" si="250"/>
        <v>USA</v>
      </c>
      <c r="Z2646" s="4" t="str">
        <f t="shared" si="251"/>
        <v>Usa</v>
      </c>
      <c r="AA2646" t="s">
        <v>32</v>
      </c>
      <c r="AB2646" t="s">
        <v>33</v>
      </c>
      <c r="AC2646" t="s">
        <v>56</v>
      </c>
      <c r="AD2646" t="s">
        <v>57</v>
      </c>
      <c r="AE2646" t="s">
        <v>36</v>
      </c>
    </row>
    <row r="2647" spans="1:31" x14ac:dyDescent="0.3">
      <c r="A2647">
        <v>10168</v>
      </c>
      <c r="B2647">
        <v>36</v>
      </c>
      <c r="C2647">
        <v>100</v>
      </c>
      <c r="D2647">
        <v>8</v>
      </c>
      <c r="E2647" s="4" t="str">
        <f t="shared" si="246"/>
        <v>high sales</v>
      </c>
      <c r="F2647">
        <v>4527.72</v>
      </c>
      <c r="G2647" t="s">
        <v>3319</v>
      </c>
      <c r="H2647" s="1" t="str">
        <f t="shared" si="247"/>
        <v>Shipped</v>
      </c>
      <c r="I2647" s="4" t="str">
        <f t="shared" si="248"/>
        <v>completed</v>
      </c>
      <c r="J2647" t="s">
        <v>25</v>
      </c>
      <c r="K2647">
        <v>4</v>
      </c>
      <c r="L2647">
        <v>10</v>
      </c>
      <c r="M2647">
        <v>2003</v>
      </c>
      <c r="N2647" t="s">
        <v>566</v>
      </c>
      <c r="O2647">
        <v>118</v>
      </c>
      <c r="P2647" t="s">
        <v>668</v>
      </c>
      <c r="Q2647" t="s">
        <v>62</v>
      </c>
      <c r="R2647">
        <v>6505556809</v>
      </c>
      <c r="S2647" t="s">
        <v>63</v>
      </c>
      <c r="U2647" s="1" t="str">
        <f t="shared" si="249"/>
        <v>Burlingame</v>
      </c>
      <c r="V2647" t="s">
        <v>64</v>
      </c>
      <c r="W2647" t="s">
        <v>55</v>
      </c>
      <c r="X2647">
        <v>94217</v>
      </c>
      <c r="Y2647" s="1" t="str">
        <f t="shared" si="250"/>
        <v>USA</v>
      </c>
      <c r="Z2647" s="4" t="str">
        <f t="shared" si="251"/>
        <v>Usa</v>
      </c>
      <c r="AA2647" t="s">
        <v>32</v>
      </c>
      <c r="AB2647" t="s">
        <v>33</v>
      </c>
      <c r="AC2647" t="s">
        <v>65</v>
      </c>
      <c r="AD2647" t="s">
        <v>66</v>
      </c>
      <c r="AE2647" t="s">
        <v>51</v>
      </c>
    </row>
    <row r="2648" spans="1:31" x14ac:dyDescent="0.3">
      <c r="A2648">
        <v>10188</v>
      </c>
      <c r="B2648">
        <v>29</v>
      </c>
      <c r="C2648">
        <v>100</v>
      </c>
      <c r="D2648">
        <v>8</v>
      </c>
      <c r="E2648" s="4" t="str">
        <f t="shared" si="246"/>
        <v>low sales</v>
      </c>
      <c r="F2648">
        <v>3957.05</v>
      </c>
      <c r="G2648" t="s">
        <v>3320</v>
      </c>
      <c r="H2648" s="1" t="str">
        <f t="shared" si="247"/>
        <v>Shipped</v>
      </c>
      <c r="I2648" s="4" t="str">
        <f t="shared" si="248"/>
        <v>completed</v>
      </c>
      <c r="J2648" t="s">
        <v>25</v>
      </c>
      <c r="K2648">
        <v>4</v>
      </c>
      <c r="L2648">
        <v>11</v>
      </c>
      <c r="M2648">
        <v>2003</v>
      </c>
      <c r="N2648" t="s">
        <v>566</v>
      </c>
      <c r="O2648">
        <v>118</v>
      </c>
      <c r="P2648" t="s">
        <v>668</v>
      </c>
      <c r="Q2648" t="s">
        <v>73</v>
      </c>
      <c r="R2648" t="s">
        <v>74</v>
      </c>
      <c r="S2648" t="s">
        <v>75</v>
      </c>
      <c r="U2648" s="1" t="str">
        <f t="shared" si="249"/>
        <v>Bergen</v>
      </c>
      <c r="V2648" t="s">
        <v>76</v>
      </c>
      <c r="X2648" t="s">
        <v>77</v>
      </c>
      <c r="Y2648" s="1" t="str">
        <f t="shared" si="250"/>
        <v>NORWAY</v>
      </c>
      <c r="Z2648" s="4" t="str">
        <f t="shared" si="251"/>
        <v>Norway</v>
      </c>
      <c r="AA2648" t="s">
        <v>78</v>
      </c>
      <c r="AB2648" t="s">
        <v>42</v>
      </c>
      <c r="AC2648" t="s">
        <v>79</v>
      </c>
      <c r="AD2648" t="s">
        <v>80</v>
      </c>
      <c r="AE2648" t="s">
        <v>51</v>
      </c>
    </row>
    <row r="2649" spans="1:31" x14ac:dyDescent="0.3">
      <c r="A2649">
        <v>10210</v>
      </c>
      <c r="B2649">
        <v>25</v>
      </c>
      <c r="C2649">
        <v>100</v>
      </c>
      <c r="D2649">
        <v>6</v>
      </c>
      <c r="E2649" s="4" t="str">
        <f t="shared" si="246"/>
        <v>low sales</v>
      </c>
      <c r="F2649">
        <v>2818</v>
      </c>
      <c r="G2649" t="s">
        <v>3321</v>
      </c>
      <c r="H2649" s="1" t="str">
        <f t="shared" si="247"/>
        <v>Shipped</v>
      </c>
      <c r="I2649" s="4" t="str">
        <f t="shared" si="248"/>
        <v>completed</v>
      </c>
      <c r="J2649" t="s">
        <v>25</v>
      </c>
      <c r="K2649">
        <v>1</v>
      </c>
      <c r="L2649">
        <v>1</v>
      </c>
      <c r="M2649">
        <v>2004</v>
      </c>
      <c r="N2649" t="s">
        <v>566</v>
      </c>
      <c r="O2649">
        <v>118</v>
      </c>
      <c r="P2649" t="s">
        <v>668</v>
      </c>
      <c r="Q2649" t="s">
        <v>302</v>
      </c>
      <c r="R2649" t="s">
        <v>303</v>
      </c>
      <c r="S2649" t="s">
        <v>304</v>
      </c>
      <c r="U2649" s="1" t="str">
        <f t="shared" si="249"/>
        <v>Osaka</v>
      </c>
      <c r="V2649" t="s">
        <v>305</v>
      </c>
      <c r="W2649" t="s">
        <v>305</v>
      </c>
      <c r="X2649" t="s">
        <v>306</v>
      </c>
      <c r="Y2649" s="1" t="str">
        <f t="shared" si="250"/>
        <v>JAPAN</v>
      </c>
      <c r="Z2649" s="4" t="str">
        <f t="shared" si="251"/>
        <v>Japan</v>
      </c>
      <c r="AA2649" t="s">
        <v>200</v>
      </c>
      <c r="AB2649" t="s">
        <v>200</v>
      </c>
      <c r="AC2649" t="s">
        <v>307</v>
      </c>
      <c r="AD2649" t="s">
        <v>308</v>
      </c>
      <c r="AE2649" t="s">
        <v>36</v>
      </c>
    </row>
    <row r="2650" spans="1:31" x14ac:dyDescent="0.3">
      <c r="A2650">
        <v>10223</v>
      </c>
      <c r="B2650">
        <v>29</v>
      </c>
      <c r="C2650">
        <v>100</v>
      </c>
      <c r="D2650">
        <v>8</v>
      </c>
      <c r="E2650" s="4" t="str">
        <f t="shared" si="246"/>
        <v>low sales</v>
      </c>
      <c r="F2650">
        <v>3199.86</v>
      </c>
      <c r="G2650" t="s">
        <v>3322</v>
      </c>
      <c r="H2650" s="1" t="str">
        <f t="shared" si="247"/>
        <v>Shipped</v>
      </c>
      <c r="I2650" s="4" t="str">
        <f t="shared" si="248"/>
        <v>completed</v>
      </c>
      <c r="J2650" t="s">
        <v>25</v>
      </c>
      <c r="K2650">
        <v>1</v>
      </c>
      <c r="L2650">
        <v>2</v>
      </c>
      <c r="M2650">
        <v>2004</v>
      </c>
      <c r="N2650" t="s">
        <v>566</v>
      </c>
      <c r="O2650">
        <v>118</v>
      </c>
      <c r="P2650" t="s">
        <v>668</v>
      </c>
      <c r="Q2650" t="s">
        <v>89</v>
      </c>
      <c r="R2650" t="s">
        <v>90</v>
      </c>
      <c r="S2650" t="s">
        <v>91</v>
      </c>
      <c r="T2650" t="s">
        <v>92</v>
      </c>
      <c r="U2650" s="1" t="str">
        <f t="shared" si="249"/>
        <v>Melbourne</v>
      </c>
      <c r="V2650" t="s">
        <v>93</v>
      </c>
      <c r="W2650" t="s">
        <v>94</v>
      </c>
      <c r="X2650">
        <v>3004</v>
      </c>
      <c r="Y2650" s="1" t="str">
        <f t="shared" si="250"/>
        <v>AUSTRALIA</v>
      </c>
      <c r="Z2650" s="4" t="str">
        <f t="shared" si="251"/>
        <v>Australia</v>
      </c>
      <c r="AA2650" t="s">
        <v>95</v>
      </c>
      <c r="AB2650" t="s">
        <v>96</v>
      </c>
      <c r="AC2650" t="s">
        <v>97</v>
      </c>
      <c r="AD2650" t="s">
        <v>98</v>
      </c>
      <c r="AE2650" t="s">
        <v>51</v>
      </c>
    </row>
    <row r="2651" spans="1:31" x14ac:dyDescent="0.3">
      <c r="A2651">
        <v>10235</v>
      </c>
      <c r="B2651">
        <v>25</v>
      </c>
      <c r="C2651">
        <v>96.11</v>
      </c>
      <c r="D2651">
        <v>2</v>
      </c>
      <c r="E2651" s="4" t="str">
        <f t="shared" si="246"/>
        <v>low sales</v>
      </c>
      <c r="F2651">
        <v>2402.75</v>
      </c>
      <c r="G2651" t="s">
        <v>3323</v>
      </c>
      <c r="H2651" s="1" t="str">
        <f t="shared" si="247"/>
        <v>Shipped</v>
      </c>
      <c r="I2651" s="4" t="str">
        <f t="shared" si="248"/>
        <v>completed</v>
      </c>
      <c r="J2651" t="s">
        <v>25</v>
      </c>
      <c r="K2651">
        <v>2</v>
      </c>
      <c r="L2651">
        <v>4</v>
      </c>
      <c r="M2651">
        <v>2004</v>
      </c>
      <c r="N2651" t="s">
        <v>566</v>
      </c>
      <c r="O2651">
        <v>118</v>
      </c>
      <c r="P2651" t="s">
        <v>668</v>
      </c>
      <c r="Q2651" t="s">
        <v>373</v>
      </c>
      <c r="R2651" t="s">
        <v>374</v>
      </c>
      <c r="S2651" t="s">
        <v>375</v>
      </c>
      <c r="U2651" s="1" t="str">
        <f t="shared" si="249"/>
        <v>Tsawassen</v>
      </c>
      <c r="V2651" t="s">
        <v>376</v>
      </c>
      <c r="W2651" t="s">
        <v>229</v>
      </c>
      <c r="X2651" t="s">
        <v>377</v>
      </c>
      <c r="Y2651" s="1" t="str">
        <f t="shared" si="250"/>
        <v>CANADA</v>
      </c>
      <c r="Z2651" s="4" t="str">
        <f t="shared" si="251"/>
        <v>Canada</v>
      </c>
      <c r="AA2651" t="s">
        <v>231</v>
      </c>
      <c r="AB2651" t="s">
        <v>33</v>
      </c>
      <c r="AC2651" t="s">
        <v>378</v>
      </c>
      <c r="AD2651" t="s">
        <v>172</v>
      </c>
      <c r="AE2651" t="s">
        <v>36</v>
      </c>
    </row>
    <row r="2652" spans="1:31" x14ac:dyDescent="0.3">
      <c r="A2652">
        <v>10250</v>
      </c>
      <c r="B2652">
        <v>44</v>
      </c>
      <c r="C2652">
        <v>100</v>
      </c>
      <c r="D2652">
        <v>3</v>
      </c>
      <c r="E2652" s="4" t="str">
        <f t="shared" si="246"/>
        <v>high sales</v>
      </c>
      <c r="F2652">
        <v>6055.72</v>
      </c>
      <c r="G2652" t="s">
        <v>3324</v>
      </c>
      <c r="H2652" s="1" t="str">
        <f t="shared" si="247"/>
        <v>Shipped</v>
      </c>
      <c r="I2652" s="4" t="str">
        <f t="shared" si="248"/>
        <v>completed</v>
      </c>
      <c r="J2652" t="s">
        <v>25</v>
      </c>
      <c r="K2652">
        <v>2</v>
      </c>
      <c r="L2652">
        <v>5</v>
      </c>
      <c r="M2652">
        <v>2004</v>
      </c>
      <c r="N2652" t="s">
        <v>566</v>
      </c>
      <c r="O2652">
        <v>118</v>
      </c>
      <c r="P2652" t="s">
        <v>668</v>
      </c>
      <c r="Q2652" t="s">
        <v>397</v>
      </c>
      <c r="R2652">
        <v>4085553659</v>
      </c>
      <c r="S2652" t="s">
        <v>398</v>
      </c>
      <c r="U2652" s="1" t="str">
        <f t="shared" si="249"/>
        <v>San Jose</v>
      </c>
      <c r="V2652" t="s">
        <v>399</v>
      </c>
      <c r="W2652" t="s">
        <v>55</v>
      </c>
      <c r="X2652">
        <v>94217</v>
      </c>
      <c r="Y2652" s="1" t="str">
        <f t="shared" si="250"/>
        <v>USA</v>
      </c>
      <c r="Z2652" s="4" t="str">
        <f t="shared" si="251"/>
        <v>Usa</v>
      </c>
      <c r="AA2652" t="s">
        <v>32</v>
      </c>
      <c r="AB2652" t="s">
        <v>33</v>
      </c>
      <c r="AC2652" t="s">
        <v>102</v>
      </c>
      <c r="AD2652" t="s">
        <v>400</v>
      </c>
      <c r="AE2652" t="s">
        <v>51</v>
      </c>
    </row>
    <row r="2653" spans="1:31" x14ac:dyDescent="0.3">
      <c r="A2653">
        <v>10263</v>
      </c>
      <c r="B2653">
        <v>47</v>
      </c>
      <c r="C2653">
        <v>100</v>
      </c>
      <c r="D2653">
        <v>9</v>
      </c>
      <c r="E2653" s="4" t="str">
        <f t="shared" si="246"/>
        <v>high sales</v>
      </c>
      <c r="F2653">
        <v>5465.16</v>
      </c>
      <c r="G2653" t="s">
        <v>3325</v>
      </c>
      <c r="H2653" s="1" t="str">
        <f t="shared" si="247"/>
        <v>Shipped</v>
      </c>
      <c r="I2653" s="4" t="str">
        <f t="shared" si="248"/>
        <v>completed</v>
      </c>
      <c r="J2653" t="s">
        <v>25</v>
      </c>
      <c r="K2653">
        <v>2</v>
      </c>
      <c r="L2653">
        <v>6</v>
      </c>
      <c r="M2653">
        <v>2004</v>
      </c>
      <c r="N2653" t="s">
        <v>566</v>
      </c>
      <c r="O2653">
        <v>118</v>
      </c>
      <c r="P2653" t="s">
        <v>668</v>
      </c>
      <c r="Q2653" t="s">
        <v>109</v>
      </c>
      <c r="R2653">
        <v>2035552570</v>
      </c>
      <c r="S2653" t="s">
        <v>110</v>
      </c>
      <c r="U2653" s="1" t="str">
        <f t="shared" si="249"/>
        <v>Bridgewater</v>
      </c>
      <c r="V2653" t="s">
        <v>111</v>
      </c>
      <c r="W2653" t="s">
        <v>112</v>
      </c>
      <c r="X2653">
        <v>97562</v>
      </c>
      <c r="Y2653" s="1" t="str">
        <f t="shared" si="250"/>
        <v>USA</v>
      </c>
      <c r="Z2653" s="4" t="str">
        <f t="shared" si="251"/>
        <v>Usa</v>
      </c>
      <c r="AA2653" t="s">
        <v>32</v>
      </c>
      <c r="AB2653" t="s">
        <v>33</v>
      </c>
      <c r="AC2653" t="s">
        <v>113</v>
      </c>
      <c r="AD2653" t="s">
        <v>57</v>
      </c>
      <c r="AE2653" t="s">
        <v>51</v>
      </c>
    </row>
    <row r="2654" spans="1:31" x14ac:dyDescent="0.3">
      <c r="A2654">
        <v>10275</v>
      </c>
      <c r="B2654">
        <v>48</v>
      </c>
      <c r="C2654">
        <v>100</v>
      </c>
      <c r="D2654">
        <v>8</v>
      </c>
      <c r="E2654" s="4" t="str">
        <f t="shared" si="246"/>
        <v>high sales</v>
      </c>
      <c r="F2654">
        <v>6378.72</v>
      </c>
      <c r="G2654" t="s">
        <v>3326</v>
      </c>
      <c r="H2654" s="1" t="str">
        <f t="shared" si="247"/>
        <v>Shipped</v>
      </c>
      <c r="I2654" s="4" t="str">
        <f t="shared" si="248"/>
        <v>completed</v>
      </c>
      <c r="J2654" t="s">
        <v>25</v>
      </c>
      <c r="K2654">
        <v>3</v>
      </c>
      <c r="L2654">
        <v>7</v>
      </c>
      <c r="M2654">
        <v>2004</v>
      </c>
      <c r="N2654" t="s">
        <v>566</v>
      </c>
      <c r="O2654">
        <v>118</v>
      </c>
      <c r="P2654" t="s">
        <v>668</v>
      </c>
      <c r="Q2654" t="s">
        <v>114</v>
      </c>
      <c r="R2654" t="s">
        <v>115</v>
      </c>
      <c r="S2654" t="s">
        <v>116</v>
      </c>
      <c r="U2654" s="1" t="str">
        <f t="shared" si="249"/>
        <v>Nantes</v>
      </c>
      <c r="V2654" t="s">
        <v>117</v>
      </c>
      <c r="X2654">
        <v>44000</v>
      </c>
      <c r="Y2654" s="1" t="str">
        <f t="shared" si="250"/>
        <v>FRANCE</v>
      </c>
      <c r="Z2654" s="4" t="str">
        <f t="shared" si="251"/>
        <v>France</v>
      </c>
      <c r="AA2654" t="s">
        <v>41</v>
      </c>
      <c r="AB2654" t="s">
        <v>42</v>
      </c>
      <c r="AC2654" t="s">
        <v>118</v>
      </c>
      <c r="AD2654" t="s">
        <v>119</v>
      </c>
      <c r="AE2654" t="s">
        <v>51</v>
      </c>
    </row>
    <row r="2655" spans="1:31" x14ac:dyDescent="0.3">
      <c r="A2655">
        <v>10285</v>
      </c>
      <c r="B2655">
        <v>45</v>
      </c>
      <c r="C2655">
        <v>100</v>
      </c>
      <c r="D2655">
        <v>13</v>
      </c>
      <c r="E2655" s="4" t="str">
        <f t="shared" si="246"/>
        <v>high sales</v>
      </c>
      <c r="F2655">
        <v>5392.8</v>
      </c>
      <c r="G2655" t="s">
        <v>3327</v>
      </c>
      <c r="H2655" s="1" t="str">
        <f t="shared" si="247"/>
        <v>Shipped</v>
      </c>
      <c r="I2655" s="4" t="str">
        <f t="shared" si="248"/>
        <v>completed</v>
      </c>
      <c r="J2655" t="s">
        <v>25</v>
      </c>
      <c r="K2655">
        <v>3</v>
      </c>
      <c r="L2655">
        <v>8</v>
      </c>
      <c r="M2655">
        <v>2004</v>
      </c>
      <c r="N2655" t="s">
        <v>566</v>
      </c>
      <c r="O2655">
        <v>118</v>
      </c>
      <c r="P2655" t="s">
        <v>668</v>
      </c>
      <c r="Q2655" t="s">
        <v>120</v>
      </c>
      <c r="R2655">
        <v>6175558555</v>
      </c>
      <c r="S2655" t="s">
        <v>121</v>
      </c>
      <c r="U2655" s="1" t="str">
        <f t="shared" si="249"/>
        <v>Cambridge</v>
      </c>
      <c r="V2655" t="s">
        <v>122</v>
      </c>
      <c r="W2655" t="s">
        <v>123</v>
      </c>
      <c r="X2655">
        <v>51247</v>
      </c>
      <c r="Y2655" s="1" t="str">
        <f t="shared" si="250"/>
        <v>USA</v>
      </c>
      <c r="Z2655" s="4" t="str">
        <f t="shared" si="251"/>
        <v>Usa</v>
      </c>
      <c r="AA2655" t="s">
        <v>32</v>
      </c>
      <c r="AB2655" t="s">
        <v>33</v>
      </c>
      <c r="AC2655" t="s">
        <v>124</v>
      </c>
      <c r="AD2655" t="s">
        <v>125</v>
      </c>
      <c r="AE2655" t="s">
        <v>51</v>
      </c>
    </row>
    <row r="2656" spans="1:31" x14ac:dyDescent="0.3">
      <c r="A2656">
        <v>10297</v>
      </c>
      <c r="B2656">
        <v>35</v>
      </c>
      <c r="C2656">
        <v>100</v>
      </c>
      <c r="D2656">
        <v>3</v>
      </c>
      <c r="E2656" s="4" t="str">
        <f t="shared" si="246"/>
        <v>low sales</v>
      </c>
      <c r="F2656">
        <v>3986.5</v>
      </c>
      <c r="G2656" t="s">
        <v>3328</v>
      </c>
      <c r="H2656" s="1" t="str">
        <f t="shared" si="247"/>
        <v>Shipped</v>
      </c>
      <c r="I2656" s="4" t="str">
        <f t="shared" si="248"/>
        <v>completed</v>
      </c>
      <c r="J2656" t="s">
        <v>25</v>
      </c>
      <c r="K2656">
        <v>3</v>
      </c>
      <c r="L2656">
        <v>9</v>
      </c>
      <c r="M2656">
        <v>2004</v>
      </c>
      <c r="N2656" t="s">
        <v>566</v>
      </c>
      <c r="O2656">
        <v>118</v>
      </c>
      <c r="P2656" t="s">
        <v>668</v>
      </c>
      <c r="Q2656" t="s">
        <v>479</v>
      </c>
      <c r="R2656" t="s">
        <v>480</v>
      </c>
      <c r="S2656" t="s">
        <v>481</v>
      </c>
      <c r="T2656" t="s">
        <v>482</v>
      </c>
      <c r="U2656" s="1" t="str">
        <f t="shared" si="249"/>
        <v>Dublin</v>
      </c>
      <c r="V2656" t="s">
        <v>483</v>
      </c>
      <c r="X2656">
        <v>2</v>
      </c>
      <c r="Y2656" s="1" t="str">
        <f t="shared" si="250"/>
        <v>IRELAND</v>
      </c>
      <c r="Z2656" s="4" t="str">
        <f t="shared" si="251"/>
        <v>Ireland</v>
      </c>
      <c r="AA2656" t="s">
        <v>484</v>
      </c>
      <c r="AB2656" t="s">
        <v>42</v>
      </c>
      <c r="AC2656" t="s">
        <v>485</v>
      </c>
      <c r="AD2656" t="s">
        <v>486</v>
      </c>
      <c r="AE2656" t="s">
        <v>51</v>
      </c>
    </row>
    <row r="2657" spans="1:31" x14ac:dyDescent="0.3">
      <c r="A2657">
        <v>10308</v>
      </c>
      <c r="B2657">
        <v>31</v>
      </c>
      <c r="C2657">
        <v>100</v>
      </c>
      <c r="D2657">
        <v>6</v>
      </c>
      <c r="E2657" s="4" t="str">
        <f t="shared" si="246"/>
        <v>high sales</v>
      </c>
      <c r="F2657">
        <v>4009.23</v>
      </c>
      <c r="G2657" t="s">
        <v>3329</v>
      </c>
      <c r="H2657" s="1" t="str">
        <f t="shared" si="247"/>
        <v>Shipped</v>
      </c>
      <c r="I2657" s="4" t="str">
        <f t="shared" si="248"/>
        <v>completed</v>
      </c>
      <c r="J2657" t="s">
        <v>25</v>
      </c>
      <c r="K2657">
        <v>4</v>
      </c>
      <c r="L2657">
        <v>10</v>
      </c>
      <c r="M2657">
        <v>2004</v>
      </c>
      <c r="N2657" t="s">
        <v>566</v>
      </c>
      <c r="O2657">
        <v>118</v>
      </c>
      <c r="P2657" t="s">
        <v>668</v>
      </c>
      <c r="Q2657" t="s">
        <v>317</v>
      </c>
      <c r="R2657">
        <v>9145554562</v>
      </c>
      <c r="S2657" t="s">
        <v>318</v>
      </c>
      <c r="U2657" s="1" t="str">
        <f t="shared" si="249"/>
        <v>White Plains</v>
      </c>
      <c r="V2657" t="s">
        <v>319</v>
      </c>
      <c r="W2657" t="s">
        <v>31</v>
      </c>
      <c r="X2657">
        <v>24067</v>
      </c>
      <c r="Y2657" s="1" t="str">
        <f t="shared" si="250"/>
        <v>USA</v>
      </c>
      <c r="Z2657" s="4" t="str">
        <f t="shared" si="251"/>
        <v>Usa</v>
      </c>
      <c r="AA2657" t="s">
        <v>32</v>
      </c>
      <c r="AB2657" t="s">
        <v>33</v>
      </c>
      <c r="AC2657" t="s">
        <v>102</v>
      </c>
      <c r="AD2657" t="s">
        <v>238</v>
      </c>
      <c r="AE2657" t="s">
        <v>51</v>
      </c>
    </row>
    <row r="2658" spans="1:31" x14ac:dyDescent="0.3">
      <c r="A2658">
        <v>10318</v>
      </c>
      <c r="B2658">
        <v>50</v>
      </c>
      <c r="C2658">
        <v>100</v>
      </c>
      <c r="D2658">
        <v>8</v>
      </c>
      <c r="E2658" s="4" t="str">
        <f t="shared" si="246"/>
        <v>high sales</v>
      </c>
      <c r="F2658">
        <v>7119</v>
      </c>
      <c r="G2658" t="s">
        <v>3330</v>
      </c>
      <c r="H2658" s="1" t="str">
        <f t="shared" si="247"/>
        <v>Shipped</v>
      </c>
      <c r="I2658" s="4" t="str">
        <f t="shared" si="248"/>
        <v>completed</v>
      </c>
      <c r="J2658" t="s">
        <v>25</v>
      </c>
      <c r="K2658">
        <v>4</v>
      </c>
      <c r="L2658">
        <v>11</v>
      </c>
      <c r="M2658">
        <v>2004</v>
      </c>
      <c r="N2658" t="s">
        <v>566</v>
      </c>
      <c r="O2658">
        <v>118</v>
      </c>
      <c r="P2658" t="s">
        <v>668</v>
      </c>
      <c r="Q2658" t="s">
        <v>139</v>
      </c>
      <c r="R2658">
        <v>2155551555</v>
      </c>
      <c r="S2658" t="s">
        <v>140</v>
      </c>
      <c r="U2658" s="1" t="str">
        <f t="shared" si="249"/>
        <v>Allentown</v>
      </c>
      <c r="V2658" t="s">
        <v>141</v>
      </c>
      <c r="W2658" t="s">
        <v>142</v>
      </c>
      <c r="X2658">
        <v>70267</v>
      </c>
      <c r="Y2658" s="1" t="str">
        <f t="shared" si="250"/>
        <v>USA</v>
      </c>
      <c r="Z2658" s="4" t="str">
        <f t="shared" si="251"/>
        <v>Usa</v>
      </c>
      <c r="AA2658" t="s">
        <v>32</v>
      </c>
      <c r="AB2658" t="s">
        <v>33</v>
      </c>
      <c r="AC2658" t="s">
        <v>34</v>
      </c>
      <c r="AD2658" t="s">
        <v>143</v>
      </c>
      <c r="AE2658" t="s">
        <v>151</v>
      </c>
    </row>
    <row r="2659" spans="1:31" x14ac:dyDescent="0.3">
      <c r="A2659">
        <v>10328</v>
      </c>
      <c r="B2659">
        <v>33</v>
      </c>
      <c r="C2659">
        <v>100</v>
      </c>
      <c r="D2659">
        <v>11</v>
      </c>
      <c r="E2659" s="4" t="str">
        <f t="shared" si="246"/>
        <v>high sales</v>
      </c>
      <c r="F2659">
        <v>4072.2</v>
      </c>
      <c r="G2659" t="s">
        <v>3331</v>
      </c>
      <c r="H2659" s="1" t="str">
        <f t="shared" si="247"/>
        <v>Shipped</v>
      </c>
      <c r="I2659" s="4" t="str">
        <f t="shared" si="248"/>
        <v>completed</v>
      </c>
      <c r="J2659" t="s">
        <v>25</v>
      </c>
      <c r="K2659">
        <v>4</v>
      </c>
      <c r="L2659">
        <v>11</v>
      </c>
      <c r="M2659">
        <v>2004</v>
      </c>
      <c r="N2659" t="s">
        <v>566</v>
      </c>
      <c r="O2659">
        <v>118</v>
      </c>
      <c r="P2659" t="s">
        <v>668</v>
      </c>
      <c r="Q2659" t="s">
        <v>552</v>
      </c>
      <c r="R2659" t="s">
        <v>553</v>
      </c>
      <c r="S2659" t="s">
        <v>554</v>
      </c>
      <c r="U2659" s="1" t="str">
        <f t="shared" si="249"/>
        <v>Bergamo</v>
      </c>
      <c r="V2659" t="s">
        <v>555</v>
      </c>
      <c r="X2659">
        <v>24100</v>
      </c>
      <c r="Y2659" s="1" t="str">
        <f t="shared" si="250"/>
        <v>ITALY</v>
      </c>
      <c r="Z2659" s="4" t="str">
        <f t="shared" si="251"/>
        <v>Italy</v>
      </c>
      <c r="AA2659" t="s">
        <v>258</v>
      </c>
      <c r="AB2659" t="s">
        <v>42</v>
      </c>
      <c r="AC2659" t="s">
        <v>556</v>
      </c>
      <c r="AD2659" t="s">
        <v>557</v>
      </c>
      <c r="AE2659" t="s">
        <v>51</v>
      </c>
    </row>
    <row r="2660" spans="1:31" x14ac:dyDescent="0.3">
      <c r="A2660">
        <v>10340</v>
      </c>
      <c r="B2660">
        <v>29</v>
      </c>
      <c r="C2660">
        <v>100</v>
      </c>
      <c r="D2660">
        <v>6</v>
      </c>
      <c r="E2660" s="4" t="str">
        <f t="shared" si="246"/>
        <v>high sales</v>
      </c>
      <c r="F2660">
        <v>4094.51</v>
      </c>
      <c r="G2660" t="s">
        <v>3332</v>
      </c>
      <c r="H2660" s="1" t="str">
        <f t="shared" si="247"/>
        <v>Shipped</v>
      </c>
      <c r="I2660" s="4" t="str">
        <f t="shared" si="248"/>
        <v>completed</v>
      </c>
      <c r="J2660" t="s">
        <v>25</v>
      </c>
      <c r="K2660">
        <v>4</v>
      </c>
      <c r="L2660">
        <v>11</v>
      </c>
      <c r="M2660">
        <v>2004</v>
      </c>
      <c r="N2660" t="s">
        <v>566</v>
      </c>
      <c r="O2660">
        <v>118</v>
      </c>
      <c r="P2660" t="s">
        <v>668</v>
      </c>
      <c r="Q2660" t="s">
        <v>352</v>
      </c>
      <c r="R2660" t="s">
        <v>353</v>
      </c>
      <c r="S2660" t="s">
        <v>354</v>
      </c>
      <c r="U2660" s="1" t="str">
        <f t="shared" si="249"/>
        <v>Barcelona</v>
      </c>
      <c r="V2660" t="s">
        <v>355</v>
      </c>
      <c r="X2660">
        <v>8022</v>
      </c>
      <c r="Y2660" s="1" t="str">
        <f t="shared" si="250"/>
        <v>SPAIN</v>
      </c>
      <c r="Z2660" s="4" t="str">
        <f t="shared" si="251"/>
        <v>Spain</v>
      </c>
      <c r="AA2660" t="s">
        <v>178</v>
      </c>
      <c r="AB2660" t="s">
        <v>42</v>
      </c>
      <c r="AC2660" t="s">
        <v>356</v>
      </c>
      <c r="AD2660" t="s">
        <v>357</v>
      </c>
      <c r="AE2660" t="s">
        <v>51</v>
      </c>
    </row>
    <row r="2661" spans="1:31" x14ac:dyDescent="0.3">
      <c r="A2661">
        <v>10353</v>
      </c>
      <c r="B2661">
        <v>48</v>
      </c>
      <c r="C2661">
        <v>68.8</v>
      </c>
      <c r="D2661">
        <v>4</v>
      </c>
      <c r="E2661" s="4" t="str">
        <f t="shared" si="246"/>
        <v>low sales</v>
      </c>
      <c r="F2661">
        <v>3302.4</v>
      </c>
      <c r="G2661" t="s">
        <v>3333</v>
      </c>
      <c r="H2661" s="1" t="str">
        <f t="shared" si="247"/>
        <v>Shipped</v>
      </c>
      <c r="I2661" s="4" t="str">
        <f t="shared" si="248"/>
        <v>completed</v>
      </c>
      <c r="J2661" t="s">
        <v>25</v>
      </c>
      <c r="K2661">
        <v>4</v>
      </c>
      <c r="L2661">
        <v>12</v>
      </c>
      <c r="M2661">
        <v>2004</v>
      </c>
      <c r="N2661" t="s">
        <v>566</v>
      </c>
      <c r="O2661">
        <v>118</v>
      </c>
      <c r="P2661" t="s">
        <v>668</v>
      </c>
      <c r="Q2661" t="s">
        <v>568</v>
      </c>
      <c r="R2661">
        <v>2035554407</v>
      </c>
      <c r="S2661" t="s">
        <v>569</v>
      </c>
      <c r="U2661" s="1" t="str">
        <f t="shared" si="249"/>
        <v>Glendale</v>
      </c>
      <c r="V2661" t="s">
        <v>516</v>
      </c>
      <c r="W2661" t="s">
        <v>112</v>
      </c>
      <c r="X2661">
        <v>97561</v>
      </c>
      <c r="Y2661" s="1" t="str">
        <f t="shared" si="250"/>
        <v>USA</v>
      </c>
      <c r="Z2661" s="4" t="str">
        <f t="shared" si="251"/>
        <v>Usa</v>
      </c>
      <c r="AA2661" t="s">
        <v>32</v>
      </c>
      <c r="AB2661" t="s">
        <v>33</v>
      </c>
      <c r="AC2661" t="s">
        <v>570</v>
      </c>
      <c r="AD2661" t="s">
        <v>571</v>
      </c>
      <c r="AE2661" t="s">
        <v>51</v>
      </c>
    </row>
    <row r="2662" spans="1:31" x14ac:dyDescent="0.3">
      <c r="A2662">
        <v>10361</v>
      </c>
      <c r="B2662">
        <v>44</v>
      </c>
      <c r="C2662">
        <v>72.42</v>
      </c>
      <c r="D2662">
        <v>5</v>
      </c>
      <c r="E2662" s="4" t="str">
        <f t="shared" si="246"/>
        <v>low sales</v>
      </c>
      <c r="F2662">
        <v>3186.48</v>
      </c>
      <c r="G2662" t="s">
        <v>3334</v>
      </c>
      <c r="H2662" s="1" t="str">
        <f t="shared" si="247"/>
        <v>Shipped</v>
      </c>
      <c r="I2662" s="4" t="str">
        <f t="shared" si="248"/>
        <v>completed</v>
      </c>
      <c r="J2662" t="s">
        <v>25</v>
      </c>
      <c r="K2662">
        <v>4</v>
      </c>
      <c r="L2662">
        <v>12</v>
      </c>
      <c r="M2662">
        <v>2004</v>
      </c>
      <c r="N2662" t="s">
        <v>566</v>
      </c>
      <c r="O2662">
        <v>118</v>
      </c>
      <c r="P2662" t="s">
        <v>668</v>
      </c>
      <c r="Q2662" t="s">
        <v>152</v>
      </c>
      <c r="R2662" t="s">
        <v>153</v>
      </c>
      <c r="S2662" t="s">
        <v>154</v>
      </c>
      <c r="T2662" t="s">
        <v>155</v>
      </c>
      <c r="U2662" s="1" t="str">
        <f t="shared" si="249"/>
        <v>Chatswood</v>
      </c>
      <c r="V2662" t="s">
        <v>156</v>
      </c>
      <c r="W2662" t="s">
        <v>157</v>
      </c>
      <c r="X2662">
        <v>2067</v>
      </c>
      <c r="Y2662" s="1" t="str">
        <f t="shared" si="250"/>
        <v>AUSTRALIA</v>
      </c>
      <c r="Z2662" s="4" t="str">
        <f t="shared" si="251"/>
        <v>Australia</v>
      </c>
      <c r="AA2662" t="s">
        <v>95</v>
      </c>
      <c r="AB2662" t="s">
        <v>96</v>
      </c>
      <c r="AC2662" t="s">
        <v>158</v>
      </c>
      <c r="AD2662" t="s">
        <v>159</v>
      </c>
      <c r="AE2662" t="s">
        <v>51</v>
      </c>
    </row>
    <row r="2663" spans="1:31" x14ac:dyDescent="0.3">
      <c r="A2663">
        <v>10375</v>
      </c>
      <c r="B2663">
        <v>25</v>
      </c>
      <c r="C2663">
        <v>66.73</v>
      </c>
      <c r="D2663">
        <v>10</v>
      </c>
      <c r="E2663" s="4" t="str">
        <f t="shared" si="246"/>
        <v>low sales</v>
      </c>
      <c r="F2663">
        <v>1668.25</v>
      </c>
      <c r="G2663" t="s">
        <v>3335</v>
      </c>
      <c r="H2663" s="1" t="str">
        <f t="shared" si="247"/>
        <v>Shipped</v>
      </c>
      <c r="I2663" s="4" t="str">
        <f t="shared" si="248"/>
        <v>completed</v>
      </c>
      <c r="J2663" t="s">
        <v>25</v>
      </c>
      <c r="K2663">
        <v>1</v>
      </c>
      <c r="L2663">
        <v>2</v>
      </c>
      <c r="M2663">
        <v>2005</v>
      </c>
      <c r="N2663" t="s">
        <v>566</v>
      </c>
      <c r="O2663">
        <v>118</v>
      </c>
      <c r="P2663" t="s">
        <v>668</v>
      </c>
      <c r="Q2663" t="s">
        <v>114</v>
      </c>
      <c r="R2663" t="s">
        <v>115</v>
      </c>
      <c r="S2663" t="s">
        <v>116</v>
      </c>
      <c r="U2663" s="1" t="str">
        <f t="shared" si="249"/>
        <v>Nantes</v>
      </c>
      <c r="V2663" t="s">
        <v>117</v>
      </c>
      <c r="X2663">
        <v>44000</v>
      </c>
      <c r="Y2663" s="1" t="str">
        <f t="shared" si="250"/>
        <v>FRANCE</v>
      </c>
      <c r="Z2663" s="4" t="str">
        <f t="shared" si="251"/>
        <v>France</v>
      </c>
      <c r="AA2663" t="s">
        <v>41</v>
      </c>
      <c r="AB2663" t="s">
        <v>42</v>
      </c>
      <c r="AC2663" t="s">
        <v>118</v>
      </c>
      <c r="AD2663" t="s">
        <v>119</v>
      </c>
      <c r="AE2663" t="s">
        <v>36</v>
      </c>
    </row>
    <row r="2664" spans="1:31" x14ac:dyDescent="0.3">
      <c r="A2664">
        <v>10388</v>
      </c>
      <c r="B2664">
        <v>50</v>
      </c>
      <c r="C2664">
        <v>100</v>
      </c>
      <c r="D2664">
        <v>3</v>
      </c>
      <c r="E2664" s="4" t="str">
        <f t="shared" si="246"/>
        <v>high sales</v>
      </c>
      <c r="F2664">
        <v>7154.5</v>
      </c>
      <c r="G2664" t="s">
        <v>3336</v>
      </c>
      <c r="H2664" s="1" t="str">
        <f t="shared" si="247"/>
        <v>Shipped</v>
      </c>
      <c r="I2664" s="4" t="str">
        <f t="shared" si="248"/>
        <v>completed</v>
      </c>
      <c r="J2664" t="s">
        <v>25</v>
      </c>
      <c r="K2664">
        <v>1</v>
      </c>
      <c r="L2664">
        <v>3</v>
      </c>
      <c r="M2664">
        <v>2005</v>
      </c>
      <c r="N2664" t="s">
        <v>566</v>
      </c>
      <c r="O2664">
        <v>118</v>
      </c>
      <c r="P2664" t="s">
        <v>668</v>
      </c>
      <c r="Q2664" t="s">
        <v>160</v>
      </c>
      <c r="R2664">
        <v>5085552555</v>
      </c>
      <c r="S2664" t="s">
        <v>161</v>
      </c>
      <c r="U2664" s="1" t="str">
        <f t="shared" si="249"/>
        <v>New Bedford</v>
      </c>
      <c r="V2664" t="s">
        <v>162</v>
      </c>
      <c r="W2664" t="s">
        <v>123</v>
      </c>
      <c r="X2664">
        <v>50553</v>
      </c>
      <c r="Y2664" s="1" t="str">
        <f t="shared" si="250"/>
        <v>USA</v>
      </c>
      <c r="Z2664" s="4" t="str">
        <f t="shared" si="251"/>
        <v>Usa</v>
      </c>
      <c r="AA2664" t="s">
        <v>32</v>
      </c>
      <c r="AB2664" t="s">
        <v>33</v>
      </c>
      <c r="AC2664" t="s">
        <v>163</v>
      </c>
      <c r="AD2664" t="s">
        <v>164</v>
      </c>
      <c r="AE2664" t="s">
        <v>151</v>
      </c>
    </row>
    <row r="2665" spans="1:31" x14ac:dyDescent="0.3">
      <c r="A2665">
        <v>10398</v>
      </c>
      <c r="B2665">
        <v>23</v>
      </c>
      <c r="C2665">
        <v>100</v>
      </c>
      <c r="D2665">
        <v>9</v>
      </c>
      <c r="E2665" s="4" t="str">
        <f t="shared" si="246"/>
        <v>low sales</v>
      </c>
      <c r="F2665">
        <v>2810.83</v>
      </c>
      <c r="G2665" t="s">
        <v>3337</v>
      </c>
      <c r="H2665" s="1" t="str">
        <f t="shared" si="247"/>
        <v>Shipped</v>
      </c>
      <c r="I2665" s="4" t="str">
        <f t="shared" si="248"/>
        <v>completed</v>
      </c>
      <c r="J2665" t="s">
        <v>25</v>
      </c>
      <c r="K2665">
        <v>1</v>
      </c>
      <c r="L2665">
        <v>3</v>
      </c>
      <c r="M2665">
        <v>2005</v>
      </c>
      <c r="N2665" t="s">
        <v>566</v>
      </c>
      <c r="O2665">
        <v>118</v>
      </c>
      <c r="P2665" t="s">
        <v>668</v>
      </c>
      <c r="Q2665" t="s">
        <v>37</v>
      </c>
      <c r="R2665" t="s">
        <v>38</v>
      </c>
      <c r="S2665" t="s">
        <v>39</v>
      </c>
      <c r="U2665" s="1" t="str">
        <f t="shared" si="249"/>
        <v>Reims</v>
      </c>
      <c r="V2665" t="s">
        <v>40</v>
      </c>
      <c r="X2665">
        <v>51100</v>
      </c>
      <c r="Y2665" s="1" t="str">
        <f t="shared" si="250"/>
        <v>FRANCE</v>
      </c>
      <c r="Z2665" s="4" t="str">
        <f t="shared" si="251"/>
        <v>France</v>
      </c>
      <c r="AA2665" t="s">
        <v>41</v>
      </c>
      <c r="AB2665" t="s">
        <v>42</v>
      </c>
      <c r="AC2665" t="s">
        <v>43</v>
      </c>
      <c r="AD2665" t="s">
        <v>44</v>
      </c>
      <c r="AE2665" t="s">
        <v>36</v>
      </c>
    </row>
    <row r="2666" spans="1:31" x14ac:dyDescent="0.3">
      <c r="A2666">
        <v>10401</v>
      </c>
      <c r="B2666">
        <v>21</v>
      </c>
      <c r="C2666">
        <v>96.11</v>
      </c>
      <c r="D2666">
        <v>2</v>
      </c>
      <c r="E2666" s="4" t="str">
        <f t="shared" si="246"/>
        <v>low sales</v>
      </c>
      <c r="F2666">
        <v>2018.31</v>
      </c>
      <c r="G2666" t="s">
        <v>3338</v>
      </c>
      <c r="H2666" s="1" t="str">
        <f t="shared" si="247"/>
        <v>On Hold</v>
      </c>
      <c r="I2666" s="4" t="str">
        <f t="shared" si="248"/>
        <v>not completed</v>
      </c>
      <c r="J2666" t="s">
        <v>401</v>
      </c>
      <c r="K2666">
        <v>2</v>
      </c>
      <c r="L2666">
        <v>4</v>
      </c>
      <c r="M2666">
        <v>2005</v>
      </c>
      <c r="N2666" t="s">
        <v>566</v>
      </c>
      <c r="O2666">
        <v>118</v>
      </c>
      <c r="P2666" t="s">
        <v>668</v>
      </c>
      <c r="Q2666" t="s">
        <v>104</v>
      </c>
      <c r="R2666">
        <v>2015559350</v>
      </c>
      <c r="S2666" t="s">
        <v>105</v>
      </c>
      <c r="U2666" s="1" t="str">
        <f t="shared" si="249"/>
        <v>Newark</v>
      </c>
      <c r="V2666" t="s">
        <v>106</v>
      </c>
      <c r="W2666" t="s">
        <v>107</v>
      </c>
      <c r="X2666">
        <v>94019</v>
      </c>
      <c r="Y2666" s="1" t="str">
        <f t="shared" si="250"/>
        <v>USA</v>
      </c>
      <c r="Z2666" s="4" t="str">
        <f t="shared" si="251"/>
        <v>Usa</v>
      </c>
      <c r="AA2666" t="s">
        <v>32</v>
      </c>
      <c r="AB2666" t="s">
        <v>33</v>
      </c>
      <c r="AC2666" t="s">
        <v>61</v>
      </c>
      <c r="AD2666" t="s">
        <v>108</v>
      </c>
      <c r="AE2666" t="s">
        <v>36</v>
      </c>
    </row>
    <row r="2667" spans="1:31" x14ac:dyDescent="0.3">
      <c r="A2667">
        <v>10416</v>
      </c>
      <c r="B2667">
        <v>41</v>
      </c>
      <c r="C2667">
        <v>100</v>
      </c>
      <c r="D2667">
        <v>3</v>
      </c>
      <c r="E2667" s="4" t="str">
        <f t="shared" si="246"/>
        <v>high sales</v>
      </c>
      <c r="F2667">
        <v>5642.83</v>
      </c>
      <c r="G2667" t="s">
        <v>3339</v>
      </c>
      <c r="H2667" s="1" t="str">
        <f t="shared" si="247"/>
        <v>Shipped</v>
      </c>
      <c r="I2667" s="4" t="str">
        <f t="shared" si="248"/>
        <v>completed</v>
      </c>
      <c r="J2667" t="s">
        <v>25</v>
      </c>
      <c r="K2667">
        <v>2</v>
      </c>
      <c r="L2667">
        <v>5</v>
      </c>
      <c r="M2667">
        <v>2005</v>
      </c>
      <c r="N2667" t="s">
        <v>566</v>
      </c>
      <c r="O2667">
        <v>118</v>
      </c>
      <c r="P2667" t="s">
        <v>668</v>
      </c>
      <c r="Q2667" t="s">
        <v>452</v>
      </c>
      <c r="R2667" t="s">
        <v>453</v>
      </c>
      <c r="S2667" t="s">
        <v>454</v>
      </c>
      <c r="U2667" s="1" t="str">
        <f t="shared" si="249"/>
        <v>Reggio Emilia</v>
      </c>
      <c r="V2667" t="s">
        <v>455</v>
      </c>
      <c r="X2667">
        <v>42100</v>
      </c>
      <c r="Y2667" s="1" t="str">
        <f t="shared" si="250"/>
        <v>ITALY</v>
      </c>
      <c r="Z2667" s="4" t="str">
        <f t="shared" si="251"/>
        <v>Italy</v>
      </c>
      <c r="AA2667" t="s">
        <v>258</v>
      </c>
      <c r="AB2667" t="s">
        <v>42</v>
      </c>
      <c r="AC2667" t="s">
        <v>456</v>
      </c>
      <c r="AD2667" t="s">
        <v>457</v>
      </c>
      <c r="AE2667" t="s">
        <v>51</v>
      </c>
    </row>
    <row r="2668" spans="1:31" x14ac:dyDescent="0.3">
      <c r="A2668">
        <v>10106</v>
      </c>
      <c r="B2668">
        <v>44</v>
      </c>
      <c r="C2668">
        <v>74.400000000000006</v>
      </c>
      <c r="D2668">
        <v>8</v>
      </c>
      <c r="E2668" s="4" t="str">
        <f t="shared" si="246"/>
        <v>low sales</v>
      </c>
      <c r="F2668">
        <v>3273.6</v>
      </c>
      <c r="G2668" t="s">
        <v>3340</v>
      </c>
      <c r="H2668" s="1" t="str">
        <f t="shared" si="247"/>
        <v>Shipped</v>
      </c>
      <c r="I2668" s="4" t="str">
        <f t="shared" si="248"/>
        <v>completed</v>
      </c>
      <c r="J2668" t="s">
        <v>25</v>
      </c>
      <c r="K2668">
        <v>1</v>
      </c>
      <c r="L2668">
        <v>2</v>
      </c>
      <c r="M2668">
        <v>2003</v>
      </c>
      <c r="N2668" t="s">
        <v>566</v>
      </c>
      <c r="O2668">
        <v>80</v>
      </c>
      <c r="P2668" t="s">
        <v>669</v>
      </c>
      <c r="Q2668" t="s">
        <v>552</v>
      </c>
      <c r="R2668" t="s">
        <v>553</v>
      </c>
      <c r="S2668" t="s">
        <v>554</v>
      </c>
      <c r="U2668" s="1" t="str">
        <f t="shared" si="249"/>
        <v>Bergamo</v>
      </c>
      <c r="V2668" t="s">
        <v>555</v>
      </c>
      <c r="X2668">
        <v>24100</v>
      </c>
      <c r="Y2668" s="1" t="str">
        <f t="shared" si="250"/>
        <v>ITALY</v>
      </c>
      <c r="Z2668" s="4" t="str">
        <f t="shared" si="251"/>
        <v>Italy</v>
      </c>
      <c r="AA2668" t="s">
        <v>258</v>
      </c>
      <c r="AB2668" t="s">
        <v>42</v>
      </c>
      <c r="AC2668" t="s">
        <v>556</v>
      </c>
      <c r="AD2668" t="s">
        <v>557</v>
      </c>
      <c r="AE2668" t="s">
        <v>51</v>
      </c>
    </row>
    <row r="2669" spans="1:31" x14ac:dyDescent="0.3">
      <c r="A2669">
        <v>10120</v>
      </c>
      <c r="B2669">
        <v>43</v>
      </c>
      <c r="C2669">
        <v>76</v>
      </c>
      <c r="D2669">
        <v>14</v>
      </c>
      <c r="E2669" s="4" t="str">
        <f t="shared" si="246"/>
        <v>low sales</v>
      </c>
      <c r="F2669">
        <v>3268</v>
      </c>
      <c r="G2669" t="s">
        <v>3341</v>
      </c>
      <c r="H2669" s="1" t="str">
        <f t="shared" si="247"/>
        <v>Shipped</v>
      </c>
      <c r="I2669" s="4" t="str">
        <f t="shared" si="248"/>
        <v>completed</v>
      </c>
      <c r="J2669" t="s">
        <v>25</v>
      </c>
      <c r="K2669">
        <v>2</v>
      </c>
      <c r="L2669">
        <v>4</v>
      </c>
      <c r="M2669">
        <v>2003</v>
      </c>
      <c r="N2669" t="s">
        <v>566</v>
      </c>
      <c r="O2669">
        <v>80</v>
      </c>
      <c r="P2669" t="s">
        <v>669</v>
      </c>
      <c r="Q2669" t="s">
        <v>89</v>
      </c>
      <c r="R2669" t="s">
        <v>90</v>
      </c>
      <c r="S2669" t="s">
        <v>91</v>
      </c>
      <c r="T2669" t="s">
        <v>92</v>
      </c>
      <c r="U2669" s="1" t="str">
        <f t="shared" si="249"/>
        <v>Melbourne</v>
      </c>
      <c r="V2669" t="s">
        <v>93</v>
      </c>
      <c r="W2669" t="s">
        <v>94</v>
      </c>
      <c r="X2669">
        <v>3004</v>
      </c>
      <c r="Y2669" s="1" t="str">
        <f t="shared" si="250"/>
        <v>AUSTRALIA</v>
      </c>
      <c r="Z2669" s="4" t="str">
        <f t="shared" si="251"/>
        <v>Australia</v>
      </c>
      <c r="AA2669" t="s">
        <v>95</v>
      </c>
      <c r="AB2669" t="s">
        <v>96</v>
      </c>
      <c r="AC2669" t="s">
        <v>97</v>
      </c>
      <c r="AD2669" t="s">
        <v>98</v>
      </c>
      <c r="AE2669" t="s">
        <v>51</v>
      </c>
    </row>
    <row r="2670" spans="1:31" x14ac:dyDescent="0.3">
      <c r="A2670">
        <v>10143</v>
      </c>
      <c r="B2670">
        <v>28</v>
      </c>
      <c r="C2670">
        <v>96</v>
      </c>
      <c r="D2670">
        <v>3</v>
      </c>
      <c r="E2670" s="4" t="str">
        <f t="shared" si="246"/>
        <v>low sales</v>
      </c>
      <c r="F2670">
        <v>2688</v>
      </c>
      <c r="G2670" t="s">
        <v>3342</v>
      </c>
      <c r="H2670" s="1" t="str">
        <f t="shared" si="247"/>
        <v>Shipped</v>
      </c>
      <c r="I2670" s="4" t="str">
        <f t="shared" si="248"/>
        <v>completed</v>
      </c>
      <c r="J2670" t="s">
        <v>25</v>
      </c>
      <c r="K2670">
        <v>3</v>
      </c>
      <c r="L2670">
        <v>8</v>
      </c>
      <c r="M2670">
        <v>2003</v>
      </c>
      <c r="N2670" t="s">
        <v>566</v>
      </c>
      <c r="O2670">
        <v>80</v>
      </c>
      <c r="P2670" t="s">
        <v>669</v>
      </c>
      <c r="Q2670" t="s">
        <v>335</v>
      </c>
      <c r="R2670">
        <v>5085559555</v>
      </c>
      <c r="S2670" t="s">
        <v>336</v>
      </c>
      <c r="U2670" s="1" t="str">
        <f t="shared" si="249"/>
        <v>New Bedford</v>
      </c>
      <c r="V2670" t="s">
        <v>162</v>
      </c>
      <c r="W2670" t="s">
        <v>123</v>
      </c>
      <c r="X2670">
        <v>50553</v>
      </c>
      <c r="Y2670" s="1" t="str">
        <f t="shared" si="250"/>
        <v>USA</v>
      </c>
      <c r="Z2670" s="4" t="str">
        <f t="shared" si="251"/>
        <v>Usa</v>
      </c>
      <c r="AA2670" t="s">
        <v>32</v>
      </c>
      <c r="AB2670" t="s">
        <v>33</v>
      </c>
      <c r="AC2670" t="s">
        <v>337</v>
      </c>
      <c r="AD2670" t="s">
        <v>338</v>
      </c>
      <c r="AE2670" t="s">
        <v>36</v>
      </c>
    </row>
    <row r="2671" spans="1:31" x14ac:dyDescent="0.3">
      <c r="A2671">
        <v>10155</v>
      </c>
      <c r="B2671">
        <v>43</v>
      </c>
      <c r="C2671">
        <v>86.4</v>
      </c>
      <c r="D2671">
        <v>1</v>
      </c>
      <c r="E2671" s="4" t="str">
        <f t="shared" si="246"/>
        <v>low sales</v>
      </c>
      <c r="F2671">
        <v>3715.2</v>
      </c>
      <c r="G2671" t="s">
        <v>3343</v>
      </c>
      <c r="H2671" s="1" t="str">
        <f t="shared" si="247"/>
        <v>Shipped</v>
      </c>
      <c r="I2671" s="4" t="str">
        <f t="shared" si="248"/>
        <v>completed</v>
      </c>
      <c r="J2671" t="s">
        <v>25</v>
      </c>
      <c r="K2671">
        <v>4</v>
      </c>
      <c r="L2671">
        <v>10</v>
      </c>
      <c r="M2671">
        <v>2003</v>
      </c>
      <c r="N2671" t="s">
        <v>566</v>
      </c>
      <c r="O2671">
        <v>80</v>
      </c>
      <c r="P2671" t="s">
        <v>669</v>
      </c>
      <c r="Q2671" t="s">
        <v>126</v>
      </c>
      <c r="R2671" t="s">
        <v>127</v>
      </c>
      <c r="S2671" t="s">
        <v>128</v>
      </c>
      <c r="U2671" s="1" t="str">
        <f t="shared" si="249"/>
        <v>Helsinki</v>
      </c>
      <c r="V2671" t="s">
        <v>129</v>
      </c>
      <c r="X2671">
        <v>21240</v>
      </c>
      <c r="Y2671" s="1" t="str">
        <f t="shared" si="250"/>
        <v>FINLAND</v>
      </c>
      <c r="Z2671" s="4" t="str">
        <f t="shared" si="251"/>
        <v>Finland</v>
      </c>
      <c r="AA2671" t="s">
        <v>130</v>
      </c>
      <c r="AB2671" t="s">
        <v>42</v>
      </c>
      <c r="AC2671" t="s">
        <v>131</v>
      </c>
      <c r="AD2671" t="s">
        <v>132</v>
      </c>
      <c r="AE2671" t="s">
        <v>51</v>
      </c>
    </row>
    <row r="2672" spans="1:31" x14ac:dyDescent="0.3">
      <c r="A2672">
        <v>10168</v>
      </c>
      <c r="B2672">
        <v>48</v>
      </c>
      <c r="C2672">
        <v>96</v>
      </c>
      <c r="D2672">
        <v>15</v>
      </c>
      <c r="E2672" s="4" t="str">
        <f t="shared" si="246"/>
        <v>high sales</v>
      </c>
      <c r="F2672">
        <v>4608</v>
      </c>
      <c r="G2672" t="s">
        <v>3344</v>
      </c>
      <c r="H2672" s="1" t="str">
        <f t="shared" si="247"/>
        <v>Shipped</v>
      </c>
      <c r="I2672" s="4" t="str">
        <f t="shared" si="248"/>
        <v>completed</v>
      </c>
      <c r="J2672" t="s">
        <v>25</v>
      </c>
      <c r="K2672">
        <v>4</v>
      </c>
      <c r="L2672">
        <v>10</v>
      </c>
      <c r="M2672">
        <v>2003</v>
      </c>
      <c r="N2672" t="s">
        <v>566</v>
      </c>
      <c r="O2672">
        <v>80</v>
      </c>
      <c r="P2672" t="s">
        <v>669</v>
      </c>
      <c r="Q2672" t="s">
        <v>62</v>
      </c>
      <c r="R2672">
        <v>6505556809</v>
      </c>
      <c r="S2672" t="s">
        <v>63</v>
      </c>
      <c r="U2672" s="1" t="str">
        <f t="shared" si="249"/>
        <v>Burlingame</v>
      </c>
      <c r="V2672" t="s">
        <v>64</v>
      </c>
      <c r="W2672" t="s">
        <v>55</v>
      </c>
      <c r="X2672">
        <v>94217</v>
      </c>
      <c r="Y2672" s="1" t="str">
        <f t="shared" si="250"/>
        <v>USA</v>
      </c>
      <c r="Z2672" s="4" t="str">
        <f t="shared" si="251"/>
        <v>Usa</v>
      </c>
      <c r="AA2672" t="s">
        <v>32</v>
      </c>
      <c r="AB2672" t="s">
        <v>33</v>
      </c>
      <c r="AC2672" t="s">
        <v>65</v>
      </c>
      <c r="AD2672" t="s">
        <v>66</v>
      </c>
      <c r="AE2672" t="s">
        <v>51</v>
      </c>
    </row>
    <row r="2673" spans="1:31" x14ac:dyDescent="0.3">
      <c r="A2673">
        <v>10199</v>
      </c>
      <c r="B2673">
        <v>38</v>
      </c>
      <c r="C2673">
        <v>82.4</v>
      </c>
      <c r="D2673">
        <v>3</v>
      </c>
      <c r="E2673" s="4" t="str">
        <f t="shared" si="246"/>
        <v>low sales</v>
      </c>
      <c r="F2673">
        <v>3131.2</v>
      </c>
      <c r="G2673" t="s">
        <v>3345</v>
      </c>
      <c r="H2673" s="1" t="str">
        <f t="shared" si="247"/>
        <v>Shipped</v>
      </c>
      <c r="I2673" s="4" t="str">
        <f t="shared" si="248"/>
        <v>completed</v>
      </c>
      <c r="J2673" t="s">
        <v>25</v>
      </c>
      <c r="K2673">
        <v>4</v>
      </c>
      <c r="L2673">
        <v>12</v>
      </c>
      <c r="M2673">
        <v>2003</v>
      </c>
      <c r="N2673" t="s">
        <v>566</v>
      </c>
      <c r="O2673">
        <v>80</v>
      </c>
      <c r="P2673" t="s">
        <v>669</v>
      </c>
      <c r="Q2673" t="s">
        <v>234</v>
      </c>
      <c r="R2673">
        <v>3105553722</v>
      </c>
      <c r="S2673" t="s">
        <v>235</v>
      </c>
      <c r="U2673" s="1" t="str">
        <f t="shared" si="249"/>
        <v>Burbank</v>
      </c>
      <c r="V2673" t="s">
        <v>236</v>
      </c>
      <c r="W2673" t="s">
        <v>55</v>
      </c>
      <c r="X2673">
        <v>94019</v>
      </c>
      <c r="Y2673" s="1" t="str">
        <f t="shared" si="250"/>
        <v>USA</v>
      </c>
      <c r="Z2673" s="4" t="str">
        <f t="shared" si="251"/>
        <v>Usa</v>
      </c>
      <c r="AA2673" t="s">
        <v>32</v>
      </c>
      <c r="AB2673" t="s">
        <v>33</v>
      </c>
      <c r="AC2673" t="s">
        <v>237</v>
      </c>
      <c r="AD2673" t="s">
        <v>238</v>
      </c>
      <c r="AE2673" t="s">
        <v>51</v>
      </c>
    </row>
    <row r="2674" spans="1:31" x14ac:dyDescent="0.3">
      <c r="A2674">
        <v>10210</v>
      </c>
      <c r="B2674">
        <v>31</v>
      </c>
      <c r="C2674">
        <v>86.4</v>
      </c>
      <c r="D2674">
        <v>13</v>
      </c>
      <c r="E2674" s="4" t="str">
        <f t="shared" si="246"/>
        <v>low sales</v>
      </c>
      <c r="F2674">
        <v>2678.4</v>
      </c>
      <c r="G2674" t="s">
        <v>3346</v>
      </c>
      <c r="H2674" s="1" t="str">
        <f t="shared" si="247"/>
        <v>Shipped</v>
      </c>
      <c r="I2674" s="4" t="str">
        <f t="shared" si="248"/>
        <v>completed</v>
      </c>
      <c r="J2674" t="s">
        <v>25</v>
      </c>
      <c r="K2674">
        <v>1</v>
      </c>
      <c r="L2674">
        <v>1</v>
      </c>
      <c r="M2674">
        <v>2004</v>
      </c>
      <c r="N2674" t="s">
        <v>566</v>
      </c>
      <c r="O2674">
        <v>80</v>
      </c>
      <c r="P2674" t="s">
        <v>669</v>
      </c>
      <c r="Q2674" t="s">
        <v>302</v>
      </c>
      <c r="R2674" t="s">
        <v>303</v>
      </c>
      <c r="S2674" t="s">
        <v>304</v>
      </c>
      <c r="U2674" s="1" t="str">
        <f t="shared" si="249"/>
        <v>Osaka</v>
      </c>
      <c r="V2674" t="s">
        <v>305</v>
      </c>
      <c r="W2674" t="s">
        <v>305</v>
      </c>
      <c r="X2674" t="s">
        <v>306</v>
      </c>
      <c r="Y2674" s="1" t="str">
        <f t="shared" si="250"/>
        <v>JAPAN</v>
      </c>
      <c r="Z2674" s="4" t="str">
        <f t="shared" si="251"/>
        <v>Japan</v>
      </c>
      <c r="AA2674" t="s">
        <v>200</v>
      </c>
      <c r="AB2674" t="s">
        <v>200</v>
      </c>
      <c r="AC2674" t="s">
        <v>307</v>
      </c>
      <c r="AD2674" t="s">
        <v>308</v>
      </c>
      <c r="AE2674" t="s">
        <v>36</v>
      </c>
    </row>
    <row r="2675" spans="1:31" x14ac:dyDescent="0.3">
      <c r="A2675">
        <v>10223</v>
      </c>
      <c r="B2675">
        <v>26</v>
      </c>
      <c r="C2675">
        <v>67.2</v>
      </c>
      <c r="D2675">
        <v>15</v>
      </c>
      <c r="E2675" s="4" t="str">
        <f t="shared" si="246"/>
        <v>low sales</v>
      </c>
      <c r="F2675">
        <v>1747.2</v>
      </c>
      <c r="G2675" t="s">
        <v>3347</v>
      </c>
      <c r="H2675" s="1" t="str">
        <f t="shared" si="247"/>
        <v>Shipped</v>
      </c>
      <c r="I2675" s="4" t="str">
        <f t="shared" si="248"/>
        <v>completed</v>
      </c>
      <c r="J2675" t="s">
        <v>25</v>
      </c>
      <c r="K2675">
        <v>1</v>
      </c>
      <c r="L2675">
        <v>2</v>
      </c>
      <c r="M2675">
        <v>2004</v>
      </c>
      <c r="N2675" t="s">
        <v>566</v>
      </c>
      <c r="O2675">
        <v>80</v>
      </c>
      <c r="P2675" t="s">
        <v>669</v>
      </c>
      <c r="Q2675" t="s">
        <v>89</v>
      </c>
      <c r="R2675" t="s">
        <v>90</v>
      </c>
      <c r="S2675" t="s">
        <v>91</v>
      </c>
      <c r="T2675" t="s">
        <v>92</v>
      </c>
      <c r="U2675" s="1" t="str">
        <f t="shared" si="249"/>
        <v>Melbourne</v>
      </c>
      <c r="V2675" t="s">
        <v>93</v>
      </c>
      <c r="W2675" t="s">
        <v>94</v>
      </c>
      <c r="X2675">
        <v>3004</v>
      </c>
      <c r="Y2675" s="1" t="str">
        <f t="shared" si="250"/>
        <v>AUSTRALIA</v>
      </c>
      <c r="Z2675" s="4" t="str">
        <f t="shared" si="251"/>
        <v>Australia</v>
      </c>
      <c r="AA2675" t="s">
        <v>95</v>
      </c>
      <c r="AB2675" t="s">
        <v>96</v>
      </c>
      <c r="AC2675" t="s">
        <v>97</v>
      </c>
      <c r="AD2675" t="s">
        <v>98</v>
      </c>
      <c r="AE2675" t="s">
        <v>36</v>
      </c>
    </row>
    <row r="2676" spans="1:31" x14ac:dyDescent="0.3">
      <c r="A2676">
        <v>10235</v>
      </c>
      <c r="B2676">
        <v>32</v>
      </c>
      <c r="C2676">
        <v>92</v>
      </c>
      <c r="D2676">
        <v>9</v>
      </c>
      <c r="E2676" s="4" t="str">
        <f t="shared" si="246"/>
        <v>low sales</v>
      </c>
      <c r="F2676">
        <v>2944</v>
      </c>
      <c r="G2676" t="s">
        <v>3348</v>
      </c>
      <c r="H2676" s="1" t="str">
        <f t="shared" si="247"/>
        <v>Shipped</v>
      </c>
      <c r="I2676" s="4" t="str">
        <f t="shared" si="248"/>
        <v>completed</v>
      </c>
      <c r="J2676" t="s">
        <v>25</v>
      </c>
      <c r="K2676">
        <v>2</v>
      </c>
      <c r="L2676">
        <v>4</v>
      </c>
      <c r="M2676">
        <v>2004</v>
      </c>
      <c r="N2676" t="s">
        <v>566</v>
      </c>
      <c r="O2676">
        <v>80</v>
      </c>
      <c r="P2676" t="s">
        <v>669</v>
      </c>
      <c r="Q2676" t="s">
        <v>373</v>
      </c>
      <c r="R2676" t="s">
        <v>374</v>
      </c>
      <c r="S2676" t="s">
        <v>375</v>
      </c>
      <c r="U2676" s="1" t="str">
        <f t="shared" si="249"/>
        <v>Tsawassen</v>
      </c>
      <c r="V2676" t="s">
        <v>376</v>
      </c>
      <c r="W2676" t="s">
        <v>229</v>
      </c>
      <c r="X2676" t="s">
        <v>377</v>
      </c>
      <c r="Y2676" s="1" t="str">
        <f t="shared" si="250"/>
        <v>CANADA</v>
      </c>
      <c r="Z2676" s="4" t="str">
        <f t="shared" si="251"/>
        <v>Canada</v>
      </c>
      <c r="AA2676" t="s">
        <v>231</v>
      </c>
      <c r="AB2676" t="s">
        <v>33</v>
      </c>
      <c r="AC2676" t="s">
        <v>378</v>
      </c>
      <c r="AD2676" t="s">
        <v>172</v>
      </c>
      <c r="AE2676" t="s">
        <v>36</v>
      </c>
    </row>
    <row r="2677" spans="1:31" x14ac:dyDescent="0.3">
      <c r="A2677">
        <v>10250</v>
      </c>
      <c r="B2677">
        <v>44</v>
      </c>
      <c r="C2677">
        <v>67.2</v>
      </c>
      <c r="D2677">
        <v>10</v>
      </c>
      <c r="E2677" s="4" t="str">
        <f t="shared" si="246"/>
        <v>low sales</v>
      </c>
      <c r="F2677">
        <v>2956.8</v>
      </c>
      <c r="G2677" t="s">
        <v>3349</v>
      </c>
      <c r="H2677" s="1" t="str">
        <f t="shared" si="247"/>
        <v>Shipped</v>
      </c>
      <c r="I2677" s="4" t="str">
        <f t="shared" si="248"/>
        <v>completed</v>
      </c>
      <c r="J2677" t="s">
        <v>25</v>
      </c>
      <c r="K2677">
        <v>2</v>
      </c>
      <c r="L2677">
        <v>5</v>
      </c>
      <c r="M2677">
        <v>2004</v>
      </c>
      <c r="N2677" t="s">
        <v>566</v>
      </c>
      <c r="O2677">
        <v>80</v>
      </c>
      <c r="P2677" t="s">
        <v>669</v>
      </c>
      <c r="Q2677" t="s">
        <v>397</v>
      </c>
      <c r="R2677">
        <v>4085553659</v>
      </c>
      <c r="S2677" t="s">
        <v>398</v>
      </c>
      <c r="U2677" s="1" t="str">
        <f t="shared" si="249"/>
        <v>San Jose</v>
      </c>
      <c r="V2677" t="s">
        <v>399</v>
      </c>
      <c r="W2677" t="s">
        <v>55</v>
      </c>
      <c r="X2677">
        <v>94217</v>
      </c>
      <c r="Y2677" s="1" t="str">
        <f t="shared" si="250"/>
        <v>USA</v>
      </c>
      <c r="Z2677" s="4" t="str">
        <f t="shared" si="251"/>
        <v>Usa</v>
      </c>
      <c r="AA2677" t="s">
        <v>32</v>
      </c>
      <c r="AB2677" t="s">
        <v>33</v>
      </c>
      <c r="AC2677" t="s">
        <v>102</v>
      </c>
      <c r="AD2677" t="s">
        <v>400</v>
      </c>
      <c r="AE2677" t="s">
        <v>36</v>
      </c>
    </row>
    <row r="2678" spans="1:31" x14ac:dyDescent="0.3">
      <c r="A2678">
        <v>10262</v>
      </c>
      <c r="B2678">
        <v>27</v>
      </c>
      <c r="C2678">
        <v>76</v>
      </c>
      <c r="D2678">
        <v>5</v>
      </c>
      <c r="E2678" s="4" t="str">
        <f t="shared" si="246"/>
        <v>low sales</v>
      </c>
      <c r="F2678">
        <v>2052</v>
      </c>
      <c r="G2678" t="s">
        <v>3350</v>
      </c>
      <c r="H2678" s="1" t="str">
        <f t="shared" si="247"/>
        <v>Cancelled</v>
      </c>
      <c r="I2678" s="4" t="str">
        <f t="shared" si="248"/>
        <v>not completed</v>
      </c>
      <c r="J2678" t="s">
        <v>339</v>
      </c>
      <c r="K2678">
        <v>2</v>
      </c>
      <c r="L2678">
        <v>6</v>
      </c>
      <c r="M2678">
        <v>2004</v>
      </c>
      <c r="N2678" t="s">
        <v>566</v>
      </c>
      <c r="O2678">
        <v>80</v>
      </c>
      <c r="P2678" t="s">
        <v>669</v>
      </c>
      <c r="Q2678" t="s">
        <v>174</v>
      </c>
      <c r="R2678" t="s">
        <v>175</v>
      </c>
      <c r="S2678" t="s">
        <v>176</v>
      </c>
      <c r="U2678" s="1" t="str">
        <f t="shared" si="249"/>
        <v>Madrid</v>
      </c>
      <c r="V2678" t="s">
        <v>177</v>
      </c>
      <c r="X2678">
        <v>28034</v>
      </c>
      <c r="Y2678" s="1" t="str">
        <f t="shared" si="250"/>
        <v>SPAIN</v>
      </c>
      <c r="Z2678" s="4" t="str">
        <f t="shared" si="251"/>
        <v>Spain</v>
      </c>
      <c r="AA2678" t="s">
        <v>178</v>
      </c>
      <c r="AB2678" t="s">
        <v>42</v>
      </c>
      <c r="AC2678" t="s">
        <v>179</v>
      </c>
      <c r="AD2678" t="s">
        <v>180</v>
      </c>
      <c r="AE2678" t="s">
        <v>36</v>
      </c>
    </row>
    <row r="2679" spans="1:31" x14ac:dyDescent="0.3">
      <c r="A2679">
        <v>10275</v>
      </c>
      <c r="B2679">
        <v>43</v>
      </c>
      <c r="C2679">
        <v>73.599999999999994</v>
      </c>
      <c r="D2679">
        <v>15</v>
      </c>
      <c r="E2679" s="4" t="str">
        <f t="shared" si="246"/>
        <v>low sales</v>
      </c>
      <c r="F2679">
        <v>3164.8</v>
      </c>
      <c r="G2679" t="s">
        <v>3351</v>
      </c>
      <c r="H2679" s="1" t="str">
        <f t="shared" si="247"/>
        <v>Shipped</v>
      </c>
      <c r="I2679" s="4" t="str">
        <f t="shared" si="248"/>
        <v>completed</v>
      </c>
      <c r="J2679" t="s">
        <v>25</v>
      </c>
      <c r="K2679">
        <v>3</v>
      </c>
      <c r="L2679">
        <v>7</v>
      </c>
      <c r="M2679">
        <v>2004</v>
      </c>
      <c r="N2679" t="s">
        <v>566</v>
      </c>
      <c r="O2679">
        <v>80</v>
      </c>
      <c r="P2679" t="s">
        <v>669</v>
      </c>
      <c r="Q2679" t="s">
        <v>114</v>
      </c>
      <c r="R2679" t="s">
        <v>115</v>
      </c>
      <c r="S2679" t="s">
        <v>116</v>
      </c>
      <c r="U2679" s="1" t="str">
        <f t="shared" si="249"/>
        <v>Nantes</v>
      </c>
      <c r="V2679" t="s">
        <v>117</v>
      </c>
      <c r="X2679">
        <v>44000</v>
      </c>
      <c r="Y2679" s="1" t="str">
        <f t="shared" si="250"/>
        <v>FRANCE</v>
      </c>
      <c r="Z2679" s="4" t="str">
        <f t="shared" si="251"/>
        <v>France</v>
      </c>
      <c r="AA2679" t="s">
        <v>41</v>
      </c>
      <c r="AB2679" t="s">
        <v>42</v>
      </c>
      <c r="AC2679" t="s">
        <v>118</v>
      </c>
      <c r="AD2679" t="s">
        <v>119</v>
      </c>
      <c r="AE2679" t="s">
        <v>51</v>
      </c>
    </row>
    <row r="2680" spans="1:31" x14ac:dyDescent="0.3">
      <c r="A2680">
        <v>10284</v>
      </c>
      <c r="B2680">
        <v>25</v>
      </c>
      <c r="C2680">
        <v>69.599999999999994</v>
      </c>
      <c r="D2680">
        <v>7</v>
      </c>
      <c r="E2680" s="4" t="str">
        <f t="shared" si="246"/>
        <v>low sales</v>
      </c>
      <c r="F2680">
        <v>1740</v>
      </c>
      <c r="G2680" t="s">
        <v>3352</v>
      </c>
      <c r="H2680" s="1" t="str">
        <f t="shared" si="247"/>
        <v>Shipped</v>
      </c>
      <c r="I2680" s="4" t="str">
        <f t="shared" si="248"/>
        <v>completed</v>
      </c>
      <c r="J2680" t="s">
        <v>25</v>
      </c>
      <c r="K2680">
        <v>3</v>
      </c>
      <c r="L2680">
        <v>8</v>
      </c>
      <c r="M2680">
        <v>2004</v>
      </c>
      <c r="N2680" t="s">
        <v>566</v>
      </c>
      <c r="O2680">
        <v>80</v>
      </c>
      <c r="P2680" t="s">
        <v>669</v>
      </c>
      <c r="Q2680" t="s">
        <v>543</v>
      </c>
      <c r="R2680" t="s">
        <v>544</v>
      </c>
      <c r="S2680" t="s">
        <v>545</v>
      </c>
      <c r="U2680" s="1" t="str">
        <f t="shared" si="249"/>
        <v>Oslo</v>
      </c>
      <c r="V2680" t="s">
        <v>546</v>
      </c>
      <c r="X2680" t="s">
        <v>547</v>
      </c>
      <c r="Y2680" s="1" t="str">
        <f t="shared" si="250"/>
        <v>NORWAY</v>
      </c>
      <c r="Z2680" s="4" t="str">
        <f t="shared" si="251"/>
        <v>Norway</v>
      </c>
      <c r="AA2680" t="s">
        <v>78</v>
      </c>
      <c r="AB2680" t="s">
        <v>42</v>
      </c>
      <c r="AC2680" t="s">
        <v>548</v>
      </c>
      <c r="AD2680" t="s">
        <v>549</v>
      </c>
      <c r="AE2680" t="s">
        <v>36</v>
      </c>
    </row>
    <row r="2681" spans="1:31" x14ac:dyDescent="0.3">
      <c r="A2681">
        <v>10296</v>
      </c>
      <c r="B2681">
        <v>22</v>
      </c>
      <c r="C2681">
        <v>80.8</v>
      </c>
      <c r="D2681">
        <v>3</v>
      </c>
      <c r="E2681" s="4" t="str">
        <f t="shared" si="246"/>
        <v>low sales</v>
      </c>
      <c r="F2681">
        <v>1777.6</v>
      </c>
      <c r="G2681" t="s">
        <v>3353</v>
      </c>
      <c r="H2681" s="1" t="str">
        <f t="shared" si="247"/>
        <v>Shipped</v>
      </c>
      <c r="I2681" s="4" t="str">
        <f t="shared" si="248"/>
        <v>completed</v>
      </c>
      <c r="J2681" t="s">
        <v>25</v>
      </c>
      <c r="K2681">
        <v>3</v>
      </c>
      <c r="L2681">
        <v>9</v>
      </c>
      <c r="M2681">
        <v>2004</v>
      </c>
      <c r="N2681" t="s">
        <v>566</v>
      </c>
      <c r="O2681">
        <v>80</v>
      </c>
      <c r="P2681" t="s">
        <v>669</v>
      </c>
      <c r="Q2681" t="s">
        <v>572</v>
      </c>
      <c r="R2681" t="s">
        <v>573</v>
      </c>
      <c r="S2681" t="s">
        <v>574</v>
      </c>
      <c r="U2681" s="1" t="str">
        <f t="shared" si="249"/>
        <v>Munich</v>
      </c>
      <c r="V2681" t="s">
        <v>575</v>
      </c>
      <c r="X2681">
        <v>80686</v>
      </c>
      <c r="Y2681" s="1" t="str">
        <f t="shared" si="250"/>
        <v>GERMANY</v>
      </c>
      <c r="Z2681" s="4" t="str">
        <f t="shared" si="251"/>
        <v>Germany</v>
      </c>
      <c r="AA2681" t="s">
        <v>443</v>
      </c>
      <c r="AB2681" t="s">
        <v>42</v>
      </c>
      <c r="AC2681" t="s">
        <v>576</v>
      </c>
      <c r="AD2681" t="s">
        <v>103</v>
      </c>
      <c r="AE2681" t="s">
        <v>36</v>
      </c>
    </row>
    <row r="2682" spans="1:31" x14ac:dyDescent="0.3">
      <c r="A2682">
        <v>10308</v>
      </c>
      <c r="B2682">
        <v>21</v>
      </c>
      <c r="C2682">
        <v>87.2</v>
      </c>
      <c r="D2682">
        <v>13</v>
      </c>
      <c r="E2682" s="4" t="str">
        <f t="shared" si="246"/>
        <v>low sales</v>
      </c>
      <c r="F2682">
        <v>1831.2</v>
      </c>
      <c r="G2682" t="s">
        <v>3354</v>
      </c>
      <c r="H2682" s="1" t="str">
        <f t="shared" si="247"/>
        <v>Shipped</v>
      </c>
      <c r="I2682" s="4" t="str">
        <f t="shared" si="248"/>
        <v>completed</v>
      </c>
      <c r="J2682" t="s">
        <v>25</v>
      </c>
      <c r="K2682">
        <v>4</v>
      </c>
      <c r="L2682">
        <v>10</v>
      </c>
      <c r="M2682">
        <v>2004</v>
      </c>
      <c r="N2682" t="s">
        <v>566</v>
      </c>
      <c r="O2682">
        <v>80</v>
      </c>
      <c r="P2682" t="s">
        <v>669</v>
      </c>
      <c r="Q2682" t="s">
        <v>317</v>
      </c>
      <c r="R2682">
        <v>9145554562</v>
      </c>
      <c r="S2682" t="s">
        <v>318</v>
      </c>
      <c r="U2682" s="1" t="str">
        <f t="shared" si="249"/>
        <v>White Plains</v>
      </c>
      <c r="V2682" t="s">
        <v>319</v>
      </c>
      <c r="W2682" t="s">
        <v>31</v>
      </c>
      <c r="X2682">
        <v>24067</v>
      </c>
      <c r="Y2682" s="1" t="str">
        <f t="shared" si="250"/>
        <v>USA</v>
      </c>
      <c r="Z2682" s="4" t="str">
        <f t="shared" si="251"/>
        <v>Usa</v>
      </c>
      <c r="AA2682" t="s">
        <v>32</v>
      </c>
      <c r="AB2682" t="s">
        <v>33</v>
      </c>
      <c r="AC2682" t="s">
        <v>102</v>
      </c>
      <c r="AD2682" t="s">
        <v>238</v>
      </c>
      <c r="AE2682" t="s">
        <v>36</v>
      </c>
    </row>
    <row r="2683" spans="1:31" x14ac:dyDescent="0.3">
      <c r="A2683">
        <v>10316</v>
      </c>
      <c r="B2683">
        <v>48</v>
      </c>
      <c r="C2683">
        <v>75.2</v>
      </c>
      <c r="D2683">
        <v>5</v>
      </c>
      <c r="E2683" s="4" t="str">
        <f t="shared" si="246"/>
        <v>low sales</v>
      </c>
      <c r="F2683">
        <v>3609.6</v>
      </c>
      <c r="G2683" t="s">
        <v>3355</v>
      </c>
      <c r="H2683" s="1" t="str">
        <f t="shared" si="247"/>
        <v>Shipped</v>
      </c>
      <c r="I2683" s="4" t="str">
        <f t="shared" si="248"/>
        <v>completed</v>
      </c>
      <c r="J2683" t="s">
        <v>25</v>
      </c>
      <c r="K2683">
        <v>4</v>
      </c>
      <c r="L2683">
        <v>11</v>
      </c>
      <c r="M2683">
        <v>2004</v>
      </c>
      <c r="N2683" t="s">
        <v>566</v>
      </c>
      <c r="O2683">
        <v>80</v>
      </c>
      <c r="P2683" t="s">
        <v>669</v>
      </c>
      <c r="Q2683" t="s">
        <v>383</v>
      </c>
      <c r="R2683" t="s">
        <v>384</v>
      </c>
      <c r="S2683" t="s">
        <v>385</v>
      </c>
      <c r="U2683" s="1" t="str">
        <f t="shared" si="249"/>
        <v>Cowes</v>
      </c>
      <c r="V2683" t="s">
        <v>386</v>
      </c>
      <c r="W2683" t="s">
        <v>387</v>
      </c>
      <c r="X2683" t="s">
        <v>388</v>
      </c>
      <c r="Y2683" s="1" t="str">
        <f t="shared" si="250"/>
        <v>UK</v>
      </c>
      <c r="Z2683" s="4" t="str">
        <f t="shared" si="251"/>
        <v>Uk</v>
      </c>
      <c r="AA2683" t="s">
        <v>170</v>
      </c>
      <c r="AB2683" t="s">
        <v>42</v>
      </c>
      <c r="AC2683" t="s">
        <v>389</v>
      </c>
      <c r="AD2683" t="s">
        <v>390</v>
      </c>
      <c r="AE2683" t="s">
        <v>51</v>
      </c>
    </row>
    <row r="2684" spans="1:31" x14ac:dyDescent="0.3">
      <c r="A2684">
        <v>10328</v>
      </c>
      <c r="B2684">
        <v>33</v>
      </c>
      <c r="C2684">
        <v>64</v>
      </c>
      <c r="D2684">
        <v>13</v>
      </c>
      <c r="E2684" s="4" t="str">
        <f t="shared" si="246"/>
        <v>low sales</v>
      </c>
      <c r="F2684">
        <v>2112</v>
      </c>
      <c r="G2684" t="s">
        <v>3356</v>
      </c>
      <c r="H2684" s="1" t="str">
        <f t="shared" si="247"/>
        <v>Shipped</v>
      </c>
      <c r="I2684" s="4" t="str">
        <f t="shared" si="248"/>
        <v>completed</v>
      </c>
      <c r="J2684" t="s">
        <v>25</v>
      </c>
      <c r="K2684">
        <v>4</v>
      </c>
      <c r="L2684">
        <v>11</v>
      </c>
      <c r="M2684">
        <v>2004</v>
      </c>
      <c r="N2684" t="s">
        <v>566</v>
      </c>
      <c r="O2684">
        <v>80</v>
      </c>
      <c r="P2684" t="s">
        <v>669</v>
      </c>
      <c r="Q2684" t="s">
        <v>552</v>
      </c>
      <c r="R2684" t="s">
        <v>553</v>
      </c>
      <c r="S2684" t="s">
        <v>554</v>
      </c>
      <c r="U2684" s="1" t="str">
        <f t="shared" si="249"/>
        <v>Bergamo</v>
      </c>
      <c r="V2684" t="s">
        <v>555</v>
      </c>
      <c r="X2684">
        <v>24100</v>
      </c>
      <c r="Y2684" s="1" t="str">
        <f t="shared" si="250"/>
        <v>ITALY</v>
      </c>
      <c r="Z2684" s="4" t="str">
        <f t="shared" si="251"/>
        <v>Italy</v>
      </c>
      <c r="AA2684" t="s">
        <v>258</v>
      </c>
      <c r="AB2684" t="s">
        <v>42</v>
      </c>
      <c r="AC2684" t="s">
        <v>556</v>
      </c>
      <c r="AD2684" t="s">
        <v>557</v>
      </c>
      <c r="AE2684" t="s">
        <v>36</v>
      </c>
    </row>
    <row r="2685" spans="1:31" x14ac:dyDescent="0.3">
      <c r="A2685">
        <v>10341</v>
      </c>
      <c r="B2685">
        <v>34</v>
      </c>
      <c r="C2685">
        <v>100</v>
      </c>
      <c r="D2685">
        <v>5</v>
      </c>
      <c r="E2685" s="4" t="str">
        <f t="shared" si="246"/>
        <v>low sales</v>
      </c>
      <c r="F2685">
        <v>3644.12</v>
      </c>
      <c r="G2685" t="s">
        <v>3357</v>
      </c>
      <c r="H2685" s="1" t="str">
        <f t="shared" si="247"/>
        <v>Shipped</v>
      </c>
      <c r="I2685" s="4" t="str">
        <f t="shared" si="248"/>
        <v>completed</v>
      </c>
      <c r="J2685" t="s">
        <v>25</v>
      </c>
      <c r="K2685">
        <v>4</v>
      </c>
      <c r="L2685">
        <v>11</v>
      </c>
      <c r="M2685">
        <v>2004</v>
      </c>
      <c r="N2685" t="s">
        <v>566</v>
      </c>
      <c r="O2685">
        <v>80</v>
      </c>
      <c r="P2685" t="s">
        <v>669</v>
      </c>
      <c r="Q2685" t="s">
        <v>144</v>
      </c>
      <c r="R2685" t="s">
        <v>145</v>
      </c>
      <c r="S2685" t="s">
        <v>146</v>
      </c>
      <c r="U2685" s="1" t="str">
        <f t="shared" si="249"/>
        <v>Salzburg</v>
      </c>
      <c r="V2685" t="s">
        <v>147</v>
      </c>
      <c r="X2685">
        <v>5020</v>
      </c>
      <c r="Y2685" s="1" t="str">
        <f t="shared" si="250"/>
        <v>AUSTRIA</v>
      </c>
      <c r="Z2685" s="4" t="str">
        <f t="shared" si="251"/>
        <v>Austria</v>
      </c>
      <c r="AA2685" t="s">
        <v>148</v>
      </c>
      <c r="AB2685" t="s">
        <v>42</v>
      </c>
      <c r="AC2685" t="s">
        <v>149</v>
      </c>
      <c r="AD2685" t="s">
        <v>150</v>
      </c>
      <c r="AE2685" t="s">
        <v>51</v>
      </c>
    </row>
    <row r="2686" spans="1:31" x14ac:dyDescent="0.3">
      <c r="A2686">
        <v>10353</v>
      </c>
      <c r="B2686">
        <v>43</v>
      </c>
      <c r="C2686">
        <v>81.95</v>
      </c>
      <c r="D2686">
        <v>6</v>
      </c>
      <c r="E2686" s="4" t="str">
        <f t="shared" si="246"/>
        <v>low sales</v>
      </c>
      <c r="F2686">
        <v>3523.85</v>
      </c>
      <c r="G2686" t="s">
        <v>3358</v>
      </c>
      <c r="H2686" s="1" t="str">
        <f t="shared" si="247"/>
        <v>Shipped</v>
      </c>
      <c r="I2686" s="4" t="str">
        <f t="shared" si="248"/>
        <v>completed</v>
      </c>
      <c r="J2686" t="s">
        <v>25</v>
      </c>
      <c r="K2686">
        <v>4</v>
      </c>
      <c r="L2686">
        <v>12</v>
      </c>
      <c r="M2686">
        <v>2004</v>
      </c>
      <c r="N2686" t="s">
        <v>566</v>
      </c>
      <c r="O2686">
        <v>80</v>
      </c>
      <c r="P2686" t="s">
        <v>669</v>
      </c>
      <c r="Q2686" t="s">
        <v>568</v>
      </c>
      <c r="R2686">
        <v>2035554407</v>
      </c>
      <c r="S2686" t="s">
        <v>569</v>
      </c>
      <c r="U2686" s="1" t="str">
        <f t="shared" si="249"/>
        <v>Glendale</v>
      </c>
      <c r="V2686" t="s">
        <v>516</v>
      </c>
      <c r="W2686" t="s">
        <v>112</v>
      </c>
      <c r="X2686">
        <v>97561</v>
      </c>
      <c r="Y2686" s="1" t="str">
        <f t="shared" si="250"/>
        <v>USA</v>
      </c>
      <c r="Z2686" s="4" t="str">
        <f t="shared" si="251"/>
        <v>Usa</v>
      </c>
      <c r="AA2686" t="s">
        <v>32</v>
      </c>
      <c r="AB2686" t="s">
        <v>33</v>
      </c>
      <c r="AC2686" t="s">
        <v>570</v>
      </c>
      <c r="AD2686" t="s">
        <v>571</v>
      </c>
      <c r="AE2686" t="s">
        <v>51</v>
      </c>
    </row>
    <row r="2687" spans="1:31" x14ac:dyDescent="0.3">
      <c r="A2687">
        <v>10361</v>
      </c>
      <c r="B2687">
        <v>44</v>
      </c>
      <c r="C2687">
        <v>100</v>
      </c>
      <c r="D2687">
        <v>10</v>
      </c>
      <c r="E2687" s="4" t="str">
        <f t="shared" si="246"/>
        <v>high sales</v>
      </c>
      <c r="F2687">
        <v>5001.92</v>
      </c>
      <c r="G2687" t="s">
        <v>3359</v>
      </c>
      <c r="H2687" s="1" t="str">
        <f t="shared" si="247"/>
        <v>Shipped</v>
      </c>
      <c r="I2687" s="4" t="str">
        <f t="shared" si="248"/>
        <v>completed</v>
      </c>
      <c r="J2687" t="s">
        <v>25</v>
      </c>
      <c r="K2687">
        <v>4</v>
      </c>
      <c r="L2687">
        <v>12</v>
      </c>
      <c r="M2687">
        <v>2004</v>
      </c>
      <c r="N2687" t="s">
        <v>566</v>
      </c>
      <c r="O2687">
        <v>80</v>
      </c>
      <c r="P2687" t="s">
        <v>669</v>
      </c>
      <c r="Q2687" t="s">
        <v>152</v>
      </c>
      <c r="R2687" t="s">
        <v>153</v>
      </c>
      <c r="S2687" t="s">
        <v>154</v>
      </c>
      <c r="T2687" t="s">
        <v>155</v>
      </c>
      <c r="U2687" s="1" t="str">
        <f t="shared" si="249"/>
        <v>Chatswood</v>
      </c>
      <c r="V2687" t="s">
        <v>156</v>
      </c>
      <c r="W2687" t="s">
        <v>157</v>
      </c>
      <c r="X2687">
        <v>2067</v>
      </c>
      <c r="Y2687" s="1" t="str">
        <f t="shared" si="250"/>
        <v>AUSTRALIA</v>
      </c>
      <c r="Z2687" s="4" t="str">
        <f t="shared" si="251"/>
        <v>Australia</v>
      </c>
      <c r="AA2687" t="s">
        <v>95</v>
      </c>
      <c r="AB2687" t="s">
        <v>96</v>
      </c>
      <c r="AC2687" t="s">
        <v>158</v>
      </c>
      <c r="AD2687" t="s">
        <v>159</v>
      </c>
      <c r="AE2687" t="s">
        <v>51</v>
      </c>
    </row>
    <row r="2688" spans="1:31" x14ac:dyDescent="0.3">
      <c r="A2688">
        <v>10375</v>
      </c>
      <c r="B2688">
        <v>44</v>
      </c>
      <c r="C2688">
        <v>100</v>
      </c>
      <c r="D2688">
        <v>11</v>
      </c>
      <c r="E2688" s="4" t="str">
        <f t="shared" si="246"/>
        <v>high sales</v>
      </c>
      <c r="F2688">
        <v>5208.72</v>
      </c>
      <c r="G2688" t="s">
        <v>3360</v>
      </c>
      <c r="H2688" s="1" t="str">
        <f t="shared" si="247"/>
        <v>Shipped</v>
      </c>
      <c r="I2688" s="4" t="str">
        <f t="shared" si="248"/>
        <v>completed</v>
      </c>
      <c r="J2688" t="s">
        <v>25</v>
      </c>
      <c r="K2688">
        <v>1</v>
      </c>
      <c r="L2688">
        <v>2</v>
      </c>
      <c r="M2688">
        <v>2005</v>
      </c>
      <c r="N2688" t="s">
        <v>566</v>
      </c>
      <c r="O2688">
        <v>80</v>
      </c>
      <c r="P2688" t="s">
        <v>669</v>
      </c>
      <c r="Q2688" t="s">
        <v>114</v>
      </c>
      <c r="R2688" t="s">
        <v>115</v>
      </c>
      <c r="S2688" t="s">
        <v>116</v>
      </c>
      <c r="U2688" s="1" t="str">
        <f t="shared" si="249"/>
        <v>Nantes</v>
      </c>
      <c r="V2688" t="s">
        <v>117</v>
      </c>
      <c r="X2688">
        <v>44000</v>
      </c>
      <c r="Y2688" s="1" t="str">
        <f t="shared" si="250"/>
        <v>FRANCE</v>
      </c>
      <c r="Z2688" s="4" t="str">
        <f t="shared" si="251"/>
        <v>France</v>
      </c>
      <c r="AA2688" t="s">
        <v>41</v>
      </c>
      <c r="AB2688" t="s">
        <v>42</v>
      </c>
      <c r="AC2688" t="s">
        <v>118</v>
      </c>
      <c r="AD2688" t="s">
        <v>119</v>
      </c>
      <c r="AE2688" t="s">
        <v>51</v>
      </c>
    </row>
    <row r="2689" spans="1:31" x14ac:dyDescent="0.3">
      <c r="A2689">
        <v>10386</v>
      </c>
      <c r="B2689">
        <v>32</v>
      </c>
      <c r="C2689">
        <v>94.34</v>
      </c>
      <c r="D2689">
        <v>17</v>
      </c>
      <c r="E2689" s="4" t="str">
        <f t="shared" si="246"/>
        <v>low sales</v>
      </c>
      <c r="F2689">
        <v>3018.88</v>
      </c>
      <c r="G2689" t="s">
        <v>3361</v>
      </c>
      <c r="H2689" s="1" t="str">
        <f t="shared" si="247"/>
        <v>Resolved</v>
      </c>
      <c r="I2689" s="4" t="str">
        <f t="shared" si="248"/>
        <v>not completed</v>
      </c>
      <c r="J2689" t="s">
        <v>408</v>
      </c>
      <c r="K2689">
        <v>1</v>
      </c>
      <c r="L2689">
        <v>3</v>
      </c>
      <c r="M2689">
        <v>2005</v>
      </c>
      <c r="N2689" t="s">
        <v>566</v>
      </c>
      <c r="O2689">
        <v>80</v>
      </c>
      <c r="P2689" t="s">
        <v>669</v>
      </c>
      <c r="Q2689" t="s">
        <v>174</v>
      </c>
      <c r="R2689" t="s">
        <v>175</v>
      </c>
      <c r="S2689" t="s">
        <v>176</v>
      </c>
      <c r="U2689" s="1" t="str">
        <f t="shared" si="249"/>
        <v>Madrid</v>
      </c>
      <c r="V2689" t="s">
        <v>177</v>
      </c>
      <c r="X2689">
        <v>28034</v>
      </c>
      <c r="Y2689" s="1" t="str">
        <f t="shared" si="250"/>
        <v>SPAIN</v>
      </c>
      <c r="Z2689" s="4" t="str">
        <f t="shared" si="251"/>
        <v>Spain</v>
      </c>
      <c r="AA2689" t="s">
        <v>178</v>
      </c>
      <c r="AB2689" t="s">
        <v>42</v>
      </c>
      <c r="AC2689" t="s">
        <v>179</v>
      </c>
      <c r="AD2689" t="s">
        <v>180</v>
      </c>
      <c r="AE2689" t="s">
        <v>51</v>
      </c>
    </row>
    <row r="2690" spans="1:31" x14ac:dyDescent="0.3">
      <c r="A2690">
        <v>10398</v>
      </c>
      <c r="B2690">
        <v>29</v>
      </c>
      <c r="C2690">
        <v>65.599999999999994</v>
      </c>
      <c r="D2690">
        <v>10</v>
      </c>
      <c r="E2690" s="4" t="str">
        <f t="shared" si="246"/>
        <v>low sales</v>
      </c>
      <c r="F2690">
        <v>1902.4</v>
      </c>
      <c r="G2690" t="s">
        <v>3362</v>
      </c>
      <c r="H2690" s="1" t="str">
        <f t="shared" si="247"/>
        <v>Shipped</v>
      </c>
      <c r="I2690" s="4" t="str">
        <f t="shared" si="248"/>
        <v>completed</v>
      </c>
      <c r="J2690" t="s">
        <v>25</v>
      </c>
      <c r="K2690">
        <v>1</v>
      </c>
      <c r="L2690">
        <v>3</v>
      </c>
      <c r="M2690">
        <v>2005</v>
      </c>
      <c r="N2690" t="s">
        <v>566</v>
      </c>
      <c r="O2690">
        <v>80</v>
      </c>
      <c r="P2690" t="s">
        <v>669</v>
      </c>
      <c r="Q2690" t="s">
        <v>37</v>
      </c>
      <c r="R2690" t="s">
        <v>38</v>
      </c>
      <c r="S2690" t="s">
        <v>39</v>
      </c>
      <c r="U2690" s="1" t="str">
        <f t="shared" si="249"/>
        <v>Reims</v>
      </c>
      <c r="V2690" t="s">
        <v>40</v>
      </c>
      <c r="X2690">
        <v>51100</v>
      </c>
      <c r="Y2690" s="1" t="str">
        <f t="shared" si="250"/>
        <v>FRANCE</v>
      </c>
      <c r="Z2690" s="4" t="str">
        <f t="shared" si="251"/>
        <v>France</v>
      </c>
      <c r="AA2690" t="s">
        <v>41</v>
      </c>
      <c r="AB2690" t="s">
        <v>42</v>
      </c>
      <c r="AC2690" t="s">
        <v>43</v>
      </c>
      <c r="AD2690" t="s">
        <v>44</v>
      </c>
      <c r="AE2690" t="s">
        <v>36</v>
      </c>
    </row>
    <row r="2691" spans="1:31" x14ac:dyDescent="0.3">
      <c r="A2691">
        <v>10401</v>
      </c>
      <c r="B2691">
        <v>77</v>
      </c>
      <c r="C2691">
        <v>92</v>
      </c>
      <c r="D2691">
        <v>9</v>
      </c>
      <c r="E2691" s="4" t="str">
        <f t="shared" ref="E2691:E2754" si="252">IF(F2691&gt;4000,"high sales","low sales")</f>
        <v>high sales</v>
      </c>
      <c r="F2691">
        <v>7084</v>
      </c>
      <c r="G2691" t="s">
        <v>3363</v>
      </c>
      <c r="H2691" s="1" t="str">
        <f t="shared" ref="H2691:H2754" si="253">PROPER(TRIM(J2691))</f>
        <v>On Hold</v>
      </c>
      <c r="I2691" s="4" t="str">
        <f t="shared" ref="I2691:I2754" si="254">IF(J2691="shipped","completed","not completed")</f>
        <v>not completed</v>
      </c>
      <c r="J2691" t="s">
        <v>401</v>
      </c>
      <c r="K2691">
        <v>2</v>
      </c>
      <c r="L2691">
        <v>4</v>
      </c>
      <c r="M2691">
        <v>2005</v>
      </c>
      <c r="N2691" t="s">
        <v>566</v>
      </c>
      <c r="O2691">
        <v>80</v>
      </c>
      <c r="P2691" t="s">
        <v>669</v>
      </c>
      <c r="Q2691" t="s">
        <v>104</v>
      </c>
      <c r="R2691">
        <v>2015559350</v>
      </c>
      <c r="S2691" t="s">
        <v>105</v>
      </c>
      <c r="U2691" s="1" t="str">
        <f t="shared" ref="U2691:U2754" si="255">PROPER(TRIM(V2691))</f>
        <v>Newark</v>
      </c>
      <c r="V2691" t="s">
        <v>106</v>
      </c>
      <c r="W2691" t="s">
        <v>107</v>
      </c>
      <c r="X2691">
        <v>94019</v>
      </c>
      <c r="Y2691" s="1" t="str">
        <f t="shared" ref="Y2691:Y2754" si="256">UPPER(TRIM(AA2691))</f>
        <v>USA</v>
      </c>
      <c r="Z2691" s="4" t="str">
        <f t="shared" ref="Z2691:Z2754" si="257">PROPER(TRIM(AA2691))</f>
        <v>Usa</v>
      </c>
      <c r="AA2691" t="s">
        <v>32</v>
      </c>
      <c r="AB2691" t="s">
        <v>33</v>
      </c>
      <c r="AC2691" t="s">
        <v>61</v>
      </c>
      <c r="AD2691" t="s">
        <v>108</v>
      </c>
      <c r="AE2691" t="s">
        <v>151</v>
      </c>
    </row>
    <row r="2692" spans="1:31" x14ac:dyDescent="0.3">
      <c r="A2692">
        <v>10416</v>
      </c>
      <c r="B2692">
        <v>39</v>
      </c>
      <c r="C2692">
        <v>67.2</v>
      </c>
      <c r="D2692">
        <v>10</v>
      </c>
      <c r="E2692" s="4" t="str">
        <f t="shared" si="252"/>
        <v>low sales</v>
      </c>
      <c r="F2692">
        <v>2620.8000000000002</v>
      </c>
      <c r="G2692" t="s">
        <v>3364</v>
      </c>
      <c r="H2692" s="1" t="str">
        <f t="shared" si="253"/>
        <v>Shipped</v>
      </c>
      <c r="I2692" s="4" t="str">
        <f t="shared" si="254"/>
        <v>completed</v>
      </c>
      <c r="J2692" t="s">
        <v>25</v>
      </c>
      <c r="K2692">
        <v>2</v>
      </c>
      <c r="L2692">
        <v>5</v>
      </c>
      <c r="M2692">
        <v>2005</v>
      </c>
      <c r="N2692" t="s">
        <v>566</v>
      </c>
      <c r="O2692">
        <v>80</v>
      </c>
      <c r="P2692" t="s">
        <v>669</v>
      </c>
      <c r="Q2692" t="s">
        <v>452</v>
      </c>
      <c r="R2692" t="s">
        <v>453</v>
      </c>
      <c r="S2692" t="s">
        <v>454</v>
      </c>
      <c r="U2692" s="1" t="str">
        <f t="shared" si="255"/>
        <v>Reggio Emilia</v>
      </c>
      <c r="V2692" t="s">
        <v>455</v>
      </c>
      <c r="X2692">
        <v>42100</v>
      </c>
      <c r="Y2692" s="1" t="str">
        <f t="shared" si="256"/>
        <v>ITALY</v>
      </c>
      <c r="Z2692" s="4" t="str">
        <f t="shared" si="257"/>
        <v>Italy</v>
      </c>
      <c r="AA2692" t="s">
        <v>258</v>
      </c>
      <c r="AB2692" t="s">
        <v>42</v>
      </c>
      <c r="AC2692" t="s">
        <v>456</v>
      </c>
      <c r="AD2692" t="s">
        <v>457</v>
      </c>
      <c r="AE2692" t="s">
        <v>36</v>
      </c>
    </row>
    <row r="2693" spans="1:31" x14ac:dyDescent="0.3">
      <c r="A2693">
        <v>10105</v>
      </c>
      <c r="B2693">
        <v>39</v>
      </c>
      <c r="C2693">
        <v>81.14</v>
      </c>
      <c r="D2693">
        <v>6</v>
      </c>
      <c r="E2693" s="4" t="str">
        <f t="shared" si="252"/>
        <v>low sales</v>
      </c>
      <c r="F2693">
        <v>3164.46</v>
      </c>
      <c r="G2693" t="s">
        <v>3365</v>
      </c>
      <c r="H2693" s="1" t="str">
        <f t="shared" si="253"/>
        <v>Shipped</v>
      </c>
      <c r="I2693" s="4" t="str">
        <f t="shared" si="254"/>
        <v>completed</v>
      </c>
      <c r="J2693" t="s">
        <v>25</v>
      </c>
      <c r="K2693">
        <v>1</v>
      </c>
      <c r="L2693">
        <v>2</v>
      </c>
      <c r="M2693">
        <v>2003</v>
      </c>
      <c r="N2693" t="s">
        <v>598</v>
      </c>
      <c r="O2693">
        <v>100</v>
      </c>
      <c r="P2693" t="s">
        <v>670</v>
      </c>
      <c r="Q2693" t="s">
        <v>322</v>
      </c>
      <c r="R2693" t="s">
        <v>323</v>
      </c>
      <c r="S2693" t="s">
        <v>324</v>
      </c>
      <c r="U2693" s="1" t="str">
        <f t="shared" si="255"/>
        <v>Kobenhavn</v>
      </c>
      <c r="V2693" t="s">
        <v>325</v>
      </c>
      <c r="X2693">
        <v>1734</v>
      </c>
      <c r="Y2693" s="1" t="str">
        <f t="shared" si="256"/>
        <v>DENMARK</v>
      </c>
      <c r="Z2693" s="4" t="str">
        <f t="shared" si="257"/>
        <v>Denmark</v>
      </c>
      <c r="AA2693" t="s">
        <v>326</v>
      </c>
      <c r="AB2693" t="s">
        <v>42</v>
      </c>
      <c r="AC2693" t="s">
        <v>327</v>
      </c>
      <c r="AD2693" t="s">
        <v>328</v>
      </c>
      <c r="AE2693" t="s">
        <v>51</v>
      </c>
    </row>
    <row r="2694" spans="1:31" x14ac:dyDescent="0.3">
      <c r="A2694">
        <v>10118</v>
      </c>
      <c r="B2694">
        <v>36</v>
      </c>
      <c r="C2694">
        <v>100</v>
      </c>
      <c r="D2694">
        <v>1</v>
      </c>
      <c r="E2694" s="4" t="str">
        <f t="shared" si="252"/>
        <v>high sales</v>
      </c>
      <c r="F2694">
        <v>4219.2</v>
      </c>
      <c r="G2694" t="s">
        <v>3366</v>
      </c>
      <c r="H2694" s="1" t="str">
        <f t="shared" si="253"/>
        <v>Shipped</v>
      </c>
      <c r="I2694" s="4" t="str">
        <f t="shared" si="254"/>
        <v>completed</v>
      </c>
      <c r="J2694" t="s">
        <v>25</v>
      </c>
      <c r="K2694">
        <v>2</v>
      </c>
      <c r="L2694">
        <v>4</v>
      </c>
      <c r="M2694">
        <v>2003</v>
      </c>
      <c r="N2694" t="s">
        <v>598</v>
      </c>
      <c r="O2694">
        <v>100</v>
      </c>
      <c r="P2694" t="s">
        <v>670</v>
      </c>
      <c r="Q2694" t="s">
        <v>352</v>
      </c>
      <c r="R2694" t="s">
        <v>353</v>
      </c>
      <c r="S2694" t="s">
        <v>354</v>
      </c>
      <c r="U2694" s="1" t="str">
        <f t="shared" si="255"/>
        <v>Barcelona</v>
      </c>
      <c r="V2694" t="s">
        <v>355</v>
      </c>
      <c r="X2694">
        <v>8022</v>
      </c>
      <c r="Y2694" s="1" t="str">
        <f t="shared" si="256"/>
        <v>SPAIN</v>
      </c>
      <c r="Z2694" s="4" t="str">
        <f t="shared" si="257"/>
        <v>Spain</v>
      </c>
      <c r="AA2694" t="s">
        <v>178</v>
      </c>
      <c r="AB2694" t="s">
        <v>42</v>
      </c>
      <c r="AC2694" t="s">
        <v>356</v>
      </c>
      <c r="AD2694" t="s">
        <v>357</v>
      </c>
      <c r="AE2694" t="s">
        <v>51</v>
      </c>
    </row>
    <row r="2695" spans="1:31" x14ac:dyDescent="0.3">
      <c r="A2695">
        <v>10129</v>
      </c>
      <c r="B2695">
        <v>42</v>
      </c>
      <c r="C2695">
        <v>91.15</v>
      </c>
      <c r="D2695">
        <v>6</v>
      </c>
      <c r="E2695" s="4" t="str">
        <f t="shared" si="252"/>
        <v>low sales</v>
      </c>
      <c r="F2695">
        <v>3828.3</v>
      </c>
      <c r="G2695" t="s">
        <v>3367</v>
      </c>
      <c r="H2695" s="1" t="str">
        <f t="shared" si="253"/>
        <v>Shipped</v>
      </c>
      <c r="I2695" s="4" t="str">
        <f t="shared" si="254"/>
        <v>completed</v>
      </c>
      <c r="J2695" t="s">
        <v>25</v>
      </c>
      <c r="K2695">
        <v>2</v>
      </c>
      <c r="L2695">
        <v>6</v>
      </c>
      <c r="M2695">
        <v>2003</v>
      </c>
      <c r="N2695" t="s">
        <v>598</v>
      </c>
      <c r="O2695">
        <v>100</v>
      </c>
      <c r="P2695" t="s">
        <v>670</v>
      </c>
      <c r="Q2695" t="s">
        <v>329</v>
      </c>
      <c r="R2695" t="s">
        <v>330</v>
      </c>
      <c r="S2695" t="s">
        <v>331</v>
      </c>
      <c r="U2695" s="1" t="str">
        <f t="shared" si="255"/>
        <v>London</v>
      </c>
      <c r="V2695" t="s">
        <v>332</v>
      </c>
      <c r="X2695" t="s">
        <v>333</v>
      </c>
      <c r="Y2695" s="1" t="str">
        <f t="shared" si="256"/>
        <v>UK</v>
      </c>
      <c r="Z2695" s="4" t="str">
        <f t="shared" si="257"/>
        <v>Uk</v>
      </c>
      <c r="AA2695" t="s">
        <v>170</v>
      </c>
      <c r="AB2695" t="s">
        <v>42</v>
      </c>
      <c r="AC2695" t="s">
        <v>61</v>
      </c>
      <c r="AD2695" t="s">
        <v>334</v>
      </c>
      <c r="AE2695" t="s">
        <v>51</v>
      </c>
    </row>
    <row r="2696" spans="1:31" x14ac:dyDescent="0.3">
      <c r="A2696">
        <v>10142</v>
      </c>
      <c r="B2696">
        <v>21</v>
      </c>
      <c r="C2696">
        <v>100</v>
      </c>
      <c r="D2696">
        <v>3</v>
      </c>
      <c r="E2696" s="4" t="str">
        <f t="shared" si="252"/>
        <v>low sales</v>
      </c>
      <c r="F2696">
        <v>2334.9899999999998</v>
      </c>
      <c r="G2696" t="s">
        <v>3368</v>
      </c>
      <c r="H2696" s="1" t="str">
        <f t="shared" si="253"/>
        <v>Shipped</v>
      </c>
      <c r="I2696" s="4" t="str">
        <f t="shared" si="254"/>
        <v>completed</v>
      </c>
      <c r="J2696" t="s">
        <v>25</v>
      </c>
      <c r="K2696">
        <v>3</v>
      </c>
      <c r="L2696">
        <v>8</v>
      </c>
      <c r="M2696">
        <v>2003</v>
      </c>
      <c r="N2696" t="s">
        <v>598</v>
      </c>
      <c r="O2696">
        <v>100</v>
      </c>
      <c r="P2696" t="s">
        <v>670</v>
      </c>
      <c r="Q2696" t="s">
        <v>272</v>
      </c>
      <c r="R2696">
        <v>4155551450</v>
      </c>
      <c r="S2696" t="s">
        <v>273</v>
      </c>
      <c r="U2696" s="1" t="str">
        <f t="shared" si="255"/>
        <v>San Rafael</v>
      </c>
      <c r="V2696" t="s">
        <v>274</v>
      </c>
      <c r="W2696" t="s">
        <v>55</v>
      </c>
      <c r="X2696">
        <v>97562</v>
      </c>
      <c r="Y2696" s="1" t="str">
        <f t="shared" si="256"/>
        <v>USA</v>
      </c>
      <c r="Z2696" s="4" t="str">
        <f t="shared" si="257"/>
        <v>Usa</v>
      </c>
      <c r="AA2696" t="s">
        <v>32</v>
      </c>
      <c r="AB2696" t="s">
        <v>33</v>
      </c>
      <c r="AC2696" t="s">
        <v>275</v>
      </c>
      <c r="AD2696" t="s">
        <v>276</v>
      </c>
      <c r="AE2696" t="s">
        <v>36</v>
      </c>
    </row>
    <row r="2697" spans="1:31" x14ac:dyDescent="0.3">
      <c r="A2697">
        <v>10153</v>
      </c>
      <c r="B2697">
        <v>50</v>
      </c>
      <c r="C2697">
        <v>88.15</v>
      </c>
      <c r="D2697">
        <v>2</v>
      </c>
      <c r="E2697" s="4" t="str">
        <f t="shared" si="252"/>
        <v>high sales</v>
      </c>
      <c r="F2697">
        <v>4407.5</v>
      </c>
      <c r="G2697" t="s">
        <v>3369</v>
      </c>
      <c r="H2697" s="1" t="str">
        <f t="shared" si="253"/>
        <v>Shipped</v>
      </c>
      <c r="I2697" s="4" t="str">
        <f t="shared" si="254"/>
        <v>completed</v>
      </c>
      <c r="J2697" t="s">
        <v>25</v>
      </c>
      <c r="K2697">
        <v>3</v>
      </c>
      <c r="L2697">
        <v>9</v>
      </c>
      <c r="M2697">
        <v>2003</v>
      </c>
      <c r="N2697" t="s">
        <v>598</v>
      </c>
      <c r="O2697">
        <v>100</v>
      </c>
      <c r="P2697" t="s">
        <v>670</v>
      </c>
      <c r="Q2697" t="s">
        <v>174</v>
      </c>
      <c r="R2697" t="s">
        <v>175</v>
      </c>
      <c r="S2697" t="s">
        <v>176</v>
      </c>
      <c r="U2697" s="1" t="str">
        <f t="shared" si="255"/>
        <v>Madrid</v>
      </c>
      <c r="V2697" t="s">
        <v>177</v>
      </c>
      <c r="X2697">
        <v>28034</v>
      </c>
      <c r="Y2697" s="1" t="str">
        <f t="shared" si="256"/>
        <v>SPAIN</v>
      </c>
      <c r="Z2697" s="4" t="str">
        <f t="shared" si="257"/>
        <v>Spain</v>
      </c>
      <c r="AA2697" t="s">
        <v>178</v>
      </c>
      <c r="AB2697" t="s">
        <v>42</v>
      </c>
      <c r="AC2697" t="s">
        <v>179</v>
      </c>
      <c r="AD2697" t="s">
        <v>180</v>
      </c>
      <c r="AE2697" t="s">
        <v>51</v>
      </c>
    </row>
    <row r="2698" spans="1:31" x14ac:dyDescent="0.3">
      <c r="A2698">
        <v>10167</v>
      </c>
      <c r="B2698">
        <v>24</v>
      </c>
      <c r="C2698">
        <v>100</v>
      </c>
      <c r="D2698">
        <v>13</v>
      </c>
      <c r="E2698" s="4" t="str">
        <f t="shared" si="252"/>
        <v>low sales</v>
      </c>
      <c r="F2698">
        <v>2812.8</v>
      </c>
      <c r="G2698" t="s">
        <v>3370</v>
      </c>
      <c r="H2698" s="1" t="str">
        <f t="shared" si="253"/>
        <v>Cancelled</v>
      </c>
      <c r="I2698" s="4" t="str">
        <f t="shared" si="254"/>
        <v>not completed</v>
      </c>
      <c r="J2698" t="s">
        <v>339</v>
      </c>
      <c r="K2698">
        <v>4</v>
      </c>
      <c r="L2698">
        <v>10</v>
      </c>
      <c r="M2698">
        <v>2003</v>
      </c>
      <c r="N2698" t="s">
        <v>598</v>
      </c>
      <c r="O2698">
        <v>100</v>
      </c>
      <c r="P2698" t="s">
        <v>670</v>
      </c>
      <c r="Q2698" t="s">
        <v>261</v>
      </c>
      <c r="R2698" t="s">
        <v>262</v>
      </c>
      <c r="S2698" t="s">
        <v>263</v>
      </c>
      <c r="U2698" s="1" t="str">
        <f t="shared" si="255"/>
        <v>Boras</v>
      </c>
      <c r="V2698" t="s">
        <v>264</v>
      </c>
      <c r="X2698" t="s">
        <v>265</v>
      </c>
      <c r="Y2698" s="1" t="str">
        <f t="shared" si="256"/>
        <v>SWEDEN</v>
      </c>
      <c r="Z2698" s="4" t="str">
        <f t="shared" si="257"/>
        <v>Sweden</v>
      </c>
      <c r="AA2698" t="s">
        <v>188</v>
      </c>
      <c r="AB2698" t="s">
        <v>42</v>
      </c>
      <c r="AC2698" t="s">
        <v>266</v>
      </c>
      <c r="AD2698" t="s">
        <v>206</v>
      </c>
      <c r="AE2698" t="s">
        <v>36</v>
      </c>
    </row>
    <row r="2699" spans="1:31" x14ac:dyDescent="0.3">
      <c r="A2699">
        <v>10177</v>
      </c>
      <c r="B2699">
        <v>44</v>
      </c>
      <c r="C2699">
        <v>92.16</v>
      </c>
      <c r="D2699">
        <v>4</v>
      </c>
      <c r="E2699" s="4" t="str">
        <f t="shared" si="252"/>
        <v>high sales</v>
      </c>
      <c r="F2699">
        <v>4055.04</v>
      </c>
      <c r="G2699" t="s">
        <v>3371</v>
      </c>
      <c r="H2699" s="1" t="str">
        <f t="shared" si="253"/>
        <v>Shipped</v>
      </c>
      <c r="I2699" s="4" t="str">
        <f t="shared" si="254"/>
        <v>completed</v>
      </c>
      <c r="J2699" t="s">
        <v>25</v>
      </c>
      <c r="K2699">
        <v>4</v>
      </c>
      <c r="L2699">
        <v>11</v>
      </c>
      <c r="M2699">
        <v>2003</v>
      </c>
      <c r="N2699" t="s">
        <v>598</v>
      </c>
      <c r="O2699">
        <v>100</v>
      </c>
      <c r="P2699" t="s">
        <v>670</v>
      </c>
      <c r="Q2699" t="s">
        <v>487</v>
      </c>
      <c r="R2699" t="s">
        <v>488</v>
      </c>
      <c r="S2699" t="s">
        <v>489</v>
      </c>
      <c r="U2699" s="1" t="str">
        <f t="shared" si="255"/>
        <v>Madrid</v>
      </c>
      <c r="V2699" t="s">
        <v>177</v>
      </c>
      <c r="X2699">
        <v>28023</v>
      </c>
      <c r="Y2699" s="1" t="str">
        <f t="shared" si="256"/>
        <v>SPAIN</v>
      </c>
      <c r="Z2699" s="4" t="str">
        <f t="shared" si="257"/>
        <v>Spain</v>
      </c>
      <c r="AA2699" t="s">
        <v>178</v>
      </c>
      <c r="AB2699" t="s">
        <v>42</v>
      </c>
      <c r="AC2699" t="s">
        <v>490</v>
      </c>
      <c r="AD2699" t="s">
        <v>491</v>
      </c>
      <c r="AE2699" t="s">
        <v>51</v>
      </c>
    </row>
    <row r="2700" spans="1:31" x14ac:dyDescent="0.3">
      <c r="A2700">
        <v>10185</v>
      </c>
      <c r="B2700">
        <v>37</v>
      </c>
      <c r="C2700">
        <v>100</v>
      </c>
      <c r="D2700">
        <v>4</v>
      </c>
      <c r="E2700" s="4" t="str">
        <f t="shared" si="252"/>
        <v>low sales</v>
      </c>
      <c r="F2700">
        <v>3891.66</v>
      </c>
      <c r="G2700" t="s">
        <v>3372</v>
      </c>
      <c r="H2700" s="1" t="str">
        <f t="shared" si="253"/>
        <v>Shipped</v>
      </c>
      <c r="I2700" s="4" t="str">
        <f t="shared" si="254"/>
        <v>completed</v>
      </c>
      <c r="J2700" t="s">
        <v>25</v>
      </c>
      <c r="K2700">
        <v>4</v>
      </c>
      <c r="L2700">
        <v>11</v>
      </c>
      <c r="M2700">
        <v>2003</v>
      </c>
      <c r="N2700" t="s">
        <v>598</v>
      </c>
      <c r="O2700">
        <v>100</v>
      </c>
      <c r="P2700" t="s">
        <v>670</v>
      </c>
      <c r="Q2700" t="s">
        <v>335</v>
      </c>
      <c r="R2700">
        <v>5085559555</v>
      </c>
      <c r="S2700" t="s">
        <v>336</v>
      </c>
      <c r="U2700" s="1" t="str">
        <f t="shared" si="255"/>
        <v>New Bedford</v>
      </c>
      <c r="V2700" t="s">
        <v>162</v>
      </c>
      <c r="W2700" t="s">
        <v>123</v>
      </c>
      <c r="X2700">
        <v>50553</v>
      </c>
      <c r="Y2700" s="1" t="str">
        <f t="shared" si="256"/>
        <v>USA</v>
      </c>
      <c r="Z2700" s="4" t="str">
        <f t="shared" si="257"/>
        <v>Usa</v>
      </c>
      <c r="AA2700" t="s">
        <v>32</v>
      </c>
      <c r="AB2700" t="s">
        <v>33</v>
      </c>
      <c r="AC2700" t="s">
        <v>337</v>
      </c>
      <c r="AD2700" t="s">
        <v>338</v>
      </c>
      <c r="AE2700" t="s">
        <v>51</v>
      </c>
    </row>
    <row r="2701" spans="1:31" x14ac:dyDescent="0.3">
      <c r="A2701">
        <v>10197</v>
      </c>
      <c r="B2701">
        <v>27</v>
      </c>
      <c r="C2701">
        <v>92.16</v>
      </c>
      <c r="D2701">
        <v>10</v>
      </c>
      <c r="E2701" s="4" t="str">
        <f t="shared" si="252"/>
        <v>low sales</v>
      </c>
      <c r="F2701">
        <v>2488.3200000000002</v>
      </c>
      <c r="G2701" t="s">
        <v>3373</v>
      </c>
      <c r="H2701" s="1" t="str">
        <f t="shared" si="253"/>
        <v>Shipped</v>
      </c>
      <c r="I2701" s="4" t="str">
        <f t="shared" si="254"/>
        <v>completed</v>
      </c>
      <c r="J2701" t="s">
        <v>25</v>
      </c>
      <c r="K2701">
        <v>4</v>
      </c>
      <c r="L2701">
        <v>11</v>
      </c>
      <c r="M2701">
        <v>2003</v>
      </c>
      <c r="N2701" t="s">
        <v>598</v>
      </c>
      <c r="O2701">
        <v>100</v>
      </c>
      <c r="P2701" t="s">
        <v>670</v>
      </c>
      <c r="Q2701" t="s">
        <v>352</v>
      </c>
      <c r="R2701" t="s">
        <v>353</v>
      </c>
      <c r="S2701" t="s">
        <v>354</v>
      </c>
      <c r="U2701" s="1" t="str">
        <f t="shared" si="255"/>
        <v>Barcelona</v>
      </c>
      <c r="V2701" t="s">
        <v>355</v>
      </c>
      <c r="X2701">
        <v>8022</v>
      </c>
      <c r="Y2701" s="1" t="str">
        <f t="shared" si="256"/>
        <v>SPAIN</v>
      </c>
      <c r="Z2701" s="4" t="str">
        <f t="shared" si="257"/>
        <v>Spain</v>
      </c>
      <c r="AA2701" t="s">
        <v>178</v>
      </c>
      <c r="AB2701" t="s">
        <v>42</v>
      </c>
      <c r="AC2701" t="s">
        <v>356</v>
      </c>
      <c r="AD2701" t="s">
        <v>357</v>
      </c>
      <c r="AE2701" t="s">
        <v>36</v>
      </c>
    </row>
    <row r="2702" spans="1:31" x14ac:dyDescent="0.3">
      <c r="A2702">
        <v>10208</v>
      </c>
      <c r="B2702">
        <v>37</v>
      </c>
      <c r="C2702">
        <v>100</v>
      </c>
      <c r="D2702">
        <v>4</v>
      </c>
      <c r="E2702" s="4" t="str">
        <f t="shared" si="252"/>
        <v>high sales</v>
      </c>
      <c r="F2702">
        <v>4447.3999999999996</v>
      </c>
      <c r="G2702" t="s">
        <v>3374</v>
      </c>
      <c r="H2702" s="1" t="str">
        <f t="shared" si="253"/>
        <v>Shipped</v>
      </c>
      <c r="I2702" s="4" t="str">
        <f t="shared" si="254"/>
        <v>completed</v>
      </c>
      <c r="J2702" t="s">
        <v>25</v>
      </c>
      <c r="K2702">
        <v>1</v>
      </c>
      <c r="L2702">
        <v>1</v>
      </c>
      <c r="M2702">
        <v>2004</v>
      </c>
      <c r="N2702" t="s">
        <v>598</v>
      </c>
      <c r="O2702">
        <v>100</v>
      </c>
      <c r="P2702" t="s">
        <v>670</v>
      </c>
      <c r="Q2702" t="s">
        <v>219</v>
      </c>
      <c r="R2702" t="s">
        <v>220</v>
      </c>
      <c r="S2702" t="s">
        <v>221</v>
      </c>
      <c r="U2702" s="1" t="str">
        <f t="shared" si="255"/>
        <v>Lyon</v>
      </c>
      <c r="V2702" t="s">
        <v>222</v>
      </c>
      <c r="X2702">
        <v>69004</v>
      </c>
      <c r="Y2702" s="1" t="str">
        <f t="shared" si="256"/>
        <v>FRANCE</v>
      </c>
      <c r="Z2702" s="4" t="str">
        <f t="shared" si="257"/>
        <v>France</v>
      </c>
      <c r="AA2702" t="s">
        <v>41</v>
      </c>
      <c r="AB2702" t="s">
        <v>42</v>
      </c>
      <c r="AC2702" t="s">
        <v>223</v>
      </c>
      <c r="AD2702" t="s">
        <v>224</v>
      </c>
      <c r="AE2702" t="s">
        <v>51</v>
      </c>
    </row>
    <row r="2703" spans="1:31" x14ac:dyDescent="0.3">
      <c r="A2703">
        <v>10222</v>
      </c>
      <c r="B2703">
        <v>38</v>
      </c>
      <c r="C2703">
        <v>100</v>
      </c>
      <c r="D2703">
        <v>16</v>
      </c>
      <c r="E2703" s="4" t="str">
        <f t="shared" si="252"/>
        <v>high sales</v>
      </c>
      <c r="F2703">
        <v>4187.22</v>
      </c>
      <c r="G2703" t="s">
        <v>3375</v>
      </c>
      <c r="H2703" s="1" t="str">
        <f t="shared" si="253"/>
        <v>Shipped</v>
      </c>
      <c r="I2703" s="4" t="str">
        <f t="shared" si="254"/>
        <v>completed</v>
      </c>
      <c r="J2703" t="s">
        <v>25</v>
      </c>
      <c r="K2703">
        <v>1</v>
      </c>
      <c r="L2703">
        <v>2</v>
      </c>
      <c r="M2703">
        <v>2004</v>
      </c>
      <c r="N2703" t="s">
        <v>598</v>
      </c>
      <c r="O2703">
        <v>100</v>
      </c>
      <c r="P2703" t="s">
        <v>670</v>
      </c>
      <c r="Q2703" t="s">
        <v>362</v>
      </c>
      <c r="R2703">
        <v>7605558146</v>
      </c>
      <c r="S2703" t="s">
        <v>363</v>
      </c>
      <c r="U2703" s="1" t="str">
        <f t="shared" si="255"/>
        <v>San Diego</v>
      </c>
      <c r="V2703" t="s">
        <v>364</v>
      </c>
      <c r="W2703" t="s">
        <v>55</v>
      </c>
      <c r="X2703">
        <v>91217</v>
      </c>
      <c r="Y2703" s="1" t="str">
        <f t="shared" si="256"/>
        <v>USA</v>
      </c>
      <c r="Z2703" s="4" t="str">
        <f t="shared" si="257"/>
        <v>Usa</v>
      </c>
      <c r="AA2703" t="s">
        <v>32</v>
      </c>
      <c r="AB2703" t="s">
        <v>33</v>
      </c>
      <c r="AC2703" t="s">
        <v>237</v>
      </c>
      <c r="AD2703" t="s">
        <v>276</v>
      </c>
      <c r="AE2703" t="s">
        <v>51</v>
      </c>
    </row>
    <row r="2704" spans="1:31" x14ac:dyDescent="0.3">
      <c r="A2704">
        <v>10232</v>
      </c>
      <c r="B2704">
        <v>48</v>
      </c>
      <c r="C2704">
        <v>96.16</v>
      </c>
      <c r="D2704">
        <v>1</v>
      </c>
      <c r="E2704" s="4" t="str">
        <f t="shared" si="252"/>
        <v>high sales</v>
      </c>
      <c r="F2704">
        <v>4615.68</v>
      </c>
      <c r="G2704" t="s">
        <v>3376</v>
      </c>
      <c r="H2704" s="1" t="str">
        <f t="shared" si="253"/>
        <v>Shipped</v>
      </c>
      <c r="I2704" s="4" t="str">
        <f t="shared" si="254"/>
        <v>completed</v>
      </c>
      <c r="J2704" t="s">
        <v>25</v>
      </c>
      <c r="K2704">
        <v>1</v>
      </c>
      <c r="L2704">
        <v>3</v>
      </c>
      <c r="M2704">
        <v>2004</v>
      </c>
      <c r="N2704" t="s">
        <v>598</v>
      </c>
      <c r="O2704">
        <v>100</v>
      </c>
      <c r="P2704" t="s">
        <v>670</v>
      </c>
      <c r="Q2704" t="s">
        <v>383</v>
      </c>
      <c r="R2704" t="s">
        <v>384</v>
      </c>
      <c r="S2704" t="s">
        <v>385</v>
      </c>
      <c r="U2704" s="1" t="str">
        <f t="shared" si="255"/>
        <v>Cowes</v>
      </c>
      <c r="V2704" t="s">
        <v>386</v>
      </c>
      <c r="W2704" t="s">
        <v>387</v>
      </c>
      <c r="X2704" t="s">
        <v>388</v>
      </c>
      <c r="Y2704" s="1" t="str">
        <f t="shared" si="256"/>
        <v>UK</v>
      </c>
      <c r="Z2704" s="4" t="str">
        <f t="shared" si="257"/>
        <v>Uk</v>
      </c>
      <c r="AA2704" t="s">
        <v>170</v>
      </c>
      <c r="AB2704" t="s">
        <v>42</v>
      </c>
      <c r="AC2704" t="s">
        <v>389</v>
      </c>
      <c r="AD2704" t="s">
        <v>390</v>
      </c>
      <c r="AE2704" t="s">
        <v>51</v>
      </c>
    </row>
    <row r="2705" spans="1:31" x14ac:dyDescent="0.3">
      <c r="A2705">
        <v>10248</v>
      </c>
      <c r="B2705">
        <v>30</v>
      </c>
      <c r="C2705">
        <v>100</v>
      </c>
      <c r="D2705">
        <v>7</v>
      </c>
      <c r="E2705" s="4" t="str">
        <f t="shared" si="252"/>
        <v>low sales</v>
      </c>
      <c r="F2705">
        <v>3245.4</v>
      </c>
      <c r="G2705" t="s">
        <v>3377</v>
      </c>
      <c r="H2705" s="1" t="str">
        <f t="shared" si="253"/>
        <v>Cancelled</v>
      </c>
      <c r="I2705" s="4" t="str">
        <f t="shared" si="254"/>
        <v>not completed</v>
      </c>
      <c r="J2705" t="s">
        <v>339</v>
      </c>
      <c r="K2705">
        <v>2</v>
      </c>
      <c r="L2705">
        <v>5</v>
      </c>
      <c r="M2705">
        <v>2004</v>
      </c>
      <c r="N2705" t="s">
        <v>598</v>
      </c>
      <c r="O2705">
        <v>100</v>
      </c>
      <c r="P2705" t="s">
        <v>670</v>
      </c>
      <c r="Q2705" t="s">
        <v>28</v>
      </c>
      <c r="R2705">
        <v>2125557818</v>
      </c>
      <c r="S2705" t="s">
        <v>29</v>
      </c>
      <c r="U2705" s="1" t="str">
        <f t="shared" si="255"/>
        <v>Nyc</v>
      </c>
      <c r="V2705" t="s">
        <v>30</v>
      </c>
      <c r="W2705" t="s">
        <v>31</v>
      </c>
      <c r="X2705">
        <v>10022</v>
      </c>
      <c r="Y2705" s="1" t="str">
        <f t="shared" si="256"/>
        <v>USA</v>
      </c>
      <c r="Z2705" s="4" t="str">
        <f t="shared" si="257"/>
        <v>Usa</v>
      </c>
      <c r="AA2705" t="s">
        <v>32</v>
      </c>
      <c r="AB2705" t="s">
        <v>33</v>
      </c>
      <c r="AC2705" t="s">
        <v>34</v>
      </c>
      <c r="AD2705" t="s">
        <v>35</v>
      </c>
      <c r="AE2705" t="s">
        <v>51</v>
      </c>
    </row>
    <row r="2706" spans="1:31" x14ac:dyDescent="0.3">
      <c r="A2706">
        <v>10261</v>
      </c>
      <c r="B2706">
        <v>25</v>
      </c>
      <c r="C2706">
        <v>88.15</v>
      </c>
      <c r="D2706">
        <v>5</v>
      </c>
      <c r="E2706" s="4" t="str">
        <f t="shared" si="252"/>
        <v>low sales</v>
      </c>
      <c r="F2706">
        <v>2203.75</v>
      </c>
      <c r="G2706" t="s">
        <v>3378</v>
      </c>
      <c r="H2706" s="1" t="str">
        <f t="shared" si="253"/>
        <v>Shipped</v>
      </c>
      <c r="I2706" s="4" t="str">
        <f t="shared" si="254"/>
        <v>completed</v>
      </c>
      <c r="J2706" t="s">
        <v>25</v>
      </c>
      <c r="K2706">
        <v>2</v>
      </c>
      <c r="L2706">
        <v>6</v>
      </c>
      <c r="M2706">
        <v>2004</v>
      </c>
      <c r="N2706" t="s">
        <v>598</v>
      </c>
      <c r="O2706">
        <v>100</v>
      </c>
      <c r="P2706" t="s">
        <v>670</v>
      </c>
      <c r="Q2706" t="s">
        <v>292</v>
      </c>
      <c r="R2706" t="s">
        <v>293</v>
      </c>
      <c r="S2706" t="s">
        <v>294</v>
      </c>
      <c r="U2706" s="1" t="str">
        <f t="shared" si="255"/>
        <v>Montreal</v>
      </c>
      <c r="V2706" t="s">
        <v>295</v>
      </c>
      <c r="W2706" t="s">
        <v>296</v>
      </c>
      <c r="X2706" t="s">
        <v>297</v>
      </c>
      <c r="Y2706" s="1" t="str">
        <f t="shared" si="256"/>
        <v>CANADA</v>
      </c>
      <c r="Z2706" s="4" t="str">
        <f t="shared" si="257"/>
        <v>Canada</v>
      </c>
      <c r="AA2706" t="s">
        <v>231</v>
      </c>
      <c r="AB2706" t="s">
        <v>33</v>
      </c>
      <c r="AC2706" t="s">
        <v>298</v>
      </c>
      <c r="AD2706" t="s">
        <v>299</v>
      </c>
      <c r="AE2706" t="s">
        <v>36</v>
      </c>
    </row>
    <row r="2707" spans="1:31" x14ac:dyDescent="0.3">
      <c r="A2707">
        <v>10273</v>
      </c>
      <c r="B2707">
        <v>40</v>
      </c>
      <c r="C2707">
        <v>86.15</v>
      </c>
      <c r="D2707">
        <v>8</v>
      </c>
      <c r="E2707" s="4" t="str">
        <f t="shared" si="252"/>
        <v>low sales</v>
      </c>
      <c r="F2707">
        <v>3446</v>
      </c>
      <c r="G2707" t="s">
        <v>3379</v>
      </c>
      <c r="H2707" s="1" t="str">
        <f t="shared" si="253"/>
        <v>Shipped</v>
      </c>
      <c r="I2707" s="4" t="str">
        <f t="shared" si="254"/>
        <v>completed</v>
      </c>
      <c r="J2707" t="s">
        <v>25</v>
      </c>
      <c r="K2707">
        <v>3</v>
      </c>
      <c r="L2707">
        <v>7</v>
      </c>
      <c r="M2707">
        <v>2004</v>
      </c>
      <c r="N2707" t="s">
        <v>598</v>
      </c>
      <c r="O2707">
        <v>100</v>
      </c>
      <c r="P2707" t="s">
        <v>670</v>
      </c>
      <c r="Q2707" t="s">
        <v>365</v>
      </c>
      <c r="R2707" t="s">
        <v>366</v>
      </c>
      <c r="S2707" t="s">
        <v>367</v>
      </c>
      <c r="U2707" s="1" t="str">
        <f t="shared" si="255"/>
        <v>Bruxelles</v>
      </c>
      <c r="V2707" t="s">
        <v>368</v>
      </c>
      <c r="X2707" t="s">
        <v>369</v>
      </c>
      <c r="Y2707" s="1" t="str">
        <f t="shared" si="256"/>
        <v>BELGIUM</v>
      </c>
      <c r="Z2707" s="4" t="str">
        <f t="shared" si="257"/>
        <v>Belgium</v>
      </c>
      <c r="AA2707" t="s">
        <v>370</v>
      </c>
      <c r="AB2707" t="s">
        <v>42</v>
      </c>
      <c r="AC2707" t="s">
        <v>371</v>
      </c>
      <c r="AD2707" t="s">
        <v>372</v>
      </c>
      <c r="AE2707" t="s">
        <v>51</v>
      </c>
    </row>
    <row r="2708" spans="1:31" x14ac:dyDescent="0.3">
      <c r="A2708">
        <v>10283</v>
      </c>
      <c r="B2708">
        <v>22</v>
      </c>
      <c r="C2708">
        <v>88.15</v>
      </c>
      <c r="D2708">
        <v>10</v>
      </c>
      <c r="E2708" s="4" t="str">
        <f t="shared" si="252"/>
        <v>low sales</v>
      </c>
      <c r="F2708">
        <v>1939.3</v>
      </c>
      <c r="G2708" t="s">
        <v>3380</v>
      </c>
      <c r="H2708" s="1" t="str">
        <f t="shared" si="253"/>
        <v>Shipped</v>
      </c>
      <c r="I2708" s="4" t="str">
        <f t="shared" si="254"/>
        <v>completed</v>
      </c>
      <c r="J2708" t="s">
        <v>25</v>
      </c>
      <c r="K2708">
        <v>3</v>
      </c>
      <c r="L2708">
        <v>8</v>
      </c>
      <c r="M2708">
        <v>2004</v>
      </c>
      <c r="N2708" t="s">
        <v>598</v>
      </c>
      <c r="O2708">
        <v>100</v>
      </c>
      <c r="P2708" t="s">
        <v>670</v>
      </c>
      <c r="Q2708" t="s">
        <v>373</v>
      </c>
      <c r="R2708" t="s">
        <v>374</v>
      </c>
      <c r="S2708" t="s">
        <v>375</v>
      </c>
      <c r="U2708" s="1" t="str">
        <f t="shared" si="255"/>
        <v>Tsawassen</v>
      </c>
      <c r="V2708" t="s">
        <v>376</v>
      </c>
      <c r="W2708" t="s">
        <v>229</v>
      </c>
      <c r="X2708" t="s">
        <v>377</v>
      </c>
      <c r="Y2708" s="1" t="str">
        <f t="shared" si="256"/>
        <v>CANADA</v>
      </c>
      <c r="Z2708" s="4" t="str">
        <f t="shared" si="257"/>
        <v>Canada</v>
      </c>
      <c r="AA2708" t="s">
        <v>231</v>
      </c>
      <c r="AB2708" t="s">
        <v>33</v>
      </c>
      <c r="AC2708" t="s">
        <v>378</v>
      </c>
      <c r="AD2708" t="s">
        <v>172</v>
      </c>
      <c r="AE2708" t="s">
        <v>36</v>
      </c>
    </row>
    <row r="2709" spans="1:31" x14ac:dyDescent="0.3">
      <c r="A2709">
        <v>10295</v>
      </c>
      <c r="B2709">
        <v>34</v>
      </c>
      <c r="C2709">
        <v>100</v>
      </c>
      <c r="D2709">
        <v>5</v>
      </c>
      <c r="E2709" s="4" t="str">
        <f t="shared" si="252"/>
        <v>low sales</v>
      </c>
      <c r="F2709">
        <v>3473.78</v>
      </c>
      <c r="G2709" t="s">
        <v>3381</v>
      </c>
      <c r="H2709" s="1" t="str">
        <f t="shared" si="253"/>
        <v>Shipped</v>
      </c>
      <c r="I2709" s="4" t="str">
        <f t="shared" si="254"/>
        <v>completed</v>
      </c>
      <c r="J2709" t="s">
        <v>25</v>
      </c>
      <c r="K2709">
        <v>3</v>
      </c>
      <c r="L2709">
        <v>9</v>
      </c>
      <c r="M2709">
        <v>2004</v>
      </c>
      <c r="N2709" t="s">
        <v>598</v>
      </c>
      <c r="O2709">
        <v>100</v>
      </c>
      <c r="P2709" t="s">
        <v>670</v>
      </c>
      <c r="Q2709" t="s">
        <v>379</v>
      </c>
      <c r="R2709">
        <v>6175559555</v>
      </c>
      <c r="S2709" t="s">
        <v>380</v>
      </c>
      <c r="U2709" s="1" t="str">
        <f t="shared" si="255"/>
        <v>Boston</v>
      </c>
      <c r="V2709" t="s">
        <v>381</v>
      </c>
      <c r="W2709" t="s">
        <v>123</v>
      </c>
      <c r="X2709">
        <v>51003</v>
      </c>
      <c r="Y2709" s="1" t="str">
        <f t="shared" si="256"/>
        <v>USA</v>
      </c>
      <c r="Z2709" s="4" t="str">
        <f t="shared" si="257"/>
        <v>Usa</v>
      </c>
      <c r="AA2709" t="s">
        <v>32</v>
      </c>
      <c r="AB2709" t="s">
        <v>33</v>
      </c>
      <c r="AC2709" t="s">
        <v>382</v>
      </c>
      <c r="AD2709" t="s">
        <v>66</v>
      </c>
      <c r="AE2709" t="s">
        <v>51</v>
      </c>
    </row>
    <row r="2710" spans="1:31" x14ac:dyDescent="0.3">
      <c r="A2710">
        <v>10306</v>
      </c>
      <c r="B2710">
        <v>32</v>
      </c>
      <c r="C2710">
        <v>90.15</v>
      </c>
      <c r="D2710">
        <v>4</v>
      </c>
      <c r="E2710" s="4" t="str">
        <f t="shared" si="252"/>
        <v>low sales</v>
      </c>
      <c r="F2710">
        <v>2884.8</v>
      </c>
      <c r="G2710" t="s">
        <v>3382</v>
      </c>
      <c r="H2710" s="1" t="str">
        <f t="shared" si="253"/>
        <v>Shipped</v>
      </c>
      <c r="I2710" s="4" t="str">
        <f t="shared" si="254"/>
        <v>completed</v>
      </c>
      <c r="J2710" t="s">
        <v>25</v>
      </c>
      <c r="K2710">
        <v>4</v>
      </c>
      <c r="L2710">
        <v>10</v>
      </c>
      <c r="M2710">
        <v>2004</v>
      </c>
      <c r="N2710" t="s">
        <v>598</v>
      </c>
      <c r="O2710">
        <v>100</v>
      </c>
      <c r="P2710" t="s">
        <v>670</v>
      </c>
      <c r="Q2710" t="s">
        <v>492</v>
      </c>
      <c r="R2710" t="s">
        <v>493</v>
      </c>
      <c r="S2710" t="s">
        <v>494</v>
      </c>
      <c r="U2710" s="1" t="str">
        <f t="shared" si="255"/>
        <v>Manchester</v>
      </c>
      <c r="V2710" t="s">
        <v>495</v>
      </c>
      <c r="X2710" t="s">
        <v>496</v>
      </c>
      <c r="Y2710" s="1" t="str">
        <f t="shared" si="256"/>
        <v>UK</v>
      </c>
      <c r="Z2710" s="4" t="str">
        <f t="shared" si="257"/>
        <v>Uk</v>
      </c>
      <c r="AA2710" t="s">
        <v>170</v>
      </c>
      <c r="AB2710" t="s">
        <v>42</v>
      </c>
      <c r="AC2710" t="s">
        <v>497</v>
      </c>
      <c r="AD2710" t="s">
        <v>94</v>
      </c>
      <c r="AE2710" t="s">
        <v>36</v>
      </c>
    </row>
    <row r="2711" spans="1:31" x14ac:dyDescent="0.3">
      <c r="A2711">
        <v>10315</v>
      </c>
      <c r="B2711">
        <v>31</v>
      </c>
      <c r="C2711">
        <v>86.15</v>
      </c>
      <c r="D2711">
        <v>3</v>
      </c>
      <c r="E2711" s="4" t="str">
        <f t="shared" si="252"/>
        <v>low sales</v>
      </c>
      <c r="F2711">
        <v>2670.65</v>
      </c>
      <c r="G2711" t="s">
        <v>3383</v>
      </c>
      <c r="H2711" s="1" t="str">
        <f t="shared" si="253"/>
        <v>Shipped</v>
      </c>
      <c r="I2711" s="4" t="str">
        <f t="shared" si="254"/>
        <v>completed</v>
      </c>
      <c r="J2711" t="s">
        <v>25</v>
      </c>
      <c r="K2711">
        <v>4</v>
      </c>
      <c r="L2711">
        <v>10</v>
      </c>
      <c r="M2711">
        <v>2004</v>
      </c>
      <c r="N2711" t="s">
        <v>598</v>
      </c>
      <c r="O2711">
        <v>100</v>
      </c>
      <c r="P2711" t="s">
        <v>670</v>
      </c>
      <c r="Q2711" t="s">
        <v>114</v>
      </c>
      <c r="R2711" t="s">
        <v>115</v>
      </c>
      <c r="S2711" t="s">
        <v>116</v>
      </c>
      <c r="U2711" s="1" t="str">
        <f t="shared" si="255"/>
        <v>Nantes</v>
      </c>
      <c r="V2711" t="s">
        <v>117</v>
      </c>
      <c r="X2711">
        <v>44000</v>
      </c>
      <c r="Y2711" s="1" t="str">
        <f t="shared" si="256"/>
        <v>FRANCE</v>
      </c>
      <c r="Z2711" s="4" t="str">
        <f t="shared" si="257"/>
        <v>France</v>
      </c>
      <c r="AA2711" t="s">
        <v>41</v>
      </c>
      <c r="AB2711" t="s">
        <v>42</v>
      </c>
      <c r="AC2711" t="s">
        <v>118</v>
      </c>
      <c r="AD2711" t="s">
        <v>119</v>
      </c>
      <c r="AE2711" t="s">
        <v>36</v>
      </c>
    </row>
    <row r="2712" spans="1:31" x14ac:dyDescent="0.3">
      <c r="A2712">
        <v>10327</v>
      </c>
      <c r="B2712">
        <v>43</v>
      </c>
      <c r="C2712">
        <v>80</v>
      </c>
      <c r="D2712">
        <v>2</v>
      </c>
      <c r="E2712" s="4" t="str">
        <f t="shared" si="252"/>
        <v>low sales</v>
      </c>
      <c r="F2712">
        <v>3440</v>
      </c>
      <c r="G2712" t="s">
        <v>3384</v>
      </c>
      <c r="H2712" s="1" t="str">
        <f t="shared" si="253"/>
        <v>Resolved</v>
      </c>
      <c r="I2712" s="4" t="str">
        <f t="shared" si="254"/>
        <v>not completed</v>
      </c>
      <c r="J2712" t="s">
        <v>408</v>
      </c>
      <c r="K2712">
        <v>4</v>
      </c>
      <c r="L2712">
        <v>11</v>
      </c>
      <c r="M2712">
        <v>2004</v>
      </c>
      <c r="N2712" t="s">
        <v>598</v>
      </c>
      <c r="O2712">
        <v>100</v>
      </c>
      <c r="P2712" t="s">
        <v>670</v>
      </c>
      <c r="Q2712" t="s">
        <v>322</v>
      </c>
      <c r="R2712" t="s">
        <v>323</v>
      </c>
      <c r="S2712" t="s">
        <v>324</v>
      </c>
      <c r="U2712" s="1" t="str">
        <f t="shared" si="255"/>
        <v>Kobenhavn</v>
      </c>
      <c r="V2712" t="s">
        <v>325</v>
      </c>
      <c r="X2712">
        <v>1734</v>
      </c>
      <c r="Y2712" s="1" t="str">
        <f t="shared" si="256"/>
        <v>DENMARK</v>
      </c>
      <c r="Z2712" s="4" t="str">
        <f t="shared" si="257"/>
        <v>Denmark</v>
      </c>
      <c r="AA2712" t="s">
        <v>326</v>
      </c>
      <c r="AB2712" t="s">
        <v>42</v>
      </c>
      <c r="AC2712" t="s">
        <v>327</v>
      </c>
      <c r="AD2712" t="s">
        <v>328</v>
      </c>
      <c r="AE2712" t="s">
        <v>51</v>
      </c>
    </row>
    <row r="2713" spans="1:31" x14ac:dyDescent="0.3">
      <c r="A2713">
        <v>10337</v>
      </c>
      <c r="B2713">
        <v>31</v>
      </c>
      <c r="C2713">
        <v>89.38</v>
      </c>
      <c r="D2713">
        <v>1</v>
      </c>
      <c r="E2713" s="4" t="str">
        <f t="shared" si="252"/>
        <v>low sales</v>
      </c>
      <c r="F2713">
        <v>2770.78</v>
      </c>
      <c r="G2713" t="s">
        <v>3385</v>
      </c>
      <c r="H2713" s="1" t="str">
        <f t="shared" si="253"/>
        <v>Shipped</v>
      </c>
      <c r="I2713" s="4" t="str">
        <f t="shared" si="254"/>
        <v>completed</v>
      </c>
      <c r="J2713" t="s">
        <v>25</v>
      </c>
      <c r="K2713">
        <v>4</v>
      </c>
      <c r="L2713">
        <v>11</v>
      </c>
      <c r="M2713">
        <v>2004</v>
      </c>
      <c r="N2713" t="s">
        <v>598</v>
      </c>
      <c r="O2713">
        <v>100</v>
      </c>
      <c r="P2713" t="s">
        <v>670</v>
      </c>
      <c r="Q2713" t="s">
        <v>203</v>
      </c>
      <c r="R2713">
        <v>2125558493</v>
      </c>
      <c r="S2713" t="s">
        <v>204</v>
      </c>
      <c r="T2713" t="s">
        <v>205</v>
      </c>
      <c r="U2713" s="1" t="str">
        <f t="shared" si="255"/>
        <v>Nyc</v>
      </c>
      <c r="V2713" t="s">
        <v>30</v>
      </c>
      <c r="W2713" t="s">
        <v>31</v>
      </c>
      <c r="X2713">
        <v>10022</v>
      </c>
      <c r="Y2713" s="1" t="str">
        <f t="shared" si="256"/>
        <v>USA</v>
      </c>
      <c r="Z2713" s="4" t="str">
        <f t="shared" si="257"/>
        <v>Usa</v>
      </c>
      <c r="AA2713" t="s">
        <v>32</v>
      </c>
      <c r="AB2713" t="s">
        <v>33</v>
      </c>
      <c r="AC2713" t="s">
        <v>124</v>
      </c>
      <c r="AD2713" t="s">
        <v>206</v>
      </c>
      <c r="AE2713" t="s">
        <v>36</v>
      </c>
    </row>
    <row r="2714" spans="1:31" x14ac:dyDescent="0.3">
      <c r="A2714">
        <v>10350</v>
      </c>
      <c r="B2714">
        <v>31</v>
      </c>
      <c r="C2714">
        <v>77.34</v>
      </c>
      <c r="D2714">
        <v>13</v>
      </c>
      <c r="E2714" s="4" t="str">
        <f t="shared" si="252"/>
        <v>low sales</v>
      </c>
      <c r="F2714">
        <v>2397.54</v>
      </c>
      <c r="G2714" t="s">
        <v>3386</v>
      </c>
      <c r="H2714" s="1" t="str">
        <f t="shared" si="253"/>
        <v>Shipped</v>
      </c>
      <c r="I2714" s="4" t="str">
        <f t="shared" si="254"/>
        <v>completed</v>
      </c>
      <c r="J2714" t="s">
        <v>25</v>
      </c>
      <c r="K2714">
        <v>4</v>
      </c>
      <c r="L2714">
        <v>12</v>
      </c>
      <c r="M2714">
        <v>2004</v>
      </c>
      <c r="N2714" t="s">
        <v>598</v>
      </c>
      <c r="O2714">
        <v>100</v>
      </c>
      <c r="P2714" t="s">
        <v>670</v>
      </c>
      <c r="Q2714" t="s">
        <v>174</v>
      </c>
      <c r="R2714" t="s">
        <v>175</v>
      </c>
      <c r="S2714" t="s">
        <v>176</v>
      </c>
      <c r="U2714" s="1" t="str">
        <f t="shared" si="255"/>
        <v>Madrid</v>
      </c>
      <c r="V2714" t="s">
        <v>177</v>
      </c>
      <c r="X2714">
        <v>28034</v>
      </c>
      <c r="Y2714" s="1" t="str">
        <f t="shared" si="256"/>
        <v>SPAIN</v>
      </c>
      <c r="Z2714" s="4" t="str">
        <f t="shared" si="257"/>
        <v>Spain</v>
      </c>
      <c r="AA2714" t="s">
        <v>178</v>
      </c>
      <c r="AB2714" t="s">
        <v>42</v>
      </c>
      <c r="AC2714" t="s">
        <v>179</v>
      </c>
      <c r="AD2714" t="s">
        <v>180</v>
      </c>
      <c r="AE2714" t="s">
        <v>36</v>
      </c>
    </row>
    <row r="2715" spans="1:31" x14ac:dyDescent="0.3">
      <c r="A2715">
        <v>10373</v>
      </c>
      <c r="B2715">
        <v>34</v>
      </c>
      <c r="C2715">
        <v>96.34</v>
      </c>
      <c r="D2715">
        <v>2</v>
      </c>
      <c r="E2715" s="4" t="str">
        <f t="shared" si="252"/>
        <v>low sales</v>
      </c>
      <c r="F2715">
        <v>3275.56</v>
      </c>
      <c r="G2715" t="s">
        <v>3387</v>
      </c>
      <c r="H2715" s="1" t="str">
        <f t="shared" si="253"/>
        <v>Shipped</v>
      </c>
      <c r="I2715" s="4" t="str">
        <f t="shared" si="254"/>
        <v>completed</v>
      </c>
      <c r="J2715" t="s">
        <v>25</v>
      </c>
      <c r="K2715">
        <v>1</v>
      </c>
      <c r="L2715">
        <v>1</v>
      </c>
      <c r="M2715">
        <v>2005</v>
      </c>
      <c r="N2715" t="s">
        <v>598</v>
      </c>
      <c r="O2715">
        <v>100</v>
      </c>
      <c r="P2715" t="s">
        <v>670</v>
      </c>
      <c r="Q2715" t="s">
        <v>391</v>
      </c>
      <c r="R2715" t="s">
        <v>392</v>
      </c>
      <c r="S2715" t="s">
        <v>393</v>
      </c>
      <c r="U2715" s="1" t="str">
        <f t="shared" si="255"/>
        <v>Oulu</v>
      </c>
      <c r="V2715" t="s">
        <v>394</v>
      </c>
      <c r="X2715">
        <v>90110</v>
      </c>
      <c r="Y2715" s="1" t="str">
        <f t="shared" si="256"/>
        <v>FINLAND</v>
      </c>
      <c r="Z2715" s="4" t="str">
        <f t="shared" si="257"/>
        <v>Finland</v>
      </c>
      <c r="AA2715" t="s">
        <v>130</v>
      </c>
      <c r="AB2715" t="s">
        <v>42</v>
      </c>
      <c r="AC2715" t="s">
        <v>395</v>
      </c>
      <c r="AD2715" t="s">
        <v>396</v>
      </c>
      <c r="AE2715" t="s">
        <v>51</v>
      </c>
    </row>
    <row r="2716" spans="1:31" x14ac:dyDescent="0.3">
      <c r="A2716">
        <v>10386</v>
      </c>
      <c r="B2716">
        <v>45</v>
      </c>
      <c r="C2716">
        <v>92.08</v>
      </c>
      <c r="D2716">
        <v>2</v>
      </c>
      <c r="E2716" s="4" t="str">
        <f t="shared" si="252"/>
        <v>high sales</v>
      </c>
      <c r="F2716">
        <v>4143.6000000000004</v>
      </c>
      <c r="G2716" t="s">
        <v>3388</v>
      </c>
      <c r="H2716" s="1" t="str">
        <f t="shared" si="253"/>
        <v>Resolved</v>
      </c>
      <c r="I2716" s="4" t="str">
        <f t="shared" si="254"/>
        <v>not completed</v>
      </c>
      <c r="J2716" t="s">
        <v>408</v>
      </c>
      <c r="K2716">
        <v>1</v>
      </c>
      <c r="L2716">
        <v>3</v>
      </c>
      <c r="M2716">
        <v>2005</v>
      </c>
      <c r="N2716" t="s">
        <v>598</v>
      </c>
      <c r="O2716">
        <v>100</v>
      </c>
      <c r="P2716" t="s">
        <v>670</v>
      </c>
      <c r="Q2716" t="s">
        <v>174</v>
      </c>
      <c r="R2716" t="s">
        <v>175</v>
      </c>
      <c r="S2716" t="s">
        <v>176</v>
      </c>
      <c r="U2716" s="1" t="str">
        <f t="shared" si="255"/>
        <v>Madrid</v>
      </c>
      <c r="V2716" t="s">
        <v>177</v>
      </c>
      <c r="X2716">
        <v>28034</v>
      </c>
      <c r="Y2716" s="1" t="str">
        <f t="shared" si="256"/>
        <v>SPAIN</v>
      </c>
      <c r="Z2716" s="4" t="str">
        <f t="shared" si="257"/>
        <v>Spain</v>
      </c>
      <c r="AA2716" t="s">
        <v>178</v>
      </c>
      <c r="AB2716" t="s">
        <v>42</v>
      </c>
      <c r="AC2716" t="s">
        <v>179</v>
      </c>
      <c r="AD2716" t="s">
        <v>180</v>
      </c>
      <c r="AE2716" t="s">
        <v>51</v>
      </c>
    </row>
    <row r="2717" spans="1:31" x14ac:dyDescent="0.3">
      <c r="A2717">
        <v>10397</v>
      </c>
      <c r="B2717">
        <v>48</v>
      </c>
      <c r="C2717">
        <v>100</v>
      </c>
      <c r="D2717">
        <v>3</v>
      </c>
      <c r="E2717" s="4" t="str">
        <f t="shared" si="252"/>
        <v>high sales</v>
      </c>
      <c r="F2717">
        <v>5192.6400000000003</v>
      </c>
      <c r="G2717" t="s">
        <v>3389</v>
      </c>
      <c r="H2717" s="1" t="str">
        <f t="shared" si="253"/>
        <v>Shipped</v>
      </c>
      <c r="I2717" s="4" t="str">
        <f t="shared" si="254"/>
        <v>completed</v>
      </c>
      <c r="J2717" t="s">
        <v>25</v>
      </c>
      <c r="K2717">
        <v>1</v>
      </c>
      <c r="L2717">
        <v>3</v>
      </c>
      <c r="M2717">
        <v>2005</v>
      </c>
      <c r="N2717" t="s">
        <v>598</v>
      </c>
      <c r="O2717">
        <v>100</v>
      </c>
      <c r="P2717" t="s">
        <v>670</v>
      </c>
      <c r="Q2717" t="s">
        <v>340</v>
      </c>
      <c r="R2717" t="s">
        <v>341</v>
      </c>
      <c r="S2717" t="s">
        <v>342</v>
      </c>
      <c r="U2717" s="1" t="str">
        <f t="shared" si="255"/>
        <v>Toulouse</v>
      </c>
      <c r="V2717" t="s">
        <v>343</v>
      </c>
      <c r="X2717">
        <v>31000</v>
      </c>
      <c r="Y2717" s="1" t="str">
        <f t="shared" si="256"/>
        <v>FRANCE</v>
      </c>
      <c r="Z2717" s="4" t="str">
        <f t="shared" si="257"/>
        <v>France</v>
      </c>
      <c r="AA2717" t="s">
        <v>41</v>
      </c>
      <c r="AB2717" t="s">
        <v>42</v>
      </c>
      <c r="AC2717" t="s">
        <v>344</v>
      </c>
      <c r="AD2717" t="s">
        <v>345</v>
      </c>
      <c r="AE2717" t="s">
        <v>51</v>
      </c>
    </row>
    <row r="2718" spans="1:31" x14ac:dyDescent="0.3">
      <c r="A2718">
        <v>10414</v>
      </c>
      <c r="B2718">
        <v>28</v>
      </c>
      <c r="C2718">
        <v>100</v>
      </c>
      <c r="D2718">
        <v>7</v>
      </c>
      <c r="E2718" s="4" t="str">
        <f t="shared" si="252"/>
        <v>low sales</v>
      </c>
      <c r="F2718">
        <v>3029.04</v>
      </c>
      <c r="G2718" t="s">
        <v>3390</v>
      </c>
      <c r="H2718" s="1" t="str">
        <f t="shared" si="253"/>
        <v>On Hold</v>
      </c>
      <c r="I2718" s="4" t="str">
        <f t="shared" si="254"/>
        <v>not completed</v>
      </c>
      <c r="J2718" t="s">
        <v>401</v>
      </c>
      <c r="K2718">
        <v>2</v>
      </c>
      <c r="L2718">
        <v>5</v>
      </c>
      <c r="M2718">
        <v>2005</v>
      </c>
      <c r="N2718" t="s">
        <v>598</v>
      </c>
      <c r="O2718">
        <v>100</v>
      </c>
      <c r="P2718" t="s">
        <v>670</v>
      </c>
      <c r="Q2718" t="s">
        <v>379</v>
      </c>
      <c r="R2718">
        <v>6175559555</v>
      </c>
      <c r="S2718" t="s">
        <v>380</v>
      </c>
      <c r="U2718" s="1" t="str">
        <f t="shared" si="255"/>
        <v>Boston</v>
      </c>
      <c r="V2718" t="s">
        <v>381</v>
      </c>
      <c r="W2718" t="s">
        <v>123</v>
      </c>
      <c r="X2718">
        <v>51003</v>
      </c>
      <c r="Y2718" s="1" t="str">
        <f t="shared" si="256"/>
        <v>USA</v>
      </c>
      <c r="Z2718" s="4" t="str">
        <f t="shared" si="257"/>
        <v>Usa</v>
      </c>
      <c r="AA2718" t="s">
        <v>32</v>
      </c>
      <c r="AB2718" t="s">
        <v>33</v>
      </c>
      <c r="AC2718" t="s">
        <v>382</v>
      </c>
      <c r="AD2718" t="s">
        <v>66</v>
      </c>
      <c r="AE2718" t="s">
        <v>51</v>
      </c>
    </row>
    <row r="2719" spans="1:31" x14ac:dyDescent="0.3">
      <c r="A2719">
        <v>10105</v>
      </c>
      <c r="B2719">
        <v>22</v>
      </c>
      <c r="C2719">
        <v>100</v>
      </c>
      <c r="D2719">
        <v>7</v>
      </c>
      <c r="E2719" s="4" t="str">
        <f t="shared" si="252"/>
        <v>low sales</v>
      </c>
      <c r="F2719">
        <v>2556.1799999999998</v>
      </c>
      <c r="G2719" t="s">
        <v>3391</v>
      </c>
      <c r="H2719" s="1" t="str">
        <f t="shared" si="253"/>
        <v>Shipped</v>
      </c>
      <c r="I2719" s="4" t="str">
        <f t="shared" si="254"/>
        <v>completed</v>
      </c>
      <c r="J2719" t="s">
        <v>25</v>
      </c>
      <c r="K2719">
        <v>1</v>
      </c>
      <c r="L2719">
        <v>2</v>
      </c>
      <c r="M2719">
        <v>2003</v>
      </c>
      <c r="N2719" t="s">
        <v>598</v>
      </c>
      <c r="O2719">
        <v>99</v>
      </c>
      <c r="P2719" t="s">
        <v>671</v>
      </c>
      <c r="Q2719" t="s">
        <v>322</v>
      </c>
      <c r="R2719" t="s">
        <v>323</v>
      </c>
      <c r="S2719" t="s">
        <v>324</v>
      </c>
      <c r="U2719" s="1" t="str">
        <f t="shared" si="255"/>
        <v>Kobenhavn</v>
      </c>
      <c r="V2719" t="s">
        <v>325</v>
      </c>
      <c r="X2719">
        <v>1734</v>
      </c>
      <c r="Y2719" s="1" t="str">
        <f t="shared" si="256"/>
        <v>DENMARK</v>
      </c>
      <c r="Z2719" s="4" t="str">
        <f t="shared" si="257"/>
        <v>Denmark</v>
      </c>
      <c r="AA2719" t="s">
        <v>326</v>
      </c>
      <c r="AB2719" t="s">
        <v>42</v>
      </c>
      <c r="AC2719" t="s">
        <v>327</v>
      </c>
      <c r="AD2719" t="s">
        <v>328</v>
      </c>
      <c r="AE2719" t="s">
        <v>36</v>
      </c>
    </row>
    <row r="2720" spans="1:31" x14ac:dyDescent="0.3">
      <c r="A2720">
        <v>10117</v>
      </c>
      <c r="B2720">
        <v>45</v>
      </c>
      <c r="C2720">
        <v>83.42</v>
      </c>
      <c r="D2720">
        <v>1</v>
      </c>
      <c r="E2720" s="4" t="str">
        <f t="shared" si="252"/>
        <v>low sales</v>
      </c>
      <c r="F2720">
        <v>3753.9</v>
      </c>
      <c r="G2720" t="s">
        <v>3392</v>
      </c>
      <c r="H2720" s="1" t="str">
        <f t="shared" si="253"/>
        <v>Shipped</v>
      </c>
      <c r="I2720" s="4" t="str">
        <f t="shared" si="254"/>
        <v>completed</v>
      </c>
      <c r="J2720" t="s">
        <v>25</v>
      </c>
      <c r="K2720">
        <v>2</v>
      </c>
      <c r="L2720">
        <v>4</v>
      </c>
      <c r="M2720">
        <v>2003</v>
      </c>
      <c r="N2720" t="s">
        <v>598</v>
      </c>
      <c r="O2720">
        <v>99</v>
      </c>
      <c r="P2720" t="s">
        <v>671</v>
      </c>
      <c r="Q2720" t="s">
        <v>196</v>
      </c>
      <c r="R2720" t="s">
        <v>197</v>
      </c>
      <c r="S2720" t="s">
        <v>198</v>
      </c>
      <c r="U2720" s="1" t="str">
        <f t="shared" si="255"/>
        <v>Singapore</v>
      </c>
      <c r="V2720" t="s">
        <v>199</v>
      </c>
      <c r="X2720">
        <v>79903</v>
      </c>
      <c r="Y2720" s="1" t="str">
        <f t="shared" si="256"/>
        <v>SINGAPORE</v>
      </c>
      <c r="Z2720" s="4" t="str">
        <f t="shared" si="257"/>
        <v>Singapore</v>
      </c>
      <c r="AA2720" t="s">
        <v>199</v>
      </c>
      <c r="AB2720" t="s">
        <v>200</v>
      </c>
      <c r="AC2720" t="s">
        <v>201</v>
      </c>
      <c r="AD2720" t="s">
        <v>202</v>
      </c>
      <c r="AE2720" t="s">
        <v>51</v>
      </c>
    </row>
    <row r="2721" spans="1:31" x14ac:dyDescent="0.3">
      <c r="A2721">
        <v>10129</v>
      </c>
      <c r="B2721">
        <v>30</v>
      </c>
      <c r="C2721">
        <v>85.41</v>
      </c>
      <c r="D2721">
        <v>7</v>
      </c>
      <c r="E2721" s="4" t="str">
        <f t="shared" si="252"/>
        <v>low sales</v>
      </c>
      <c r="F2721">
        <v>2562.3000000000002</v>
      </c>
      <c r="G2721" t="s">
        <v>3393</v>
      </c>
      <c r="H2721" s="1" t="str">
        <f t="shared" si="253"/>
        <v>Shipped</v>
      </c>
      <c r="I2721" s="4" t="str">
        <f t="shared" si="254"/>
        <v>completed</v>
      </c>
      <c r="J2721" t="s">
        <v>25</v>
      </c>
      <c r="K2721">
        <v>2</v>
      </c>
      <c r="L2721">
        <v>6</v>
      </c>
      <c r="M2721">
        <v>2003</v>
      </c>
      <c r="N2721" t="s">
        <v>598</v>
      </c>
      <c r="O2721">
        <v>99</v>
      </c>
      <c r="P2721" t="s">
        <v>671</v>
      </c>
      <c r="Q2721" t="s">
        <v>329</v>
      </c>
      <c r="R2721" t="s">
        <v>330</v>
      </c>
      <c r="S2721" t="s">
        <v>331</v>
      </c>
      <c r="U2721" s="1" t="str">
        <f t="shared" si="255"/>
        <v>London</v>
      </c>
      <c r="V2721" t="s">
        <v>332</v>
      </c>
      <c r="X2721" t="s">
        <v>333</v>
      </c>
      <c r="Y2721" s="1" t="str">
        <f t="shared" si="256"/>
        <v>UK</v>
      </c>
      <c r="Z2721" s="4" t="str">
        <f t="shared" si="257"/>
        <v>Uk</v>
      </c>
      <c r="AA2721" t="s">
        <v>170</v>
      </c>
      <c r="AB2721" t="s">
        <v>42</v>
      </c>
      <c r="AC2721" t="s">
        <v>61</v>
      </c>
      <c r="AD2721" t="s">
        <v>334</v>
      </c>
      <c r="AE2721" t="s">
        <v>36</v>
      </c>
    </row>
    <row r="2722" spans="1:31" x14ac:dyDescent="0.3">
      <c r="A2722">
        <v>10142</v>
      </c>
      <c r="B2722">
        <v>38</v>
      </c>
      <c r="C2722">
        <v>85.41</v>
      </c>
      <c r="D2722">
        <v>4</v>
      </c>
      <c r="E2722" s="4" t="str">
        <f t="shared" si="252"/>
        <v>low sales</v>
      </c>
      <c r="F2722">
        <v>3245.58</v>
      </c>
      <c r="G2722" t="s">
        <v>3394</v>
      </c>
      <c r="H2722" s="1" t="str">
        <f t="shared" si="253"/>
        <v>Shipped</v>
      </c>
      <c r="I2722" s="4" t="str">
        <f t="shared" si="254"/>
        <v>completed</v>
      </c>
      <c r="J2722" t="s">
        <v>25</v>
      </c>
      <c r="K2722">
        <v>3</v>
      </c>
      <c r="L2722">
        <v>8</v>
      </c>
      <c r="M2722">
        <v>2003</v>
      </c>
      <c r="N2722" t="s">
        <v>598</v>
      </c>
      <c r="O2722">
        <v>99</v>
      </c>
      <c r="P2722" t="s">
        <v>671</v>
      </c>
      <c r="Q2722" t="s">
        <v>272</v>
      </c>
      <c r="R2722">
        <v>4155551450</v>
      </c>
      <c r="S2722" t="s">
        <v>273</v>
      </c>
      <c r="U2722" s="1" t="str">
        <f t="shared" si="255"/>
        <v>San Rafael</v>
      </c>
      <c r="V2722" t="s">
        <v>274</v>
      </c>
      <c r="W2722" t="s">
        <v>55</v>
      </c>
      <c r="X2722">
        <v>97562</v>
      </c>
      <c r="Y2722" s="1" t="str">
        <f t="shared" si="256"/>
        <v>USA</v>
      </c>
      <c r="Z2722" s="4" t="str">
        <f t="shared" si="257"/>
        <v>Usa</v>
      </c>
      <c r="AA2722" t="s">
        <v>32</v>
      </c>
      <c r="AB2722" t="s">
        <v>33</v>
      </c>
      <c r="AC2722" t="s">
        <v>275</v>
      </c>
      <c r="AD2722" t="s">
        <v>276</v>
      </c>
      <c r="AE2722" t="s">
        <v>51</v>
      </c>
    </row>
    <row r="2723" spans="1:31" x14ac:dyDescent="0.3">
      <c r="A2723">
        <v>10153</v>
      </c>
      <c r="B2723">
        <v>20</v>
      </c>
      <c r="C2723">
        <v>100</v>
      </c>
      <c r="D2723">
        <v>3</v>
      </c>
      <c r="E2723" s="4" t="str">
        <f t="shared" si="252"/>
        <v>low sales</v>
      </c>
      <c r="F2723">
        <v>2204.6</v>
      </c>
      <c r="G2723" t="s">
        <v>3395</v>
      </c>
      <c r="H2723" s="1" t="str">
        <f t="shared" si="253"/>
        <v>Shipped</v>
      </c>
      <c r="I2723" s="4" t="str">
        <f t="shared" si="254"/>
        <v>completed</v>
      </c>
      <c r="J2723" t="s">
        <v>25</v>
      </c>
      <c r="K2723">
        <v>3</v>
      </c>
      <c r="L2723">
        <v>9</v>
      </c>
      <c r="M2723">
        <v>2003</v>
      </c>
      <c r="N2723" t="s">
        <v>598</v>
      </c>
      <c r="O2723">
        <v>99</v>
      </c>
      <c r="P2723" t="s">
        <v>671</v>
      </c>
      <c r="Q2723" t="s">
        <v>174</v>
      </c>
      <c r="R2723" t="s">
        <v>175</v>
      </c>
      <c r="S2723" t="s">
        <v>176</v>
      </c>
      <c r="U2723" s="1" t="str">
        <f t="shared" si="255"/>
        <v>Madrid</v>
      </c>
      <c r="V2723" t="s">
        <v>177</v>
      </c>
      <c r="X2723">
        <v>28034</v>
      </c>
      <c r="Y2723" s="1" t="str">
        <f t="shared" si="256"/>
        <v>SPAIN</v>
      </c>
      <c r="Z2723" s="4" t="str">
        <f t="shared" si="257"/>
        <v>Spain</v>
      </c>
      <c r="AA2723" t="s">
        <v>178</v>
      </c>
      <c r="AB2723" t="s">
        <v>42</v>
      </c>
      <c r="AC2723" t="s">
        <v>179</v>
      </c>
      <c r="AD2723" t="s">
        <v>180</v>
      </c>
      <c r="AE2723" t="s">
        <v>36</v>
      </c>
    </row>
    <row r="2724" spans="1:31" x14ac:dyDescent="0.3">
      <c r="A2724">
        <v>10167</v>
      </c>
      <c r="B2724">
        <v>28</v>
      </c>
      <c r="C2724">
        <v>100</v>
      </c>
      <c r="D2724">
        <v>14</v>
      </c>
      <c r="E2724" s="4" t="str">
        <f t="shared" si="252"/>
        <v>low sales</v>
      </c>
      <c r="F2724">
        <v>3003</v>
      </c>
      <c r="G2724" t="s">
        <v>3396</v>
      </c>
      <c r="H2724" s="1" t="str">
        <f t="shared" si="253"/>
        <v>Cancelled</v>
      </c>
      <c r="I2724" s="4" t="str">
        <f t="shared" si="254"/>
        <v>not completed</v>
      </c>
      <c r="J2724" t="s">
        <v>339</v>
      </c>
      <c r="K2724">
        <v>4</v>
      </c>
      <c r="L2724">
        <v>10</v>
      </c>
      <c r="M2724">
        <v>2003</v>
      </c>
      <c r="N2724" t="s">
        <v>598</v>
      </c>
      <c r="O2724">
        <v>99</v>
      </c>
      <c r="P2724" t="s">
        <v>671</v>
      </c>
      <c r="Q2724" t="s">
        <v>261</v>
      </c>
      <c r="R2724" t="s">
        <v>262</v>
      </c>
      <c r="S2724" t="s">
        <v>263</v>
      </c>
      <c r="U2724" s="1" t="str">
        <f t="shared" si="255"/>
        <v>Boras</v>
      </c>
      <c r="V2724" t="s">
        <v>264</v>
      </c>
      <c r="X2724" t="s">
        <v>265</v>
      </c>
      <c r="Y2724" s="1" t="str">
        <f t="shared" si="256"/>
        <v>SWEDEN</v>
      </c>
      <c r="Z2724" s="4" t="str">
        <f t="shared" si="257"/>
        <v>Sweden</v>
      </c>
      <c r="AA2724" t="s">
        <v>188</v>
      </c>
      <c r="AB2724" t="s">
        <v>42</v>
      </c>
      <c r="AC2724" t="s">
        <v>266</v>
      </c>
      <c r="AD2724" t="s">
        <v>206</v>
      </c>
      <c r="AE2724" t="s">
        <v>51</v>
      </c>
    </row>
    <row r="2725" spans="1:31" x14ac:dyDescent="0.3">
      <c r="A2725">
        <v>10177</v>
      </c>
      <c r="B2725">
        <v>24</v>
      </c>
      <c r="C2725">
        <v>100</v>
      </c>
      <c r="D2725">
        <v>5</v>
      </c>
      <c r="E2725" s="4" t="str">
        <f t="shared" si="252"/>
        <v>low sales</v>
      </c>
      <c r="F2725">
        <v>2526.48</v>
      </c>
      <c r="G2725" t="s">
        <v>3397</v>
      </c>
      <c r="H2725" s="1" t="str">
        <f t="shared" si="253"/>
        <v>Shipped</v>
      </c>
      <c r="I2725" s="4" t="str">
        <f t="shared" si="254"/>
        <v>completed</v>
      </c>
      <c r="J2725" t="s">
        <v>25</v>
      </c>
      <c r="K2725">
        <v>4</v>
      </c>
      <c r="L2725">
        <v>11</v>
      </c>
      <c r="M2725">
        <v>2003</v>
      </c>
      <c r="N2725" t="s">
        <v>598</v>
      </c>
      <c r="O2725">
        <v>99</v>
      </c>
      <c r="P2725" t="s">
        <v>671</v>
      </c>
      <c r="Q2725" t="s">
        <v>487</v>
      </c>
      <c r="R2725" t="s">
        <v>488</v>
      </c>
      <c r="S2725" t="s">
        <v>489</v>
      </c>
      <c r="U2725" s="1" t="str">
        <f t="shared" si="255"/>
        <v>Madrid</v>
      </c>
      <c r="V2725" t="s">
        <v>177</v>
      </c>
      <c r="X2725">
        <v>28023</v>
      </c>
      <c r="Y2725" s="1" t="str">
        <f t="shared" si="256"/>
        <v>SPAIN</v>
      </c>
      <c r="Z2725" s="4" t="str">
        <f t="shared" si="257"/>
        <v>Spain</v>
      </c>
      <c r="AA2725" t="s">
        <v>178</v>
      </c>
      <c r="AB2725" t="s">
        <v>42</v>
      </c>
      <c r="AC2725" t="s">
        <v>490</v>
      </c>
      <c r="AD2725" t="s">
        <v>491</v>
      </c>
      <c r="AE2725" t="s">
        <v>36</v>
      </c>
    </row>
    <row r="2726" spans="1:31" x14ac:dyDescent="0.3">
      <c r="A2726">
        <v>10185</v>
      </c>
      <c r="B2726">
        <v>22</v>
      </c>
      <c r="C2726">
        <v>79.45</v>
      </c>
      <c r="D2726">
        <v>5</v>
      </c>
      <c r="E2726" s="4" t="str">
        <f t="shared" si="252"/>
        <v>low sales</v>
      </c>
      <c r="F2726">
        <v>1747.9</v>
      </c>
      <c r="G2726" t="s">
        <v>3398</v>
      </c>
      <c r="H2726" s="1" t="str">
        <f t="shared" si="253"/>
        <v>Shipped</v>
      </c>
      <c r="I2726" s="4" t="str">
        <f t="shared" si="254"/>
        <v>completed</v>
      </c>
      <c r="J2726" t="s">
        <v>25</v>
      </c>
      <c r="K2726">
        <v>4</v>
      </c>
      <c r="L2726">
        <v>11</v>
      </c>
      <c r="M2726">
        <v>2003</v>
      </c>
      <c r="N2726" t="s">
        <v>598</v>
      </c>
      <c r="O2726">
        <v>99</v>
      </c>
      <c r="P2726" t="s">
        <v>671</v>
      </c>
      <c r="Q2726" t="s">
        <v>335</v>
      </c>
      <c r="R2726">
        <v>5085559555</v>
      </c>
      <c r="S2726" t="s">
        <v>336</v>
      </c>
      <c r="U2726" s="1" t="str">
        <f t="shared" si="255"/>
        <v>New Bedford</v>
      </c>
      <c r="V2726" t="s">
        <v>162</v>
      </c>
      <c r="W2726" t="s">
        <v>123</v>
      </c>
      <c r="X2726">
        <v>50553</v>
      </c>
      <c r="Y2726" s="1" t="str">
        <f t="shared" si="256"/>
        <v>USA</v>
      </c>
      <c r="Z2726" s="4" t="str">
        <f t="shared" si="257"/>
        <v>Usa</v>
      </c>
      <c r="AA2726" t="s">
        <v>32</v>
      </c>
      <c r="AB2726" t="s">
        <v>33</v>
      </c>
      <c r="AC2726" t="s">
        <v>337</v>
      </c>
      <c r="AD2726" t="s">
        <v>338</v>
      </c>
      <c r="AE2726" t="s">
        <v>36</v>
      </c>
    </row>
    <row r="2727" spans="1:31" x14ac:dyDescent="0.3">
      <c r="A2727">
        <v>10197</v>
      </c>
      <c r="B2727">
        <v>35</v>
      </c>
      <c r="C2727">
        <v>93.35</v>
      </c>
      <c r="D2727">
        <v>11</v>
      </c>
      <c r="E2727" s="4" t="str">
        <f t="shared" si="252"/>
        <v>low sales</v>
      </c>
      <c r="F2727">
        <v>3267.25</v>
      </c>
      <c r="G2727" t="s">
        <v>3399</v>
      </c>
      <c r="H2727" s="1" t="str">
        <f t="shared" si="253"/>
        <v>Shipped</v>
      </c>
      <c r="I2727" s="4" t="str">
        <f t="shared" si="254"/>
        <v>completed</v>
      </c>
      <c r="J2727" t="s">
        <v>25</v>
      </c>
      <c r="K2727">
        <v>4</v>
      </c>
      <c r="L2727">
        <v>11</v>
      </c>
      <c r="M2727">
        <v>2003</v>
      </c>
      <c r="N2727" t="s">
        <v>598</v>
      </c>
      <c r="O2727">
        <v>99</v>
      </c>
      <c r="P2727" t="s">
        <v>671</v>
      </c>
      <c r="Q2727" t="s">
        <v>352</v>
      </c>
      <c r="R2727" t="s">
        <v>353</v>
      </c>
      <c r="S2727" t="s">
        <v>354</v>
      </c>
      <c r="U2727" s="1" t="str">
        <f t="shared" si="255"/>
        <v>Barcelona</v>
      </c>
      <c r="V2727" t="s">
        <v>355</v>
      </c>
      <c r="X2727">
        <v>8022</v>
      </c>
      <c r="Y2727" s="1" t="str">
        <f t="shared" si="256"/>
        <v>SPAIN</v>
      </c>
      <c r="Z2727" s="4" t="str">
        <f t="shared" si="257"/>
        <v>Spain</v>
      </c>
      <c r="AA2727" t="s">
        <v>178</v>
      </c>
      <c r="AB2727" t="s">
        <v>42</v>
      </c>
      <c r="AC2727" t="s">
        <v>356</v>
      </c>
      <c r="AD2727" t="s">
        <v>357</v>
      </c>
      <c r="AE2727" t="s">
        <v>51</v>
      </c>
    </row>
    <row r="2728" spans="1:31" x14ac:dyDescent="0.3">
      <c r="A2728">
        <v>10208</v>
      </c>
      <c r="B2728">
        <v>33</v>
      </c>
      <c r="C2728">
        <v>85.41</v>
      </c>
      <c r="D2728">
        <v>5</v>
      </c>
      <c r="E2728" s="4" t="str">
        <f t="shared" si="252"/>
        <v>low sales</v>
      </c>
      <c r="F2728">
        <v>2818.53</v>
      </c>
      <c r="G2728" t="s">
        <v>3400</v>
      </c>
      <c r="H2728" s="1" t="str">
        <f t="shared" si="253"/>
        <v>Shipped</v>
      </c>
      <c r="I2728" s="4" t="str">
        <f t="shared" si="254"/>
        <v>completed</v>
      </c>
      <c r="J2728" t="s">
        <v>25</v>
      </c>
      <c r="K2728">
        <v>1</v>
      </c>
      <c r="L2728">
        <v>1</v>
      </c>
      <c r="M2728">
        <v>2004</v>
      </c>
      <c r="N2728" t="s">
        <v>598</v>
      </c>
      <c r="O2728">
        <v>99</v>
      </c>
      <c r="P2728" t="s">
        <v>671</v>
      </c>
      <c r="Q2728" t="s">
        <v>219</v>
      </c>
      <c r="R2728" t="s">
        <v>220</v>
      </c>
      <c r="S2728" t="s">
        <v>221</v>
      </c>
      <c r="U2728" s="1" t="str">
        <f t="shared" si="255"/>
        <v>Lyon</v>
      </c>
      <c r="V2728" t="s">
        <v>222</v>
      </c>
      <c r="X2728">
        <v>69004</v>
      </c>
      <c r="Y2728" s="1" t="str">
        <f t="shared" si="256"/>
        <v>FRANCE</v>
      </c>
      <c r="Z2728" s="4" t="str">
        <f t="shared" si="257"/>
        <v>France</v>
      </c>
      <c r="AA2728" t="s">
        <v>41</v>
      </c>
      <c r="AB2728" t="s">
        <v>42</v>
      </c>
      <c r="AC2728" t="s">
        <v>223</v>
      </c>
      <c r="AD2728" t="s">
        <v>224</v>
      </c>
      <c r="AE2728" t="s">
        <v>36</v>
      </c>
    </row>
    <row r="2729" spans="1:31" x14ac:dyDescent="0.3">
      <c r="A2729">
        <v>10222</v>
      </c>
      <c r="B2729">
        <v>31</v>
      </c>
      <c r="C2729">
        <v>95.34</v>
      </c>
      <c r="D2729">
        <v>17</v>
      </c>
      <c r="E2729" s="4" t="str">
        <f t="shared" si="252"/>
        <v>low sales</v>
      </c>
      <c r="F2729">
        <v>2955.54</v>
      </c>
      <c r="G2729" t="s">
        <v>3401</v>
      </c>
      <c r="H2729" s="1" t="str">
        <f t="shared" si="253"/>
        <v>Shipped</v>
      </c>
      <c r="I2729" s="4" t="str">
        <f t="shared" si="254"/>
        <v>completed</v>
      </c>
      <c r="J2729" t="s">
        <v>25</v>
      </c>
      <c r="K2729">
        <v>1</v>
      </c>
      <c r="L2729">
        <v>2</v>
      </c>
      <c r="M2729">
        <v>2004</v>
      </c>
      <c r="N2729" t="s">
        <v>598</v>
      </c>
      <c r="O2729">
        <v>99</v>
      </c>
      <c r="P2729" t="s">
        <v>671</v>
      </c>
      <c r="Q2729" t="s">
        <v>362</v>
      </c>
      <c r="R2729">
        <v>7605558146</v>
      </c>
      <c r="S2729" t="s">
        <v>363</v>
      </c>
      <c r="U2729" s="1" t="str">
        <f t="shared" si="255"/>
        <v>San Diego</v>
      </c>
      <c r="V2729" t="s">
        <v>364</v>
      </c>
      <c r="W2729" t="s">
        <v>55</v>
      </c>
      <c r="X2729">
        <v>91217</v>
      </c>
      <c r="Y2729" s="1" t="str">
        <f t="shared" si="256"/>
        <v>USA</v>
      </c>
      <c r="Z2729" s="4" t="str">
        <f t="shared" si="257"/>
        <v>Usa</v>
      </c>
      <c r="AA2729" t="s">
        <v>32</v>
      </c>
      <c r="AB2729" t="s">
        <v>33</v>
      </c>
      <c r="AC2729" t="s">
        <v>237</v>
      </c>
      <c r="AD2729" t="s">
        <v>276</v>
      </c>
      <c r="AE2729" t="s">
        <v>36</v>
      </c>
    </row>
    <row r="2730" spans="1:31" x14ac:dyDescent="0.3">
      <c r="A2730">
        <v>10232</v>
      </c>
      <c r="B2730">
        <v>35</v>
      </c>
      <c r="C2730">
        <v>82.43</v>
      </c>
      <c r="D2730">
        <v>2</v>
      </c>
      <c r="E2730" s="4" t="str">
        <f t="shared" si="252"/>
        <v>low sales</v>
      </c>
      <c r="F2730">
        <v>2885.05</v>
      </c>
      <c r="G2730" t="s">
        <v>3402</v>
      </c>
      <c r="H2730" s="1" t="str">
        <f t="shared" si="253"/>
        <v>Shipped</v>
      </c>
      <c r="I2730" s="4" t="str">
        <f t="shared" si="254"/>
        <v>completed</v>
      </c>
      <c r="J2730" t="s">
        <v>25</v>
      </c>
      <c r="K2730">
        <v>1</v>
      </c>
      <c r="L2730">
        <v>3</v>
      </c>
      <c r="M2730">
        <v>2004</v>
      </c>
      <c r="N2730" t="s">
        <v>598</v>
      </c>
      <c r="O2730">
        <v>99</v>
      </c>
      <c r="P2730" t="s">
        <v>671</v>
      </c>
      <c r="Q2730" t="s">
        <v>383</v>
      </c>
      <c r="R2730" t="s">
        <v>384</v>
      </c>
      <c r="S2730" t="s">
        <v>385</v>
      </c>
      <c r="U2730" s="1" t="str">
        <f t="shared" si="255"/>
        <v>Cowes</v>
      </c>
      <c r="V2730" t="s">
        <v>386</v>
      </c>
      <c r="W2730" t="s">
        <v>387</v>
      </c>
      <c r="X2730" t="s">
        <v>388</v>
      </c>
      <c r="Y2730" s="1" t="str">
        <f t="shared" si="256"/>
        <v>UK</v>
      </c>
      <c r="Z2730" s="4" t="str">
        <f t="shared" si="257"/>
        <v>Uk</v>
      </c>
      <c r="AA2730" t="s">
        <v>170</v>
      </c>
      <c r="AB2730" t="s">
        <v>42</v>
      </c>
      <c r="AC2730" t="s">
        <v>389</v>
      </c>
      <c r="AD2730" t="s">
        <v>390</v>
      </c>
      <c r="AE2730" t="s">
        <v>36</v>
      </c>
    </row>
    <row r="2731" spans="1:31" x14ac:dyDescent="0.3">
      <c r="A2731">
        <v>10248</v>
      </c>
      <c r="B2731">
        <v>35</v>
      </c>
      <c r="C2731">
        <v>90.37</v>
      </c>
      <c r="D2731">
        <v>8</v>
      </c>
      <c r="E2731" s="4" t="str">
        <f t="shared" si="252"/>
        <v>low sales</v>
      </c>
      <c r="F2731">
        <v>3162.95</v>
      </c>
      <c r="G2731" t="s">
        <v>3403</v>
      </c>
      <c r="H2731" s="1" t="str">
        <f t="shared" si="253"/>
        <v>Cancelled</v>
      </c>
      <c r="I2731" s="4" t="str">
        <f t="shared" si="254"/>
        <v>not completed</v>
      </c>
      <c r="J2731" t="s">
        <v>339</v>
      </c>
      <c r="K2731">
        <v>2</v>
      </c>
      <c r="L2731">
        <v>5</v>
      </c>
      <c r="M2731">
        <v>2004</v>
      </c>
      <c r="N2731" t="s">
        <v>598</v>
      </c>
      <c r="O2731">
        <v>99</v>
      </c>
      <c r="P2731" t="s">
        <v>671</v>
      </c>
      <c r="Q2731" t="s">
        <v>28</v>
      </c>
      <c r="R2731">
        <v>2125557818</v>
      </c>
      <c r="S2731" t="s">
        <v>29</v>
      </c>
      <c r="U2731" s="1" t="str">
        <f t="shared" si="255"/>
        <v>Nyc</v>
      </c>
      <c r="V2731" t="s">
        <v>30</v>
      </c>
      <c r="W2731" t="s">
        <v>31</v>
      </c>
      <c r="X2731">
        <v>10022</v>
      </c>
      <c r="Y2731" s="1" t="str">
        <f t="shared" si="256"/>
        <v>USA</v>
      </c>
      <c r="Z2731" s="4" t="str">
        <f t="shared" si="257"/>
        <v>Usa</v>
      </c>
      <c r="AA2731" t="s">
        <v>32</v>
      </c>
      <c r="AB2731" t="s">
        <v>33</v>
      </c>
      <c r="AC2731" t="s">
        <v>34</v>
      </c>
      <c r="AD2731" t="s">
        <v>35</v>
      </c>
      <c r="AE2731" t="s">
        <v>51</v>
      </c>
    </row>
    <row r="2732" spans="1:31" x14ac:dyDescent="0.3">
      <c r="A2732">
        <v>10261</v>
      </c>
      <c r="B2732">
        <v>50</v>
      </c>
      <c r="C2732">
        <v>81.430000000000007</v>
      </c>
      <c r="D2732">
        <v>6</v>
      </c>
      <c r="E2732" s="4" t="str">
        <f t="shared" si="252"/>
        <v>high sales</v>
      </c>
      <c r="F2732">
        <v>4071.5</v>
      </c>
      <c r="G2732" t="s">
        <v>3404</v>
      </c>
      <c r="H2732" s="1" t="str">
        <f t="shared" si="253"/>
        <v>Shipped</v>
      </c>
      <c r="I2732" s="4" t="str">
        <f t="shared" si="254"/>
        <v>completed</v>
      </c>
      <c r="J2732" t="s">
        <v>25</v>
      </c>
      <c r="K2732">
        <v>2</v>
      </c>
      <c r="L2732">
        <v>6</v>
      </c>
      <c r="M2732">
        <v>2004</v>
      </c>
      <c r="N2732" t="s">
        <v>598</v>
      </c>
      <c r="O2732">
        <v>99</v>
      </c>
      <c r="P2732" t="s">
        <v>671</v>
      </c>
      <c r="Q2732" t="s">
        <v>292</v>
      </c>
      <c r="R2732" t="s">
        <v>293</v>
      </c>
      <c r="S2732" t="s">
        <v>294</v>
      </c>
      <c r="U2732" s="1" t="str">
        <f t="shared" si="255"/>
        <v>Montreal</v>
      </c>
      <c r="V2732" t="s">
        <v>295</v>
      </c>
      <c r="W2732" t="s">
        <v>296</v>
      </c>
      <c r="X2732" t="s">
        <v>297</v>
      </c>
      <c r="Y2732" s="1" t="str">
        <f t="shared" si="256"/>
        <v>CANADA</v>
      </c>
      <c r="Z2732" s="4" t="str">
        <f t="shared" si="257"/>
        <v>Canada</v>
      </c>
      <c r="AA2732" t="s">
        <v>231</v>
      </c>
      <c r="AB2732" t="s">
        <v>33</v>
      </c>
      <c r="AC2732" t="s">
        <v>298</v>
      </c>
      <c r="AD2732" t="s">
        <v>299</v>
      </c>
      <c r="AE2732" t="s">
        <v>51</v>
      </c>
    </row>
    <row r="2733" spans="1:31" x14ac:dyDescent="0.3">
      <c r="A2733">
        <v>10273</v>
      </c>
      <c r="B2733">
        <v>26</v>
      </c>
      <c r="C2733">
        <v>100</v>
      </c>
      <c r="D2733">
        <v>9</v>
      </c>
      <c r="E2733" s="4" t="str">
        <f t="shared" si="252"/>
        <v>low sales</v>
      </c>
      <c r="F2733">
        <v>2969.46</v>
      </c>
      <c r="G2733" t="s">
        <v>3405</v>
      </c>
      <c r="H2733" s="1" t="str">
        <f t="shared" si="253"/>
        <v>Shipped</v>
      </c>
      <c r="I2733" s="4" t="str">
        <f t="shared" si="254"/>
        <v>completed</v>
      </c>
      <c r="J2733" t="s">
        <v>25</v>
      </c>
      <c r="K2733">
        <v>3</v>
      </c>
      <c r="L2733">
        <v>7</v>
      </c>
      <c r="M2733">
        <v>2004</v>
      </c>
      <c r="N2733" t="s">
        <v>598</v>
      </c>
      <c r="O2733">
        <v>99</v>
      </c>
      <c r="P2733" t="s">
        <v>671</v>
      </c>
      <c r="Q2733" t="s">
        <v>365</v>
      </c>
      <c r="R2733" t="s">
        <v>366</v>
      </c>
      <c r="S2733" t="s">
        <v>367</v>
      </c>
      <c r="U2733" s="1" t="str">
        <f t="shared" si="255"/>
        <v>Bruxelles</v>
      </c>
      <c r="V2733" t="s">
        <v>368</v>
      </c>
      <c r="X2733" t="s">
        <v>369</v>
      </c>
      <c r="Y2733" s="1" t="str">
        <f t="shared" si="256"/>
        <v>BELGIUM</v>
      </c>
      <c r="Z2733" s="4" t="str">
        <f t="shared" si="257"/>
        <v>Belgium</v>
      </c>
      <c r="AA2733" t="s">
        <v>370</v>
      </c>
      <c r="AB2733" t="s">
        <v>42</v>
      </c>
      <c r="AC2733" t="s">
        <v>371</v>
      </c>
      <c r="AD2733" t="s">
        <v>372</v>
      </c>
      <c r="AE2733" t="s">
        <v>36</v>
      </c>
    </row>
    <row r="2734" spans="1:31" x14ac:dyDescent="0.3">
      <c r="A2734">
        <v>10283</v>
      </c>
      <c r="B2734">
        <v>38</v>
      </c>
      <c r="C2734">
        <v>89.38</v>
      </c>
      <c r="D2734">
        <v>11</v>
      </c>
      <c r="E2734" s="4" t="str">
        <f t="shared" si="252"/>
        <v>low sales</v>
      </c>
      <c r="F2734">
        <v>3396.44</v>
      </c>
      <c r="G2734" t="s">
        <v>3406</v>
      </c>
      <c r="H2734" s="1" t="str">
        <f t="shared" si="253"/>
        <v>Shipped</v>
      </c>
      <c r="I2734" s="4" t="str">
        <f t="shared" si="254"/>
        <v>completed</v>
      </c>
      <c r="J2734" t="s">
        <v>25</v>
      </c>
      <c r="K2734">
        <v>3</v>
      </c>
      <c r="L2734">
        <v>8</v>
      </c>
      <c r="M2734">
        <v>2004</v>
      </c>
      <c r="N2734" t="s">
        <v>598</v>
      </c>
      <c r="O2734">
        <v>99</v>
      </c>
      <c r="P2734" t="s">
        <v>671</v>
      </c>
      <c r="Q2734" t="s">
        <v>373</v>
      </c>
      <c r="R2734" t="s">
        <v>374</v>
      </c>
      <c r="S2734" t="s">
        <v>375</v>
      </c>
      <c r="U2734" s="1" t="str">
        <f t="shared" si="255"/>
        <v>Tsawassen</v>
      </c>
      <c r="V2734" t="s">
        <v>376</v>
      </c>
      <c r="W2734" t="s">
        <v>229</v>
      </c>
      <c r="X2734" t="s">
        <v>377</v>
      </c>
      <c r="Y2734" s="1" t="str">
        <f t="shared" si="256"/>
        <v>CANADA</v>
      </c>
      <c r="Z2734" s="4" t="str">
        <f t="shared" si="257"/>
        <v>Canada</v>
      </c>
      <c r="AA2734" t="s">
        <v>231</v>
      </c>
      <c r="AB2734" t="s">
        <v>33</v>
      </c>
      <c r="AC2734" t="s">
        <v>378</v>
      </c>
      <c r="AD2734" t="s">
        <v>172</v>
      </c>
      <c r="AE2734" t="s">
        <v>51</v>
      </c>
    </row>
    <row r="2735" spans="1:31" x14ac:dyDescent="0.3">
      <c r="A2735">
        <v>10294</v>
      </c>
      <c r="B2735">
        <v>45</v>
      </c>
      <c r="C2735">
        <v>100</v>
      </c>
      <c r="D2735">
        <v>1</v>
      </c>
      <c r="E2735" s="4" t="str">
        <f t="shared" si="252"/>
        <v>high sales</v>
      </c>
      <c r="F2735">
        <v>4692.6000000000004</v>
      </c>
      <c r="G2735" t="s">
        <v>3407</v>
      </c>
      <c r="H2735" s="1" t="str">
        <f t="shared" si="253"/>
        <v>Shipped</v>
      </c>
      <c r="I2735" s="4" t="str">
        <f t="shared" si="254"/>
        <v>completed</v>
      </c>
      <c r="J2735" t="s">
        <v>25</v>
      </c>
      <c r="K2735">
        <v>3</v>
      </c>
      <c r="L2735">
        <v>9</v>
      </c>
      <c r="M2735">
        <v>2004</v>
      </c>
      <c r="N2735" t="s">
        <v>598</v>
      </c>
      <c r="O2735">
        <v>99</v>
      </c>
      <c r="P2735" t="s">
        <v>671</v>
      </c>
      <c r="Q2735" t="s">
        <v>458</v>
      </c>
      <c r="R2735">
        <v>6175557555</v>
      </c>
      <c r="S2735" t="s">
        <v>459</v>
      </c>
      <c r="U2735" s="1" t="str">
        <f t="shared" si="255"/>
        <v>Brickhaven</v>
      </c>
      <c r="V2735" t="s">
        <v>283</v>
      </c>
      <c r="W2735" t="s">
        <v>123</v>
      </c>
      <c r="X2735">
        <v>58339</v>
      </c>
      <c r="Y2735" s="1" t="str">
        <f t="shared" si="256"/>
        <v>USA</v>
      </c>
      <c r="Z2735" s="4" t="str">
        <f t="shared" si="257"/>
        <v>Usa</v>
      </c>
      <c r="AA2735" t="s">
        <v>32</v>
      </c>
      <c r="AB2735" t="s">
        <v>33</v>
      </c>
      <c r="AC2735" t="s">
        <v>460</v>
      </c>
      <c r="AD2735" t="s">
        <v>461</v>
      </c>
      <c r="AE2735" t="s">
        <v>51</v>
      </c>
    </row>
    <row r="2736" spans="1:31" x14ac:dyDescent="0.3">
      <c r="A2736">
        <v>10306</v>
      </c>
      <c r="B2736">
        <v>30</v>
      </c>
      <c r="C2736">
        <v>100</v>
      </c>
      <c r="D2736">
        <v>5</v>
      </c>
      <c r="E2736" s="4" t="str">
        <f t="shared" si="252"/>
        <v>low sales</v>
      </c>
      <c r="F2736">
        <v>3515.7</v>
      </c>
      <c r="G2736" t="s">
        <v>3408</v>
      </c>
      <c r="H2736" s="1" t="str">
        <f t="shared" si="253"/>
        <v>Shipped</v>
      </c>
      <c r="I2736" s="4" t="str">
        <f t="shared" si="254"/>
        <v>completed</v>
      </c>
      <c r="J2736" t="s">
        <v>25</v>
      </c>
      <c r="K2736">
        <v>4</v>
      </c>
      <c r="L2736">
        <v>10</v>
      </c>
      <c r="M2736">
        <v>2004</v>
      </c>
      <c r="N2736" t="s">
        <v>598</v>
      </c>
      <c r="O2736">
        <v>99</v>
      </c>
      <c r="P2736" t="s">
        <v>671</v>
      </c>
      <c r="Q2736" t="s">
        <v>492</v>
      </c>
      <c r="R2736" t="s">
        <v>493</v>
      </c>
      <c r="S2736" t="s">
        <v>494</v>
      </c>
      <c r="U2736" s="1" t="str">
        <f t="shared" si="255"/>
        <v>Manchester</v>
      </c>
      <c r="V2736" t="s">
        <v>495</v>
      </c>
      <c r="X2736" t="s">
        <v>496</v>
      </c>
      <c r="Y2736" s="1" t="str">
        <f t="shared" si="256"/>
        <v>UK</v>
      </c>
      <c r="Z2736" s="4" t="str">
        <f t="shared" si="257"/>
        <v>Uk</v>
      </c>
      <c r="AA2736" t="s">
        <v>170</v>
      </c>
      <c r="AB2736" t="s">
        <v>42</v>
      </c>
      <c r="AC2736" t="s">
        <v>497</v>
      </c>
      <c r="AD2736" t="s">
        <v>94</v>
      </c>
      <c r="AE2736" t="s">
        <v>51</v>
      </c>
    </row>
    <row r="2737" spans="1:31" x14ac:dyDescent="0.3">
      <c r="A2737">
        <v>10315</v>
      </c>
      <c r="B2737">
        <v>37</v>
      </c>
      <c r="C2737">
        <v>91.37</v>
      </c>
      <c r="D2737">
        <v>4</v>
      </c>
      <c r="E2737" s="4" t="str">
        <f t="shared" si="252"/>
        <v>low sales</v>
      </c>
      <c r="F2737">
        <v>3380.69</v>
      </c>
      <c r="G2737" t="s">
        <v>3409</v>
      </c>
      <c r="H2737" s="1" t="str">
        <f t="shared" si="253"/>
        <v>Shipped</v>
      </c>
      <c r="I2737" s="4" t="str">
        <f t="shared" si="254"/>
        <v>completed</v>
      </c>
      <c r="J2737" t="s">
        <v>25</v>
      </c>
      <c r="K2737">
        <v>4</v>
      </c>
      <c r="L2737">
        <v>10</v>
      </c>
      <c r="M2737">
        <v>2004</v>
      </c>
      <c r="N2737" t="s">
        <v>598</v>
      </c>
      <c r="O2737">
        <v>99</v>
      </c>
      <c r="P2737" t="s">
        <v>671</v>
      </c>
      <c r="Q2737" t="s">
        <v>114</v>
      </c>
      <c r="R2737" t="s">
        <v>115</v>
      </c>
      <c r="S2737" t="s">
        <v>116</v>
      </c>
      <c r="U2737" s="1" t="str">
        <f t="shared" si="255"/>
        <v>Nantes</v>
      </c>
      <c r="V2737" t="s">
        <v>117</v>
      </c>
      <c r="X2737">
        <v>44000</v>
      </c>
      <c r="Y2737" s="1" t="str">
        <f t="shared" si="256"/>
        <v>FRANCE</v>
      </c>
      <c r="Z2737" s="4" t="str">
        <f t="shared" si="257"/>
        <v>France</v>
      </c>
      <c r="AA2737" t="s">
        <v>41</v>
      </c>
      <c r="AB2737" t="s">
        <v>42</v>
      </c>
      <c r="AC2737" t="s">
        <v>118</v>
      </c>
      <c r="AD2737" t="s">
        <v>119</v>
      </c>
      <c r="AE2737" t="s">
        <v>51</v>
      </c>
    </row>
    <row r="2738" spans="1:31" x14ac:dyDescent="0.3">
      <c r="A2738">
        <v>10327</v>
      </c>
      <c r="B2738">
        <v>37</v>
      </c>
      <c r="C2738">
        <v>86.61</v>
      </c>
      <c r="D2738">
        <v>3</v>
      </c>
      <c r="E2738" s="4" t="str">
        <f t="shared" si="252"/>
        <v>low sales</v>
      </c>
      <c r="F2738">
        <v>3204.57</v>
      </c>
      <c r="G2738" t="s">
        <v>3410</v>
      </c>
      <c r="H2738" s="1" t="str">
        <f t="shared" si="253"/>
        <v>Resolved</v>
      </c>
      <c r="I2738" s="4" t="str">
        <f t="shared" si="254"/>
        <v>not completed</v>
      </c>
      <c r="J2738" t="s">
        <v>408</v>
      </c>
      <c r="K2738">
        <v>4</v>
      </c>
      <c r="L2738">
        <v>11</v>
      </c>
      <c r="M2738">
        <v>2004</v>
      </c>
      <c r="N2738" t="s">
        <v>598</v>
      </c>
      <c r="O2738">
        <v>99</v>
      </c>
      <c r="P2738" t="s">
        <v>671</v>
      </c>
      <c r="Q2738" t="s">
        <v>322</v>
      </c>
      <c r="R2738" t="s">
        <v>323</v>
      </c>
      <c r="S2738" t="s">
        <v>324</v>
      </c>
      <c r="U2738" s="1" t="str">
        <f t="shared" si="255"/>
        <v>Kobenhavn</v>
      </c>
      <c r="V2738" t="s">
        <v>325</v>
      </c>
      <c r="X2738">
        <v>1734</v>
      </c>
      <c r="Y2738" s="1" t="str">
        <f t="shared" si="256"/>
        <v>DENMARK</v>
      </c>
      <c r="Z2738" s="4" t="str">
        <f t="shared" si="257"/>
        <v>Denmark</v>
      </c>
      <c r="AA2738" t="s">
        <v>326</v>
      </c>
      <c r="AB2738" t="s">
        <v>42</v>
      </c>
      <c r="AC2738" t="s">
        <v>327</v>
      </c>
      <c r="AD2738" t="s">
        <v>328</v>
      </c>
      <c r="AE2738" t="s">
        <v>51</v>
      </c>
    </row>
    <row r="2739" spans="1:31" x14ac:dyDescent="0.3">
      <c r="A2739">
        <v>10337</v>
      </c>
      <c r="B2739">
        <v>36</v>
      </c>
      <c r="C2739">
        <v>71.89</v>
      </c>
      <c r="D2739">
        <v>7</v>
      </c>
      <c r="E2739" s="4" t="str">
        <f t="shared" si="252"/>
        <v>low sales</v>
      </c>
      <c r="F2739">
        <v>2588.04</v>
      </c>
      <c r="G2739" t="s">
        <v>3411</v>
      </c>
      <c r="H2739" s="1" t="str">
        <f t="shared" si="253"/>
        <v>Shipped</v>
      </c>
      <c r="I2739" s="4" t="str">
        <f t="shared" si="254"/>
        <v>completed</v>
      </c>
      <c r="J2739" t="s">
        <v>25</v>
      </c>
      <c r="K2739">
        <v>4</v>
      </c>
      <c r="L2739">
        <v>11</v>
      </c>
      <c r="M2739">
        <v>2004</v>
      </c>
      <c r="N2739" t="s">
        <v>598</v>
      </c>
      <c r="O2739">
        <v>99</v>
      </c>
      <c r="P2739" t="s">
        <v>671</v>
      </c>
      <c r="Q2739" t="s">
        <v>203</v>
      </c>
      <c r="R2739">
        <v>2125558493</v>
      </c>
      <c r="S2739" t="s">
        <v>204</v>
      </c>
      <c r="T2739" t="s">
        <v>205</v>
      </c>
      <c r="U2739" s="1" t="str">
        <f t="shared" si="255"/>
        <v>Nyc</v>
      </c>
      <c r="V2739" t="s">
        <v>30</v>
      </c>
      <c r="W2739" t="s">
        <v>31</v>
      </c>
      <c r="X2739">
        <v>10022</v>
      </c>
      <c r="Y2739" s="1" t="str">
        <f t="shared" si="256"/>
        <v>USA</v>
      </c>
      <c r="Z2739" s="4" t="str">
        <f t="shared" si="257"/>
        <v>Usa</v>
      </c>
      <c r="AA2739" t="s">
        <v>32</v>
      </c>
      <c r="AB2739" t="s">
        <v>33</v>
      </c>
      <c r="AC2739" t="s">
        <v>124</v>
      </c>
      <c r="AD2739" t="s">
        <v>206</v>
      </c>
      <c r="AE2739" t="s">
        <v>36</v>
      </c>
    </row>
    <row r="2740" spans="1:31" x14ac:dyDescent="0.3">
      <c r="A2740">
        <v>10350</v>
      </c>
      <c r="B2740">
        <v>25</v>
      </c>
      <c r="C2740">
        <v>100</v>
      </c>
      <c r="D2740">
        <v>16</v>
      </c>
      <c r="E2740" s="4" t="str">
        <f t="shared" si="252"/>
        <v>low sales</v>
      </c>
      <c r="F2740">
        <v>2854.75</v>
      </c>
      <c r="G2740" t="s">
        <v>3412</v>
      </c>
      <c r="H2740" s="1" t="str">
        <f t="shared" si="253"/>
        <v>Shipped</v>
      </c>
      <c r="I2740" s="4" t="str">
        <f t="shared" si="254"/>
        <v>completed</v>
      </c>
      <c r="J2740" t="s">
        <v>25</v>
      </c>
      <c r="K2740">
        <v>4</v>
      </c>
      <c r="L2740">
        <v>12</v>
      </c>
      <c r="M2740">
        <v>2004</v>
      </c>
      <c r="N2740" t="s">
        <v>598</v>
      </c>
      <c r="O2740">
        <v>99</v>
      </c>
      <c r="P2740" t="s">
        <v>671</v>
      </c>
      <c r="Q2740" t="s">
        <v>174</v>
      </c>
      <c r="R2740" t="s">
        <v>175</v>
      </c>
      <c r="S2740" t="s">
        <v>176</v>
      </c>
      <c r="U2740" s="1" t="str">
        <f t="shared" si="255"/>
        <v>Madrid</v>
      </c>
      <c r="V2740" t="s">
        <v>177</v>
      </c>
      <c r="X2740">
        <v>28034</v>
      </c>
      <c r="Y2740" s="1" t="str">
        <f t="shared" si="256"/>
        <v>SPAIN</v>
      </c>
      <c r="Z2740" s="4" t="str">
        <f t="shared" si="257"/>
        <v>Spain</v>
      </c>
      <c r="AA2740" t="s">
        <v>178</v>
      </c>
      <c r="AB2740" t="s">
        <v>42</v>
      </c>
      <c r="AC2740" t="s">
        <v>179</v>
      </c>
      <c r="AD2740" t="s">
        <v>180</v>
      </c>
      <c r="AE2740" t="s">
        <v>36</v>
      </c>
    </row>
    <row r="2741" spans="1:31" x14ac:dyDescent="0.3">
      <c r="A2741">
        <v>10373</v>
      </c>
      <c r="B2741">
        <v>37</v>
      </c>
      <c r="C2741">
        <v>100</v>
      </c>
      <c r="D2741">
        <v>8</v>
      </c>
      <c r="E2741" s="4" t="str">
        <f t="shared" si="252"/>
        <v>high sales</v>
      </c>
      <c r="F2741">
        <v>4025.6</v>
      </c>
      <c r="G2741" t="s">
        <v>3413</v>
      </c>
      <c r="H2741" s="1" t="str">
        <f t="shared" si="253"/>
        <v>Shipped</v>
      </c>
      <c r="I2741" s="4" t="str">
        <f t="shared" si="254"/>
        <v>completed</v>
      </c>
      <c r="J2741" t="s">
        <v>25</v>
      </c>
      <c r="K2741">
        <v>1</v>
      </c>
      <c r="L2741">
        <v>1</v>
      </c>
      <c r="M2741">
        <v>2005</v>
      </c>
      <c r="N2741" t="s">
        <v>598</v>
      </c>
      <c r="O2741">
        <v>99</v>
      </c>
      <c r="P2741" t="s">
        <v>671</v>
      </c>
      <c r="Q2741" t="s">
        <v>391</v>
      </c>
      <c r="R2741" t="s">
        <v>392</v>
      </c>
      <c r="S2741" t="s">
        <v>393</v>
      </c>
      <c r="U2741" s="1" t="str">
        <f t="shared" si="255"/>
        <v>Oulu</v>
      </c>
      <c r="V2741" t="s">
        <v>394</v>
      </c>
      <c r="X2741">
        <v>90110</v>
      </c>
      <c r="Y2741" s="1" t="str">
        <f t="shared" si="256"/>
        <v>FINLAND</v>
      </c>
      <c r="Z2741" s="4" t="str">
        <f t="shared" si="257"/>
        <v>Finland</v>
      </c>
      <c r="AA2741" t="s">
        <v>130</v>
      </c>
      <c r="AB2741" t="s">
        <v>42</v>
      </c>
      <c r="AC2741" t="s">
        <v>395</v>
      </c>
      <c r="AD2741" t="s">
        <v>396</v>
      </c>
      <c r="AE2741" t="s">
        <v>51</v>
      </c>
    </row>
    <row r="2742" spans="1:31" x14ac:dyDescent="0.3">
      <c r="A2742">
        <v>10386</v>
      </c>
      <c r="B2742">
        <v>30</v>
      </c>
      <c r="C2742">
        <v>95.48</v>
      </c>
      <c r="D2742">
        <v>3</v>
      </c>
      <c r="E2742" s="4" t="str">
        <f t="shared" si="252"/>
        <v>low sales</v>
      </c>
      <c r="F2742">
        <v>2864.4</v>
      </c>
      <c r="G2742" t="s">
        <v>3414</v>
      </c>
      <c r="H2742" s="1" t="str">
        <f t="shared" si="253"/>
        <v>Resolved</v>
      </c>
      <c r="I2742" s="4" t="str">
        <f t="shared" si="254"/>
        <v>not completed</v>
      </c>
      <c r="J2742" t="s">
        <v>408</v>
      </c>
      <c r="K2742">
        <v>1</v>
      </c>
      <c r="L2742">
        <v>3</v>
      </c>
      <c r="M2742">
        <v>2005</v>
      </c>
      <c r="N2742" t="s">
        <v>598</v>
      </c>
      <c r="O2742">
        <v>99</v>
      </c>
      <c r="P2742" t="s">
        <v>671</v>
      </c>
      <c r="Q2742" t="s">
        <v>174</v>
      </c>
      <c r="R2742" t="s">
        <v>175</v>
      </c>
      <c r="S2742" t="s">
        <v>176</v>
      </c>
      <c r="U2742" s="1" t="str">
        <f t="shared" si="255"/>
        <v>Madrid</v>
      </c>
      <c r="V2742" t="s">
        <v>177</v>
      </c>
      <c r="X2742">
        <v>28034</v>
      </c>
      <c r="Y2742" s="1" t="str">
        <f t="shared" si="256"/>
        <v>SPAIN</v>
      </c>
      <c r="Z2742" s="4" t="str">
        <f t="shared" si="257"/>
        <v>Spain</v>
      </c>
      <c r="AA2742" t="s">
        <v>178</v>
      </c>
      <c r="AB2742" t="s">
        <v>42</v>
      </c>
      <c r="AC2742" t="s">
        <v>179</v>
      </c>
      <c r="AD2742" t="s">
        <v>180</v>
      </c>
      <c r="AE2742" t="s">
        <v>36</v>
      </c>
    </row>
    <row r="2743" spans="1:31" x14ac:dyDescent="0.3">
      <c r="A2743">
        <v>10397</v>
      </c>
      <c r="B2743">
        <v>36</v>
      </c>
      <c r="C2743">
        <v>100</v>
      </c>
      <c r="D2743">
        <v>2</v>
      </c>
      <c r="E2743" s="4" t="str">
        <f t="shared" si="252"/>
        <v>low sales</v>
      </c>
      <c r="F2743">
        <v>3789.72</v>
      </c>
      <c r="G2743" t="s">
        <v>3415</v>
      </c>
      <c r="H2743" s="1" t="str">
        <f t="shared" si="253"/>
        <v>Shipped</v>
      </c>
      <c r="I2743" s="4" t="str">
        <f t="shared" si="254"/>
        <v>completed</v>
      </c>
      <c r="J2743" t="s">
        <v>25</v>
      </c>
      <c r="K2743">
        <v>1</v>
      </c>
      <c r="L2743">
        <v>3</v>
      </c>
      <c r="M2743">
        <v>2005</v>
      </c>
      <c r="N2743" t="s">
        <v>598</v>
      </c>
      <c r="O2743">
        <v>99</v>
      </c>
      <c r="P2743" t="s">
        <v>671</v>
      </c>
      <c r="Q2743" t="s">
        <v>340</v>
      </c>
      <c r="R2743" t="s">
        <v>341</v>
      </c>
      <c r="S2743" t="s">
        <v>342</v>
      </c>
      <c r="U2743" s="1" t="str">
        <f t="shared" si="255"/>
        <v>Toulouse</v>
      </c>
      <c r="V2743" t="s">
        <v>343</v>
      </c>
      <c r="X2743">
        <v>31000</v>
      </c>
      <c r="Y2743" s="1" t="str">
        <f t="shared" si="256"/>
        <v>FRANCE</v>
      </c>
      <c r="Z2743" s="4" t="str">
        <f t="shared" si="257"/>
        <v>France</v>
      </c>
      <c r="AA2743" t="s">
        <v>41</v>
      </c>
      <c r="AB2743" t="s">
        <v>42</v>
      </c>
      <c r="AC2743" t="s">
        <v>344</v>
      </c>
      <c r="AD2743" t="s">
        <v>345</v>
      </c>
      <c r="AE2743" t="s">
        <v>51</v>
      </c>
    </row>
    <row r="2744" spans="1:31" x14ac:dyDescent="0.3">
      <c r="A2744">
        <v>10414</v>
      </c>
      <c r="B2744">
        <v>27</v>
      </c>
      <c r="C2744">
        <v>90.37</v>
      </c>
      <c r="D2744">
        <v>8</v>
      </c>
      <c r="E2744" s="4" t="str">
        <f t="shared" si="252"/>
        <v>low sales</v>
      </c>
      <c r="F2744">
        <v>2439.9899999999998</v>
      </c>
      <c r="G2744" t="s">
        <v>3416</v>
      </c>
      <c r="H2744" s="1" t="str">
        <f t="shared" si="253"/>
        <v>On Hold</v>
      </c>
      <c r="I2744" s="4" t="str">
        <f t="shared" si="254"/>
        <v>not completed</v>
      </c>
      <c r="J2744" t="s">
        <v>401</v>
      </c>
      <c r="K2744">
        <v>2</v>
      </c>
      <c r="L2744">
        <v>5</v>
      </c>
      <c r="M2744">
        <v>2005</v>
      </c>
      <c r="N2744" t="s">
        <v>598</v>
      </c>
      <c r="O2744">
        <v>99</v>
      </c>
      <c r="P2744" t="s">
        <v>671</v>
      </c>
      <c r="Q2744" t="s">
        <v>379</v>
      </c>
      <c r="R2744">
        <v>6175559555</v>
      </c>
      <c r="S2744" t="s">
        <v>380</v>
      </c>
      <c r="U2744" s="1" t="str">
        <f t="shared" si="255"/>
        <v>Boston</v>
      </c>
      <c r="V2744" t="s">
        <v>381</v>
      </c>
      <c r="W2744" t="s">
        <v>123</v>
      </c>
      <c r="X2744">
        <v>51003</v>
      </c>
      <c r="Y2744" s="1" t="str">
        <f t="shared" si="256"/>
        <v>USA</v>
      </c>
      <c r="Z2744" s="4" t="str">
        <f t="shared" si="257"/>
        <v>Usa</v>
      </c>
      <c r="AA2744" t="s">
        <v>32</v>
      </c>
      <c r="AB2744" t="s">
        <v>33</v>
      </c>
      <c r="AC2744" t="s">
        <v>382</v>
      </c>
      <c r="AD2744" t="s">
        <v>66</v>
      </c>
      <c r="AE2744" t="s">
        <v>36</v>
      </c>
    </row>
    <row r="2745" spans="1:31" x14ac:dyDescent="0.3">
      <c r="A2745">
        <v>10106</v>
      </c>
      <c r="B2745">
        <v>48</v>
      </c>
      <c r="C2745">
        <v>61.44</v>
      </c>
      <c r="D2745">
        <v>10</v>
      </c>
      <c r="E2745" s="4" t="str">
        <f t="shared" si="252"/>
        <v>low sales</v>
      </c>
      <c r="F2745">
        <v>2949.12</v>
      </c>
      <c r="G2745" t="s">
        <v>3417</v>
      </c>
      <c r="H2745" s="1" t="str">
        <f t="shared" si="253"/>
        <v>Shipped</v>
      </c>
      <c r="I2745" s="4" t="str">
        <f t="shared" si="254"/>
        <v>completed</v>
      </c>
      <c r="J2745" t="s">
        <v>25</v>
      </c>
      <c r="K2745">
        <v>1</v>
      </c>
      <c r="L2745">
        <v>2</v>
      </c>
      <c r="M2745">
        <v>2003</v>
      </c>
      <c r="N2745" t="s">
        <v>566</v>
      </c>
      <c r="O2745">
        <v>74</v>
      </c>
      <c r="P2745" t="s">
        <v>672</v>
      </c>
      <c r="Q2745" t="s">
        <v>552</v>
      </c>
      <c r="R2745" t="s">
        <v>553</v>
      </c>
      <c r="S2745" t="s">
        <v>554</v>
      </c>
      <c r="U2745" s="1" t="str">
        <f t="shared" si="255"/>
        <v>Bergamo</v>
      </c>
      <c r="V2745" t="s">
        <v>555</v>
      </c>
      <c r="X2745">
        <v>24100</v>
      </c>
      <c r="Y2745" s="1" t="str">
        <f t="shared" si="256"/>
        <v>ITALY</v>
      </c>
      <c r="Z2745" s="4" t="str">
        <f t="shared" si="257"/>
        <v>Italy</v>
      </c>
      <c r="AA2745" t="s">
        <v>258</v>
      </c>
      <c r="AB2745" t="s">
        <v>42</v>
      </c>
      <c r="AC2745" t="s">
        <v>556</v>
      </c>
      <c r="AD2745" t="s">
        <v>557</v>
      </c>
      <c r="AE2745" t="s">
        <v>36</v>
      </c>
    </row>
    <row r="2746" spans="1:31" x14ac:dyDescent="0.3">
      <c r="A2746">
        <v>10119</v>
      </c>
      <c r="B2746">
        <v>26</v>
      </c>
      <c r="C2746">
        <v>59.22</v>
      </c>
      <c r="D2746">
        <v>1</v>
      </c>
      <c r="E2746" s="4" t="str">
        <f t="shared" si="252"/>
        <v>low sales</v>
      </c>
      <c r="F2746">
        <v>1539.72</v>
      </c>
      <c r="G2746" t="s">
        <v>3418</v>
      </c>
      <c r="H2746" s="1" t="str">
        <f t="shared" si="253"/>
        <v>Shipped</v>
      </c>
      <c r="I2746" s="4" t="str">
        <f t="shared" si="254"/>
        <v>completed</v>
      </c>
      <c r="J2746" t="s">
        <v>25</v>
      </c>
      <c r="K2746">
        <v>2</v>
      </c>
      <c r="L2746">
        <v>4</v>
      </c>
      <c r="M2746">
        <v>2003</v>
      </c>
      <c r="N2746" t="s">
        <v>566</v>
      </c>
      <c r="O2746">
        <v>74</v>
      </c>
      <c r="P2746" t="s">
        <v>672</v>
      </c>
      <c r="Q2746" t="s">
        <v>144</v>
      </c>
      <c r="R2746" t="s">
        <v>145</v>
      </c>
      <c r="S2746" t="s">
        <v>146</v>
      </c>
      <c r="U2746" s="1" t="str">
        <f t="shared" si="255"/>
        <v>Salzburg</v>
      </c>
      <c r="V2746" t="s">
        <v>147</v>
      </c>
      <c r="X2746">
        <v>5020</v>
      </c>
      <c r="Y2746" s="1" t="str">
        <f t="shared" si="256"/>
        <v>AUSTRIA</v>
      </c>
      <c r="Z2746" s="4" t="str">
        <f t="shared" si="257"/>
        <v>Austria</v>
      </c>
      <c r="AA2746" t="s">
        <v>148</v>
      </c>
      <c r="AB2746" t="s">
        <v>42</v>
      </c>
      <c r="AC2746" t="s">
        <v>149</v>
      </c>
      <c r="AD2746" t="s">
        <v>150</v>
      </c>
      <c r="AE2746" t="s">
        <v>36</v>
      </c>
    </row>
    <row r="2747" spans="1:31" x14ac:dyDescent="0.3">
      <c r="A2747">
        <v>10131</v>
      </c>
      <c r="B2747">
        <v>26</v>
      </c>
      <c r="C2747">
        <v>85.13</v>
      </c>
      <c r="D2747">
        <v>2</v>
      </c>
      <c r="E2747" s="4" t="str">
        <f t="shared" si="252"/>
        <v>low sales</v>
      </c>
      <c r="F2747">
        <v>2213.38</v>
      </c>
      <c r="G2747" t="s">
        <v>3419</v>
      </c>
      <c r="H2747" s="1" t="str">
        <f t="shared" si="253"/>
        <v>Shipped</v>
      </c>
      <c r="I2747" s="4" t="str">
        <f t="shared" si="254"/>
        <v>completed</v>
      </c>
      <c r="J2747" t="s">
        <v>25</v>
      </c>
      <c r="K2747">
        <v>2</v>
      </c>
      <c r="L2747">
        <v>6</v>
      </c>
      <c r="M2747">
        <v>2003</v>
      </c>
      <c r="N2747" t="s">
        <v>566</v>
      </c>
      <c r="O2747">
        <v>74</v>
      </c>
      <c r="P2747" t="s">
        <v>672</v>
      </c>
      <c r="Q2747" t="s">
        <v>568</v>
      </c>
      <c r="R2747">
        <v>2035554407</v>
      </c>
      <c r="S2747" t="s">
        <v>569</v>
      </c>
      <c r="U2747" s="1" t="str">
        <f t="shared" si="255"/>
        <v>Glendale</v>
      </c>
      <c r="V2747" t="s">
        <v>516</v>
      </c>
      <c r="W2747" t="s">
        <v>112</v>
      </c>
      <c r="X2747">
        <v>97561</v>
      </c>
      <c r="Y2747" s="1" t="str">
        <f t="shared" si="256"/>
        <v>USA</v>
      </c>
      <c r="Z2747" s="4" t="str">
        <f t="shared" si="257"/>
        <v>Usa</v>
      </c>
      <c r="AA2747" t="s">
        <v>32</v>
      </c>
      <c r="AB2747" t="s">
        <v>33</v>
      </c>
      <c r="AC2747" t="s">
        <v>570</v>
      </c>
      <c r="AD2747" t="s">
        <v>571</v>
      </c>
      <c r="AE2747" t="s">
        <v>36</v>
      </c>
    </row>
    <row r="2748" spans="1:31" x14ac:dyDescent="0.3">
      <c r="A2748">
        <v>10143</v>
      </c>
      <c r="B2748">
        <v>34</v>
      </c>
      <c r="C2748">
        <v>85.87</v>
      </c>
      <c r="D2748">
        <v>5</v>
      </c>
      <c r="E2748" s="4" t="str">
        <f t="shared" si="252"/>
        <v>low sales</v>
      </c>
      <c r="F2748">
        <v>2919.58</v>
      </c>
      <c r="G2748" t="s">
        <v>3420</v>
      </c>
      <c r="H2748" s="1" t="str">
        <f t="shared" si="253"/>
        <v>Shipped</v>
      </c>
      <c r="I2748" s="4" t="str">
        <f t="shared" si="254"/>
        <v>completed</v>
      </c>
      <c r="J2748" t="s">
        <v>25</v>
      </c>
      <c r="K2748">
        <v>3</v>
      </c>
      <c r="L2748">
        <v>8</v>
      </c>
      <c r="M2748">
        <v>2003</v>
      </c>
      <c r="N2748" t="s">
        <v>566</v>
      </c>
      <c r="O2748">
        <v>74</v>
      </c>
      <c r="P2748" t="s">
        <v>672</v>
      </c>
      <c r="Q2748" t="s">
        <v>335</v>
      </c>
      <c r="R2748">
        <v>5085559555</v>
      </c>
      <c r="S2748" t="s">
        <v>336</v>
      </c>
      <c r="U2748" s="1" t="str">
        <f t="shared" si="255"/>
        <v>New Bedford</v>
      </c>
      <c r="V2748" t="s">
        <v>162</v>
      </c>
      <c r="W2748" t="s">
        <v>123</v>
      </c>
      <c r="X2748">
        <v>50553</v>
      </c>
      <c r="Y2748" s="1" t="str">
        <f t="shared" si="256"/>
        <v>USA</v>
      </c>
      <c r="Z2748" s="4" t="str">
        <f t="shared" si="257"/>
        <v>Usa</v>
      </c>
      <c r="AA2748" t="s">
        <v>32</v>
      </c>
      <c r="AB2748" t="s">
        <v>33</v>
      </c>
      <c r="AC2748" t="s">
        <v>337</v>
      </c>
      <c r="AD2748" t="s">
        <v>338</v>
      </c>
      <c r="AE2748" t="s">
        <v>36</v>
      </c>
    </row>
    <row r="2749" spans="1:31" x14ac:dyDescent="0.3">
      <c r="A2749">
        <v>10155</v>
      </c>
      <c r="B2749">
        <v>44</v>
      </c>
      <c r="C2749">
        <v>85.87</v>
      </c>
      <c r="D2749">
        <v>3</v>
      </c>
      <c r="E2749" s="4" t="str">
        <f t="shared" si="252"/>
        <v>low sales</v>
      </c>
      <c r="F2749">
        <v>3778.28</v>
      </c>
      <c r="G2749" t="s">
        <v>3421</v>
      </c>
      <c r="H2749" s="1" t="str">
        <f t="shared" si="253"/>
        <v>Shipped</v>
      </c>
      <c r="I2749" s="4" t="str">
        <f t="shared" si="254"/>
        <v>completed</v>
      </c>
      <c r="J2749" t="s">
        <v>25</v>
      </c>
      <c r="K2749">
        <v>4</v>
      </c>
      <c r="L2749">
        <v>10</v>
      </c>
      <c r="M2749">
        <v>2003</v>
      </c>
      <c r="N2749" t="s">
        <v>566</v>
      </c>
      <c r="O2749">
        <v>74</v>
      </c>
      <c r="P2749" t="s">
        <v>672</v>
      </c>
      <c r="Q2749" t="s">
        <v>126</v>
      </c>
      <c r="R2749" t="s">
        <v>127</v>
      </c>
      <c r="S2749" t="s">
        <v>128</v>
      </c>
      <c r="U2749" s="1" t="str">
        <f t="shared" si="255"/>
        <v>Helsinki</v>
      </c>
      <c r="V2749" t="s">
        <v>129</v>
      </c>
      <c r="X2749">
        <v>21240</v>
      </c>
      <c r="Y2749" s="1" t="str">
        <f t="shared" si="256"/>
        <v>FINLAND</v>
      </c>
      <c r="Z2749" s="4" t="str">
        <f t="shared" si="257"/>
        <v>Finland</v>
      </c>
      <c r="AA2749" t="s">
        <v>130</v>
      </c>
      <c r="AB2749" t="s">
        <v>42</v>
      </c>
      <c r="AC2749" t="s">
        <v>131</v>
      </c>
      <c r="AD2749" t="s">
        <v>132</v>
      </c>
      <c r="AE2749" t="s">
        <v>51</v>
      </c>
    </row>
    <row r="2750" spans="1:31" x14ac:dyDescent="0.3">
      <c r="A2750">
        <v>10168</v>
      </c>
      <c r="B2750">
        <v>39</v>
      </c>
      <c r="C2750">
        <v>82.91</v>
      </c>
      <c r="D2750">
        <v>17</v>
      </c>
      <c r="E2750" s="4" t="str">
        <f t="shared" si="252"/>
        <v>low sales</v>
      </c>
      <c r="F2750">
        <v>3233.49</v>
      </c>
      <c r="G2750" t="s">
        <v>3422</v>
      </c>
      <c r="H2750" s="1" t="str">
        <f t="shared" si="253"/>
        <v>Shipped</v>
      </c>
      <c r="I2750" s="4" t="str">
        <f t="shared" si="254"/>
        <v>completed</v>
      </c>
      <c r="J2750" t="s">
        <v>25</v>
      </c>
      <c r="K2750">
        <v>4</v>
      </c>
      <c r="L2750">
        <v>10</v>
      </c>
      <c r="M2750">
        <v>2003</v>
      </c>
      <c r="N2750" t="s">
        <v>566</v>
      </c>
      <c r="O2750">
        <v>74</v>
      </c>
      <c r="P2750" t="s">
        <v>672</v>
      </c>
      <c r="Q2750" t="s">
        <v>62</v>
      </c>
      <c r="R2750">
        <v>6505556809</v>
      </c>
      <c r="S2750" t="s">
        <v>63</v>
      </c>
      <c r="U2750" s="1" t="str">
        <f t="shared" si="255"/>
        <v>Burlingame</v>
      </c>
      <c r="V2750" t="s">
        <v>64</v>
      </c>
      <c r="W2750" t="s">
        <v>55</v>
      </c>
      <c r="X2750">
        <v>94217</v>
      </c>
      <c r="Y2750" s="1" t="str">
        <f t="shared" si="256"/>
        <v>USA</v>
      </c>
      <c r="Z2750" s="4" t="str">
        <f t="shared" si="257"/>
        <v>Usa</v>
      </c>
      <c r="AA2750" t="s">
        <v>32</v>
      </c>
      <c r="AB2750" t="s">
        <v>33</v>
      </c>
      <c r="AC2750" t="s">
        <v>65</v>
      </c>
      <c r="AD2750" t="s">
        <v>66</v>
      </c>
      <c r="AE2750" t="s">
        <v>51</v>
      </c>
    </row>
    <row r="2751" spans="1:31" x14ac:dyDescent="0.3">
      <c r="A2751">
        <v>10178</v>
      </c>
      <c r="B2751">
        <v>45</v>
      </c>
      <c r="C2751">
        <v>76.25</v>
      </c>
      <c r="D2751">
        <v>2</v>
      </c>
      <c r="E2751" s="4" t="str">
        <f t="shared" si="252"/>
        <v>low sales</v>
      </c>
      <c r="F2751">
        <v>3431.25</v>
      </c>
      <c r="G2751" t="s">
        <v>3423</v>
      </c>
      <c r="H2751" s="1" t="str">
        <f t="shared" si="253"/>
        <v>Shipped</v>
      </c>
      <c r="I2751" s="4" t="str">
        <f t="shared" si="254"/>
        <v>completed</v>
      </c>
      <c r="J2751" t="s">
        <v>25</v>
      </c>
      <c r="K2751">
        <v>4</v>
      </c>
      <c r="L2751">
        <v>11</v>
      </c>
      <c r="M2751">
        <v>2003</v>
      </c>
      <c r="N2751" t="s">
        <v>566</v>
      </c>
      <c r="O2751">
        <v>74</v>
      </c>
      <c r="P2751" t="s">
        <v>672</v>
      </c>
      <c r="Q2751" t="s">
        <v>340</v>
      </c>
      <c r="R2751" t="s">
        <v>341</v>
      </c>
      <c r="S2751" t="s">
        <v>342</v>
      </c>
      <c r="U2751" s="1" t="str">
        <f t="shared" si="255"/>
        <v>Toulouse</v>
      </c>
      <c r="V2751" t="s">
        <v>343</v>
      </c>
      <c r="X2751">
        <v>31000</v>
      </c>
      <c r="Y2751" s="1" t="str">
        <f t="shared" si="256"/>
        <v>FRANCE</v>
      </c>
      <c r="Z2751" s="4" t="str">
        <f t="shared" si="257"/>
        <v>France</v>
      </c>
      <c r="AA2751" t="s">
        <v>41</v>
      </c>
      <c r="AB2751" t="s">
        <v>42</v>
      </c>
      <c r="AC2751" t="s">
        <v>344</v>
      </c>
      <c r="AD2751" t="s">
        <v>345</v>
      </c>
      <c r="AE2751" t="s">
        <v>51</v>
      </c>
    </row>
    <row r="2752" spans="1:31" x14ac:dyDescent="0.3">
      <c r="A2752">
        <v>10198</v>
      </c>
      <c r="B2752">
        <v>40</v>
      </c>
      <c r="C2752">
        <v>63.67</v>
      </c>
      <c r="D2752">
        <v>2</v>
      </c>
      <c r="E2752" s="4" t="str">
        <f t="shared" si="252"/>
        <v>low sales</v>
      </c>
      <c r="F2752">
        <v>2546.8000000000002</v>
      </c>
      <c r="G2752" t="s">
        <v>3424</v>
      </c>
      <c r="H2752" s="1" t="str">
        <f t="shared" si="253"/>
        <v>Shipped</v>
      </c>
      <c r="I2752" s="4" t="str">
        <f t="shared" si="254"/>
        <v>completed</v>
      </c>
      <c r="J2752" t="s">
        <v>25</v>
      </c>
      <c r="K2752">
        <v>4</v>
      </c>
      <c r="L2752">
        <v>11</v>
      </c>
      <c r="M2752">
        <v>2003</v>
      </c>
      <c r="N2752" t="s">
        <v>566</v>
      </c>
      <c r="O2752">
        <v>74</v>
      </c>
      <c r="P2752" t="s">
        <v>672</v>
      </c>
      <c r="Q2752" t="s">
        <v>425</v>
      </c>
      <c r="R2752" t="s">
        <v>426</v>
      </c>
      <c r="S2752" t="s">
        <v>427</v>
      </c>
      <c r="U2752" s="1" t="str">
        <f t="shared" si="255"/>
        <v>Makati City</v>
      </c>
      <c r="V2752" t="s">
        <v>428</v>
      </c>
      <c r="X2752" t="s">
        <v>429</v>
      </c>
      <c r="Y2752" s="1" t="str">
        <f t="shared" si="256"/>
        <v>PHILIPPINES</v>
      </c>
      <c r="Z2752" s="4" t="str">
        <f t="shared" si="257"/>
        <v>Philippines</v>
      </c>
      <c r="AA2752" t="s">
        <v>430</v>
      </c>
      <c r="AB2752" t="s">
        <v>200</v>
      </c>
      <c r="AC2752" t="s">
        <v>431</v>
      </c>
      <c r="AD2752" t="s">
        <v>432</v>
      </c>
      <c r="AE2752" t="s">
        <v>36</v>
      </c>
    </row>
    <row r="2753" spans="1:31" x14ac:dyDescent="0.3">
      <c r="A2753">
        <v>10210</v>
      </c>
      <c r="B2753">
        <v>42</v>
      </c>
      <c r="C2753">
        <v>70.33</v>
      </c>
      <c r="D2753">
        <v>15</v>
      </c>
      <c r="E2753" s="4" t="str">
        <f t="shared" si="252"/>
        <v>low sales</v>
      </c>
      <c r="F2753">
        <v>2953.86</v>
      </c>
      <c r="G2753" t="s">
        <v>3425</v>
      </c>
      <c r="H2753" s="1" t="str">
        <f t="shared" si="253"/>
        <v>Shipped</v>
      </c>
      <c r="I2753" s="4" t="str">
        <f t="shared" si="254"/>
        <v>completed</v>
      </c>
      <c r="J2753" t="s">
        <v>25</v>
      </c>
      <c r="K2753">
        <v>1</v>
      </c>
      <c r="L2753">
        <v>1</v>
      </c>
      <c r="M2753">
        <v>2004</v>
      </c>
      <c r="N2753" t="s">
        <v>566</v>
      </c>
      <c r="O2753">
        <v>74</v>
      </c>
      <c r="P2753" t="s">
        <v>672</v>
      </c>
      <c r="Q2753" t="s">
        <v>302</v>
      </c>
      <c r="R2753" t="s">
        <v>303</v>
      </c>
      <c r="S2753" t="s">
        <v>304</v>
      </c>
      <c r="U2753" s="1" t="str">
        <f t="shared" si="255"/>
        <v>Osaka</v>
      </c>
      <c r="V2753" t="s">
        <v>305</v>
      </c>
      <c r="W2753" t="s">
        <v>305</v>
      </c>
      <c r="X2753" t="s">
        <v>306</v>
      </c>
      <c r="Y2753" s="1" t="str">
        <f t="shared" si="256"/>
        <v>JAPAN</v>
      </c>
      <c r="Z2753" s="4" t="str">
        <f t="shared" si="257"/>
        <v>Japan</v>
      </c>
      <c r="AA2753" t="s">
        <v>200</v>
      </c>
      <c r="AB2753" t="s">
        <v>200</v>
      </c>
      <c r="AC2753" t="s">
        <v>307</v>
      </c>
      <c r="AD2753" t="s">
        <v>308</v>
      </c>
      <c r="AE2753" t="s">
        <v>36</v>
      </c>
    </row>
    <row r="2754" spans="1:31" x14ac:dyDescent="0.3">
      <c r="A2754">
        <v>10222</v>
      </c>
      <c r="B2754">
        <v>43</v>
      </c>
      <c r="C2754">
        <v>74.03</v>
      </c>
      <c r="D2754">
        <v>2</v>
      </c>
      <c r="E2754" s="4" t="str">
        <f t="shared" si="252"/>
        <v>low sales</v>
      </c>
      <c r="F2754">
        <v>3183.29</v>
      </c>
      <c r="G2754" t="s">
        <v>3426</v>
      </c>
      <c r="H2754" s="1" t="str">
        <f t="shared" si="253"/>
        <v>Shipped</v>
      </c>
      <c r="I2754" s="4" t="str">
        <f t="shared" si="254"/>
        <v>completed</v>
      </c>
      <c r="J2754" t="s">
        <v>25</v>
      </c>
      <c r="K2754">
        <v>1</v>
      </c>
      <c r="L2754">
        <v>2</v>
      </c>
      <c r="M2754">
        <v>2004</v>
      </c>
      <c r="N2754" t="s">
        <v>566</v>
      </c>
      <c r="O2754">
        <v>74</v>
      </c>
      <c r="P2754" t="s">
        <v>672</v>
      </c>
      <c r="Q2754" t="s">
        <v>362</v>
      </c>
      <c r="R2754">
        <v>7605558146</v>
      </c>
      <c r="S2754" t="s">
        <v>363</v>
      </c>
      <c r="U2754" s="1" t="str">
        <f t="shared" si="255"/>
        <v>San Diego</v>
      </c>
      <c r="V2754" t="s">
        <v>364</v>
      </c>
      <c r="W2754" t="s">
        <v>55</v>
      </c>
      <c r="X2754">
        <v>91217</v>
      </c>
      <c r="Y2754" s="1" t="str">
        <f t="shared" si="256"/>
        <v>USA</v>
      </c>
      <c r="Z2754" s="4" t="str">
        <f t="shared" si="257"/>
        <v>Usa</v>
      </c>
      <c r="AA2754" t="s">
        <v>32</v>
      </c>
      <c r="AB2754" t="s">
        <v>33</v>
      </c>
      <c r="AC2754" t="s">
        <v>237</v>
      </c>
      <c r="AD2754" t="s">
        <v>276</v>
      </c>
      <c r="AE2754" t="s">
        <v>51</v>
      </c>
    </row>
    <row r="2755" spans="1:31" x14ac:dyDescent="0.3">
      <c r="A2755">
        <v>10235</v>
      </c>
      <c r="B2755">
        <v>34</v>
      </c>
      <c r="C2755">
        <v>72.55</v>
      </c>
      <c r="D2755">
        <v>11</v>
      </c>
      <c r="E2755" s="4" t="str">
        <f t="shared" ref="E2755:E2818" si="258">IF(F2755&gt;4000,"high sales","low sales")</f>
        <v>low sales</v>
      </c>
      <c r="F2755">
        <v>2466.6999999999998</v>
      </c>
      <c r="G2755" t="s">
        <v>3427</v>
      </c>
      <c r="H2755" s="1" t="str">
        <f t="shared" ref="H2755:H2818" si="259">PROPER(TRIM(J2755))</f>
        <v>Shipped</v>
      </c>
      <c r="I2755" s="4" t="str">
        <f t="shared" ref="I2755:I2818" si="260">IF(J2755="shipped","completed","not completed")</f>
        <v>completed</v>
      </c>
      <c r="J2755" t="s">
        <v>25</v>
      </c>
      <c r="K2755">
        <v>2</v>
      </c>
      <c r="L2755">
        <v>4</v>
      </c>
      <c r="M2755">
        <v>2004</v>
      </c>
      <c r="N2755" t="s">
        <v>566</v>
      </c>
      <c r="O2755">
        <v>74</v>
      </c>
      <c r="P2755" t="s">
        <v>672</v>
      </c>
      <c r="Q2755" t="s">
        <v>373</v>
      </c>
      <c r="R2755" t="s">
        <v>374</v>
      </c>
      <c r="S2755" t="s">
        <v>375</v>
      </c>
      <c r="U2755" s="1" t="str">
        <f t="shared" ref="U2755:U2818" si="261">PROPER(TRIM(V2755))</f>
        <v>Tsawassen</v>
      </c>
      <c r="V2755" t="s">
        <v>376</v>
      </c>
      <c r="W2755" t="s">
        <v>229</v>
      </c>
      <c r="X2755" t="s">
        <v>377</v>
      </c>
      <c r="Y2755" s="1" t="str">
        <f t="shared" ref="Y2755:Y2818" si="262">UPPER(TRIM(AA2755))</f>
        <v>CANADA</v>
      </c>
      <c r="Z2755" s="4" t="str">
        <f t="shared" ref="Z2755:Z2818" si="263">PROPER(TRIM(AA2755))</f>
        <v>Canada</v>
      </c>
      <c r="AA2755" t="s">
        <v>231</v>
      </c>
      <c r="AB2755" t="s">
        <v>33</v>
      </c>
      <c r="AC2755" t="s">
        <v>378</v>
      </c>
      <c r="AD2755" t="s">
        <v>172</v>
      </c>
      <c r="AE2755" t="s">
        <v>36</v>
      </c>
    </row>
    <row r="2756" spans="1:31" x14ac:dyDescent="0.3">
      <c r="A2756">
        <v>10250</v>
      </c>
      <c r="B2756">
        <v>38</v>
      </c>
      <c r="C2756">
        <v>62.19</v>
      </c>
      <c r="D2756">
        <v>12</v>
      </c>
      <c r="E2756" s="4" t="str">
        <f t="shared" si="258"/>
        <v>low sales</v>
      </c>
      <c r="F2756">
        <v>2363.2199999999998</v>
      </c>
      <c r="G2756" t="s">
        <v>3428</v>
      </c>
      <c r="H2756" s="1" t="str">
        <f t="shared" si="259"/>
        <v>Shipped</v>
      </c>
      <c r="I2756" s="4" t="str">
        <f t="shared" si="260"/>
        <v>completed</v>
      </c>
      <c r="J2756" t="s">
        <v>25</v>
      </c>
      <c r="K2756">
        <v>2</v>
      </c>
      <c r="L2756">
        <v>5</v>
      </c>
      <c r="M2756">
        <v>2004</v>
      </c>
      <c r="N2756" t="s">
        <v>566</v>
      </c>
      <c r="O2756">
        <v>74</v>
      </c>
      <c r="P2756" t="s">
        <v>672</v>
      </c>
      <c r="Q2756" t="s">
        <v>397</v>
      </c>
      <c r="R2756">
        <v>4085553659</v>
      </c>
      <c r="S2756" t="s">
        <v>398</v>
      </c>
      <c r="U2756" s="1" t="str">
        <f t="shared" si="261"/>
        <v>San Jose</v>
      </c>
      <c r="V2756" t="s">
        <v>399</v>
      </c>
      <c r="W2756" t="s">
        <v>55</v>
      </c>
      <c r="X2756">
        <v>94217</v>
      </c>
      <c r="Y2756" s="1" t="str">
        <f t="shared" si="262"/>
        <v>USA</v>
      </c>
      <c r="Z2756" s="4" t="str">
        <f t="shared" si="263"/>
        <v>Usa</v>
      </c>
      <c r="AA2756" t="s">
        <v>32</v>
      </c>
      <c r="AB2756" t="s">
        <v>33</v>
      </c>
      <c r="AC2756" t="s">
        <v>102</v>
      </c>
      <c r="AD2756" t="s">
        <v>400</v>
      </c>
      <c r="AE2756" t="s">
        <v>36</v>
      </c>
    </row>
    <row r="2757" spans="1:31" x14ac:dyDescent="0.3">
      <c r="A2757">
        <v>10262</v>
      </c>
      <c r="B2757">
        <v>35</v>
      </c>
      <c r="C2757">
        <v>71.069999999999993</v>
      </c>
      <c r="D2757">
        <v>7</v>
      </c>
      <c r="E2757" s="4" t="str">
        <f t="shared" si="258"/>
        <v>low sales</v>
      </c>
      <c r="F2757">
        <v>2487.4499999999998</v>
      </c>
      <c r="G2757" t="s">
        <v>3429</v>
      </c>
      <c r="H2757" s="1" t="str">
        <f t="shared" si="259"/>
        <v>Cancelled</v>
      </c>
      <c r="I2757" s="4" t="str">
        <f t="shared" si="260"/>
        <v>not completed</v>
      </c>
      <c r="J2757" t="s">
        <v>339</v>
      </c>
      <c r="K2757">
        <v>2</v>
      </c>
      <c r="L2757">
        <v>6</v>
      </c>
      <c r="M2757">
        <v>2004</v>
      </c>
      <c r="N2757" t="s">
        <v>566</v>
      </c>
      <c r="O2757">
        <v>74</v>
      </c>
      <c r="P2757" t="s">
        <v>672</v>
      </c>
      <c r="Q2757" t="s">
        <v>174</v>
      </c>
      <c r="R2757" t="s">
        <v>175</v>
      </c>
      <c r="S2757" t="s">
        <v>176</v>
      </c>
      <c r="U2757" s="1" t="str">
        <f t="shared" si="261"/>
        <v>Madrid</v>
      </c>
      <c r="V2757" t="s">
        <v>177</v>
      </c>
      <c r="X2757">
        <v>28034</v>
      </c>
      <c r="Y2757" s="1" t="str">
        <f t="shared" si="262"/>
        <v>SPAIN</v>
      </c>
      <c r="Z2757" s="4" t="str">
        <f t="shared" si="263"/>
        <v>Spain</v>
      </c>
      <c r="AA2757" t="s">
        <v>178</v>
      </c>
      <c r="AB2757" t="s">
        <v>42</v>
      </c>
      <c r="AC2757" t="s">
        <v>179</v>
      </c>
      <c r="AD2757" t="s">
        <v>180</v>
      </c>
      <c r="AE2757" t="s">
        <v>36</v>
      </c>
    </row>
    <row r="2758" spans="1:31" x14ac:dyDescent="0.3">
      <c r="A2758">
        <v>10275</v>
      </c>
      <c r="B2758">
        <v>31</v>
      </c>
      <c r="C2758">
        <v>72.55</v>
      </c>
      <c r="D2758">
        <v>17</v>
      </c>
      <c r="E2758" s="4" t="str">
        <f t="shared" si="258"/>
        <v>low sales</v>
      </c>
      <c r="F2758">
        <v>2249.0500000000002</v>
      </c>
      <c r="G2758" t="s">
        <v>3430</v>
      </c>
      <c r="H2758" s="1" t="str">
        <f t="shared" si="259"/>
        <v>Shipped</v>
      </c>
      <c r="I2758" s="4" t="str">
        <f t="shared" si="260"/>
        <v>completed</v>
      </c>
      <c r="J2758" t="s">
        <v>25</v>
      </c>
      <c r="K2758">
        <v>3</v>
      </c>
      <c r="L2758">
        <v>7</v>
      </c>
      <c r="M2758">
        <v>2004</v>
      </c>
      <c r="N2758" t="s">
        <v>566</v>
      </c>
      <c r="O2758">
        <v>74</v>
      </c>
      <c r="P2758" t="s">
        <v>672</v>
      </c>
      <c r="Q2758" t="s">
        <v>114</v>
      </c>
      <c r="R2758" t="s">
        <v>115</v>
      </c>
      <c r="S2758" t="s">
        <v>116</v>
      </c>
      <c r="U2758" s="1" t="str">
        <f t="shared" si="261"/>
        <v>Nantes</v>
      </c>
      <c r="V2758" t="s">
        <v>117</v>
      </c>
      <c r="X2758">
        <v>44000</v>
      </c>
      <c r="Y2758" s="1" t="str">
        <f t="shared" si="262"/>
        <v>FRANCE</v>
      </c>
      <c r="Z2758" s="4" t="str">
        <f t="shared" si="263"/>
        <v>France</v>
      </c>
      <c r="AA2758" t="s">
        <v>41</v>
      </c>
      <c r="AB2758" t="s">
        <v>42</v>
      </c>
      <c r="AC2758" t="s">
        <v>118</v>
      </c>
      <c r="AD2758" t="s">
        <v>119</v>
      </c>
      <c r="AE2758" t="s">
        <v>36</v>
      </c>
    </row>
    <row r="2759" spans="1:31" x14ac:dyDescent="0.3">
      <c r="A2759">
        <v>10284</v>
      </c>
      <c r="B2759">
        <v>32</v>
      </c>
      <c r="C2759">
        <v>64.41</v>
      </c>
      <c r="D2759">
        <v>9</v>
      </c>
      <c r="E2759" s="4" t="str">
        <f t="shared" si="258"/>
        <v>low sales</v>
      </c>
      <c r="F2759">
        <v>2061.12</v>
      </c>
      <c r="G2759" t="s">
        <v>3431</v>
      </c>
      <c r="H2759" s="1" t="str">
        <f t="shared" si="259"/>
        <v>Shipped</v>
      </c>
      <c r="I2759" s="4" t="str">
        <f t="shared" si="260"/>
        <v>completed</v>
      </c>
      <c r="J2759" t="s">
        <v>25</v>
      </c>
      <c r="K2759">
        <v>3</v>
      </c>
      <c r="L2759">
        <v>8</v>
      </c>
      <c r="M2759">
        <v>2004</v>
      </c>
      <c r="N2759" t="s">
        <v>566</v>
      </c>
      <c r="O2759">
        <v>74</v>
      </c>
      <c r="P2759" t="s">
        <v>672</v>
      </c>
      <c r="Q2759" t="s">
        <v>543</v>
      </c>
      <c r="R2759" t="s">
        <v>544</v>
      </c>
      <c r="S2759" t="s">
        <v>545</v>
      </c>
      <c r="U2759" s="1" t="str">
        <f t="shared" si="261"/>
        <v>Oslo</v>
      </c>
      <c r="V2759" t="s">
        <v>546</v>
      </c>
      <c r="X2759" t="s">
        <v>547</v>
      </c>
      <c r="Y2759" s="1" t="str">
        <f t="shared" si="262"/>
        <v>NORWAY</v>
      </c>
      <c r="Z2759" s="4" t="str">
        <f t="shared" si="263"/>
        <v>Norway</v>
      </c>
      <c r="AA2759" t="s">
        <v>78</v>
      </c>
      <c r="AB2759" t="s">
        <v>42</v>
      </c>
      <c r="AC2759" t="s">
        <v>548</v>
      </c>
      <c r="AD2759" t="s">
        <v>549</v>
      </c>
      <c r="AE2759" t="s">
        <v>36</v>
      </c>
    </row>
    <row r="2760" spans="1:31" x14ac:dyDescent="0.3">
      <c r="A2760">
        <v>10296</v>
      </c>
      <c r="B2760">
        <v>47</v>
      </c>
      <c r="C2760">
        <v>86.62</v>
      </c>
      <c r="D2760">
        <v>5</v>
      </c>
      <c r="E2760" s="4" t="str">
        <f t="shared" si="258"/>
        <v>high sales</v>
      </c>
      <c r="F2760">
        <v>4071.14</v>
      </c>
      <c r="G2760" t="s">
        <v>3432</v>
      </c>
      <c r="H2760" s="1" t="str">
        <f t="shared" si="259"/>
        <v>Shipped</v>
      </c>
      <c r="I2760" s="4" t="str">
        <f t="shared" si="260"/>
        <v>completed</v>
      </c>
      <c r="J2760" t="s">
        <v>25</v>
      </c>
      <c r="K2760">
        <v>3</v>
      </c>
      <c r="L2760">
        <v>9</v>
      </c>
      <c r="M2760">
        <v>2004</v>
      </c>
      <c r="N2760" t="s">
        <v>566</v>
      </c>
      <c r="O2760">
        <v>74</v>
      </c>
      <c r="P2760" t="s">
        <v>672</v>
      </c>
      <c r="Q2760" t="s">
        <v>572</v>
      </c>
      <c r="R2760" t="s">
        <v>573</v>
      </c>
      <c r="S2760" t="s">
        <v>574</v>
      </c>
      <c r="U2760" s="1" t="str">
        <f t="shared" si="261"/>
        <v>Munich</v>
      </c>
      <c r="V2760" t="s">
        <v>575</v>
      </c>
      <c r="X2760">
        <v>80686</v>
      </c>
      <c r="Y2760" s="1" t="str">
        <f t="shared" si="262"/>
        <v>GERMANY</v>
      </c>
      <c r="Z2760" s="4" t="str">
        <f t="shared" si="263"/>
        <v>Germany</v>
      </c>
      <c r="AA2760" t="s">
        <v>443</v>
      </c>
      <c r="AB2760" t="s">
        <v>42</v>
      </c>
      <c r="AC2760" t="s">
        <v>576</v>
      </c>
      <c r="AD2760" t="s">
        <v>103</v>
      </c>
      <c r="AE2760" t="s">
        <v>51</v>
      </c>
    </row>
    <row r="2761" spans="1:31" x14ac:dyDescent="0.3">
      <c r="A2761">
        <v>10308</v>
      </c>
      <c r="B2761">
        <v>39</v>
      </c>
      <c r="C2761">
        <v>68.11</v>
      </c>
      <c r="D2761">
        <v>15</v>
      </c>
      <c r="E2761" s="4" t="str">
        <f t="shared" si="258"/>
        <v>low sales</v>
      </c>
      <c r="F2761">
        <v>2656.29</v>
      </c>
      <c r="G2761" t="s">
        <v>3433</v>
      </c>
      <c r="H2761" s="1" t="str">
        <f t="shared" si="259"/>
        <v>Shipped</v>
      </c>
      <c r="I2761" s="4" t="str">
        <f t="shared" si="260"/>
        <v>completed</v>
      </c>
      <c r="J2761" t="s">
        <v>25</v>
      </c>
      <c r="K2761">
        <v>4</v>
      </c>
      <c r="L2761">
        <v>10</v>
      </c>
      <c r="M2761">
        <v>2004</v>
      </c>
      <c r="N2761" t="s">
        <v>566</v>
      </c>
      <c r="O2761">
        <v>74</v>
      </c>
      <c r="P2761" t="s">
        <v>672</v>
      </c>
      <c r="Q2761" t="s">
        <v>317</v>
      </c>
      <c r="R2761">
        <v>9145554562</v>
      </c>
      <c r="S2761" t="s">
        <v>318</v>
      </c>
      <c r="U2761" s="1" t="str">
        <f t="shared" si="261"/>
        <v>White Plains</v>
      </c>
      <c r="V2761" t="s">
        <v>319</v>
      </c>
      <c r="W2761" t="s">
        <v>31</v>
      </c>
      <c r="X2761">
        <v>24067</v>
      </c>
      <c r="Y2761" s="1" t="str">
        <f t="shared" si="262"/>
        <v>USA</v>
      </c>
      <c r="Z2761" s="4" t="str">
        <f t="shared" si="263"/>
        <v>Usa</v>
      </c>
      <c r="AA2761" t="s">
        <v>32</v>
      </c>
      <c r="AB2761" t="s">
        <v>33</v>
      </c>
      <c r="AC2761" t="s">
        <v>102</v>
      </c>
      <c r="AD2761" t="s">
        <v>238</v>
      </c>
      <c r="AE2761" t="s">
        <v>36</v>
      </c>
    </row>
    <row r="2762" spans="1:31" x14ac:dyDescent="0.3">
      <c r="A2762">
        <v>10316</v>
      </c>
      <c r="B2762">
        <v>44</v>
      </c>
      <c r="C2762">
        <v>62.19</v>
      </c>
      <c r="D2762">
        <v>7</v>
      </c>
      <c r="E2762" s="4" t="str">
        <f t="shared" si="258"/>
        <v>low sales</v>
      </c>
      <c r="F2762">
        <v>2736.36</v>
      </c>
      <c r="G2762" t="s">
        <v>3434</v>
      </c>
      <c r="H2762" s="1" t="str">
        <f t="shared" si="259"/>
        <v>Shipped</v>
      </c>
      <c r="I2762" s="4" t="str">
        <f t="shared" si="260"/>
        <v>completed</v>
      </c>
      <c r="J2762" t="s">
        <v>25</v>
      </c>
      <c r="K2762">
        <v>4</v>
      </c>
      <c r="L2762">
        <v>11</v>
      </c>
      <c r="M2762">
        <v>2004</v>
      </c>
      <c r="N2762" t="s">
        <v>566</v>
      </c>
      <c r="O2762">
        <v>74</v>
      </c>
      <c r="P2762" t="s">
        <v>672</v>
      </c>
      <c r="Q2762" t="s">
        <v>383</v>
      </c>
      <c r="R2762" t="s">
        <v>384</v>
      </c>
      <c r="S2762" t="s">
        <v>385</v>
      </c>
      <c r="U2762" s="1" t="str">
        <f t="shared" si="261"/>
        <v>Cowes</v>
      </c>
      <c r="V2762" t="s">
        <v>386</v>
      </c>
      <c r="W2762" t="s">
        <v>387</v>
      </c>
      <c r="X2762" t="s">
        <v>388</v>
      </c>
      <c r="Y2762" s="1" t="str">
        <f t="shared" si="262"/>
        <v>UK</v>
      </c>
      <c r="Z2762" s="4" t="str">
        <f t="shared" si="263"/>
        <v>Uk</v>
      </c>
      <c r="AA2762" t="s">
        <v>170</v>
      </c>
      <c r="AB2762" t="s">
        <v>42</v>
      </c>
      <c r="AC2762" t="s">
        <v>389</v>
      </c>
      <c r="AD2762" t="s">
        <v>390</v>
      </c>
      <c r="AE2762" t="s">
        <v>36</v>
      </c>
    </row>
    <row r="2763" spans="1:31" x14ac:dyDescent="0.3">
      <c r="A2763">
        <v>10328</v>
      </c>
      <c r="B2763">
        <v>39</v>
      </c>
      <c r="C2763">
        <v>85.87</v>
      </c>
      <c r="D2763">
        <v>12</v>
      </c>
      <c r="E2763" s="4" t="str">
        <f t="shared" si="258"/>
        <v>low sales</v>
      </c>
      <c r="F2763">
        <v>3348.93</v>
      </c>
      <c r="G2763" t="s">
        <v>3435</v>
      </c>
      <c r="H2763" s="1" t="str">
        <f t="shared" si="259"/>
        <v>Shipped</v>
      </c>
      <c r="I2763" s="4" t="str">
        <f t="shared" si="260"/>
        <v>completed</v>
      </c>
      <c r="J2763" t="s">
        <v>25</v>
      </c>
      <c r="K2763">
        <v>4</v>
      </c>
      <c r="L2763">
        <v>11</v>
      </c>
      <c r="M2763">
        <v>2004</v>
      </c>
      <c r="N2763" t="s">
        <v>566</v>
      </c>
      <c r="O2763">
        <v>74</v>
      </c>
      <c r="P2763" t="s">
        <v>672</v>
      </c>
      <c r="Q2763" t="s">
        <v>552</v>
      </c>
      <c r="R2763" t="s">
        <v>553</v>
      </c>
      <c r="S2763" t="s">
        <v>554</v>
      </c>
      <c r="U2763" s="1" t="str">
        <f t="shared" si="261"/>
        <v>Bergamo</v>
      </c>
      <c r="V2763" t="s">
        <v>555</v>
      </c>
      <c r="X2763">
        <v>24100</v>
      </c>
      <c r="Y2763" s="1" t="str">
        <f t="shared" si="262"/>
        <v>ITALY</v>
      </c>
      <c r="Z2763" s="4" t="str">
        <f t="shared" si="263"/>
        <v>Italy</v>
      </c>
      <c r="AA2763" t="s">
        <v>258</v>
      </c>
      <c r="AB2763" t="s">
        <v>42</v>
      </c>
      <c r="AC2763" t="s">
        <v>556</v>
      </c>
      <c r="AD2763" t="s">
        <v>557</v>
      </c>
      <c r="AE2763" t="s">
        <v>51</v>
      </c>
    </row>
    <row r="2764" spans="1:31" x14ac:dyDescent="0.3">
      <c r="A2764">
        <v>10339</v>
      </c>
      <c r="B2764">
        <v>50</v>
      </c>
      <c r="C2764">
        <v>57.86</v>
      </c>
      <c r="D2764">
        <v>8</v>
      </c>
      <c r="E2764" s="4" t="str">
        <f t="shared" si="258"/>
        <v>low sales</v>
      </c>
      <c r="F2764">
        <v>2893</v>
      </c>
      <c r="G2764" t="s">
        <v>3436</v>
      </c>
      <c r="H2764" s="1" t="str">
        <f t="shared" si="259"/>
        <v>Shipped</v>
      </c>
      <c r="I2764" s="4" t="str">
        <f t="shared" si="260"/>
        <v>completed</v>
      </c>
      <c r="J2764" t="s">
        <v>25</v>
      </c>
      <c r="K2764">
        <v>4</v>
      </c>
      <c r="L2764">
        <v>11</v>
      </c>
      <c r="M2764">
        <v>2004</v>
      </c>
      <c r="N2764" t="s">
        <v>566</v>
      </c>
      <c r="O2764">
        <v>74</v>
      </c>
      <c r="P2764" t="s">
        <v>672</v>
      </c>
      <c r="Q2764" t="s">
        <v>246</v>
      </c>
      <c r="R2764" t="s">
        <v>247</v>
      </c>
      <c r="S2764" t="s">
        <v>248</v>
      </c>
      <c r="U2764" s="1" t="str">
        <f t="shared" si="261"/>
        <v>Minato-Ku</v>
      </c>
      <c r="V2764" t="s">
        <v>249</v>
      </c>
      <c r="W2764" t="s">
        <v>250</v>
      </c>
      <c r="X2764" t="s">
        <v>251</v>
      </c>
      <c r="Y2764" s="1" t="str">
        <f t="shared" si="262"/>
        <v>JAPAN</v>
      </c>
      <c r="Z2764" s="4" t="str">
        <f t="shared" si="263"/>
        <v>Japan</v>
      </c>
      <c r="AA2764" t="s">
        <v>200</v>
      </c>
      <c r="AB2764" t="s">
        <v>200</v>
      </c>
      <c r="AC2764" t="s">
        <v>252</v>
      </c>
      <c r="AD2764" t="s">
        <v>253</v>
      </c>
      <c r="AE2764" t="s">
        <v>36</v>
      </c>
    </row>
    <row r="2765" spans="1:31" x14ac:dyDescent="0.3">
      <c r="A2765">
        <v>10352</v>
      </c>
      <c r="B2765">
        <v>22</v>
      </c>
      <c r="C2765">
        <v>75.510000000000005</v>
      </c>
      <c r="D2765">
        <v>1</v>
      </c>
      <c r="E2765" s="4" t="str">
        <f t="shared" si="258"/>
        <v>low sales</v>
      </c>
      <c r="F2765">
        <v>1661.22</v>
      </c>
      <c r="G2765" t="s">
        <v>3437</v>
      </c>
      <c r="H2765" s="1" t="str">
        <f t="shared" si="259"/>
        <v>Shipped</v>
      </c>
      <c r="I2765" s="4" t="str">
        <f t="shared" si="260"/>
        <v>completed</v>
      </c>
      <c r="J2765" t="s">
        <v>25</v>
      </c>
      <c r="K2765">
        <v>4</v>
      </c>
      <c r="L2765">
        <v>12</v>
      </c>
      <c r="M2765">
        <v>2004</v>
      </c>
      <c r="N2765" t="s">
        <v>566</v>
      </c>
      <c r="O2765">
        <v>74</v>
      </c>
      <c r="P2765" t="s">
        <v>672</v>
      </c>
      <c r="Q2765" t="s">
        <v>600</v>
      </c>
      <c r="R2765">
        <v>6175558428</v>
      </c>
      <c r="S2765" t="s">
        <v>601</v>
      </c>
      <c r="U2765" s="1" t="str">
        <f t="shared" si="261"/>
        <v>Brickhaven</v>
      </c>
      <c r="V2765" t="s">
        <v>283</v>
      </c>
      <c r="W2765" t="s">
        <v>123</v>
      </c>
      <c r="X2765">
        <v>58339</v>
      </c>
      <c r="Y2765" s="1" t="str">
        <f t="shared" si="262"/>
        <v>USA</v>
      </c>
      <c r="Z2765" s="4" t="str">
        <f t="shared" si="263"/>
        <v>Usa</v>
      </c>
      <c r="AA2765" t="s">
        <v>32</v>
      </c>
      <c r="AB2765" t="s">
        <v>33</v>
      </c>
      <c r="AC2765" t="s">
        <v>529</v>
      </c>
      <c r="AD2765" t="s">
        <v>245</v>
      </c>
      <c r="AE2765" t="s">
        <v>36</v>
      </c>
    </row>
    <row r="2766" spans="1:31" x14ac:dyDescent="0.3">
      <c r="A2766">
        <v>10361</v>
      </c>
      <c r="B2766">
        <v>35</v>
      </c>
      <c r="C2766">
        <v>100</v>
      </c>
      <c r="D2766">
        <v>11</v>
      </c>
      <c r="E2766" s="4" t="str">
        <f t="shared" si="258"/>
        <v>high sales</v>
      </c>
      <c r="F2766">
        <v>4277.3500000000004</v>
      </c>
      <c r="G2766" t="s">
        <v>3438</v>
      </c>
      <c r="H2766" s="1" t="str">
        <f t="shared" si="259"/>
        <v>Shipped</v>
      </c>
      <c r="I2766" s="4" t="str">
        <f t="shared" si="260"/>
        <v>completed</v>
      </c>
      <c r="J2766" t="s">
        <v>25</v>
      </c>
      <c r="K2766">
        <v>4</v>
      </c>
      <c r="L2766">
        <v>12</v>
      </c>
      <c r="M2766">
        <v>2004</v>
      </c>
      <c r="N2766" t="s">
        <v>566</v>
      </c>
      <c r="O2766">
        <v>74</v>
      </c>
      <c r="P2766" t="s">
        <v>672</v>
      </c>
      <c r="Q2766" t="s">
        <v>152</v>
      </c>
      <c r="R2766" t="s">
        <v>153</v>
      </c>
      <c r="S2766" t="s">
        <v>154</v>
      </c>
      <c r="T2766" t="s">
        <v>155</v>
      </c>
      <c r="U2766" s="1" t="str">
        <f t="shared" si="261"/>
        <v>Chatswood</v>
      </c>
      <c r="V2766" t="s">
        <v>156</v>
      </c>
      <c r="W2766" t="s">
        <v>157</v>
      </c>
      <c r="X2766">
        <v>2067</v>
      </c>
      <c r="Y2766" s="1" t="str">
        <f t="shared" si="262"/>
        <v>AUSTRALIA</v>
      </c>
      <c r="Z2766" s="4" t="str">
        <f t="shared" si="263"/>
        <v>Australia</v>
      </c>
      <c r="AA2766" t="s">
        <v>95</v>
      </c>
      <c r="AB2766" t="s">
        <v>96</v>
      </c>
      <c r="AC2766" t="s">
        <v>158</v>
      </c>
      <c r="AD2766" t="s">
        <v>159</v>
      </c>
      <c r="AE2766" t="s">
        <v>51</v>
      </c>
    </row>
    <row r="2767" spans="1:31" x14ac:dyDescent="0.3">
      <c r="A2767">
        <v>10373</v>
      </c>
      <c r="B2767">
        <v>45</v>
      </c>
      <c r="C2767">
        <v>55.62</v>
      </c>
      <c r="D2767">
        <v>17</v>
      </c>
      <c r="E2767" s="4" t="str">
        <f t="shared" si="258"/>
        <v>low sales</v>
      </c>
      <c r="F2767">
        <v>2502.9</v>
      </c>
      <c r="G2767" t="s">
        <v>3439</v>
      </c>
      <c r="H2767" s="1" t="str">
        <f t="shared" si="259"/>
        <v>Shipped</v>
      </c>
      <c r="I2767" s="4" t="str">
        <f t="shared" si="260"/>
        <v>completed</v>
      </c>
      <c r="J2767" t="s">
        <v>25</v>
      </c>
      <c r="K2767">
        <v>1</v>
      </c>
      <c r="L2767">
        <v>1</v>
      </c>
      <c r="M2767">
        <v>2005</v>
      </c>
      <c r="N2767" t="s">
        <v>566</v>
      </c>
      <c r="O2767">
        <v>74</v>
      </c>
      <c r="P2767" t="s">
        <v>672</v>
      </c>
      <c r="Q2767" t="s">
        <v>391</v>
      </c>
      <c r="R2767" t="s">
        <v>392</v>
      </c>
      <c r="S2767" t="s">
        <v>393</v>
      </c>
      <c r="U2767" s="1" t="str">
        <f t="shared" si="261"/>
        <v>Oulu</v>
      </c>
      <c r="V2767" t="s">
        <v>394</v>
      </c>
      <c r="X2767">
        <v>90110</v>
      </c>
      <c r="Y2767" s="1" t="str">
        <f t="shared" si="262"/>
        <v>FINLAND</v>
      </c>
      <c r="Z2767" s="4" t="str">
        <f t="shared" si="263"/>
        <v>Finland</v>
      </c>
      <c r="AA2767" t="s">
        <v>130</v>
      </c>
      <c r="AB2767" t="s">
        <v>42</v>
      </c>
      <c r="AC2767" t="s">
        <v>395</v>
      </c>
      <c r="AD2767" t="s">
        <v>396</v>
      </c>
      <c r="AE2767" t="s">
        <v>36</v>
      </c>
    </row>
    <row r="2768" spans="1:31" x14ac:dyDescent="0.3">
      <c r="A2768">
        <v>10386</v>
      </c>
      <c r="B2768">
        <v>44</v>
      </c>
      <c r="C2768">
        <v>86.4</v>
      </c>
      <c r="D2768">
        <v>15</v>
      </c>
      <c r="E2768" s="4" t="str">
        <f t="shared" si="258"/>
        <v>low sales</v>
      </c>
      <c r="F2768">
        <v>3801.6</v>
      </c>
      <c r="G2768" t="s">
        <v>3440</v>
      </c>
      <c r="H2768" s="1" t="str">
        <f t="shared" si="259"/>
        <v>Resolved</v>
      </c>
      <c r="I2768" s="4" t="str">
        <f t="shared" si="260"/>
        <v>not completed</v>
      </c>
      <c r="J2768" t="s">
        <v>408</v>
      </c>
      <c r="K2768">
        <v>1</v>
      </c>
      <c r="L2768">
        <v>3</v>
      </c>
      <c r="M2768">
        <v>2005</v>
      </c>
      <c r="N2768" t="s">
        <v>566</v>
      </c>
      <c r="O2768">
        <v>74</v>
      </c>
      <c r="P2768" t="s">
        <v>672</v>
      </c>
      <c r="Q2768" t="s">
        <v>174</v>
      </c>
      <c r="R2768" t="s">
        <v>175</v>
      </c>
      <c r="S2768" t="s">
        <v>176</v>
      </c>
      <c r="U2768" s="1" t="str">
        <f t="shared" si="261"/>
        <v>Madrid</v>
      </c>
      <c r="V2768" t="s">
        <v>177</v>
      </c>
      <c r="X2768">
        <v>28034</v>
      </c>
      <c r="Y2768" s="1" t="str">
        <f t="shared" si="262"/>
        <v>SPAIN</v>
      </c>
      <c r="Z2768" s="4" t="str">
        <f t="shared" si="263"/>
        <v>Spain</v>
      </c>
      <c r="AA2768" t="s">
        <v>178</v>
      </c>
      <c r="AB2768" t="s">
        <v>42</v>
      </c>
      <c r="AC2768" t="s">
        <v>179</v>
      </c>
      <c r="AD2768" t="s">
        <v>180</v>
      </c>
      <c r="AE2768" t="s">
        <v>51</v>
      </c>
    </row>
    <row r="2769" spans="1:31" x14ac:dyDescent="0.3">
      <c r="A2769">
        <v>10398</v>
      </c>
      <c r="B2769">
        <v>36</v>
      </c>
      <c r="C2769">
        <v>87.36</v>
      </c>
      <c r="D2769">
        <v>12</v>
      </c>
      <c r="E2769" s="4" t="str">
        <f t="shared" si="258"/>
        <v>low sales</v>
      </c>
      <c r="F2769">
        <v>3144.96</v>
      </c>
      <c r="G2769" t="s">
        <v>3441</v>
      </c>
      <c r="H2769" s="1" t="str">
        <f t="shared" si="259"/>
        <v>Shipped</v>
      </c>
      <c r="I2769" s="4" t="str">
        <f t="shared" si="260"/>
        <v>completed</v>
      </c>
      <c r="J2769" t="s">
        <v>25</v>
      </c>
      <c r="K2769">
        <v>1</v>
      </c>
      <c r="L2769">
        <v>3</v>
      </c>
      <c r="M2769">
        <v>2005</v>
      </c>
      <c r="N2769" t="s">
        <v>566</v>
      </c>
      <c r="O2769">
        <v>74</v>
      </c>
      <c r="P2769" t="s">
        <v>672</v>
      </c>
      <c r="Q2769" t="s">
        <v>37</v>
      </c>
      <c r="R2769" t="s">
        <v>38</v>
      </c>
      <c r="S2769" t="s">
        <v>39</v>
      </c>
      <c r="U2769" s="1" t="str">
        <f t="shared" si="261"/>
        <v>Reims</v>
      </c>
      <c r="V2769" t="s">
        <v>40</v>
      </c>
      <c r="X2769">
        <v>51100</v>
      </c>
      <c r="Y2769" s="1" t="str">
        <f t="shared" si="262"/>
        <v>FRANCE</v>
      </c>
      <c r="Z2769" s="4" t="str">
        <f t="shared" si="263"/>
        <v>France</v>
      </c>
      <c r="AA2769" t="s">
        <v>41</v>
      </c>
      <c r="AB2769" t="s">
        <v>42</v>
      </c>
      <c r="AC2769" t="s">
        <v>43</v>
      </c>
      <c r="AD2769" t="s">
        <v>44</v>
      </c>
      <c r="AE2769" t="s">
        <v>51</v>
      </c>
    </row>
    <row r="2770" spans="1:31" x14ac:dyDescent="0.3">
      <c r="A2770">
        <v>10401</v>
      </c>
      <c r="B2770">
        <v>28</v>
      </c>
      <c r="C2770">
        <v>72.55</v>
      </c>
      <c r="D2770">
        <v>11</v>
      </c>
      <c r="E2770" s="4" t="str">
        <f t="shared" si="258"/>
        <v>low sales</v>
      </c>
      <c r="F2770">
        <v>2031.4</v>
      </c>
      <c r="G2770" t="s">
        <v>3442</v>
      </c>
      <c r="H2770" s="1" t="str">
        <f t="shared" si="259"/>
        <v>On Hold</v>
      </c>
      <c r="I2770" s="4" t="str">
        <f t="shared" si="260"/>
        <v>not completed</v>
      </c>
      <c r="J2770" t="s">
        <v>401</v>
      </c>
      <c r="K2770">
        <v>2</v>
      </c>
      <c r="L2770">
        <v>4</v>
      </c>
      <c r="M2770">
        <v>2005</v>
      </c>
      <c r="N2770" t="s">
        <v>566</v>
      </c>
      <c r="O2770">
        <v>74</v>
      </c>
      <c r="P2770" t="s">
        <v>672</v>
      </c>
      <c r="Q2770" t="s">
        <v>104</v>
      </c>
      <c r="R2770">
        <v>2015559350</v>
      </c>
      <c r="S2770" t="s">
        <v>105</v>
      </c>
      <c r="U2770" s="1" t="str">
        <f t="shared" si="261"/>
        <v>Newark</v>
      </c>
      <c r="V2770" t="s">
        <v>106</v>
      </c>
      <c r="W2770" t="s">
        <v>107</v>
      </c>
      <c r="X2770">
        <v>94019</v>
      </c>
      <c r="Y2770" s="1" t="str">
        <f t="shared" si="262"/>
        <v>USA</v>
      </c>
      <c r="Z2770" s="4" t="str">
        <f t="shared" si="263"/>
        <v>Usa</v>
      </c>
      <c r="AA2770" t="s">
        <v>32</v>
      </c>
      <c r="AB2770" t="s">
        <v>33</v>
      </c>
      <c r="AC2770" t="s">
        <v>61</v>
      </c>
      <c r="AD2770" t="s">
        <v>108</v>
      </c>
      <c r="AE2770" t="s">
        <v>36</v>
      </c>
    </row>
    <row r="2771" spans="1:31" x14ac:dyDescent="0.3">
      <c r="A2771">
        <v>10416</v>
      </c>
      <c r="B2771">
        <v>43</v>
      </c>
      <c r="C2771">
        <v>62.19</v>
      </c>
      <c r="D2771">
        <v>12</v>
      </c>
      <c r="E2771" s="4" t="str">
        <f t="shared" si="258"/>
        <v>low sales</v>
      </c>
      <c r="F2771">
        <v>2674.17</v>
      </c>
      <c r="G2771" t="s">
        <v>3443</v>
      </c>
      <c r="H2771" s="1" t="str">
        <f t="shared" si="259"/>
        <v>Shipped</v>
      </c>
      <c r="I2771" s="4" t="str">
        <f t="shared" si="260"/>
        <v>completed</v>
      </c>
      <c r="J2771" t="s">
        <v>25</v>
      </c>
      <c r="K2771">
        <v>2</v>
      </c>
      <c r="L2771">
        <v>5</v>
      </c>
      <c r="M2771">
        <v>2005</v>
      </c>
      <c r="N2771" t="s">
        <v>566</v>
      </c>
      <c r="O2771">
        <v>74</v>
      </c>
      <c r="P2771" t="s">
        <v>672</v>
      </c>
      <c r="Q2771" t="s">
        <v>452</v>
      </c>
      <c r="R2771" t="s">
        <v>453</v>
      </c>
      <c r="S2771" t="s">
        <v>454</v>
      </c>
      <c r="U2771" s="1" t="str">
        <f t="shared" si="261"/>
        <v>Reggio Emilia</v>
      </c>
      <c r="V2771" t="s">
        <v>455</v>
      </c>
      <c r="X2771">
        <v>42100</v>
      </c>
      <c r="Y2771" s="1" t="str">
        <f t="shared" si="262"/>
        <v>ITALY</v>
      </c>
      <c r="Z2771" s="4" t="str">
        <f t="shared" si="263"/>
        <v>Italy</v>
      </c>
      <c r="AA2771" t="s">
        <v>258</v>
      </c>
      <c r="AB2771" t="s">
        <v>42</v>
      </c>
      <c r="AC2771" t="s">
        <v>456</v>
      </c>
      <c r="AD2771" t="s">
        <v>457</v>
      </c>
      <c r="AE2771" t="s">
        <v>36</v>
      </c>
    </row>
    <row r="2772" spans="1:31" x14ac:dyDescent="0.3">
      <c r="A2772">
        <v>10106</v>
      </c>
      <c r="B2772">
        <v>48</v>
      </c>
      <c r="C2772">
        <v>52.64</v>
      </c>
      <c r="D2772">
        <v>15</v>
      </c>
      <c r="E2772" s="4" t="str">
        <f t="shared" si="258"/>
        <v>low sales</v>
      </c>
      <c r="F2772">
        <v>2526.7199999999998</v>
      </c>
      <c r="G2772" t="s">
        <v>3444</v>
      </c>
      <c r="H2772" s="1" t="str">
        <f t="shared" si="259"/>
        <v>Shipped</v>
      </c>
      <c r="I2772" s="4" t="str">
        <f t="shared" si="260"/>
        <v>completed</v>
      </c>
      <c r="J2772" t="s">
        <v>25</v>
      </c>
      <c r="K2772">
        <v>1</v>
      </c>
      <c r="L2772">
        <v>2</v>
      </c>
      <c r="M2772">
        <v>2003</v>
      </c>
      <c r="N2772" t="s">
        <v>566</v>
      </c>
      <c r="O2772">
        <v>49</v>
      </c>
      <c r="P2772" t="s">
        <v>673</v>
      </c>
      <c r="Q2772" t="s">
        <v>552</v>
      </c>
      <c r="R2772" t="s">
        <v>553</v>
      </c>
      <c r="S2772" t="s">
        <v>554</v>
      </c>
      <c r="U2772" s="1" t="str">
        <f t="shared" si="261"/>
        <v>Bergamo</v>
      </c>
      <c r="V2772" t="s">
        <v>555</v>
      </c>
      <c r="X2772">
        <v>24100</v>
      </c>
      <c r="Y2772" s="1" t="str">
        <f t="shared" si="262"/>
        <v>ITALY</v>
      </c>
      <c r="Z2772" s="4" t="str">
        <f t="shared" si="263"/>
        <v>Italy</v>
      </c>
      <c r="AA2772" t="s">
        <v>258</v>
      </c>
      <c r="AB2772" t="s">
        <v>42</v>
      </c>
      <c r="AC2772" t="s">
        <v>556</v>
      </c>
      <c r="AD2772" t="s">
        <v>557</v>
      </c>
      <c r="AE2772" t="s">
        <v>36</v>
      </c>
    </row>
    <row r="2773" spans="1:31" x14ac:dyDescent="0.3">
      <c r="A2773">
        <v>10119</v>
      </c>
      <c r="B2773">
        <v>28</v>
      </c>
      <c r="C2773">
        <v>48.17</v>
      </c>
      <c r="D2773">
        <v>6</v>
      </c>
      <c r="E2773" s="4" t="str">
        <f t="shared" si="258"/>
        <v>low sales</v>
      </c>
      <c r="F2773">
        <v>1348.76</v>
      </c>
      <c r="G2773" t="s">
        <v>3445</v>
      </c>
      <c r="H2773" s="1" t="str">
        <f t="shared" si="259"/>
        <v>Shipped</v>
      </c>
      <c r="I2773" s="4" t="str">
        <f t="shared" si="260"/>
        <v>completed</v>
      </c>
      <c r="J2773" t="s">
        <v>25</v>
      </c>
      <c r="K2773">
        <v>2</v>
      </c>
      <c r="L2773">
        <v>4</v>
      </c>
      <c r="M2773">
        <v>2003</v>
      </c>
      <c r="N2773" t="s">
        <v>566</v>
      </c>
      <c r="O2773">
        <v>49</v>
      </c>
      <c r="P2773" t="s">
        <v>673</v>
      </c>
      <c r="Q2773" t="s">
        <v>144</v>
      </c>
      <c r="R2773" t="s">
        <v>145</v>
      </c>
      <c r="S2773" t="s">
        <v>146</v>
      </c>
      <c r="U2773" s="1" t="str">
        <f t="shared" si="261"/>
        <v>Salzburg</v>
      </c>
      <c r="V2773" t="s">
        <v>147</v>
      </c>
      <c r="X2773">
        <v>5020</v>
      </c>
      <c r="Y2773" s="1" t="str">
        <f t="shared" si="262"/>
        <v>AUSTRIA</v>
      </c>
      <c r="Z2773" s="4" t="str">
        <f t="shared" si="263"/>
        <v>Austria</v>
      </c>
      <c r="AA2773" t="s">
        <v>148</v>
      </c>
      <c r="AB2773" t="s">
        <v>42</v>
      </c>
      <c r="AC2773" t="s">
        <v>149</v>
      </c>
      <c r="AD2773" t="s">
        <v>150</v>
      </c>
      <c r="AE2773" t="s">
        <v>36</v>
      </c>
    </row>
    <row r="2774" spans="1:31" x14ac:dyDescent="0.3">
      <c r="A2774">
        <v>10131</v>
      </c>
      <c r="B2774">
        <v>21</v>
      </c>
      <c r="C2774">
        <v>41.71</v>
      </c>
      <c r="D2774">
        <v>7</v>
      </c>
      <c r="E2774" s="4" t="str">
        <f t="shared" si="258"/>
        <v>low sales</v>
      </c>
      <c r="F2774">
        <v>875.91</v>
      </c>
      <c r="G2774" t="s">
        <v>3446</v>
      </c>
      <c r="H2774" s="1" t="str">
        <f t="shared" si="259"/>
        <v>Shipped</v>
      </c>
      <c r="I2774" s="4" t="str">
        <f t="shared" si="260"/>
        <v>completed</v>
      </c>
      <c r="J2774" t="s">
        <v>25</v>
      </c>
      <c r="K2774">
        <v>2</v>
      </c>
      <c r="L2774">
        <v>6</v>
      </c>
      <c r="M2774">
        <v>2003</v>
      </c>
      <c r="N2774" t="s">
        <v>566</v>
      </c>
      <c r="O2774">
        <v>49</v>
      </c>
      <c r="P2774" t="s">
        <v>673</v>
      </c>
      <c r="Q2774" t="s">
        <v>568</v>
      </c>
      <c r="R2774">
        <v>2035554407</v>
      </c>
      <c r="S2774" t="s">
        <v>569</v>
      </c>
      <c r="U2774" s="1" t="str">
        <f t="shared" si="261"/>
        <v>Glendale</v>
      </c>
      <c r="V2774" t="s">
        <v>516</v>
      </c>
      <c r="W2774" t="s">
        <v>112</v>
      </c>
      <c r="X2774">
        <v>97561</v>
      </c>
      <c r="Y2774" s="1" t="str">
        <f t="shared" si="262"/>
        <v>USA</v>
      </c>
      <c r="Z2774" s="4" t="str">
        <f t="shared" si="263"/>
        <v>Usa</v>
      </c>
      <c r="AA2774" t="s">
        <v>32</v>
      </c>
      <c r="AB2774" t="s">
        <v>33</v>
      </c>
      <c r="AC2774" t="s">
        <v>570</v>
      </c>
      <c r="AD2774" t="s">
        <v>571</v>
      </c>
      <c r="AE2774" t="s">
        <v>36</v>
      </c>
    </row>
    <row r="2775" spans="1:31" x14ac:dyDescent="0.3">
      <c r="A2775">
        <v>10143</v>
      </c>
      <c r="B2775">
        <v>37</v>
      </c>
      <c r="C2775">
        <v>50.65</v>
      </c>
      <c r="D2775">
        <v>10</v>
      </c>
      <c r="E2775" s="4" t="str">
        <f t="shared" si="258"/>
        <v>low sales</v>
      </c>
      <c r="F2775">
        <v>1874.05</v>
      </c>
      <c r="G2775" t="s">
        <v>3447</v>
      </c>
      <c r="H2775" s="1" t="str">
        <f t="shared" si="259"/>
        <v>Shipped</v>
      </c>
      <c r="I2775" s="4" t="str">
        <f t="shared" si="260"/>
        <v>completed</v>
      </c>
      <c r="J2775" t="s">
        <v>25</v>
      </c>
      <c r="K2775">
        <v>3</v>
      </c>
      <c r="L2775">
        <v>8</v>
      </c>
      <c r="M2775">
        <v>2003</v>
      </c>
      <c r="N2775" t="s">
        <v>566</v>
      </c>
      <c r="O2775">
        <v>49</v>
      </c>
      <c r="P2775" t="s">
        <v>673</v>
      </c>
      <c r="Q2775" t="s">
        <v>335</v>
      </c>
      <c r="R2775">
        <v>5085559555</v>
      </c>
      <c r="S2775" t="s">
        <v>336</v>
      </c>
      <c r="U2775" s="1" t="str">
        <f t="shared" si="261"/>
        <v>New Bedford</v>
      </c>
      <c r="V2775" t="s">
        <v>162</v>
      </c>
      <c r="W2775" t="s">
        <v>123</v>
      </c>
      <c r="X2775">
        <v>50553</v>
      </c>
      <c r="Y2775" s="1" t="str">
        <f t="shared" si="262"/>
        <v>USA</v>
      </c>
      <c r="Z2775" s="4" t="str">
        <f t="shared" si="263"/>
        <v>Usa</v>
      </c>
      <c r="AA2775" t="s">
        <v>32</v>
      </c>
      <c r="AB2775" t="s">
        <v>33</v>
      </c>
      <c r="AC2775" t="s">
        <v>337</v>
      </c>
      <c r="AD2775" t="s">
        <v>338</v>
      </c>
      <c r="AE2775" t="s">
        <v>36</v>
      </c>
    </row>
    <row r="2776" spans="1:31" x14ac:dyDescent="0.3">
      <c r="A2776">
        <v>10155</v>
      </c>
      <c r="B2776">
        <v>34</v>
      </c>
      <c r="C2776">
        <v>49.16</v>
      </c>
      <c r="D2776">
        <v>8</v>
      </c>
      <c r="E2776" s="4" t="str">
        <f t="shared" si="258"/>
        <v>low sales</v>
      </c>
      <c r="F2776">
        <v>1671.44</v>
      </c>
      <c r="G2776" t="s">
        <v>3448</v>
      </c>
      <c r="H2776" s="1" t="str">
        <f t="shared" si="259"/>
        <v>Shipped</v>
      </c>
      <c r="I2776" s="4" t="str">
        <f t="shared" si="260"/>
        <v>completed</v>
      </c>
      <c r="J2776" t="s">
        <v>25</v>
      </c>
      <c r="K2776">
        <v>4</v>
      </c>
      <c r="L2776">
        <v>10</v>
      </c>
      <c r="M2776">
        <v>2003</v>
      </c>
      <c r="N2776" t="s">
        <v>566</v>
      </c>
      <c r="O2776">
        <v>49</v>
      </c>
      <c r="P2776" t="s">
        <v>673</v>
      </c>
      <c r="Q2776" t="s">
        <v>126</v>
      </c>
      <c r="R2776" t="s">
        <v>127</v>
      </c>
      <c r="S2776" t="s">
        <v>128</v>
      </c>
      <c r="U2776" s="1" t="str">
        <f t="shared" si="261"/>
        <v>Helsinki</v>
      </c>
      <c r="V2776" t="s">
        <v>129</v>
      </c>
      <c r="X2776">
        <v>21240</v>
      </c>
      <c r="Y2776" s="1" t="str">
        <f t="shared" si="262"/>
        <v>FINLAND</v>
      </c>
      <c r="Z2776" s="4" t="str">
        <f t="shared" si="263"/>
        <v>Finland</v>
      </c>
      <c r="AA2776" t="s">
        <v>130</v>
      </c>
      <c r="AB2776" t="s">
        <v>42</v>
      </c>
      <c r="AC2776" t="s">
        <v>131</v>
      </c>
      <c r="AD2776" t="s">
        <v>132</v>
      </c>
      <c r="AE2776" t="s">
        <v>36</v>
      </c>
    </row>
    <row r="2777" spans="1:31" x14ac:dyDescent="0.3">
      <c r="A2777">
        <v>10167</v>
      </c>
      <c r="B2777">
        <v>40</v>
      </c>
      <c r="C2777">
        <v>41.71</v>
      </c>
      <c r="D2777">
        <v>4</v>
      </c>
      <c r="E2777" s="4" t="str">
        <f t="shared" si="258"/>
        <v>low sales</v>
      </c>
      <c r="F2777">
        <v>1668.4</v>
      </c>
      <c r="G2777" t="s">
        <v>3449</v>
      </c>
      <c r="H2777" s="1" t="str">
        <f t="shared" si="259"/>
        <v>Cancelled</v>
      </c>
      <c r="I2777" s="4" t="str">
        <f t="shared" si="260"/>
        <v>not completed</v>
      </c>
      <c r="J2777" t="s">
        <v>339</v>
      </c>
      <c r="K2777">
        <v>4</v>
      </c>
      <c r="L2777">
        <v>10</v>
      </c>
      <c r="M2777">
        <v>2003</v>
      </c>
      <c r="N2777" t="s">
        <v>566</v>
      </c>
      <c r="O2777">
        <v>49</v>
      </c>
      <c r="P2777" t="s">
        <v>673</v>
      </c>
      <c r="Q2777" t="s">
        <v>261</v>
      </c>
      <c r="R2777" t="s">
        <v>262</v>
      </c>
      <c r="S2777" t="s">
        <v>263</v>
      </c>
      <c r="U2777" s="1" t="str">
        <f t="shared" si="261"/>
        <v>Boras</v>
      </c>
      <c r="V2777" t="s">
        <v>264</v>
      </c>
      <c r="X2777" t="s">
        <v>265</v>
      </c>
      <c r="Y2777" s="1" t="str">
        <f t="shared" si="262"/>
        <v>SWEDEN</v>
      </c>
      <c r="Z2777" s="4" t="str">
        <f t="shared" si="263"/>
        <v>Sweden</v>
      </c>
      <c r="AA2777" t="s">
        <v>188</v>
      </c>
      <c r="AB2777" t="s">
        <v>42</v>
      </c>
      <c r="AC2777" t="s">
        <v>266</v>
      </c>
      <c r="AD2777" t="s">
        <v>206</v>
      </c>
      <c r="AE2777" t="s">
        <v>36</v>
      </c>
    </row>
    <row r="2778" spans="1:31" x14ac:dyDescent="0.3">
      <c r="A2778">
        <v>10178</v>
      </c>
      <c r="B2778">
        <v>45</v>
      </c>
      <c r="C2778">
        <v>51.15</v>
      </c>
      <c r="D2778">
        <v>7</v>
      </c>
      <c r="E2778" s="4" t="str">
        <f t="shared" si="258"/>
        <v>low sales</v>
      </c>
      <c r="F2778">
        <v>2301.75</v>
      </c>
      <c r="G2778" t="s">
        <v>3450</v>
      </c>
      <c r="H2778" s="1" t="str">
        <f t="shared" si="259"/>
        <v>Shipped</v>
      </c>
      <c r="I2778" s="4" t="str">
        <f t="shared" si="260"/>
        <v>completed</v>
      </c>
      <c r="J2778" t="s">
        <v>25</v>
      </c>
      <c r="K2778">
        <v>4</v>
      </c>
      <c r="L2778">
        <v>11</v>
      </c>
      <c r="M2778">
        <v>2003</v>
      </c>
      <c r="N2778" t="s">
        <v>566</v>
      </c>
      <c r="O2778">
        <v>49</v>
      </c>
      <c r="P2778" t="s">
        <v>673</v>
      </c>
      <c r="Q2778" t="s">
        <v>340</v>
      </c>
      <c r="R2778" t="s">
        <v>341</v>
      </c>
      <c r="S2778" t="s">
        <v>342</v>
      </c>
      <c r="U2778" s="1" t="str">
        <f t="shared" si="261"/>
        <v>Toulouse</v>
      </c>
      <c r="V2778" t="s">
        <v>343</v>
      </c>
      <c r="X2778">
        <v>31000</v>
      </c>
      <c r="Y2778" s="1" t="str">
        <f t="shared" si="262"/>
        <v>FRANCE</v>
      </c>
      <c r="Z2778" s="4" t="str">
        <f t="shared" si="263"/>
        <v>France</v>
      </c>
      <c r="AA2778" t="s">
        <v>41</v>
      </c>
      <c r="AB2778" t="s">
        <v>42</v>
      </c>
      <c r="AC2778" t="s">
        <v>344</v>
      </c>
      <c r="AD2778" t="s">
        <v>345</v>
      </c>
      <c r="AE2778" t="s">
        <v>36</v>
      </c>
    </row>
    <row r="2779" spans="1:31" x14ac:dyDescent="0.3">
      <c r="A2779">
        <v>10186</v>
      </c>
      <c r="B2779">
        <v>28</v>
      </c>
      <c r="C2779">
        <v>52.14</v>
      </c>
      <c r="D2779">
        <v>4</v>
      </c>
      <c r="E2779" s="4" t="str">
        <f t="shared" si="258"/>
        <v>low sales</v>
      </c>
      <c r="F2779">
        <v>1459.92</v>
      </c>
      <c r="G2779" t="s">
        <v>3451</v>
      </c>
      <c r="H2779" s="1" t="str">
        <f t="shared" si="259"/>
        <v>Shipped</v>
      </c>
      <c r="I2779" s="4" t="str">
        <f t="shared" si="260"/>
        <v>completed</v>
      </c>
      <c r="J2779" t="s">
        <v>25</v>
      </c>
      <c r="K2779">
        <v>4</v>
      </c>
      <c r="L2779">
        <v>11</v>
      </c>
      <c r="M2779">
        <v>2003</v>
      </c>
      <c r="N2779" t="s">
        <v>566</v>
      </c>
      <c r="O2779">
        <v>49</v>
      </c>
      <c r="P2779" t="s">
        <v>673</v>
      </c>
      <c r="Q2779" t="s">
        <v>346</v>
      </c>
      <c r="R2779" t="s">
        <v>347</v>
      </c>
      <c r="S2779" t="s">
        <v>348</v>
      </c>
      <c r="U2779" s="1" t="str">
        <f t="shared" si="261"/>
        <v>London</v>
      </c>
      <c r="V2779" t="s">
        <v>332</v>
      </c>
      <c r="X2779" t="s">
        <v>349</v>
      </c>
      <c r="Y2779" s="1" t="str">
        <f t="shared" si="262"/>
        <v>UK</v>
      </c>
      <c r="Z2779" s="4" t="str">
        <f t="shared" si="263"/>
        <v>Uk</v>
      </c>
      <c r="AA2779" t="s">
        <v>170</v>
      </c>
      <c r="AB2779" t="s">
        <v>42</v>
      </c>
      <c r="AC2779" t="s">
        <v>350</v>
      </c>
      <c r="AD2779" t="s">
        <v>351</v>
      </c>
      <c r="AE2779" t="s">
        <v>36</v>
      </c>
    </row>
    <row r="2780" spans="1:31" x14ac:dyDescent="0.3">
      <c r="A2780">
        <v>10197</v>
      </c>
      <c r="B2780">
        <v>29</v>
      </c>
      <c r="C2780">
        <v>41.71</v>
      </c>
      <c r="D2780">
        <v>1</v>
      </c>
      <c r="E2780" s="4" t="str">
        <f t="shared" si="258"/>
        <v>low sales</v>
      </c>
      <c r="F2780">
        <v>1209.5899999999999</v>
      </c>
      <c r="G2780" t="s">
        <v>3452</v>
      </c>
      <c r="H2780" s="1" t="str">
        <f t="shared" si="259"/>
        <v>Shipped</v>
      </c>
      <c r="I2780" s="4" t="str">
        <f t="shared" si="260"/>
        <v>completed</v>
      </c>
      <c r="J2780" t="s">
        <v>25</v>
      </c>
      <c r="K2780">
        <v>4</v>
      </c>
      <c r="L2780">
        <v>11</v>
      </c>
      <c r="M2780">
        <v>2003</v>
      </c>
      <c r="N2780" t="s">
        <v>566</v>
      </c>
      <c r="O2780">
        <v>49</v>
      </c>
      <c r="P2780" t="s">
        <v>673</v>
      </c>
      <c r="Q2780" t="s">
        <v>352</v>
      </c>
      <c r="R2780" t="s">
        <v>353</v>
      </c>
      <c r="S2780" t="s">
        <v>354</v>
      </c>
      <c r="U2780" s="1" t="str">
        <f t="shared" si="261"/>
        <v>Barcelona</v>
      </c>
      <c r="V2780" t="s">
        <v>355</v>
      </c>
      <c r="X2780">
        <v>8022</v>
      </c>
      <c r="Y2780" s="1" t="str">
        <f t="shared" si="262"/>
        <v>SPAIN</v>
      </c>
      <c r="Z2780" s="4" t="str">
        <f t="shared" si="263"/>
        <v>Spain</v>
      </c>
      <c r="AA2780" t="s">
        <v>178</v>
      </c>
      <c r="AB2780" t="s">
        <v>42</v>
      </c>
      <c r="AC2780" t="s">
        <v>356</v>
      </c>
      <c r="AD2780" t="s">
        <v>357</v>
      </c>
      <c r="AE2780" t="s">
        <v>36</v>
      </c>
    </row>
    <row r="2781" spans="1:31" x14ac:dyDescent="0.3">
      <c r="A2781">
        <v>10209</v>
      </c>
      <c r="B2781">
        <v>48</v>
      </c>
      <c r="C2781">
        <v>44.69</v>
      </c>
      <c r="D2781">
        <v>3</v>
      </c>
      <c r="E2781" s="4" t="str">
        <f t="shared" si="258"/>
        <v>low sales</v>
      </c>
      <c r="F2781">
        <v>2145.12</v>
      </c>
      <c r="G2781" t="s">
        <v>3453</v>
      </c>
      <c r="H2781" s="1" t="str">
        <f t="shared" si="259"/>
        <v>Shipped</v>
      </c>
      <c r="I2781" s="4" t="str">
        <f t="shared" si="260"/>
        <v>completed</v>
      </c>
      <c r="J2781" t="s">
        <v>25</v>
      </c>
      <c r="K2781">
        <v>1</v>
      </c>
      <c r="L2781">
        <v>1</v>
      </c>
      <c r="M2781">
        <v>2004</v>
      </c>
      <c r="N2781" t="s">
        <v>566</v>
      </c>
      <c r="O2781">
        <v>49</v>
      </c>
      <c r="P2781" t="s">
        <v>673</v>
      </c>
      <c r="Q2781" t="s">
        <v>358</v>
      </c>
      <c r="R2781">
        <v>2155554369</v>
      </c>
      <c r="S2781" t="s">
        <v>359</v>
      </c>
      <c r="U2781" s="1" t="str">
        <f t="shared" si="261"/>
        <v>Los Angeles</v>
      </c>
      <c r="V2781" t="s">
        <v>360</v>
      </c>
      <c r="W2781" t="s">
        <v>55</v>
      </c>
      <c r="Y2781" s="1" t="str">
        <f t="shared" si="262"/>
        <v>USA</v>
      </c>
      <c r="Z2781" s="4" t="str">
        <f t="shared" si="263"/>
        <v>Usa</v>
      </c>
      <c r="AA2781" t="s">
        <v>32</v>
      </c>
      <c r="AB2781" t="s">
        <v>33</v>
      </c>
      <c r="AC2781" t="s">
        <v>361</v>
      </c>
      <c r="AD2781" t="s">
        <v>103</v>
      </c>
      <c r="AE2781" t="s">
        <v>36</v>
      </c>
    </row>
    <row r="2782" spans="1:31" x14ac:dyDescent="0.3">
      <c r="A2782">
        <v>10222</v>
      </c>
      <c r="B2782">
        <v>31</v>
      </c>
      <c r="C2782">
        <v>45.69</v>
      </c>
      <c r="D2782">
        <v>7</v>
      </c>
      <c r="E2782" s="4" t="str">
        <f t="shared" si="258"/>
        <v>low sales</v>
      </c>
      <c r="F2782">
        <v>1416.39</v>
      </c>
      <c r="G2782" t="s">
        <v>3454</v>
      </c>
      <c r="H2782" s="1" t="str">
        <f t="shared" si="259"/>
        <v>Shipped</v>
      </c>
      <c r="I2782" s="4" t="str">
        <f t="shared" si="260"/>
        <v>completed</v>
      </c>
      <c r="J2782" t="s">
        <v>25</v>
      </c>
      <c r="K2782">
        <v>1</v>
      </c>
      <c r="L2782">
        <v>2</v>
      </c>
      <c r="M2782">
        <v>2004</v>
      </c>
      <c r="N2782" t="s">
        <v>566</v>
      </c>
      <c r="O2782">
        <v>49</v>
      </c>
      <c r="P2782" t="s">
        <v>673</v>
      </c>
      <c r="Q2782" t="s">
        <v>362</v>
      </c>
      <c r="R2782">
        <v>7605558146</v>
      </c>
      <c r="S2782" t="s">
        <v>363</v>
      </c>
      <c r="U2782" s="1" t="str">
        <f t="shared" si="261"/>
        <v>San Diego</v>
      </c>
      <c r="V2782" t="s">
        <v>364</v>
      </c>
      <c r="W2782" t="s">
        <v>55</v>
      </c>
      <c r="X2782">
        <v>91217</v>
      </c>
      <c r="Y2782" s="1" t="str">
        <f t="shared" si="262"/>
        <v>USA</v>
      </c>
      <c r="Z2782" s="4" t="str">
        <f t="shared" si="263"/>
        <v>Usa</v>
      </c>
      <c r="AA2782" t="s">
        <v>32</v>
      </c>
      <c r="AB2782" t="s">
        <v>33</v>
      </c>
      <c r="AC2782" t="s">
        <v>237</v>
      </c>
      <c r="AD2782" t="s">
        <v>276</v>
      </c>
      <c r="AE2782" t="s">
        <v>36</v>
      </c>
    </row>
    <row r="2783" spans="1:31" x14ac:dyDescent="0.3">
      <c r="A2783">
        <v>10249</v>
      </c>
      <c r="B2783">
        <v>32</v>
      </c>
      <c r="C2783">
        <v>57.61</v>
      </c>
      <c r="D2783">
        <v>3</v>
      </c>
      <c r="E2783" s="4" t="str">
        <f t="shared" si="258"/>
        <v>low sales</v>
      </c>
      <c r="F2783">
        <v>1843.52</v>
      </c>
      <c r="G2783" t="s">
        <v>3455</v>
      </c>
      <c r="H2783" s="1" t="str">
        <f t="shared" si="259"/>
        <v>Shipped</v>
      </c>
      <c r="I2783" s="4" t="str">
        <f t="shared" si="260"/>
        <v>completed</v>
      </c>
      <c r="J2783" t="s">
        <v>25</v>
      </c>
      <c r="K2783">
        <v>2</v>
      </c>
      <c r="L2783">
        <v>5</v>
      </c>
      <c r="M2783">
        <v>2004</v>
      </c>
      <c r="N2783" t="s">
        <v>566</v>
      </c>
      <c r="O2783">
        <v>49</v>
      </c>
      <c r="P2783" t="s">
        <v>673</v>
      </c>
      <c r="Q2783" t="s">
        <v>239</v>
      </c>
      <c r="R2783">
        <v>6175555555</v>
      </c>
      <c r="S2783" t="s">
        <v>240</v>
      </c>
      <c r="U2783" s="1" t="str">
        <f t="shared" si="261"/>
        <v>Cambridge</v>
      </c>
      <c r="V2783" t="s">
        <v>122</v>
      </c>
      <c r="W2783" t="s">
        <v>123</v>
      </c>
      <c r="X2783">
        <v>51247</v>
      </c>
      <c r="Y2783" s="1" t="str">
        <f t="shared" si="262"/>
        <v>USA</v>
      </c>
      <c r="Z2783" s="4" t="str">
        <f t="shared" si="263"/>
        <v>Usa</v>
      </c>
      <c r="AA2783" t="s">
        <v>32</v>
      </c>
      <c r="AB2783" t="s">
        <v>33</v>
      </c>
      <c r="AC2783" t="s">
        <v>241</v>
      </c>
      <c r="AD2783" t="s">
        <v>143</v>
      </c>
      <c r="AE2783" t="s">
        <v>36</v>
      </c>
    </row>
    <row r="2784" spans="1:31" x14ac:dyDescent="0.3">
      <c r="A2784">
        <v>10262</v>
      </c>
      <c r="B2784">
        <v>21</v>
      </c>
      <c r="C2784">
        <v>57.11</v>
      </c>
      <c r="D2784">
        <v>12</v>
      </c>
      <c r="E2784" s="4" t="str">
        <f t="shared" si="258"/>
        <v>low sales</v>
      </c>
      <c r="F2784">
        <v>1199.31</v>
      </c>
      <c r="G2784" t="s">
        <v>3456</v>
      </c>
      <c r="H2784" s="1" t="str">
        <f t="shared" si="259"/>
        <v>Cancelled</v>
      </c>
      <c r="I2784" s="4" t="str">
        <f t="shared" si="260"/>
        <v>not completed</v>
      </c>
      <c r="J2784" t="s">
        <v>339</v>
      </c>
      <c r="K2784">
        <v>2</v>
      </c>
      <c r="L2784">
        <v>6</v>
      </c>
      <c r="M2784">
        <v>2004</v>
      </c>
      <c r="N2784" t="s">
        <v>566</v>
      </c>
      <c r="O2784">
        <v>49</v>
      </c>
      <c r="P2784" t="s">
        <v>673</v>
      </c>
      <c r="Q2784" t="s">
        <v>174</v>
      </c>
      <c r="R2784" t="s">
        <v>175</v>
      </c>
      <c r="S2784" t="s">
        <v>176</v>
      </c>
      <c r="U2784" s="1" t="str">
        <f t="shared" si="261"/>
        <v>Madrid</v>
      </c>
      <c r="V2784" t="s">
        <v>177</v>
      </c>
      <c r="X2784">
        <v>28034</v>
      </c>
      <c r="Y2784" s="1" t="str">
        <f t="shared" si="262"/>
        <v>SPAIN</v>
      </c>
      <c r="Z2784" s="4" t="str">
        <f t="shared" si="263"/>
        <v>Spain</v>
      </c>
      <c r="AA2784" t="s">
        <v>178</v>
      </c>
      <c r="AB2784" t="s">
        <v>42</v>
      </c>
      <c r="AC2784" t="s">
        <v>179</v>
      </c>
      <c r="AD2784" t="s">
        <v>180</v>
      </c>
      <c r="AE2784" t="s">
        <v>36</v>
      </c>
    </row>
    <row r="2785" spans="1:31" x14ac:dyDescent="0.3">
      <c r="A2785">
        <v>10274</v>
      </c>
      <c r="B2785">
        <v>32</v>
      </c>
      <c r="C2785">
        <v>58.6</v>
      </c>
      <c r="D2785">
        <v>4</v>
      </c>
      <c r="E2785" s="4" t="str">
        <f t="shared" si="258"/>
        <v>low sales</v>
      </c>
      <c r="F2785">
        <v>1875.2</v>
      </c>
      <c r="G2785" t="s">
        <v>3457</v>
      </c>
      <c r="H2785" s="1" t="str">
        <f t="shared" si="259"/>
        <v>Shipped</v>
      </c>
      <c r="I2785" s="4" t="str">
        <f t="shared" si="260"/>
        <v>completed</v>
      </c>
      <c r="J2785" t="s">
        <v>25</v>
      </c>
      <c r="K2785">
        <v>3</v>
      </c>
      <c r="L2785">
        <v>7</v>
      </c>
      <c r="M2785">
        <v>2004</v>
      </c>
      <c r="N2785" t="s">
        <v>566</v>
      </c>
      <c r="O2785">
        <v>49</v>
      </c>
      <c r="P2785" t="s">
        <v>673</v>
      </c>
      <c r="Q2785" t="s">
        <v>281</v>
      </c>
      <c r="R2785">
        <v>6175558555</v>
      </c>
      <c r="S2785" t="s">
        <v>282</v>
      </c>
      <c r="U2785" s="1" t="str">
        <f t="shared" si="261"/>
        <v>Brickhaven</v>
      </c>
      <c r="V2785" t="s">
        <v>283</v>
      </c>
      <c r="W2785" t="s">
        <v>123</v>
      </c>
      <c r="X2785">
        <v>58339</v>
      </c>
      <c r="Y2785" s="1" t="str">
        <f t="shared" si="262"/>
        <v>USA</v>
      </c>
      <c r="Z2785" s="4" t="str">
        <f t="shared" si="263"/>
        <v>Usa</v>
      </c>
      <c r="AA2785" t="s">
        <v>32</v>
      </c>
      <c r="AB2785" t="s">
        <v>33</v>
      </c>
      <c r="AC2785" t="s">
        <v>275</v>
      </c>
      <c r="AD2785" t="s">
        <v>284</v>
      </c>
      <c r="AE2785" t="s">
        <v>36</v>
      </c>
    </row>
    <row r="2786" spans="1:31" x14ac:dyDescent="0.3">
      <c r="A2786">
        <v>10283</v>
      </c>
      <c r="B2786">
        <v>43</v>
      </c>
      <c r="C2786">
        <v>57.61</v>
      </c>
      <c r="D2786">
        <v>1</v>
      </c>
      <c r="E2786" s="4" t="str">
        <f t="shared" si="258"/>
        <v>low sales</v>
      </c>
      <c r="F2786">
        <v>2477.23</v>
      </c>
      <c r="G2786" t="s">
        <v>3458</v>
      </c>
      <c r="H2786" s="1" t="str">
        <f t="shared" si="259"/>
        <v>Shipped</v>
      </c>
      <c r="I2786" s="4" t="str">
        <f t="shared" si="260"/>
        <v>completed</v>
      </c>
      <c r="J2786" t="s">
        <v>25</v>
      </c>
      <c r="K2786">
        <v>3</v>
      </c>
      <c r="L2786">
        <v>8</v>
      </c>
      <c r="M2786">
        <v>2004</v>
      </c>
      <c r="N2786" t="s">
        <v>566</v>
      </c>
      <c r="O2786">
        <v>49</v>
      </c>
      <c r="P2786" t="s">
        <v>673</v>
      </c>
      <c r="Q2786" t="s">
        <v>373</v>
      </c>
      <c r="R2786" t="s">
        <v>374</v>
      </c>
      <c r="S2786" t="s">
        <v>375</v>
      </c>
      <c r="U2786" s="1" t="str">
        <f t="shared" si="261"/>
        <v>Tsawassen</v>
      </c>
      <c r="V2786" t="s">
        <v>376</v>
      </c>
      <c r="W2786" t="s">
        <v>229</v>
      </c>
      <c r="X2786" t="s">
        <v>377</v>
      </c>
      <c r="Y2786" s="1" t="str">
        <f t="shared" si="262"/>
        <v>CANADA</v>
      </c>
      <c r="Z2786" s="4" t="str">
        <f t="shared" si="263"/>
        <v>Canada</v>
      </c>
      <c r="AA2786" t="s">
        <v>231</v>
      </c>
      <c r="AB2786" t="s">
        <v>33</v>
      </c>
      <c r="AC2786" t="s">
        <v>378</v>
      </c>
      <c r="AD2786" t="s">
        <v>172</v>
      </c>
      <c r="AE2786" t="s">
        <v>36</v>
      </c>
    </row>
    <row r="2787" spans="1:31" x14ac:dyDescent="0.3">
      <c r="A2787">
        <v>10296</v>
      </c>
      <c r="B2787">
        <v>21</v>
      </c>
      <c r="C2787">
        <v>45.19</v>
      </c>
      <c r="D2787">
        <v>10</v>
      </c>
      <c r="E2787" s="4" t="str">
        <f t="shared" si="258"/>
        <v>low sales</v>
      </c>
      <c r="F2787">
        <v>948.99</v>
      </c>
      <c r="G2787" t="s">
        <v>3459</v>
      </c>
      <c r="H2787" s="1" t="str">
        <f t="shared" si="259"/>
        <v>Shipped</v>
      </c>
      <c r="I2787" s="4" t="str">
        <f t="shared" si="260"/>
        <v>completed</v>
      </c>
      <c r="J2787" t="s">
        <v>25</v>
      </c>
      <c r="K2787">
        <v>3</v>
      </c>
      <c r="L2787">
        <v>9</v>
      </c>
      <c r="M2787">
        <v>2004</v>
      </c>
      <c r="N2787" t="s">
        <v>566</v>
      </c>
      <c r="O2787">
        <v>49</v>
      </c>
      <c r="P2787" t="s">
        <v>673</v>
      </c>
      <c r="Q2787" t="s">
        <v>572</v>
      </c>
      <c r="R2787" t="s">
        <v>573</v>
      </c>
      <c r="S2787" t="s">
        <v>574</v>
      </c>
      <c r="U2787" s="1" t="str">
        <f t="shared" si="261"/>
        <v>Munich</v>
      </c>
      <c r="V2787" t="s">
        <v>575</v>
      </c>
      <c r="X2787">
        <v>80686</v>
      </c>
      <c r="Y2787" s="1" t="str">
        <f t="shared" si="262"/>
        <v>GERMANY</v>
      </c>
      <c r="Z2787" s="4" t="str">
        <f t="shared" si="263"/>
        <v>Germany</v>
      </c>
      <c r="AA2787" t="s">
        <v>443</v>
      </c>
      <c r="AB2787" t="s">
        <v>42</v>
      </c>
      <c r="AC2787" t="s">
        <v>576</v>
      </c>
      <c r="AD2787" t="s">
        <v>103</v>
      </c>
      <c r="AE2787" t="s">
        <v>36</v>
      </c>
    </row>
    <row r="2788" spans="1:31" x14ac:dyDescent="0.3">
      <c r="A2788">
        <v>10307</v>
      </c>
      <c r="B2788">
        <v>34</v>
      </c>
      <c r="C2788">
        <v>53.63</v>
      </c>
      <c r="D2788">
        <v>4</v>
      </c>
      <c r="E2788" s="4" t="str">
        <f t="shared" si="258"/>
        <v>low sales</v>
      </c>
      <c r="F2788">
        <v>1823.42</v>
      </c>
      <c r="G2788" t="s">
        <v>3460</v>
      </c>
      <c r="H2788" s="1" t="str">
        <f t="shared" si="259"/>
        <v>Shipped</v>
      </c>
      <c r="I2788" s="4" t="str">
        <f t="shared" si="260"/>
        <v>completed</v>
      </c>
      <c r="J2788" t="s">
        <v>25</v>
      </c>
      <c r="K2788">
        <v>4</v>
      </c>
      <c r="L2788">
        <v>10</v>
      </c>
      <c r="M2788">
        <v>2004</v>
      </c>
      <c r="N2788" t="s">
        <v>566</v>
      </c>
      <c r="O2788">
        <v>49</v>
      </c>
      <c r="P2788" t="s">
        <v>673</v>
      </c>
      <c r="Q2788" t="s">
        <v>214</v>
      </c>
      <c r="R2788">
        <v>2155554695</v>
      </c>
      <c r="S2788" t="s">
        <v>215</v>
      </c>
      <c r="U2788" s="1" t="str">
        <f t="shared" si="261"/>
        <v>Philadelphia</v>
      </c>
      <c r="V2788" t="s">
        <v>216</v>
      </c>
      <c r="W2788" t="s">
        <v>142</v>
      </c>
      <c r="X2788">
        <v>71270</v>
      </c>
      <c r="Y2788" s="1" t="str">
        <f t="shared" si="262"/>
        <v>USA</v>
      </c>
      <c r="Z2788" s="4" t="str">
        <f t="shared" si="263"/>
        <v>Usa</v>
      </c>
      <c r="AA2788" t="s">
        <v>32</v>
      </c>
      <c r="AB2788" t="s">
        <v>33</v>
      </c>
      <c r="AC2788" t="s">
        <v>217</v>
      </c>
      <c r="AD2788" t="s">
        <v>218</v>
      </c>
      <c r="AE2788" t="s">
        <v>36</v>
      </c>
    </row>
    <row r="2789" spans="1:31" x14ac:dyDescent="0.3">
      <c r="A2789">
        <v>10316</v>
      </c>
      <c r="B2789">
        <v>34</v>
      </c>
      <c r="C2789">
        <v>43.7</v>
      </c>
      <c r="D2789">
        <v>12</v>
      </c>
      <c r="E2789" s="4" t="str">
        <f t="shared" si="258"/>
        <v>low sales</v>
      </c>
      <c r="F2789">
        <v>1485.8</v>
      </c>
      <c r="G2789" t="s">
        <v>3461</v>
      </c>
      <c r="H2789" s="1" t="str">
        <f t="shared" si="259"/>
        <v>Shipped</v>
      </c>
      <c r="I2789" s="4" t="str">
        <f t="shared" si="260"/>
        <v>completed</v>
      </c>
      <c r="J2789" t="s">
        <v>25</v>
      </c>
      <c r="K2789">
        <v>4</v>
      </c>
      <c r="L2789">
        <v>11</v>
      </c>
      <c r="M2789">
        <v>2004</v>
      </c>
      <c r="N2789" t="s">
        <v>566</v>
      </c>
      <c r="O2789">
        <v>49</v>
      </c>
      <c r="P2789" t="s">
        <v>673</v>
      </c>
      <c r="Q2789" t="s">
        <v>383</v>
      </c>
      <c r="R2789" t="s">
        <v>384</v>
      </c>
      <c r="S2789" t="s">
        <v>385</v>
      </c>
      <c r="U2789" s="1" t="str">
        <f t="shared" si="261"/>
        <v>Cowes</v>
      </c>
      <c r="V2789" t="s">
        <v>386</v>
      </c>
      <c r="W2789" t="s">
        <v>387</v>
      </c>
      <c r="X2789" t="s">
        <v>388</v>
      </c>
      <c r="Y2789" s="1" t="str">
        <f t="shared" si="262"/>
        <v>UK</v>
      </c>
      <c r="Z2789" s="4" t="str">
        <f t="shared" si="263"/>
        <v>Uk</v>
      </c>
      <c r="AA2789" t="s">
        <v>170</v>
      </c>
      <c r="AB2789" t="s">
        <v>42</v>
      </c>
      <c r="AC2789" t="s">
        <v>389</v>
      </c>
      <c r="AD2789" t="s">
        <v>390</v>
      </c>
      <c r="AE2789" t="s">
        <v>36</v>
      </c>
    </row>
    <row r="2790" spans="1:31" x14ac:dyDescent="0.3">
      <c r="A2790">
        <v>10329</v>
      </c>
      <c r="B2790">
        <v>44</v>
      </c>
      <c r="C2790">
        <v>86.13</v>
      </c>
      <c r="D2790">
        <v>8</v>
      </c>
      <c r="E2790" s="4" t="str">
        <f t="shared" si="258"/>
        <v>low sales</v>
      </c>
      <c r="F2790">
        <v>3789.72</v>
      </c>
      <c r="G2790" t="s">
        <v>3462</v>
      </c>
      <c r="H2790" s="1" t="str">
        <f t="shared" si="259"/>
        <v>Shipped</v>
      </c>
      <c r="I2790" s="4" t="str">
        <f t="shared" si="260"/>
        <v>completed</v>
      </c>
      <c r="J2790" t="s">
        <v>25</v>
      </c>
      <c r="K2790">
        <v>4</v>
      </c>
      <c r="L2790">
        <v>11</v>
      </c>
      <c r="M2790">
        <v>2004</v>
      </c>
      <c r="N2790" t="s">
        <v>566</v>
      </c>
      <c r="O2790">
        <v>49</v>
      </c>
      <c r="P2790" t="s">
        <v>673</v>
      </c>
      <c r="Q2790" t="s">
        <v>28</v>
      </c>
      <c r="R2790">
        <v>2125557818</v>
      </c>
      <c r="S2790" t="s">
        <v>29</v>
      </c>
      <c r="U2790" s="1" t="str">
        <f t="shared" si="261"/>
        <v>Nyc</v>
      </c>
      <c r="V2790" t="s">
        <v>30</v>
      </c>
      <c r="W2790" t="s">
        <v>31</v>
      </c>
      <c r="X2790">
        <v>10022</v>
      </c>
      <c r="Y2790" s="1" t="str">
        <f t="shared" si="262"/>
        <v>USA</v>
      </c>
      <c r="Z2790" s="4" t="str">
        <f t="shared" si="263"/>
        <v>Usa</v>
      </c>
      <c r="AA2790" t="s">
        <v>32</v>
      </c>
      <c r="AB2790" t="s">
        <v>33</v>
      </c>
      <c r="AC2790" t="s">
        <v>34</v>
      </c>
      <c r="AD2790" t="s">
        <v>35</v>
      </c>
      <c r="AE2790" t="s">
        <v>51</v>
      </c>
    </row>
    <row r="2791" spans="1:31" x14ac:dyDescent="0.3">
      <c r="A2791">
        <v>10339</v>
      </c>
      <c r="B2791">
        <v>27</v>
      </c>
      <c r="C2791">
        <v>76.31</v>
      </c>
      <c r="D2791">
        <v>6</v>
      </c>
      <c r="E2791" s="4" t="str">
        <f t="shared" si="258"/>
        <v>low sales</v>
      </c>
      <c r="F2791">
        <v>2060.37</v>
      </c>
      <c r="G2791" t="s">
        <v>3463</v>
      </c>
      <c r="H2791" s="1" t="str">
        <f t="shared" si="259"/>
        <v>Shipped</v>
      </c>
      <c r="I2791" s="4" t="str">
        <f t="shared" si="260"/>
        <v>completed</v>
      </c>
      <c r="J2791" t="s">
        <v>25</v>
      </c>
      <c r="K2791">
        <v>4</v>
      </c>
      <c r="L2791">
        <v>11</v>
      </c>
      <c r="M2791">
        <v>2004</v>
      </c>
      <c r="N2791" t="s">
        <v>566</v>
      </c>
      <c r="O2791">
        <v>49</v>
      </c>
      <c r="P2791" t="s">
        <v>673</v>
      </c>
      <c r="Q2791" t="s">
        <v>246</v>
      </c>
      <c r="R2791" t="s">
        <v>247</v>
      </c>
      <c r="S2791" t="s">
        <v>248</v>
      </c>
      <c r="U2791" s="1" t="str">
        <f t="shared" si="261"/>
        <v>Minato-Ku</v>
      </c>
      <c r="V2791" t="s">
        <v>249</v>
      </c>
      <c r="W2791" t="s">
        <v>250</v>
      </c>
      <c r="X2791" t="s">
        <v>251</v>
      </c>
      <c r="Y2791" s="1" t="str">
        <f t="shared" si="262"/>
        <v>JAPAN</v>
      </c>
      <c r="Z2791" s="4" t="str">
        <f t="shared" si="263"/>
        <v>Japan</v>
      </c>
      <c r="AA2791" t="s">
        <v>200</v>
      </c>
      <c r="AB2791" t="s">
        <v>200</v>
      </c>
      <c r="AC2791" t="s">
        <v>252</v>
      </c>
      <c r="AD2791" t="s">
        <v>253</v>
      </c>
      <c r="AE2791" t="s">
        <v>36</v>
      </c>
    </row>
    <row r="2792" spans="1:31" x14ac:dyDescent="0.3">
      <c r="A2792">
        <v>10352</v>
      </c>
      <c r="B2792">
        <v>49</v>
      </c>
      <c r="C2792">
        <v>52.64</v>
      </c>
      <c r="D2792">
        <v>4</v>
      </c>
      <c r="E2792" s="4" t="str">
        <f t="shared" si="258"/>
        <v>low sales</v>
      </c>
      <c r="F2792">
        <v>2579.36</v>
      </c>
      <c r="G2792" t="s">
        <v>3464</v>
      </c>
      <c r="H2792" s="1" t="str">
        <f t="shared" si="259"/>
        <v>Shipped</v>
      </c>
      <c r="I2792" s="4" t="str">
        <f t="shared" si="260"/>
        <v>completed</v>
      </c>
      <c r="J2792" t="s">
        <v>25</v>
      </c>
      <c r="K2792">
        <v>4</v>
      </c>
      <c r="L2792">
        <v>12</v>
      </c>
      <c r="M2792">
        <v>2004</v>
      </c>
      <c r="N2792" t="s">
        <v>566</v>
      </c>
      <c r="O2792">
        <v>49</v>
      </c>
      <c r="P2792" t="s">
        <v>673</v>
      </c>
      <c r="Q2792" t="s">
        <v>600</v>
      </c>
      <c r="R2792">
        <v>6175558428</v>
      </c>
      <c r="S2792" t="s">
        <v>601</v>
      </c>
      <c r="U2792" s="1" t="str">
        <f t="shared" si="261"/>
        <v>Brickhaven</v>
      </c>
      <c r="V2792" t="s">
        <v>283</v>
      </c>
      <c r="W2792" t="s">
        <v>123</v>
      </c>
      <c r="X2792">
        <v>58339</v>
      </c>
      <c r="Y2792" s="1" t="str">
        <f t="shared" si="262"/>
        <v>USA</v>
      </c>
      <c r="Z2792" s="4" t="str">
        <f t="shared" si="263"/>
        <v>Usa</v>
      </c>
      <c r="AA2792" t="s">
        <v>32</v>
      </c>
      <c r="AB2792" t="s">
        <v>33</v>
      </c>
      <c r="AC2792" t="s">
        <v>529</v>
      </c>
      <c r="AD2792" t="s">
        <v>245</v>
      </c>
      <c r="AE2792" t="s">
        <v>36</v>
      </c>
    </row>
    <row r="2793" spans="1:31" x14ac:dyDescent="0.3">
      <c r="A2793">
        <v>10361</v>
      </c>
      <c r="B2793">
        <v>23</v>
      </c>
      <c r="C2793">
        <v>95.2</v>
      </c>
      <c r="D2793">
        <v>12</v>
      </c>
      <c r="E2793" s="4" t="str">
        <f t="shared" si="258"/>
        <v>low sales</v>
      </c>
      <c r="F2793">
        <v>2189.6</v>
      </c>
      <c r="G2793" t="s">
        <v>3465</v>
      </c>
      <c r="H2793" s="1" t="str">
        <f t="shared" si="259"/>
        <v>Shipped</v>
      </c>
      <c r="I2793" s="4" t="str">
        <f t="shared" si="260"/>
        <v>completed</v>
      </c>
      <c r="J2793" t="s">
        <v>25</v>
      </c>
      <c r="K2793">
        <v>4</v>
      </c>
      <c r="L2793">
        <v>12</v>
      </c>
      <c r="M2793">
        <v>2004</v>
      </c>
      <c r="N2793" t="s">
        <v>566</v>
      </c>
      <c r="O2793">
        <v>49</v>
      </c>
      <c r="P2793" t="s">
        <v>673</v>
      </c>
      <c r="Q2793" t="s">
        <v>152</v>
      </c>
      <c r="R2793" t="s">
        <v>153</v>
      </c>
      <c r="S2793" t="s">
        <v>154</v>
      </c>
      <c r="T2793" t="s">
        <v>155</v>
      </c>
      <c r="U2793" s="1" t="str">
        <f t="shared" si="261"/>
        <v>Chatswood</v>
      </c>
      <c r="V2793" t="s">
        <v>156</v>
      </c>
      <c r="W2793" t="s">
        <v>157</v>
      </c>
      <c r="X2793">
        <v>2067</v>
      </c>
      <c r="Y2793" s="1" t="str">
        <f t="shared" si="262"/>
        <v>AUSTRALIA</v>
      </c>
      <c r="Z2793" s="4" t="str">
        <f t="shared" si="263"/>
        <v>Australia</v>
      </c>
      <c r="AA2793" t="s">
        <v>95</v>
      </c>
      <c r="AB2793" t="s">
        <v>96</v>
      </c>
      <c r="AC2793" t="s">
        <v>158</v>
      </c>
      <c r="AD2793" t="s">
        <v>159</v>
      </c>
      <c r="AE2793" t="s">
        <v>36</v>
      </c>
    </row>
    <row r="2794" spans="1:31" x14ac:dyDescent="0.3">
      <c r="A2794">
        <v>10373</v>
      </c>
      <c r="B2794">
        <v>25</v>
      </c>
      <c r="C2794">
        <v>64.97</v>
      </c>
      <c r="D2794">
        <v>9</v>
      </c>
      <c r="E2794" s="4" t="str">
        <f t="shared" si="258"/>
        <v>low sales</v>
      </c>
      <c r="F2794">
        <v>1624.25</v>
      </c>
      <c r="G2794" t="s">
        <v>3466</v>
      </c>
      <c r="H2794" s="1" t="str">
        <f t="shared" si="259"/>
        <v>Shipped</v>
      </c>
      <c r="I2794" s="4" t="str">
        <f t="shared" si="260"/>
        <v>completed</v>
      </c>
      <c r="J2794" t="s">
        <v>25</v>
      </c>
      <c r="K2794">
        <v>1</v>
      </c>
      <c r="L2794">
        <v>1</v>
      </c>
      <c r="M2794">
        <v>2005</v>
      </c>
      <c r="N2794" t="s">
        <v>566</v>
      </c>
      <c r="O2794">
        <v>49</v>
      </c>
      <c r="P2794" t="s">
        <v>673</v>
      </c>
      <c r="Q2794" t="s">
        <v>391</v>
      </c>
      <c r="R2794" t="s">
        <v>392</v>
      </c>
      <c r="S2794" t="s">
        <v>393</v>
      </c>
      <c r="U2794" s="1" t="str">
        <f t="shared" si="261"/>
        <v>Oulu</v>
      </c>
      <c r="V2794" t="s">
        <v>394</v>
      </c>
      <c r="X2794">
        <v>90110</v>
      </c>
      <c r="Y2794" s="1" t="str">
        <f t="shared" si="262"/>
        <v>FINLAND</v>
      </c>
      <c r="Z2794" s="4" t="str">
        <f t="shared" si="263"/>
        <v>Finland</v>
      </c>
      <c r="AA2794" t="s">
        <v>130</v>
      </c>
      <c r="AB2794" t="s">
        <v>42</v>
      </c>
      <c r="AC2794" t="s">
        <v>395</v>
      </c>
      <c r="AD2794" t="s">
        <v>396</v>
      </c>
      <c r="AE2794" t="s">
        <v>36</v>
      </c>
    </row>
    <row r="2795" spans="1:31" x14ac:dyDescent="0.3">
      <c r="A2795">
        <v>10386</v>
      </c>
      <c r="B2795">
        <v>50</v>
      </c>
      <c r="C2795">
        <v>87.15</v>
      </c>
      <c r="D2795">
        <v>16</v>
      </c>
      <c r="E2795" s="4" t="str">
        <f t="shared" si="258"/>
        <v>high sales</v>
      </c>
      <c r="F2795">
        <v>4357.5</v>
      </c>
      <c r="G2795" t="s">
        <v>3467</v>
      </c>
      <c r="H2795" s="1" t="str">
        <f t="shared" si="259"/>
        <v>Resolved</v>
      </c>
      <c r="I2795" s="4" t="str">
        <f t="shared" si="260"/>
        <v>not completed</v>
      </c>
      <c r="J2795" t="s">
        <v>408</v>
      </c>
      <c r="K2795">
        <v>1</v>
      </c>
      <c r="L2795">
        <v>3</v>
      </c>
      <c r="M2795">
        <v>2005</v>
      </c>
      <c r="N2795" t="s">
        <v>566</v>
      </c>
      <c r="O2795">
        <v>49</v>
      </c>
      <c r="P2795" t="s">
        <v>673</v>
      </c>
      <c r="Q2795" t="s">
        <v>174</v>
      </c>
      <c r="R2795" t="s">
        <v>175</v>
      </c>
      <c r="S2795" t="s">
        <v>176</v>
      </c>
      <c r="U2795" s="1" t="str">
        <f t="shared" si="261"/>
        <v>Madrid</v>
      </c>
      <c r="V2795" t="s">
        <v>177</v>
      </c>
      <c r="X2795">
        <v>28034</v>
      </c>
      <c r="Y2795" s="1" t="str">
        <f t="shared" si="262"/>
        <v>SPAIN</v>
      </c>
      <c r="Z2795" s="4" t="str">
        <f t="shared" si="263"/>
        <v>Spain</v>
      </c>
      <c r="AA2795" t="s">
        <v>178</v>
      </c>
      <c r="AB2795" t="s">
        <v>42</v>
      </c>
      <c r="AC2795" t="s">
        <v>179</v>
      </c>
      <c r="AD2795" t="s">
        <v>180</v>
      </c>
      <c r="AE2795" t="s">
        <v>51</v>
      </c>
    </row>
    <row r="2796" spans="1:31" x14ac:dyDescent="0.3">
      <c r="A2796">
        <v>10398</v>
      </c>
      <c r="B2796">
        <v>34</v>
      </c>
      <c r="C2796">
        <v>40.22</v>
      </c>
      <c r="D2796">
        <v>1</v>
      </c>
      <c r="E2796" s="4" t="str">
        <f t="shared" si="258"/>
        <v>low sales</v>
      </c>
      <c r="F2796">
        <v>1367.48</v>
      </c>
      <c r="G2796" t="s">
        <v>3468</v>
      </c>
      <c r="H2796" s="1" t="str">
        <f t="shared" si="259"/>
        <v>Shipped</v>
      </c>
      <c r="I2796" s="4" t="str">
        <f t="shared" si="260"/>
        <v>completed</v>
      </c>
      <c r="J2796" t="s">
        <v>25</v>
      </c>
      <c r="K2796">
        <v>1</v>
      </c>
      <c r="L2796">
        <v>3</v>
      </c>
      <c r="M2796">
        <v>2005</v>
      </c>
      <c r="N2796" t="s">
        <v>566</v>
      </c>
      <c r="O2796">
        <v>49</v>
      </c>
      <c r="P2796" t="s">
        <v>673</v>
      </c>
      <c r="Q2796" t="s">
        <v>37</v>
      </c>
      <c r="R2796" t="s">
        <v>38</v>
      </c>
      <c r="S2796" t="s">
        <v>39</v>
      </c>
      <c r="U2796" s="1" t="str">
        <f t="shared" si="261"/>
        <v>Reims</v>
      </c>
      <c r="V2796" t="s">
        <v>40</v>
      </c>
      <c r="X2796">
        <v>51100</v>
      </c>
      <c r="Y2796" s="1" t="str">
        <f t="shared" si="262"/>
        <v>FRANCE</v>
      </c>
      <c r="Z2796" s="4" t="str">
        <f t="shared" si="263"/>
        <v>France</v>
      </c>
      <c r="AA2796" t="s">
        <v>41</v>
      </c>
      <c r="AB2796" t="s">
        <v>42</v>
      </c>
      <c r="AC2796" t="s">
        <v>43</v>
      </c>
      <c r="AD2796" t="s">
        <v>44</v>
      </c>
      <c r="AE2796" t="s">
        <v>36</v>
      </c>
    </row>
    <row r="2797" spans="1:31" x14ac:dyDescent="0.3">
      <c r="A2797">
        <v>10400</v>
      </c>
      <c r="B2797">
        <v>20</v>
      </c>
      <c r="C2797">
        <v>56.12</v>
      </c>
      <c r="D2797">
        <v>4</v>
      </c>
      <c r="E2797" s="4" t="str">
        <f t="shared" si="258"/>
        <v>low sales</v>
      </c>
      <c r="F2797">
        <v>1122.4000000000001</v>
      </c>
      <c r="G2797" t="s">
        <v>3469</v>
      </c>
      <c r="H2797" s="1" t="str">
        <f t="shared" si="259"/>
        <v>Shipped</v>
      </c>
      <c r="I2797" s="4" t="str">
        <f t="shared" si="260"/>
        <v>completed</v>
      </c>
      <c r="J2797" t="s">
        <v>25</v>
      </c>
      <c r="K2797">
        <v>2</v>
      </c>
      <c r="L2797">
        <v>4</v>
      </c>
      <c r="M2797">
        <v>2005</v>
      </c>
      <c r="N2797" t="s">
        <v>566</v>
      </c>
      <c r="O2797">
        <v>49</v>
      </c>
      <c r="P2797" t="s">
        <v>673</v>
      </c>
      <c r="Q2797" t="s">
        <v>397</v>
      </c>
      <c r="R2797">
        <v>4085553659</v>
      </c>
      <c r="S2797" t="s">
        <v>398</v>
      </c>
      <c r="U2797" s="1" t="str">
        <f t="shared" si="261"/>
        <v>San Jose</v>
      </c>
      <c r="V2797" t="s">
        <v>399</v>
      </c>
      <c r="W2797" t="s">
        <v>55</v>
      </c>
      <c r="X2797">
        <v>94217</v>
      </c>
      <c r="Y2797" s="1" t="str">
        <f t="shared" si="262"/>
        <v>USA</v>
      </c>
      <c r="Z2797" s="4" t="str">
        <f t="shared" si="263"/>
        <v>Usa</v>
      </c>
      <c r="AA2797" t="s">
        <v>32</v>
      </c>
      <c r="AB2797" t="s">
        <v>33</v>
      </c>
      <c r="AC2797" t="s">
        <v>102</v>
      </c>
      <c r="AD2797" t="s">
        <v>400</v>
      </c>
      <c r="AE2797" t="s">
        <v>36</v>
      </c>
    </row>
    <row r="2798" spans="1:31" x14ac:dyDescent="0.3">
      <c r="A2798">
        <v>10415</v>
      </c>
      <c r="B2798">
        <v>42</v>
      </c>
      <c r="C2798">
        <v>57.61</v>
      </c>
      <c r="D2798">
        <v>3</v>
      </c>
      <c r="E2798" s="4" t="str">
        <f t="shared" si="258"/>
        <v>low sales</v>
      </c>
      <c r="F2798">
        <v>2419.62</v>
      </c>
      <c r="G2798" t="s">
        <v>3470</v>
      </c>
      <c r="H2798" s="1" t="str">
        <f t="shared" si="259"/>
        <v>Disputed</v>
      </c>
      <c r="I2798" s="4" t="str">
        <f t="shared" si="260"/>
        <v>not completed</v>
      </c>
      <c r="J2798" t="s">
        <v>173</v>
      </c>
      <c r="K2798">
        <v>2</v>
      </c>
      <c r="L2798">
        <v>5</v>
      </c>
      <c r="M2798">
        <v>2005</v>
      </c>
      <c r="N2798" t="s">
        <v>566</v>
      </c>
      <c r="O2798">
        <v>49</v>
      </c>
      <c r="P2798" t="s">
        <v>673</v>
      </c>
      <c r="Q2798" t="s">
        <v>558</v>
      </c>
      <c r="R2798" t="s">
        <v>559</v>
      </c>
      <c r="S2798" t="s">
        <v>560</v>
      </c>
      <c r="U2798" s="1" t="str">
        <f t="shared" si="261"/>
        <v>Glen Waverly</v>
      </c>
      <c r="V2798" t="s">
        <v>561</v>
      </c>
      <c r="W2798" t="s">
        <v>94</v>
      </c>
      <c r="X2798">
        <v>3150</v>
      </c>
      <c r="Y2798" s="1" t="str">
        <f t="shared" si="262"/>
        <v>AUSTRALIA</v>
      </c>
      <c r="Z2798" s="4" t="str">
        <f t="shared" si="263"/>
        <v>Australia</v>
      </c>
      <c r="AA2798" t="s">
        <v>95</v>
      </c>
      <c r="AB2798" t="s">
        <v>96</v>
      </c>
      <c r="AC2798" t="s">
        <v>562</v>
      </c>
      <c r="AD2798" t="s">
        <v>563</v>
      </c>
      <c r="AE2798" t="s">
        <v>36</v>
      </c>
    </row>
    <row r="2799" spans="1:31" x14ac:dyDescent="0.3">
      <c r="A2799">
        <v>10105</v>
      </c>
      <c r="B2799">
        <v>25</v>
      </c>
      <c r="C2799">
        <v>56.78</v>
      </c>
      <c r="D2799">
        <v>8</v>
      </c>
      <c r="E2799" s="4" t="str">
        <f t="shared" si="258"/>
        <v>low sales</v>
      </c>
      <c r="F2799">
        <v>1419.5</v>
      </c>
      <c r="G2799" t="s">
        <v>3471</v>
      </c>
      <c r="H2799" s="1" t="str">
        <f t="shared" si="259"/>
        <v>Shipped</v>
      </c>
      <c r="I2799" s="4" t="str">
        <f t="shared" si="260"/>
        <v>completed</v>
      </c>
      <c r="J2799" t="s">
        <v>25</v>
      </c>
      <c r="K2799">
        <v>1</v>
      </c>
      <c r="L2799">
        <v>2</v>
      </c>
      <c r="M2799">
        <v>2003</v>
      </c>
      <c r="N2799" t="s">
        <v>598</v>
      </c>
      <c r="O2799">
        <v>54</v>
      </c>
      <c r="P2799" t="s">
        <v>674</v>
      </c>
      <c r="Q2799" t="s">
        <v>322</v>
      </c>
      <c r="R2799" t="s">
        <v>323</v>
      </c>
      <c r="S2799" t="s">
        <v>324</v>
      </c>
      <c r="U2799" s="1" t="str">
        <f t="shared" si="261"/>
        <v>Kobenhavn</v>
      </c>
      <c r="V2799" t="s">
        <v>325</v>
      </c>
      <c r="X2799">
        <v>1734</v>
      </c>
      <c r="Y2799" s="1" t="str">
        <f t="shared" si="262"/>
        <v>DENMARK</v>
      </c>
      <c r="Z2799" s="4" t="str">
        <f t="shared" si="263"/>
        <v>Denmark</v>
      </c>
      <c r="AA2799" t="s">
        <v>326</v>
      </c>
      <c r="AB2799" t="s">
        <v>42</v>
      </c>
      <c r="AC2799" t="s">
        <v>327</v>
      </c>
      <c r="AD2799" t="s">
        <v>328</v>
      </c>
      <c r="AE2799" t="s">
        <v>36</v>
      </c>
    </row>
    <row r="2800" spans="1:31" x14ac:dyDescent="0.3">
      <c r="A2800">
        <v>10117</v>
      </c>
      <c r="B2800">
        <v>50</v>
      </c>
      <c r="C2800">
        <v>43.68</v>
      </c>
      <c r="D2800">
        <v>2</v>
      </c>
      <c r="E2800" s="4" t="str">
        <f t="shared" si="258"/>
        <v>low sales</v>
      </c>
      <c r="F2800">
        <v>2184</v>
      </c>
      <c r="G2800" t="s">
        <v>3472</v>
      </c>
      <c r="H2800" s="1" t="str">
        <f t="shared" si="259"/>
        <v>Shipped</v>
      </c>
      <c r="I2800" s="4" t="str">
        <f t="shared" si="260"/>
        <v>completed</v>
      </c>
      <c r="J2800" t="s">
        <v>25</v>
      </c>
      <c r="K2800">
        <v>2</v>
      </c>
      <c r="L2800">
        <v>4</v>
      </c>
      <c r="M2800">
        <v>2003</v>
      </c>
      <c r="N2800" t="s">
        <v>598</v>
      </c>
      <c r="O2800">
        <v>54</v>
      </c>
      <c r="P2800" t="s">
        <v>674</v>
      </c>
      <c r="Q2800" t="s">
        <v>196</v>
      </c>
      <c r="R2800" t="s">
        <v>197</v>
      </c>
      <c r="S2800" t="s">
        <v>198</v>
      </c>
      <c r="U2800" s="1" t="str">
        <f t="shared" si="261"/>
        <v>Singapore</v>
      </c>
      <c r="V2800" t="s">
        <v>199</v>
      </c>
      <c r="X2800">
        <v>79903</v>
      </c>
      <c r="Y2800" s="1" t="str">
        <f t="shared" si="262"/>
        <v>SINGAPORE</v>
      </c>
      <c r="Z2800" s="4" t="str">
        <f t="shared" si="263"/>
        <v>Singapore</v>
      </c>
      <c r="AA2800" t="s">
        <v>199</v>
      </c>
      <c r="AB2800" t="s">
        <v>200</v>
      </c>
      <c r="AC2800" t="s">
        <v>201</v>
      </c>
      <c r="AD2800" t="s">
        <v>202</v>
      </c>
      <c r="AE2800" t="s">
        <v>36</v>
      </c>
    </row>
    <row r="2801" spans="1:31" x14ac:dyDescent="0.3">
      <c r="A2801">
        <v>10129</v>
      </c>
      <c r="B2801">
        <v>32</v>
      </c>
      <c r="C2801">
        <v>64.97</v>
      </c>
      <c r="D2801">
        <v>8</v>
      </c>
      <c r="E2801" s="4" t="str">
        <f t="shared" si="258"/>
        <v>low sales</v>
      </c>
      <c r="F2801">
        <v>2079.04</v>
      </c>
      <c r="G2801" t="s">
        <v>3473</v>
      </c>
      <c r="H2801" s="1" t="str">
        <f t="shared" si="259"/>
        <v>Shipped</v>
      </c>
      <c r="I2801" s="4" t="str">
        <f t="shared" si="260"/>
        <v>completed</v>
      </c>
      <c r="J2801" t="s">
        <v>25</v>
      </c>
      <c r="K2801">
        <v>2</v>
      </c>
      <c r="L2801">
        <v>6</v>
      </c>
      <c r="M2801">
        <v>2003</v>
      </c>
      <c r="N2801" t="s">
        <v>598</v>
      </c>
      <c r="O2801">
        <v>54</v>
      </c>
      <c r="P2801" t="s">
        <v>674</v>
      </c>
      <c r="Q2801" t="s">
        <v>329</v>
      </c>
      <c r="R2801" t="s">
        <v>330</v>
      </c>
      <c r="S2801" t="s">
        <v>331</v>
      </c>
      <c r="U2801" s="1" t="str">
        <f t="shared" si="261"/>
        <v>London</v>
      </c>
      <c r="V2801" t="s">
        <v>332</v>
      </c>
      <c r="X2801" t="s">
        <v>333</v>
      </c>
      <c r="Y2801" s="1" t="str">
        <f t="shared" si="262"/>
        <v>UK</v>
      </c>
      <c r="Z2801" s="4" t="str">
        <f t="shared" si="263"/>
        <v>Uk</v>
      </c>
      <c r="AA2801" t="s">
        <v>170</v>
      </c>
      <c r="AB2801" t="s">
        <v>42</v>
      </c>
      <c r="AC2801" t="s">
        <v>61</v>
      </c>
      <c r="AD2801" t="s">
        <v>334</v>
      </c>
      <c r="AE2801" t="s">
        <v>36</v>
      </c>
    </row>
    <row r="2802" spans="1:31" x14ac:dyDescent="0.3">
      <c r="A2802">
        <v>10142</v>
      </c>
      <c r="B2802">
        <v>39</v>
      </c>
      <c r="C2802">
        <v>44.23</v>
      </c>
      <c r="D2802">
        <v>5</v>
      </c>
      <c r="E2802" s="4" t="str">
        <f t="shared" si="258"/>
        <v>low sales</v>
      </c>
      <c r="F2802">
        <v>1724.97</v>
      </c>
      <c r="G2802" t="s">
        <v>3474</v>
      </c>
      <c r="H2802" s="1" t="str">
        <f t="shared" si="259"/>
        <v>Shipped</v>
      </c>
      <c r="I2802" s="4" t="str">
        <f t="shared" si="260"/>
        <v>completed</v>
      </c>
      <c r="J2802" t="s">
        <v>25</v>
      </c>
      <c r="K2802">
        <v>3</v>
      </c>
      <c r="L2802">
        <v>8</v>
      </c>
      <c r="M2802">
        <v>2003</v>
      </c>
      <c r="N2802" t="s">
        <v>598</v>
      </c>
      <c r="O2802">
        <v>54</v>
      </c>
      <c r="P2802" t="s">
        <v>674</v>
      </c>
      <c r="Q2802" t="s">
        <v>272</v>
      </c>
      <c r="R2802">
        <v>4155551450</v>
      </c>
      <c r="S2802" t="s">
        <v>273</v>
      </c>
      <c r="U2802" s="1" t="str">
        <f t="shared" si="261"/>
        <v>San Rafael</v>
      </c>
      <c r="V2802" t="s">
        <v>274</v>
      </c>
      <c r="W2802" t="s">
        <v>55</v>
      </c>
      <c r="X2802">
        <v>97562</v>
      </c>
      <c r="Y2802" s="1" t="str">
        <f t="shared" si="262"/>
        <v>USA</v>
      </c>
      <c r="Z2802" s="4" t="str">
        <f t="shared" si="263"/>
        <v>Usa</v>
      </c>
      <c r="AA2802" t="s">
        <v>32</v>
      </c>
      <c r="AB2802" t="s">
        <v>33</v>
      </c>
      <c r="AC2802" t="s">
        <v>275</v>
      </c>
      <c r="AD2802" t="s">
        <v>276</v>
      </c>
      <c r="AE2802" t="s">
        <v>36</v>
      </c>
    </row>
    <row r="2803" spans="1:31" x14ac:dyDescent="0.3">
      <c r="A2803">
        <v>10153</v>
      </c>
      <c r="B2803">
        <v>50</v>
      </c>
      <c r="C2803">
        <v>60.06</v>
      </c>
      <c r="D2803">
        <v>4</v>
      </c>
      <c r="E2803" s="4" t="str">
        <f t="shared" si="258"/>
        <v>low sales</v>
      </c>
      <c r="F2803">
        <v>3003</v>
      </c>
      <c r="G2803" t="s">
        <v>3475</v>
      </c>
      <c r="H2803" s="1" t="str">
        <f t="shared" si="259"/>
        <v>Shipped</v>
      </c>
      <c r="I2803" s="4" t="str">
        <f t="shared" si="260"/>
        <v>completed</v>
      </c>
      <c r="J2803" t="s">
        <v>25</v>
      </c>
      <c r="K2803">
        <v>3</v>
      </c>
      <c r="L2803">
        <v>9</v>
      </c>
      <c r="M2803">
        <v>2003</v>
      </c>
      <c r="N2803" t="s">
        <v>598</v>
      </c>
      <c r="O2803">
        <v>54</v>
      </c>
      <c r="P2803" t="s">
        <v>674</v>
      </c>
      <c r="Q2803" t="s">
        <v>174</v>
      </c>
      <c r="R2803" t="s">
        <v>175</v>
      </c>
      <c r="S2803" t="s">
        <v>176</v>
      </c>
      <c r="U2803" s="1" t="str">
        <f t="shared" si="261"/>
        <v>Madrid</v>
      </c>
      <c r="V2803" t="s">
        <v>177</v>
      </c>
      <c r="X2803">
        <v>28034</v>
      </c>
      <c r="Y2803" s="1" t="str">
        <f t="shared" si="262"/>
        <v>SPAIN</v>
      </c>
      <c r="Z2803" s="4" t="str">
        <f t="shared" si="263"/>
        <v>Spain</v>
      </c>
      <c r="AA2803" t="s">
        <v>178</v>
      </c>
      <c r="AB2803" t="s">
        <v>42</v>
      </c>
      <c r="AC2803" t="s">
        <v>179</v>
      </c>
      <c r="AD2803" t="s">
        <v>180</v>
      </c>
      <c r="AE2803" t="s">
        <v>51</v>
      </c>
    </row>
    <row r="2804" spans="1:31" x14ac:dyDescent="0.3">
      <c r="A2804">
        <v>10167</v>
      </c>
      <c r="B2804">
        <v>38</v>
      </c>
      <c r="C2804">
        <v>48.59</v>
      </c>
      <c r="D2804">
        <v>15</v>
      </c>
      <c r="E2804" s="4" t="str">
        <f t="shared" si="258"/>
        <v>low sales</v>
      </c>
      <c r="F2804">
        <v>1846.42</v>
      </c>
      <c r="G2804" t="s">
        <v>3476</v>
      </c>
      <c r="H2804" s="1" t="str">
        <f t="shared" si="259"/>
        <v>Cancelled</v>
      </c>
      <c r="I2804" s="4" t="str">
        <f t="shared" si="260"/>
        <v>not completed</v>
      </c>
      <c r="J2804" t="s">
        <v>339</v>
      </c>
      <c r="K2804">
        <v>4</v>
      </c>
      <c r="L2804">
        <v>10</v>
      </c>
      <c r="M2804">
        <v>2003</v>
      </c>
      <c r="N2804" t="s">
        <v>598</v>
      </c>
      <c r="O2804">
        <v>54</v>
      </c>
      <c r="P2804" t="s">
        <v>674</v>
      </c>
      <c r="Q2804" t="s">
        <v>261</v>
      </c>
      <c r="R2804" t="s">
        <v>262</v>
      </c>
      <c r="S2804" t="s">
        <v>263</v>
      </c>
      <c r="U2804" s="1" t="str">
        <f t="shared" si="261"/>
        <v>Boras</v>
      </c>
      <c r="V2804" t="s">
        <v>264</v>
      </c>
      <c r="X2804" t="s">
        <v>265</v>
      </c>
      <c r="Y2804" s="1" t="str">
        <f t="shared" si="262"/>
        <v>SWEDEN</v>
      </c>
      <c r="Z2804" s="4" t="str">
        <f t="shared" si="263"/>
        <v>Sweden</v>
      </c>
      <c r="AA2804" t="s">
        <v>188</v>
      </c>
      <c r="AB2804" t="s">
        <v>42</v>
      </c>
      <c r="AC2804" t="s">
        <v>266</v>
      </c>
      <c r="AD2804" t="s">
        <v>206</v>
      </c>
      <c r="AE2804" t="s">
        <v>36</v>
      </c>
    </row>
    <row r="2805" spans="1:31" x14ac:dyDescent="0.3">
      <c r="A2805">
        <v>10177</v>
      </c>
      <c r="B2805">
        <v>40</v>
      </c>
      <c r="C2805">
        <v>50.23</v>
      </c>
      <c r="D2805">
        <v>6</v>
      </c>
      <c r="E2805" s="4" t="str">
        <f t="shared" si="258"/>
        <v>low sales</v>
      </c>
      <c r="F2805">
        <v>2009.2</v>
      </c>
      <c r="G2805" t="s">
        <v>3477</v>
      </c>
      <c r="H2805" s="1" t="str">
        <f t="shared" si="259"/>
        <v>Shipped</v>
      </c>
      <c r="I2805" s="4" t="str">
        <f t="shared" si="260"/>
        <v>completed</v>
      </c>
      <c r="J2805" t="s">
        <v>25</v>
      </c>
      <c r="K2805">
        <v>4</v>
      </c>
      <c r="L2805">
        <v>11</v>
      </c>
      <c r="M2805">
        <v>2003</v>
      </c>
      <c r="N2805" t="s">
        <v>598</v>
      </c>
      <c r="O2805">
        <v>54</v>
      </c>
      <c r="P2805" t="s">
        <v>674</v>
      </c>
      <c r="Q2805" t="s">
        <v>487</v>
      </c>
      <c r="R2805" t="s">
        <v>488</v>
      </c>
      <c r="S2805" t="s">
        <v>489</v>
      </c>
      <c r="U2805" s="1" t="str">
        <f t="shared" si="261"/>
        <v>Madrid</v>
      </c>
      <c r="V2805" t="s">
        <v>177</v>
      </c>
      <c r="X2805">
        <v>28023</v>
      </c>
      <c r="Y2805" s="1" t="str">
        <f t="shared" si="262"/>
        <v>SPAIN</v>
      </c>
      <c r="Z2805" s="4" t="str">
        <f t="shared" si="263"/>
        <v>Spain</v>
      </c>
      <c r="AA2805" t="s">
        <v>178</v>
      </c>
      <c r="AB2805" t="s">
        <v>42</v>
      </c>
      <c r="AC2805" t="s">
        <v>490</v>
      </c>
      <c r="AD2805" t="s">
        <v>491</v>
      </c>
      <c r="AE2805" t="s">
        <v>36</v>
      </c>
    </row>
    <row r="2806" spans="1:31" x14ac:dyDescent="0.3">
      <c r="A2806">
        <v>10185</v>
      </c>
      <c r="B2806">
        <v>28</v>
      </c>
      <c r="C2806">
        <v>64.430000000000007</v>
      </c>
      <c r="D2806">
        <v>6</v>
      </c>
      <c r="E2806" s="4" t="str">
        <f t="shared" si="258"/>
        <v>low sales</v>
      </c>
      <c r="F2806">
        <v>1804.04</v>
      </c>
      <c r="G2806" t="s">
        <v>3478</v>
      </c>
      <c r="H2806" s="1" t="str">
        <f t="shared" si="259"/>
        <v>Shipped</v>
      </c>
      <c r="I2806" s="4" t="str">
        <f t="shared" si="260"/>
        <v>completed</v>
      </c>
      <c r="J2806" t="s">
        <v>25</v>
      </c>
      <c r="K2806">
        <v>4</v>
      </c>
      <c r="L2806">
        <v>11</v>
      </c>
      <c r="M2806">
        <v>2003</v>
      </c>
      <c r="N2806" t="s">
        <v>598</v>
      </c>
      <c r="O2806">
        <v>54</v>
      </c>
      <c r="P2806" t="s">
        <v>674</v>
      </c>
      <c r="Q2806" t="s">
        <v>335</v>
      </c>
      <c r="R2806">
        <v>5085559555</v>
      </c>
      <c r="S2806" t="s">
        <v>336</v>
      </c>
      <c r="U2806" s="1" t="str">
        <f t="shared" si="261"/>
        <v>New Bedford</v>
      </c>
      <c r="V2806" t="s">
        <v>162</v>
      </c>
      <c r="W2806" t="s">
        <v>123</v>
      </c>
      <c r="X2806">
        <v>50553</v>
      </c>
      <c r="Y2806" s="1" t="str">
        <f t="shared" si="262"/>
        <v>USA</v>
      </c>
      <c r="Z2806" s="4" t="str">
        <f t="shared" si="263"/>
        <v>Usa</v>
      </c>
      <c r="AA2806" t="s">
        <v>32</v>
      </c>
      <c r="AB2806" t="s">
        <v>33</v>
      </c>
      <c r="AC2806" t="s">
        <v>337</v>
      </c>
      <c r="AD2806" t="s">
        <v>338</v>
      </c>
      <c r="AE2806" t="s">
        <v>36</v>
      </c>
    </row>
    <row r="2807" spans="1:31" x14ac:dyDescent="0.3">
      <c r="A2807">
        <v>10197</v>
      </c>
      <c r="B2807">
        <v>42</v>
      </c>
      <c r="C2807">
        <v>50.23</v>
      </c>
      <c r="D2807">
        <v>12</v>
      </c>
      <c r="E2807" s="4" t="str">
        <f t="shared" si="258"/>
        <v>low sales</v>
      </c>
      <c r="F2807">
        <v>2109.66</v>
      </c>
      <c r="G2807" t="s">
        <v>3479</v>
      </c>
      <c r="H2807" s="1" t="str">
        <f t="shared" si="259"/>
        <v>Shipped</v>
      </c>
      <c r="I2807" s="4" t="str">
        <f t="shared" si="260"/>
        <v>completed</v>
      </c>
      <c r="J2807" t="s">
        <v>25</v>
      </c>
      <c r="K2807">
        <v>4</v>
      </c>
      <c r="L2807">
        <v>11</v>
      </c>
      <c r="M2807">
        <v>2003</v>
      </c>
      <c r="N2807" t="s">
        <v>598</v>
      </c>
      <c r="O2807">
        <v>54</v>
      </c>
      <c r="P2807" t="s">
        <v>674</v>
      </c>
      <c r="Q2807" t="s">
        <v>352</v>
      </c>
      <c r="R2807" t="s">
        <v>353</v>
      </c>
      <c r="S2807" t="s">
        <v>354</v>
      </c>
      <c r="U2807" s="1" t="str">
        <f t="shared" si="261"/>
        <v>Barcelona</v>
      </c>
      <c r="V2807" t="s">
        <v>355</v>
      </c>
      <c r="X2807">
        <v>8022</v>
      </c>
      <c r="Y2807" s="1" t="str">
        <f t="shared" si="262"/>
        <v>SPAIN</v>
      </c>
      <c r="Z2807" s="4" t="str">
        <f t="shared" si="263"/>
        <v>Spain</v>
      </c>
      <c r="AA2807" t="s">
        <v>178</v>
      </c>
      <c r="AB2807" t="s">
        <v>42</v>
      </c>
      <c r="AC2807" t="s">
        <v>356</v>
      </c>
      <c r="AD2807" t="s">
        <v>357</v>
      </c>
      <c r="AE2807" t="s">
        <v>36</v>
      </c>
    </row>
    <row r="2808" spans="1:31" x14ac:dyDescent="0.3">
      <c r="A2808">
        <v>10208</v>
      </c>
      <c r="B2808">
        <v>42</v>
      </c>
      <c r="C2808">
        <v>63.88</v>
      </c>
      <c r="D2808">
        <v>6</v>
      </c>
      <c r="E2808" s="4" t="str">
        <f t="shared" si="258"/>
        <v>low sales</v>
      </c>
      <c r="F2808">
        <v>2682.96</v>
      </c>
      <c r="G2808" t="s">
        <v>3480</v>
      </c>
      <c r="H2808" s="1" t="str">
        <f t="shared" si="259"/>
        <v>Shipped</v>
      </c>
      <c r="I2808" s="4" t="str">
        <f t="shared" si="260"/>
        <v>completed</v>
      </c>
      <c r="J2808" t="s">
        <v>25</v>
      </c>
      <c r="K2808">
        <v>1</v>
      </c>
      <c r="L2808">
        <v>1</v>
      </c>
      <c r="M2808">
        <v>2004</v>
      </c>
      <c r="N2808" t="s">
        <v>598</v>
      </c>
      <c r="O2808">
        <v>54</v>
      </c>
      <c r="P2808" t="s">
        <v>674</v>
      </c>
      <c r="Q2808" t="s">
        <v>219</v>
      </c>
      <c r="R2808" t="s">
        <v>220</v>
      </c>
      <c r="S2808" t="s">
        <v>221</v>
      </c>
      <c r="U2808" s="1" t="str">
        <f t="shared" si="261"/>
        <v>Lyon</v>
      </c>
      <c r="V2808" t="s">
        <v>222</v>
      </c>
      <c r="X2808">
        <v>69004</v>
      </c>
      <c r="Y2808" s="1" t="str">
        <f t="shared" si="262"/>
        <v>FRANCE</v>
      </c>
      <c r="Z2808" s="4" t="str">
        <f t="shared" si="263"/>
        <v>France</v>
      </c>
      <c r="AA2808" t="s">
        <v>41</v>
      </c>
      <c r="AB2808" t="s">
        <v>42</v>
      </c>
      <c r="AC2808" t="s">
        <v>223</v>
      </c>
      <c r="AD2808" t="s">
        <v>224</v>
      </c>
      <c r="AE2808" t="s">
        <v>36</v>
      </c>
    </row>
    <row r="2809" spans="1:31" x14ac:dyDescent="0.3">
      <c r="A2809">
        <v>10222</v>
      </c>
      <c r="B2809">
        <v>36</v>
      </c>
      <c r="C2809">
        <v>63.34</v>
      </c>
      <c r="D2809">
        <v>18</v>
      </c>
      <c r="E2809" s="4" t="str">
        <f t="shared" si="258"/>
        <v>low sales</v>
      </c>
      <c r="F2809">
        <v>2280.2399999999998</v>
      </c>
      <c r="G2809" t="s">
        <v>3481</v>
      </c>
      <c r="H2809" s="1" t="str">
        <f t="shared" si="259"/>
        <v>Shipped</v>
      </c>
      <c r="I2809" s="4" t="str">
        <f t="shared" si="260"/>
        <v>completed</v>
      </c>
      <c r="J2809" t="s">
        <v>25</v>
      </c>
      <c r="K2809">
        <v>1</v>
      </c>
      <c r="L2809">
        <v>2</v>
      </c>
      <c r="M2809">
        <v>2004</v>
      </c>
      <c r="N2809" t="s">
        <v>598</v>
      </c>
      <c r="O2809">
        <v>54</v>
      </c>
      <c r="P2809" t="s">
        <v>674</v>
      </c>
      <c r="Q2809" t="s">
        <v>362</v>
      </c>
      <c r="R2809">
        <v>7605558146</v>
      </c>
      <c r="S2809" t="s">
        <v>363</v>
      </c>
      <c r="U2809" s="1" t="str">
        <f t="shared" si="261"/>
        <v>San Diego</v>
      </c>
      <c r="V2809" t="s">
        <v>364</v>
      </c>
      <c r="W2809" t="s">
        <v>55</v>
      </c>
      <c r="X2809">
        <v>91217</v>
      </c>
      <c r="Y2809" s="1" t="str">
        <f t="shared" si="262"/>
        <v>USA</v>
      </c>
      <c r="Z2809" s="4" t="str">
        <f t="shared" si="263"/>
        <v>Usa</v>
      </c>
      <c r="AA2809" t="s">
        <v>32</v>
      </c>
      <c r="AB2809" t="s">
        <v>33</v>
      </c>
      <c r="AC2809" t="s">
        <v>237</v>
      </c>
      <c r="AD2809" t="s">
        <v>276</v>
      </c>
      <c r="AE2809" t="s">
        <v>36</v>
      </c>
    </row>
    <row r="2810" spans="1:31" x14ac:dyDescent="0.3">
      <c r="A2810">
        <v>10232</v>
      </c>
      <c r="B2810">
        <v>24</v>
      </c>
      <c r="C2810">
        <v>49.69</v>
      </c>
      <c r="D2810">
        <v>3</v>
      </c>
      <c r="E2810" s="4" t="str">
        <f t="shared" si="258"/>
        <v>low sales</v>
      </c>
      <c r="F2810">
        <v>1192.56</v>
      </c>
      <c r="G2810" t="s">
        <v>3482</v>
      </c>
      <c r="H2810" s="1" t="str">
        <f t="shared" si="259"/>
        <v>Shipped</v>
      </c>
      <c r="I2810" s="4" t="str">
        <f t="shared" si="260"/>
        <v>completed</v>
      </c>
      <c r="J2810" t="s">
        <v>25</v>
      </c>
      <c r="K2810">
        <v>1</v>
      </c>
      <c r="L2810">
        <v>3</v>
      </c>
      <c r="M2810">
        <v>2004</v>
      </c>
      <c r="N2810" t="s">
        <v>598</v>
      </c>
      <c r="O2810">
        <v>54</v>
      </c>
      <c r="P2810" t="s">
        <v>674</v>
      </c>
      <c r="Q2810" t="s">
        <v>383</v>
      </c>
      <c r="R2810" t="s">
        <v>384</v>
      </c>
      <c r="S2810" t="s">
        <v>385</v>
      </c>
      <c r="U2810" s="1" t="str">
        <f t="shared" si="261"/>
        <v>Cowes</v>
      </c>
      <c r="V2810" t="s">
        <v>386</v>
      </c>
      <c r="W2810" t="s">
        <v>387</v>
      </c>
      <c r="X2810" t="s">
        <v>388</v>
      </c>
      <c r="Y2810" s="1" t="str">
        <f t="shared" si="262"/>
        <v>UK</v>
      </c>
      <c r="Z2810" s="4" t="str">
        <f t="shared" si="263"/>
        <v>Uk</v>
      </c>
      <c r="AA2810" t="s">
        <v>170</v>
      </c>
      <c r="AB2810" t="s">
        <v>42</v>
      </c>
      <c r="AC2810" t="s">
        <v>389</v>
      </c>
      <c r="AD2810" t="s">
        <v>390</v>
      </c>
      <c r="AE2810" t="s">
        <v>36</v>
      </c>
    </row>
    <row r="2811" spans="1:31" x14ac:dyDescent="0.3">
      <c r="A2811">
        <v>10248</v>
      </c>
      <c r="B2811">
        <v>23</v>
      </c>
      <c r="C2811">
        <v>65.52</v>
      </c>
      <c r="D2811">
        <v>9</v>
      </c>
      <c r="E2811" s="4" t="str">
        <f t="shared" si="258"/>
        <v>low sales</v>
      </c>
      <c r="F2811">
        <v>1506.96</v>
      </c>
      <c r="G2811" t="s">
        <v>3483</v>
      </c>
      <c r="H2811" s="1" t="str">
        <f t="shared" si="259"/>
        <v>Cancelled</v>
      </c>
      <c r="I2811" s="4" t="str">
        <f t="shared" si="260"/>
        <v>not completed</v>
      </c>
      <c r="J2811" t="s">
        <v>339</v>
      </c>
      <c r="K2811">
        <v>2</v>
      </c>
      <c r="L2811">
        <v>5</v>
      </c>
      <c r="M2811">
        <v>2004</v>
      </c>
      <c r="N2811" t="s">
        <v>598</v>
      </c>
      <c r="O2811">
        <v>54</v>
      </c>
      <c r="P2811" t="s">
        <v>674</v>
      </c>
      <c r="Q2811" t="s">
        <v>28</v>
      </c>
      <c r="R2811">
        <v>2125557818</v>
      </c>
      <c r="S2811" t="s">
        <v>29</v>
      </c>
      <c r="U2811" s="1" t="str">
        <f t="shared" si="261"/>
        <v>Nyc</v>
      </c>
      <c r="V2811" t="s">
        <v>30</v>
      </c>
      <c r="W2811" t="s">
        <v>31</v>
      </c>
      <c r="X2811">
        <v>10022</v>
      </c>
      <c r="Y2811" s="1" t="str">
        <f t="shared" si="262"/>
        <v>USA</v>
      </c>
      <c r="Z2811" s="4" t="str">
        <f t="shared" si="263"/>
        <v>Usa</v>
      </c>
      <c r="AA2811" t="s">
        <v>32</v>
      </c>
      <c r="AB2811" t="s">
        <v>33</v>
      </c>
      <c r="AC2811" t="s">
        <v>34</v>
      </c>
      <c r="AD2811" t="s">
        <v>35</v>
      </c>
      <c r="AE2811" t="s">
        <v>36</v>
      </c>
    </row>
    <row r="2812" spans="1:31" x14ac:dyDescent="0.3">
      <c r="A2812">
        <v>10261</v>
      </c>
      <c r="B2812">
        <v>29</v>
      </c>
      <c r="C2812">
        <v>50.78</v>
      </c>
      <c r="D2812">
        <v>7</v>
      </c>
      <c r="E2812" s="4" t="str">
        <f t="shared" si="258"/>
        <v>low sales</v>
      </c>
      <c r="F2812">
        <v>1472.62</v>
      </c>
      <c r="G2812" t="s">
        <v>3484</v>
      </c>
      <c r="H2812" s="1" t="str">
        <f t="shared" si="259"/>
        <v>Shipped</v>
      </c>
      <c r="I2812" s="4" t="str">
        <f t="shared" si="260"/>
        <v>completed</v>
      </c>
      <c r="J2812" t="s">
        <v>25</v>
      </c>
      <c r="K2812">
        <v>2</v>
      </c>
      <c r="L2812">
        <v>6</v>
      </c>
      <c r="M2812">
        <v>2004</v>
      </c>
      <c r="N2812" t="s">
        <v>598</v>
      </c>
      <c r="O2812">
        <v>54</v>
      </c>
      <c r="P2812" t="s">
        <v>674</v>
      </c>
      <c r="Q2812" t="s">
        <v>292</v>
      </c>
      <c r="R2812" t="s">
        <v>293</v>
      </c>
      <c r="S2812" t="s">
        <v>294</v>
      </c>
      <c r="U2812" s="1" t="str">
        <f t="shared" si="261"/>
        <v>Montreal</v>
      </c>
      <c r="V2812" t="s">
        <v>295</v>
      </c>
      <c r="W2812" t="s">
        <v>296</v>
      </c>
      <c r="X2812" t="s">
        <v>297</v>
      </c>
      <c r="Y2812" s="1" t="str">
        <f t="shared" si="262"/>
        <v>CANADA</v>
      </c>
      <c r="Z2812" s="4" t="str">
        <f t="shared" si="263"/>
        <v>Canada</v>
      </c>
      <c r="AA2812" t="s">
        <v>231</v>
      </c>
      <c r="AB2812" t="s">
        <v>33</v>
      </c>
      <c r="AC2812" t="s">
        <v>298</v>
      </c>
      <c r="AD2812" t="s">
        <v>299</v>
      </c>
      <c r="AE2812" t="s">
        <v>36</v>
      </c>
    </row>
    <row r="2813" spans="1:31" x14ac:dyDescent="0.3">
      <c r="A2813">
        <v>10273</v>
      </c>
      <c r="B2813">
        <v>37</v>
      </c>
      <c r="C2813">
        <v>45.86</v>
      </c>
      <c r="D2813">
        <v>10</v>
      </c>
      <c r="E2813" s="4" t="str">
        <f t="shared" si="258"/>
        <v>low sales</v>
      </c>
      <c r="F2813">
        <v>1696.82</v>
      </c>
      <c r="G2813" t="s">
        <v>3485</v>
      </c>
      <c r="H2813" s="1" t="str">
        <f t="shared" si="259"/>
        <v>Shipped</v>
      </c>
      <c r="I2813" s="4" t="str">
        <f t="shared" si="260"/>
        <v>completed</v>
      </c>
      <c r="J2813" t="s">
        <v>25</v>
      </c>
      <c r="K2813">
        <v>3</v>
      </c>
      <c r="L2813">
        <v>7</v>
      </c>
      <c r="M2813">
        <v>2004</v>
      </c>
      <c r="N2813" t="s">
        <v>598</v>
      </c>
      <c r="O2813">
        <v>54</v>
      </c>
      <c r="P2813" t="s">
        <v>674</v>
      </c>
      <c r="Q2813" t="s">
        <v>365</v>
      </c>
      <c r="R2813" t="s">
        <v>366</v>
      </c>
      <c r="S2813" t="s">
        <v>367</v>
      </c>
      <c r="U2813" s="1" t="str">
        <f t="shared" si="261"/>
        <v>Bruxelles</v>
      </c>
      <c r="V2813" t="s">
        <v>368</v>
      </c>
      <c r="X2813" t="s">
        <v>369</v>
      </c>
      <c r="Y2813" s="1" t="str">
        <f t="shared" si="262"/>
        <v>BELGIUM</v>
      </c>
      <c r="Z2813" s="4" t="str">
        <f t="shared" si="263"/>
        <v>Belgium</v>
      </c>
      <c r="AA2813" t="s">
        <v>370</v>
      </c>
      <c r="AB2813" t="s">
        <v>42</v>
      </c>
      <c r="AC2813" t="s">
        <v>371</v>
      </c>
      <c r="AD2813" t="s">
        <v>372</v>
      </c>
      <c r="AE2813" t="s">
        <v>36</v>
      </c>
    </row>
    <row r="2814" spans="1:31" x14ac:dyDescent="0.3">
      <c r="A2814">
        <v>10283</v>
      </c>
      <c r="B2814">
        <v>33</v>
      </c>
      <c r="C2814">
        <v>51.32</v>
      </c>
      <c r="D2814">
        <v>12</v>
      </c>
      <c r="E2814" s="4" t="str">
        <f t="shared" si="258"/>
        <v>low sales</v>
      </c>
      <c r="F2814">
        <v>1693.56</v>
      </c>
      <c r="G2814" t="s">
        <v>3486</v>
      </c>
      <c r="H2814" s="1" t="str">
        <f t="shared" si="259"/>
        <v>Shipped</v>
      </c>
      <c r="I2814" s="4" t="str">
        <f t="shared" si="260"/>
        <v>completed</v>
      </c>
      <c r="J2814" t="s">
        <v>25</v>
      </c>
      <c r="K2814">
        <v>3</v>
      </c>
      <c r="L2814">
        <v>8</v>
      </c>
      <c r="M2814">
        <v>2004</v>
      </c>
      <c r="N2814" t="s">
        <v>598</v>
      </c>
      <c r="O2814">
        <v>54</v>
      </c>
      <c r="P2814" t="s">
        <v>674</v>
      </c>
      <c r="Q2814" t="s">
        <v>373</v>
      </c>
      <c r="R2814" t="s">
        <v>374</v>
      </c>
      <c r="S2814" t="s">
        <v>375</v>
      </c>
      <c r="U2814" s="1" t="str">
        <f t="shared" si="261"/>
        <v>Tsawassen</v>
      </c>
      <c r="V2814" t="s">
        <v>376</v>
      </c>
      <c r="W2814" t="s">
        <v>229</v>
      </c>
      <c r="X2814" t="s">
        <v>377</v>
      </c>
      <c r="Y2814" s="1" t="str">
        <f t="shared" si="262"/>
        <v>CANADA</v>
      </c>
      <c r="Z2814" s="4" t="str">
        <f t="shared" si="263"/>
        <v>Canada</v>
      </c>
      <c r="AA2814" t="s">
        <v>231</v>
      </c>
      <c r="AB2814" t="s">
        <v>33</v>
      </c>
      <c r="AC2814" t="s">
        <v>378</v>
      </c>
      <c r="AD2814" t="s">
        <v>172</v>
      </c>
      <c r="AE2814" t="s">
        <v>36</v>
      </c>
    </row>
    <row r="2815" spans="1:31" x14ac:dyDescent="0.3">
      <c r="A2815">
        <v>10293</v>
      </c>
      <c r="B2815">
        <v>32</v>
      </c>
      <c r="C2815">
        <v>60.06</v>
      </c>
      <c r="D2815">
        <v>1</v>
      </c>
      <c r="E2815" s="4" t="str">
        <f t="shared" si="258"/>
        <v>low sales</v>
      </c>
      <c r="F2815">
        <v>1921.92</v>
      </c>
      <c r="G2815" t="s">
        <v>3487</v>
      </c>
      <c r="H2815" s="1" t="str">
        <f t="shared" si="259"/>
        <v>Shipped</v>
      </c>
      <c r="I2815" s="4" t="str">
        <f t="shared" si="260"/>
        <v>completed</v>
      </c>
      <c r="J2815" t="s">
        <v>25</v>
      </c>
      <c r="K2815">
        <v>3</v>
      </c>
      <c r="L2815">
        <v>9</v>
      </c>
      <c r="M2815">
        <v>2004</v>
      </c>
      <c r="N2815" t="s">
        <v>598</v>
      </c>
      <c r="O2815">
        <v>54</v>
      </c>
      <c r="P2815" t="s">
        <v>674</v>
      </c>
      <c r="Q2815" t="s">
        <v>254</v>
      </c>
      <c r="R2815" t="s">
        <v>255</v>
      </c>
      <c r="S2815" t="s">
        <v>256</v>
      </c>
      <c r="U2815" s="1" t="str">
        <f t="shared" si="261"/>
        <v>Torino</v>
      </c>
      <c r="V2815" t="s">
        <v>257</v>
      </c>
      <c r="X2815">
        <v>10100</v>
      </c>
      <c r="Y2815" s="1" t="str">
        <f t="shared" si="262"/>
        <v>ITALY</v>
      </c>
      <c r="Z2815" s="4" t="str">
        <f t="shared" si="263"/>
        <v>Italy</v>
      </c>
      <c r="AA2815" t="s">
        <v>258</v>
      </c>
      <c r="AB2815" t="s">
        <v>42</v>
      </c>
      <c r="AC2815" t="s">
        <v>259</v>
      </c>
      <c r="AD2815" t="s">
        <v>260</v>
      </c>
      <c r="AE2815" t="s">
        <v>36</v>
      </c>
    </row>
    <row r="2816" spans="1:31" x14ac:dyDescent="0.3">
      <c r="A2816">
        <v>10306</v>
      </c>
      <c r="B2816">
        <v>35</v>
      </c>
      <c r="C2816">
        <v>59.51</v>
      </c>
      <c r="D2816">
        <v>6</v>
      </c>
      <c r="E2816" s="4" t="str">
        <f t="shared" si="258"/>
        <v>low sales</v>
      </c>
      <c r="F2816">
        <v>2082.85</v>
      </c>
      <c r="G2816" t="s">
        <v>3488</v>
      </c>
      <c r="H2816" s="1" t="str">
        <f t="shared" si="259"/>
        <v>Shipped</v>
      </c>
      <c r="I2816" s="4" t="str">
        <f t="shared" si="260"/>
        <v>completed</v>
      </c>
      <c r="J2816" t="s">
        <v>25</v>
      </c>
      <c r="K2816">
        <v>4</v>
      </c>
      <c r="L2816">
        <v>10</v>
      </c>
      <c r="M2816">
        <v>2004</v>
      </c>
      <c r="N2816" t="s">
        <v>598</v>
      </c>
      <c r="O2816">
        <v>54</v>
      </c>
      <c r="P2816" t="s">
        <v>674</v>
      </c>
      <c r="Q2816" t="s">
        <v>492</v>
      </c>
      <c r="R2816" t="s">
        <v>493</v>
      </c>
      <c r="S2816" t="s">
        <v>494</v>
      </c>
      <c r="U2816" s="1" t="str">
        <f t="shared" si="261"/>
        <v>Manchester</v>
      </c>
      <c r="V2816" t="s">
        <v>495</v>
      </c>
      <c r="X2816" t="s">
        <v>496</v>
      </c>
      <c r="Y2816" s="1" t="str">
        <f t="shared" si="262"/>
        <v>UK</v>
      </c>
      <c r="Z2816" s="4" t="str">
        <f t="shared" si="263"/>
        <v>Uk</v>
      </c>
      <c r="AA2816" t="s">
        <v>170</v>
      </c>
      <c r="AB2816" t="s">
        <v>42</v>
      </c>
      <c r="AC2816" t="s">
        <v>497</v>
      </c>
      <c r="AD2816" t="s">
        <v>94</v>
      </c>
      <c r="AE2816" t="s">
        <v>36</v>
      </c>
    </row>
    <row r="2817" spans="1:31" x14ac:dyDescent="0.3">
      <c r="A2817">
        <v>10315</v>
      </c>
      <c r="B2817">
        <v>40</v>
      </c>
      <c r="C2817">
        <v>55.69</v>
      </c>
      <c r="D2817">
        <v>5</v>
      </c>
      <c r="E2817" s="4" t="str">
        <f t="shared" si="258"/>
        <v>low sales</v>
      </c>
      <c r="F2817">
        <v>2227.6</v>
      </c>
      <c r="G2817" t="s">
        <v>3489</v>
      </c>
      <c r="H2817" s="1" t="str">
        <f t="shared" si="259"/>
        <v>Shipped</v>
      </c>
      <c r="I2817" s="4" t="str">
        <f t="shared" si="260"/>
        <v>completed</v>
      </c>
      <c r="J2817" t="s">
        <v>25</v>
      </c>
      <c r="K2817">
        <v>4</v>
      </c>
      <c r="L2817">
        <v>10</v>
      </c>
      <c r="M2817">
        <v>2004</v>
      </c>
      <c r="N2817" t="s">
        <v>598</v>
      </c>
      <c r="O2817">
        <v>54</v>
      </c>
      <c r="P2817" t="s">
        <v>674</v>
      </c>
      <c r="Q2817" t="s">
        <v>114</v>
      </c>
      <c r="R2817" t="s">
        <v>115</v>
      </c>
      <c r="S2817" t="s">
        <v>116</v>
      </c>
      <c r="U2817" s="1" t="str">
        <f t="shared" si="261"/>
        <v>Nantes</v>
      </c>
      <c r="V2817" t="s">
        <v>117</v>
      </c>
      <c r="X2817">
        <v>44000</v>
      </c>
      <c r="Y2817" s="1" t="str">
        <f t="shared" si="262"/>
        <v>FRANCE</v>
      </c>
      <c r="Z2817" s="4" t="str">
        <f t="shared" si="263"/>
        <v>France</v>
      </c>
      <c r="AA2817" t="s">
        <v>41</v>
      </c>
      <c r="AB2817" t="s">
        <v>42</v>
      </c>
      <c r="AC2817" t="s">
        <v>118</v>
      </c>
      <c r="AD2817" t="s">
        <v>119</v>
      </c>
      <c r="AE2817" t="s">
        <v>36</v>
      </c>
    </row>
    <row r="2818" spans="1:31" x14ac:dyDescent="0.3">
      <c r="A2818">
        <v>10327</v>
      </c>
      <c r="B2818">
        <v>37</v>
      </c>
      <c r="C2818">
        <v>86.74</v>
      </c>
      <c r="D2818">
        <v>4</v>
      </c>
      <c r="E2818" s="4" t="str">
        <f t="shared" si="258"/>
        <v>low sales</v>
      </c>
      <c r="F2818">
        <v>3209.38</v>
      </c>
      <c r="G2818" t="s">
        <v>3490</v>
      </c>
      <c r="H2818" s="1" t="str">
        <f t="shared" si="259"/>
        <v>Resolved</v>
      </c>
      <c r="I2818" s="4" t="str">
        <f t="shared" si="260"/>
        <v>not completed</v>
      </c>
      <c r="J2818" t="s">
        <v>408</v>
      </c>
      <c r="K2818">
        <v>4</v>
      </c>
      <c r="L2818">
        <v>11</v>
      </c>
      <c r="M2818">
        <v>2004</v>
      </c>
      <c r="N2818" t="s">
        <v>598</v>
      </c>
      <c r="O2818">
        <v>54</v>
      </c>
      <c r="P2818" t="s">
        <v>674</v>
      </c>
      <c r="Q2818" t="s">
        <v>322</v>
      </c>
      <c r="R2818" t="s">
        <v>323</v>
      </c>
      <c r="S2818" t="s">
        <v>324</v>
      </c>
      <c r="U2818" s="1" t="str">
        <f t="shared" si="261"/>
        <v>Kobenhavn</v>
      </c>
      <c r="V2818" t="s">
        <v>325</v>
      </c>
      <c r="X2818">
        <v>1734</v>
      </c>
      <c r="Y2818" s="1" t="str">
        <f t="shared" si="262"/>
        <v>DENMARK</v>
      </c>
      <c r="Z2818" s="4" t="str">
        <f t="shared" si="263"/>
        <v>Denmark</v>
      </c>
      <c r="AA2818" t="s">
        <v>326</v>
      </c>
      <c r="AB2818" t="s">
        <v>42</v>
      </c>
      <c r="AC2818" t="s">
        <v>327</v>
      </c>
      <c r="AD2818" t="s">
        <v>328</v>
      </c>
      <c r="AE2818" t="s">
        <v>51</v>
      </c>
    </row>
    <row r="2819" spans="1:31" x14ac:dyDescent="0.3">
      <c r="A2819">
        <v>10337</v>
      </c>
      <c r="B2819">
        <v>42</v>
      </c>
      <c r="C2819">
        <v>97.16</v>
      </c>
      <c r="D2819">
        <v>5</v>
      </c>
      <c r="E2819" s="4" t="str">
        <f t="shared" ref="E2819:E2824" si="264">IF(F2819&gt;4000,"high sales","low sales")</f>
        <v>high sales</v>
      </c>
      <c r="F2819">
        <v>4080.72</v>
      </c>
      <c r="G2819" t="s">
        <v>3491</v>
      </c>
      <c r="H2819" s="1" t="str">
        <f t="shared" ref="H2819:H2824" si="265">PROPER(TRIM(J2819))</f>
        <v>Shipped</v>
      </c>
      <c r="I2819" s="4" t="str">
        <f t="shared" ref="I2819:I2824" si="266">IF(J2819="shipped","completed","not completed")</f>
        <v>completed</v>
      </c>
      <c r="J2819" t="s">
        <v>25</v>
      </c>
      <c r="K2819">
        <v>4</v>
      </c>
      <c r="L2819">
        <v>11</v>
      </c>
      <c r="M2819">
        <v>2004</v>
      </c>
      <c r="N2819" t="s">
        <v>598</v>
      </c>
      <c r="O2819">
        <v>54</v>
      </c>
      <c r="P2819" t="s">
        <v>674</v>
      </c>
      <c r="Q2819" t="s">
        <v>203</v>
      </c>
      <c r="R2819">
        <v>2125558493</v>
      </c>
      <c r="S2819" t="s">
        <v>204</v>
      </c>
      <c r="T2819" t="s">
        <v>205</v>
      </c>
      <c r="U2819" s="1" t="str">
        <f t="shared" ref="U2819:U2824" si="267">PROPER(TRIM(V2819))</f>
        <v>Nyc</v>
      </c>
      <c r="V2819" t="s">
        <v>30</v>
      </c>
      <c r="W2819" t="s">
        <v>31</v>
      </c>
      <c r="X2819">
        <v>10022</v>
      </c>
      <c r="Y2819" s="1" t="str">
        <f t="shared" ref="Y2819:Y2824" si="268">UPPER(TRIM(AA2819))</f>
        <v>USA</v>
      </c>
      <c r="Z2819" s="4" t="str">
        <f t="shared" ref="Z2819:Z2824" si="269">PROPER(TRIM(AA2819))</f>
        <v>Usa</v>
      </c>
      <c r="AA2819" t="s">
        <v>32</v>
      </c>
      <c r="AB2819" t="s">
        <v>33</v>
      </c>
      <c r="AC2819" t="s">
        <v>124</v>
      </c>
      <c r="AD2819" t="s">
        <v>206</v>
      </c>
      <c r="AE2819" t="s">
        <v>51</v>
      </c>
    </row>
    <row r="2820" spans="1:31" x14ac:dyDescent="0.3">
      <c r="A2820">
        <v>10350</v>
      </c>
      <c r="B2820">
        <v>20</v>
      </c>
      <c r="C2820">
        <v>100</v>
      </c>
      <c r="D2820">
        <v>15</v>
      </c>
      <c r="E2820" s="4" t="str">
        <f t="shared" si="264"/>
        <v>low sales</v>
      </c>
      <c r="F2820">
        <v>2244.4</v>
      </c>
      <c r="G2820" t="s">
        <v>3492</v>
      </c>
      <c r="H2820" s="1" t="str">
        <f t="shared" si="265"/>
        <v>Shipped</v>
      </c>
      <c r="I2820" s="4" t="str">
        <f t="shared" si="266"/>
        <v>completed</v>
      </c>
      <c r="J2820" t="s">
        <v>25</v>
      </c>
      <c r="K2820">
        <v>4</v>
      </c>
      <c r="L2820">
        <v>12</v>
      </c>
      <c r="M2820">
        <v>2004</v>
      </c>
      <c r="N2820" t="s">
        <v>598</v>
      </c>
      <c r="O2820">
        <v>54</v>
      </c>
      <c r="P2820" t="s">
        <v>674</v>
      </c>
      <c r="Q2820" t="s">
        <v>174</v>
      </c>
      <c r="R2820" t="s">
        <v>175</v>
      </c>
      <c r="S2820" t="s">
        <v>176</v>
      </c>
      <c r="U2820" s="1" t="str">
        <f t="shared" si="267"/>
        <v>Madrid</v>
      </c>
      <c r="V2820" t="s">
        <v>177</v>
      </c>
      <c r="X2820">
        <v>28034</v>
      </c>
      <c r="Y2820" s="1" t="str">
        <f t="shared" si="268"/>
        <v>SPAIN</v>
      </c>
      <c r="Z2820" s="4" t="str">
        <f t="shared" si="269"/>
        <v>Spain</v>
      </c>
      <c r="AA2820" t="s">
        <v>178</v>
      </c>
      <c r="AB2820" t="s">
        <v>42</v>
      </c>
      <c r="AC2820" t="s">
        <v>179</v>
      </c>
      <c r="AD2820" t="s">
        <v>180</v>
      </c>
      <c r="AE2820" t="s">
        <v>36</v>
      </c>
    </row>
    <row r="2821" spans="1:31" x14ac:dyDescent="0.3">
      <c r="A2821">
        <v>10373</v>
      </c>
      <c r="B2821">
        <v>29</v>
      </c>
      <c r="C2821">
        <v>100</v>
      </c>
      <c r="D2821">
        <v>1</v>
      </c>
      <c r="E2821" s="4" t="str">
        <f t="shared" si="264"/>
        <v>low sales</v>
      </c>
      <c r="F2821">
        <v>3978.51</v>
      </c>
      <c r="G2821" t="s">
        <v>3493</v>
      </c>
      <c r="H2821" s="1" t="str">
        <f t="shared" si="265"/>
        <v>Shipped</v>
      </c>
      <c r="I2821" s="4" t="str">
        <f t="shared" si="266"/>
        <v>completed</v>
      </c>
      <c r="J2821" t="s">
        <v>25</v>
      </c>
      <c r="K2821">
        <v>1</v>
      </c>
      <c r="L2821">
        <v>1</v>
      </c>
      <c r="M2821">
        <v>2005</v>
      </c>
      <c r="N2821" t="s">
        <v>598</v>
      </c>
      <c r="O2821">
        <v>54</v>
      </c>
      <c r="P2821" t="s">
        <v>674</v>
      </c>
      <c r="Q2821" t="s">
        <v>391</v>
      </c>
      <c r="R2821" t="s">
        <v>392</v>
      </c>
      <c r="S2821" t="s">
        <v>393</v>
      </c>
      <c r="U2821" s="1" t="str">
        <f t="shared" si="267"/>
        <v>Oulu</v>
      </c>
      <c r="V2821" t="s">
        <v>394</v>
      </c>
      <c r="X2821">
        <v>90110</v>
      </c>
      <c r="Y2821" s="1" t="str">
        <f t="shared" si="268"/>
        <v>FINLAND</v>
      </c>
      <c r="Z2821" s="4" t="str">
        <f t="shared" si="269"/>
        <v>Finland</v>
      </c>
      <c r="AA2821" t="s">
        <v>130</v>
      </c>
      <c r="AB2821" t="s">
        <v>42</v>
      </c>
      <c r="AC2821" t="s">
        <v>395</v>
      </c>
      <c r="AD2821" t="s">
        <v>396</v>
      </c>
      <c r="AE2821" t="s">
        <v>51</v>
      </c>
    </row>
    <row r="2822" spans="1:31" x14ac:dyDescent="0.3">
      <c r="A2822">
        <v>10386</v>
      </c>
      <c r="B2822">
        <v>43</v>
      </c>
      <c r="C2822">
        <v>100</v>
      </c>
      <c r="D2822">
        <v>4</v>
      </c>
      <c r="E2822" s="4" t="str">
        <f t="shared" si="264"/>
        <v>high sales</v>
      </c>
      <c r="F2822">
        <v>5417.57</v>
      </c>
      <c r="G2822" t="s">
        <v>3494</v>
      </c>
      <c r="H2822" s="1" t="str">
        <f t="shared" si="265"/>
        <v>Resolved</v>
      </c>
      <c r="I2822" s="4" t="str">
        <f t="shared" si="266"/>
        <v>not completed</v>
      </c>
      <c r="J2822" t="s">
        <v>408</v>
      </c>
      <c r="K2822">
        <v>1</v>
      </c>
      <c r="L2822">
        <v>3</v>
      </c>
      <c r="M2822">
        <v>2005</v>
      </c>
      <c r="N2822" t="s">
        <v>598</v>
      </c>
      <c r="O2822">
        <v>54</v>
      </c>
      <c r="P2822" t="s">
        <v>674</v>
      </c>
      <c r="Q2822" t="s">
        <v>174</v>
      </c>
      <c r="R2822" t="s">
        <v>175</v>
      </c>
      <c r="S2822" t="s">
        <v>176</v>
      </c>
      <c r="U2822" s="1" t="str">
        <f t="shared" si="267"/>
        <v>Madrid</v>
      </c>
      <c r="V2822" t="s">
        <v>177</v>
      </c>
      <c r="X2822">
        <v>28034</v>
      </c>
      <c r="Y2822" s="1" t="str">
        <f t="shared" si="268"/>
        <v>SPAIN</v>
      </c>
      <c r="Z2822" s="4" t="str">
        <f t="shared" si="269"/>
        <v>Spain</v>
      </c>
      <c r="AA2822" t="s">
        <v>178</v>
      </c>
      <c r="AB2822" t="s">
        <v>42</v>
      </c>
      <c r="AC2822" t="s">
        <v>179</v>
      </c>
      <c r="AD2822" t="s">
        <v>180</v>
      </c>
      <c r="AE2822" t="s">
        <v>51</v>
      </c>
    </row>
    <row r="2823" spans="1:31" x14ac:dyDescent="0.3">
      <c r="A2823">
        <v>10397</v>
      </c>
      <c r="B2823">
        <v>34</v>
      </c>
      <c r="C2823">
        <v>62.24</v>
      </c>
      <c r="D2823">
        <v>1</v>
      </c>
      <c r="E2823" s="4" t="str">
        <f t="shared" si="264"/>
        <v>low sales</v>
      </c>
      <c r="F2823">
        <v>2116.16</v>
      </c>
      <c r="G2823" t="s">
        <v>3495</v>
      </c>
      <c r="H2823" s="1" t="str">
        <f t="shared" si="265"/>
        <v>Shipped</v>
      </c>
      <c r="I2823" s="4" t="str">
        <f t="shared" si="266"/>
        <v>completed</v>
      </c>
      <c r="J2823" t="s">
        <v>25</v>
      </c>
      <c r="K2823">
        <v>1</v>
      </c>
      <c r="L2823">
        <v>3</v>
      </c>
      <c r="M2823">
        <v>2005</v>
      </c>
      <c r="N2823" t="s">
        <v>598</v>
      </c>
      <c r="O2823">
        <v>54</v>
      </c>
      <c r="P2823" t="s">
        <v>674</v>
      </c>
      <c r="Q2823" t="s">
        <v>340</v>
      </c>
      <c r="R2823" t="s">
        <v>341</v>
      </c>
      <c r="S2823" t="s">
        <v>342</v>
      </c>
      <c r="U2823" s="1" t="str">
        <f t="shared" si="267"/>
        <v>Toulouse</v>
      </c>
      <c r="V2823" t="s">
        <v>343</v>
      </c>
      <c r="X2823">
        <v>31000</v>
      </c>
      <c r="Y2823" s="1" t="str">
        <f t="shared" si="268"/>
        <v>FRANCE</v>
      </c>
      <c r="Z2823" s="4" t="str">
        <f t="shared" si="269"/>
        <v>France</v>
      </c>
      <c r="AA2823" t="s">
        <v>41</v>
      </c>
      <c r="AB2823" t="s">
        <v>42</v>
      </c>
      <c r="AC2823" t="s">
        <v>344</v>
      </c>
      <c r="AD2823" t="s">
        <v>345</v>
      </c>
      <c r="AE2823" t="s">
        <v>36</v>
      </c>
    </row>
    <row r="2824" spans="1:31" x14ac:dyDescent="0.3">
      <c r="A2824">
        <v>10414</v>
      </c>
      <c r="B2824">
        <v>47</v>
      </c>
      <c r="C2824">
        <v>65.52</v>
      </c>
      <c r="D2824">
        <v>9</v>
      </c>
      <c r="E2824" s="4" t="str">
        <f t="shared" si="264"/>
        <v>low sales</v>
      </c>
      <c r="F2824">
        <v>3079.44</v>
      </c>
      <c r="G2824" t="s">
        <v>3496</v>
      </c>
      <c r="H2824" s="1" t="str">
        <f t="shared" si="265"/>
        <v>On Hold</v>
      </c>
      <c r="I2824" s="4" t="str">
        <f t="shared" si="266"/>
        <v>not completed</v>
      </c>
      <c r="J2824" t="s">
        <v>401</v>
      </c>
      <c r="K2824">
        <v>2</v>
      </c>
      <c r="L2824">
        <v>5</v>
      </c>
      <c r="M2824">
        <v>2005</v>
      </c>
      <c r="N2824" t="s">
        <v>598</v>
      </c>
      <c r="O2824">
        <v>54</v>
      </c>
      <c r="P2824" t="s">
        <v>674</v>
      </c>
      <c r="Q2824" t="s">
        <v>379</v>
      </c>
      <c r="R2824">
        <v>6175559555</v>
      </c>
      <c r="S2824" t="s">
        <v>380</v>
      </c>
      <c r="U2824" s="1" t="str">
        <f t="shared" si="267"/>
        <v>Boston</v>
      </c>
      <c r="V2824" t="s">
        <v>381</v>
      </c>
      <c r="W2824" t="s">
        <v>123</v>
      </c>
      <c r="X2824">
        <v>51003</v>
      </c>
      <c r="Y2824" s="1" t="str">
        <f t="shared" si="268"/>
        <v>USA</v>
      </c>
      <c r="Z2824" s="4" t="str">
        <f t="shared" si="269"/>
        <v>Usa</v>
      </c>
      <c r="AA2824" t="s">
        <v>32</v>
      </c>
      <c r="AB2824" t="s">
        <v>33</v>
      </c>
      <c r="AC2824" t="s">
        <v>382</v>
      </c>
      <c r="AD2824" t="s">
        <v>66</v>
      </c>
      <c r="AE2824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BEE8-E823-4480-8417-B4DFA2511B1C}">
  <dimension ref="A1:A29"/>
  <sheetViews>
    <sheetView topLeftCell="I21" zoomScale="175" zoomScaleNormal="175" workbookViewId="0">
      <selection activeCell="A31" sqref="A31"/>
    </sheetView>
  </sheetViews>
  <sheetFormatPr defaultRowHeight="15.05" x14ac:dyDescent="0.3"/>
  <cols>
    <col min="1" max="1" width="55.44140625" bestFit="1" customWidth="1"/>
  </cols>
  <sheetData>
    <row r="1" spans="1:1" x14ac:dyDescent="0.3">
      <c r="A1" s="1" t="s">
        <v>3501</v>
      </c>
    </row>
    <row r="2" spans="1:1" x14ac:dyDescent="0.3">
      <c r="A2" t="s">
        <v>3502</v>
      </c>
    </row>
    <row r="3" spans="1:1" x14ac:dyDescent="0.3">
      <c r="A3" t="s">
        <v>3503</v>
      </c>
    </row>
    <row r="5" spans="1:1" x14ac:dyDescent="0.3">
      <c r="A5" s="1" t="s">
        <v>3504</v>
      </c>
    </row>
    <row r="6" spans="1:1" x14ac:dyDescent="0.3">
      <c r="A6" t="s">
        <v>3505</v>
      </c>
    </row>
    <row r="7" spans="1:1" x14ac:dyDescent="0.3">
      <c r="A7" t="s">
        <v>3506</v>
      </c>
    </row>
    <row r="8" spans="1:1" x14ac:dyDescent="0.3">
      <c r="A8" t="s">
        <v>3507</v>
      </c>
    </row>
    <row r="9" spans="1:1" x14ac:dyDescent="0.3">
      <c r="A9" t="s">
        <v>3508</v>
      </c>
    </row>
    <row r="11" spans="1:1" x14ac:dyDescent="0.3">
      <c r="A11" s="1" t="s">
        <v>3509</v>
      </c>
    </row>
    <row r="12" spans="1:1" x14ac:dyDescent="0.3">
      <c r="A12" t="s">
        <v>3510</v>
      </c>
    </row>
    <row r="13" spans="1:1" x14ac:dyDescent="0.3">
      <c r="A13" t="s">
        <v>3511</v>
      </c>
    </row>
    <row r="14" spans="1:1" x14ac:dyDescent="0.3">
      <c r="A14" t="s">
        <v>3512</v>
      </c>
    </row>
    <row r="16" spans="1:1" x14ac:dyDescent="0.3">
      <c r="A16" s="1" t="s">
        <v>3513</v>
      </c>
    </row>
    <row r="17" spans="1:1" x14ac:dyDescent="0.3">
      <c r="A17" t="s">
        <v>3514</v>
      </c>
    </row>
    <row r="18" spans="1:1" x14ac:dyDescent="0.3">
      <c r="A18" t="s">
        <v>3515</v>
      </c>
    </row>
    <row r="19" spans="1:1" x14ac:dyDescent="0.3">
      <c r="A19" t="s">
        <v>3516</v>
      </c>
    </row>
    <row r="21" spans="1:1" x14ac:dyDescent="0.3">
      <c r="A21" s="1" t="s">
        <v>3517</v>
      </c>
    </row>
    <row r="22" spans="1:1" x14ac:dyDescent="0.3">
      <c r="A22" t="s">
        <v>3518</v>
      </c>
    </row>
    <row r="23" spans="1:1" x14ac:dyDescent="0.3">
      <c r="A23" t="s">
        <v>3519</v>
      </c>
    </row>
    <row r="24" spans="1:1" x14ac:dyDescent="0.3">
      <c r="A24" t="s">
        <v>3520</v>
      </c>
    </row>
    <row r="26" spans="1:1" x14ac:dyDescent="0.3">
      <c r="A26" s="1" t="s">
        <v>3521</v>
      </c>
    </row>
    <row r="27" spans="1:1" x14ac:dyDescent="0.3">
      <c r="A27" t="s">
        <v>3522</v>
      </c>
    </row>
    <row r="28" spans="1:1" x14ac:dyDescent="0.3">
      <c r="A28" t="s">
        <v>3523</v>
      </c>
    </row>
    <row r="29" spans="1:1" x14ac:dyDescent="0.3">
      <c r="A29" t="s">
        <v>3524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88BA-E44E-4F35-B03E-0146DF78DD0B}">
  <dimension ref="A1:B2"/>
  <sheetViews>
    <sheetView workbookViewId="0">
      <selection activeCell="H5" sqref="H5"/>
    </sheetView>
  </sheetViews>
  <sheetFormatPr defaultRowHeight="15.05" x14ac:dyDescent="0.3"/>
  <cols>
    <col min="1" max="1" width="12.21875" bestFit="1" customWidth="1"/>
    <col min="2" max="3" width="23.6640625" bestFit="1" customWidth="1"/>
    <col min="4" max="10" width="8" bestFit="1" customWidth="1"/>
    <col min="11" max="11" width="9" bestFit="1" customWidth="1"/>
    <col min="12" max="16" width="10" bestFit="1" customWidth="1"/>
    <col min="17" max="17" width="9" bestFit="1" customWidth="1"/>
    <col min="18" max="20" width="10" bestFit="1" customWidth="1"/>
    <col min="21" max="21" width="7" bestFit="1" customWidth="1"/>
    <col min="22" max="22" width="10" bestFit="1" customWidth="1"/>
    <col min="23" max="23" width="9" bestFit="1" customWidth="1"/>
    <col min="24" max="25" width="10" bestFit="1" customWidth="1"/>
    <col min="26" max="26" width="9" bestFit="1" customWidth="1"/>
    <col min="27" max="30" width="10" bestFit="1" customWidth="1"/>
    <col min="31" max="31" width="9" bestFit="1" customWidth="1"/>
    <col min="32" max="40" width="10" bestFit="1" customWidth="1"/>
    <col min="41" max="41" width="7" bestFit="1" customWidth="1"/>
    <col min="42" max="42" width="9" bestFit="1" customWidth="1"/>
    <col min="43" max="43" width="8" bestFit="1" customWidth="1"/>
    <col min="44" max="46" width="9" bestFit="1" customWidth="1"/>
    <col min="47" max="47" width="8" bestFit="1" customWidth="1"/>
    <col min="48" max="48" width="9" bestFit="1" customWidth="1"/>
    <col min="49" max="49" width="8" bestFit="1" customWidth="1"/>
    <col min="50" max="50" width="9" bestFit="1" customWidth="1"/>
    <col min="51" max="51" width="8" bestFit="1" customWidth="1"/>
    <col min="52" max="52" width="9" bestFit="1" customWidth="1"/>
    <col min="53" max="53" width="8" bestFit="1" customWidth="1"/>
    <col min="54" max="54" width="9" bestFit="1" customWidth="1"/>
    <col min="55" max="55" width="6" bestFit="1" customWidth="1"/>
    <col min="56" max="56" width="8" bestFit="1" customWidth="1"/>
    <col min="57" max="57" width="5" bestFit="1" customWidth="1"/>
    <col min="58" max="59" width="8" bestFit="1" customWidth="1"/>
    <col min="60" max="60" width="7" bestFit="1" customWidth="1"/>
    <col min="61" max="61" width="12" bestFit="1" customWidth="1"/>
  </cols>
  <sheetData>
    <row r="1" spans="1:2" x14ac:dyDescent="0.3">
      <c r="A1" t="s">
        <v>3525</v>
      </c>
      <c r="B1" t="s">
        <v>3529</v>
      </c>
    </row>
    <row r="2" spans="1:2" x14ac:dyDescent="0.3">
      <c r="A2" s="8">
        <v>10032628.850000011</v>
      </c>
      <c r="B2" s="8">
        <v>99067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063F-AC10-43C7-9BA0-ED1AC8066FB7}">
  <dimension ref="A1:E3"/>
  <sheetViews>
    <sheetView workbookViewId="0">
      <selection activeCell="L5" sqref="L5"/>
    </sheetView>
  </sheetViews>
  <sheetFormatPr defaultRowHeight="15.05" x14ac:dyDescent="0.3"/>
  <cols>
    <col min="1" max="1" width="12.21875" bestFit="1" customWidth="1"/>
    <col min="2" max="2" width="15.44140625" bestFit="1" customWidth="1"/>
    <col min="3" max="3" width="10" bestFit="1" customWidth="1"/>
    <col min="4" max="4" width="11" bestFit="1" customWidth="1"/>
    <col min="5" max="5" width="12" bestFit="1" customWidth="1"/>
  </cols>
  <sheetData>
    <row r="1" spans="1:5" x14ac:dyDescent="0.3">
      <c r="B1" s="2" t="s">
        <v>3528</v>
      </c>
    </row>
    <row r="2" spans="1:5" x14ac:dyDescent="0.3">
      <c r="B2">
        <v>2003</v>
      </c>
      <c r="C2">
        <v>2004</v>
      </c>
      <c r="D2">
        <v>2005</v>
      </c>
      <c r="E2" t="s">
        <v>3527</v>
      </c>
    </row>
    <row r="3" spans="1:5" x14ac:dyDescent="0.3">
      <c r="A3" t="s">
        <v>3525</v>
      </c>
      <c r="B3">
        <v>3516979.540000001</v>
      </c>
      <c r="C3">
        <v>4724162.5999999968</v>
      </c>
      <c r="D3">
        <v>1791486.71</v>
      </c>
      <c r="E3">
        <v>10032628.849999998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D342-D800-451C-A1DE-1846D899C7C6}">
  <dimension ref="A1:B14"/>
  <sheetViews>
    <sheetView workbookViewId="0"/>
  </sheetViews>
  <sheetFormatPr defaultRowHeight="15.05" x14ac:dyDescent="0.3"/>
  <cols>
    <col min="1" max="1" width="12.33203125" bestFit="1" customWidth="1"/>
    <col min="2" max="2" width="12.21875" bestFit="1" customWidth="1"/>
  </cols>
  <sheetData>
    <row r="1" spans="1:2" x14ac:dyDescent="0.3">
      <c r="A1" s="2" t="s">
        <v>3526</v>
      </c>
      <c r="B1" t="s">
        <v>3525</v>
      </c>
    </row>
    <row r="2" spans="1:2" x14ac:dyDescent="0.3">
      <c r="A2" s="3">
        <v>1</v>
      </c>
      <c r="B2">
        <v>785874.44000000076</v>
      </c>
    </row>
    <row r="3" spans="1:2" x14ac:dyDescent="0.3">
      <c r="A3" s="3">
        <v>2</v>
      </c>
      <c r="B3">
        <v>810441.9</v>
      </c>
    </row>
    <row r="4" spans="1:2" x14ac:dyDescent="0.3">
      <c r="A4" s="3">
        <v>3</v>
      </c>
      <c r="B4">
        <v>754501.39000000013</v>
      </c>
    </row>
    <row r="5" spans="1:2" x14ac:dyDescent="0.3">
      <c r="A5" s="3">
        <v>4</v>
      </c>
      <c r="B5">
        <v>669390.96000000031</v>
      </c>
    </row>
    <row r="6" spans="1:2" x14ac:dyDescent="0.3">
      <c r="A6" s="3">
        <v>5</v>
      </c>
      <c r="B6">
        <v>923972.56</v>
      </c>
    </row>
    <row r="7" spans="1:2" x14ac:dyDescent="0.3">
      <c r="A7" s="3">
        <v>6</v>
      </c>
      <c r="B7">
        <v>454756.77999999985</v>
      </c>
    </row>
    <row r="8" spans="1:2" x14ac:dyDescent="0.3">
      <c r="A8" s="3">
        <v>7</v>
      </c>
      <c r="B8">
        <v>514875.97000000009</v>
      </c>
    </row>
    <row r="9" spans="1:2" x14ac:dyDescent="0.3">
      <c r="A9" s="3">
        <v>8</v>
      </c>
      <c r="B9">
        <v>659310.56999999983</v>
      </c>
    </row>
    <row r="10" spans="1:2" x14ac:dyDescent="0.3">
      <c r="A10" s="3">
        <v>9</v>
      </c>
      <c r="B10">
        <v>584724.2699999999</v>
      </c>
    </row>
    <row r="11" spans="1:2" x14ac:dyDescent="0.3">
      <c r="A11" s="3">
        <v>10</v>
      </c>
      <c r="B11">
        <v>1121215.2199999997</v>
      </c>
    </row>
    <row r="12" spans="1:2" x14ac:dyDescent="0.3">
      <c r="A12" s="3">
        <v>11</v>
      </c>
      <c r="B12">
        <v>2118885.67</v>
      </c>
    </row>
    <row r="13" spans="1:2" x14ac:dyDescent="0.3">
      <c r="A13" s="3">
        <v>12</v>
      </c>
      <c r="B13">
        <v>634679.11999999976</v>
      </c>
    </row>
    <row r="14" spans="1:2" x14ac:dyDescent="0.3">
      <c r="A14" s="3" t="s">
        <v>3527</v>
      </c>
      <c r="B14">
        <v>10032628.85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EBD7-AD40-4BFD-9118-639306AD7DA7}">
  <dimension ref="A1:B6"/>
  <sheetViews>
    <sheetView workbookViewId="0"/>
  </sheetViews>
  <sheetFormatPr defaultRowHeight="15.05" x14ac:dyDescent="0.3"/>
  <cols>
    <col min="1" max="1" width="12.33203125" bestFit="1" customWidth="1"/>
    <col min="2" max="2" width="12.21875" bestFit="1" customWidth="1"/>
  </cols>
  <sheetData>
    <row r="1" spans="1:2" x14ac:dyDescent="0.3">
      <c r="A1" s="2" t="s">
        <v>3526</v>
      </c>
      <c r="B1" t="s">
        <v>3525</v>
      </c>
    </row>
    <row r="2" spans="1:2" x14ac:dyDescent="0.3">
      <c r="A2" s="3">
        <v>1</v>
      </c>
      <c r="B2">
        <v>2350817.7300000004</v>
      </c>
    </row>
    <row r="3" spans="1:2" x14ac:dyDescent="0.3">
      <c r="A3" s="3">
        <v>2</v>
      </c>
      <c r="B3">
        <v>2048120.2999999986</v>
      </c>
    </row>
    <row r="4" spans="1:2" x14ac:dyDescent="0.3">
      <c r="A4" s="3">
        <v>3</v>
      </c>
      <c r="B4">
        <v>1758910.8099999994</v>
      </c>
    </row>
    <row r="5" spans="1:2" x14ac:dyDescent="0.3">
      <c r="A5" s="3">
        <v>4</v>
      </c>
      <c r="B5">
        <v>3874780.01</v>
      </c>
    </row>
    <row r="6" spans="1:2" x14ac:dyDescent="0.3">
      <c r="A6" s="3" t="s">
        <v>3527</v>
      </c>
      <c r="B6">
        <v>10032628.849999998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3496-3DDF-4ADB-A2A8-3D8A9789FF7B}">
  <dimension ref="A1:G22"/>
  <sheetViews>
    <sheetView workbookViewId="0">
      <selection activeCell="A2" sqref="A2"/>
    </sheetView>
  </sheetViews>
  <sheetFormatPr defaultRowHeight="15.05" x14ac:dyDescent="0.3"/>
  <cols>
    <col min="1" max="1" width="12.33203125" bestFit="1" customWidth="1"/>
    <col min="2" max="2" width="12.21875" bestFit="1" customWidth="1"/>
    <col min="5" max="5" width="12.33203125" bestFit="1" customWidth="1"/>
    <col min="6" max="6" width="12.21875" bestFit="1" customWidth="1"/>
    <col min="7" max="7" width="12.33203125" customWidth="1"/>
  </cols>
  <sheetData>
    <row r="1" spans="1:7" x14ac:dyDescent="0.3">
      <c r="E1" s="5" t="s">
        <v>3530</v>
      </c>
      <c r="F1" s="5"/>
      <c r="G1" s="5"/>
    </row>
    <row r="2" spans="1:7" x14ac:dyDescent="0.3">
      <c r="A2" s="2" t="s">
        <v>3526</v>
      </c>
      <c r="B2" t="s">
        <v>3525</v>
      </c>
      <c r="E2" s="2" t="s">
        <v>3526</v>
      </c>
      <c r="F2" t="s">
        <v>3525</v>
      </c>
    </row>
    <row r="3" spans="1:7" x14ac:dyDescent="0.3">
      <c r="A3" s="3" t="s">
        <v>95</v>
      </c>
      <c r="B3">
        <v>630623.10000000009</v>
      </c>
      <c r="E3" s="3" t="s">
        <v>32</v>
      </c>
      <c r="F3">
        <v>3627982.8299999982</v>
      </c>
    </row>
    <row r="4" spans="1:7" x14ac:dyDescent="0.3">
      <c r="A4" s="3" t="s">
        <v>148</v>
      </c>
      <c r="B4">
        <v>202062.53</v>
      </c>
      <c r="E4" s="3" t="s">
        <v>3527</v>
      </c>
      <c r="F4">
        <v>3627982.8299999982</v>
      </c>
    </row>
    <row r="5" spans="1:7" x14ac:dyDescent="0.3">
      <c r="A5" s="3" t="s">
        <v>370</v>
      </c>
      <c r="B5">
        <v>108412.62</v>
      </c>
    </row>
    <row r="6" spans="1:7" x14ac:dyDescent="0.3">
      <c r="A6" s="3" t="s">
        <v>231</v>
      </c>
      <c r="B6">
        <v>224078.55999999994</v>
      </c>
    </row>
    <row r="7" spans="1:7" x14ac:dyDescent="0.3">
      <c r="A7" s="3" t="s">
        <v>326</v>
      </c>
      <c r="B7">
        <v>245637.15</v>
      </c>
    </row>
    <row r="8" spans="1:7" x14ac:dyDescent="0.3">
      <c r="A8" s="3" t="s">
        <v>130</v>
      </c>
      <c r="B8">
        <v>329581.91000000009</v>
      </c>
    </row>
    <row r="9" spans="1:7" x14ac:dyDescent="0.3">
      <c r="A9" s="3" t="s">
        <v>41</v>
      </c>
      <c r="B9">
        <v>1110916.5199999993</v>
      </c>
    </row>
    <row r="10" spans="1:7" x14ac:dyDescent="0.3">
      <c r="A10" s="3" t="s">
        <v>443</v>
      </c>
      <c r="B10">
        <v>220472.08999999994</v>
      </c>
    </row>
    <row r="11" spans="1:7" x14ac:dyDescent="0.3">
      <c r="A11" s="3" t="s">
        <v>484</v>
      </c>
      <c r="B11">
        <v>57756.43</v>
      </c>
    </row>
    <row r="12" spans="1:7" x14ac:dyDescent="0.3">
      <c r="A12" s="3" t="s">
        <v>258</v>
      </c>
      <c r="B12">
        <v>374674.30999999976</v>
      </c>
    </row>
    <row r="13" spans="1:7" x14ac:dyDescent="0.3">
      <c r="A13" s="3" t="s">
        <v>200</v>
      </c>
      <c r="B13">
        <v>188167.80999999997</v>
      </c>
    </row>
    <row r="14" spans="1:7" x14ac:dyDescent="0.3">
      <c r="A14" s="3" t="s">
        <v>78</v>
      </c>
      <c r="B14">
        <v>307463.70000000013</v>
      </c>
    </row>
    <row r="15" spans="1:7" x14ac:dyDescent="0.3">
      <c r="A15" s="3" t="s">
        <v>430</v>
      </c>
      <c r="B15">
        <v>94015.73</v>
      </c>
    </row>
    <row r="16" spans="1:7" x14ac:dyDescent="0.3">
      <c r="A16" s="3" t="s">
        <v>199</v>
      </c>
      <c r="B16">
        <v>288488.41000000003</v>
      </c>
    </row>
    <row r="17" spans="1:2" x14ac:dyDescent="0.3">
      <c r="A17" s="3" t="s">
        <v>178</v>
      </c>
      <c r="B17">
        <v>1215686.9200000009</v>
      </c>
    </row>
    <row r="18" spans="1:2" x14ac:dyDescent="0.3">
      <c r="A18" s="3" t="s">
        <v>188</v>
      </c>
      <c r="B18">
        <v>210014.21</v>
      </c>
    </row>
    <row r="19" spans="1:2" x14ac:dyDescent="0.3">
      <c r="A19" s="3" t="s">
        <v>450</v>
      </c>
      <c r="B19">
        <v>117713.55999999998</v>
      </c>
    </row>
    <row r="20" spans="1:2" x14ac:dyDescent="0.3">
      <c r="A20" s="3" t="s">
        <v>170</v>
      </c>
      <c r="B20">
        <v>478880.46000000008</v>
      </c>
    </row>
    <row r="21" spans="1:2" x14ac:dyDescent="0.3">
      <c r="A21" s="3" t="s">
        <v>32</v>
      </c>
      <c r="B21">
        <v>3627982.83</v>
      </c>
    </row>
    <row r="22" spans="1:2" x14ac:dyDescent="0.3">
      <c r="A22" s="3" t="s">
        <v>3527</v>
      </c>
      <c r="B22">
        <v>10032628.85</v>
      </c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36AA-0E31-46CE-B17F-D32BCAF02949}">
  <dimension ref="A1:E75"/>
  <sheetViews>
    <sheetView workbookViewId="0">
      <selection activeCell="D2" sqref="D2"/>
    </sheetView>
  </sheetViews>
  <sheetFormatPr defaultRowHeight="15.05" x14ac:dyDescent="0.3"/>
  <cols>
    <col min="1" max="1" width="13.109375" bestFit="1" customWidth="1"/>
    <col min="2" max="2" width="12.21875" bestFit="1" customWidth="1"/>
    <col min="4" max="4" width="12.33203125" bestFit="1" customWidth="1"/>
    <col min="5" max="5" width="12.21875" bestFit="1" customWidth="1"/>
  </cols>
  <sheetData>
    <row r="1" spans="1:5" x14ac:dyDescent="0.3">
      <c r="A1" s="2" t="s">
        <v>3526</v>
      </c>
      <c r="B1" t="s">
        <v>3525</v>
      </c>
      <c r="D1" s="1" t="s">
        <v>3531</v>
      </c>
    </row>
    <row r="2" spans="1:5" x14ac:dyDescent="0.3">
      <c r="A2" s="3" t="s">
        <v>501</v>
      </c>
      <c r="B2">
        <v>100595.54999999999</v>
      </c>
      <c r="D2" s="2" t="s">
        <v>3526</v>
      </c>
      <c r="E2" t="s">
        <v>3525</v>
      </c>
    </row>
    <row r="3" spans="1:5" x14ac:dyDescent="0.3">
      <c r="A3" s="3" t="s">
        <v>141</v>
      </c>
      <c r="B3">
        <v>122138.14000000001</v>
      </c>
      <c r="D3" s="3" t="s">
        <v>177</v>
      </c>
      <c r="E3">
        <v>1082551.4399999995</v>
      </c>
    </row>
    <row r="4" spans="1:5" x14ac:dyDescent="0.3">
      <c r="A4" s="3" t="s">
        <v>355</v>
      </c>
      <c r="B4">
        <v>78411.860000000015</v>
      </c>
      <c r="D4" s="3" t="s">
        <v>3527</v>
      </c>
      <c r="E4">
        <v>1082551.4399999995</v>
      </c>
    </row>
    <row r="5" spans="1:5" x14ac:dyDescent="0.3">
      <c r="A5" s="3" t="s">
        <v>555</v>
      </c>
      <c r="B5">
        <v>137955.72000000003</v>
      </c>
    </row>
    <row r="6" spans="1:5" x14ac:dyDescent="0.3">
      <c r="A6" s="3" t="s">
        <v>76</v>
      </c>
      <c r="B6">
        <v>111640.28</v>
      </c>
    </row>
    <row r="7" spans="1:5" x14ac:dyDescent="0.3">
      <c r="A7" s="3" t="s">
        <v>264</v>
      </c>
      <c r="B7">
        <v>134259.33000000002</v>
      </c>
    </row>
    <row r="8" spans="1:5" x14ac:dyDescent="0.3">
      <c r="A8" s="3" t="s">
        <v>381</v>
      </c>
      <c r="B8">
        <v>154069.65999999997</v>
      </c>
    </row>
    <row r="9" spans="1:5" x14ac:dyDescent="0.3">
      <c r="A9" s="3" t="s">
        <v>283</v>
      </c>
      <c r="B9">
        <v>165255.20000000004</v>
      </c>
    </row>
    <row r="10" spans="1:5" x14ac:dyDescent="0.3">
      <c r="A10" s="3" t="s">
        <v>111</v>
      </c>
      <c r="B10">
        <v>101894.79000000001</v>
      </c>
    </row>
    <row r="11" spans="1:5" x14ac:dyDescent="0.3">
      <c r="A11" s="3" t="s">
        <v>528</v>
      </c>
      <c r="B11">
        <v>50218.510000000009</v>
      </c>
    </row>
    <row r="12" spans="1:5" x14ac:dyDescent="0.3">
      <c r="A12" s="3" t="s">
        <v>368</v>
      </c>
      <c r="B12">
        <v>74972.52</v>
      </c>
    </row>
    <row r="13" spans="1:5" x14ac:dyDescent="0.3">
      <c r="A13" s="3" t="s">
        <v>236</v>
      </c>
      <c r="B13">
        <v>46084.639999999992</v>
      </c>
    </row>
    <row r="14" spans="1:5" x14ac:dyDescent="0.3">
      <c r="A14" s="3" t="s">
        <v>64</v>
      </c>
      <c r="B14">
        <v>120783.07</v>
      </c>
    </row>
    <row r="15" spans="1:5" x14ac:dyDescent="0.3">
      <c r="A15" s="3" t="s">
        <v>122</v>
      </c>
      <c r="B15">
        <v>139243.99999999994</v>
      </c>
    </row>
    <row r="16" spans="1:5" x14ac:dyDescent="0.3">
      <c r="A16" s="3" t="s">
        <v>580</v>
      </c>
      <c r="B16">
        <v>33440.1</v>
      </c>
    </row>
    <row r="17" spans="1:2" x14ac:dyDescent="0.3">
      <c r="A17" s="3" t="s">
        <v>156</v>
      </c>
      <c r="B17">
        <v>151570.98000000004</v>
      </c>
    </row>
    <row r="18" spans="1:2" x14ac:dyDescent="0.3">
      <c r="A18" s="3" t="s">
        <v>386</v>
      </c>
      <c r="B18">
        <v>78240.839999999982</v>
      </c>
    </row>
    <row r="19" spans="1:2" x14ac:dyDescent="0.3">
      <c r="A19" s="3" t="s">
        <v>483</v>
      </c>
      <c r="B19">
        <v>57756.43</v>
      </c>
    </row>
    <row r="20" spans="1:2" x14ac:dyDescent="0.3">
      <c r="A20" s="3" t="s">
        <v>470</v>
      </c>
      <c r="B20">
        <v>113961.14999999997</v>
      </c>
    </row>
    <row r="21" spans="1:2" x14ac:dyDescent="0.3">
      <c r="A21" s="3" t="s">
        <v>465</v>
      </c>
      <c r="B21">
        <v>85171.589999999982</v>
      </c>
    </row>
    <row r="22" spans="1:2" x14ac:dyDescent="0.3">
      <c r="A22" s="3" t="s">
        <v>449</v>
      </c>
      <c r="B22">
        <v>117713.55999999998</v>
      </c>
    </row>
    <row r="23" spans="1:2" x14ac:dyDescent="0.3">
      <c r="A23" s="3" t="s">
        <v>561</v>
      </c>
      <c r="B23">
        <v>64591.460000000006</v>
      </c>
    </row>
    <row r="24" spans="1:2" x14ac:dyDescent="0.3">
      <c r="A24" s="3" t="s">
        <v>516</v>
      </c>
      <c r="B24">
        <v>66423.77</v>
      </c>
    </row>
    <row r="25" spans="1:2" x14ac:dyDescent="0.3">
      <c r="A25" s="3" t="s">
        <v>412</v>
      </c>
      <c r="B25">
        <v>52263.899999999994</v>
      </c>
    </row>
    <row r="26" spans="1:2" x14ac:dyDescent="0.3">
      <c r="A26" s="3" t="s">
        <v>129</v>
      </c>
      <c r="B26">
        <v>111250.37999999996</v>
      </c>
    </row>
    <row r="27" spans="1:2" x14ac:dyDescent="0.3">
      <c r="A27" s="3" t="s">
        <v>325</v>
      </c>
      <c r="B27">
        <v>145041.60000000001</v>
      </c>
    </row>
    <row r="28" spans="1:2" x14ac:dyDescent="0.3">
      <c r="A28" s="3" t="s">
        <v>442</v>
      </c>
      <c r="B28">
        <v>100306.58</v>
      </c>
    </row>
    <row r="29" spans="1:2" x14ac:dyDescent="0.3">
      <c r="A29" s="3" t="s">
        <v>541</v>
      </c>
      <c r="B29">
        <v>82751.080000000016</v>
      </c>
    </row>
    <row r="30" spans="1:2" x14ac:dyDescent="0.3">
      <c r="A30" s="3" t="s">
        <v>70</v>
      </c>
      <c r="B30">
        <v>69052.41</v>
      </c>
    </row>
    <row r="31" spans="1:2" x14ac:dyDescent="0.3">
      <c r="A31" s="3" t="s">
        <v>168</v>
      </c>
      <c r="B31">
        <v>118008.26999999999</v>
      </c>
    </row>
    <row r="32" spans="1:2" x14ac:dyDescent="0.3">
      <c r="A32" s="3" t="s">
        <v>332</v>
      </c>
      <c r="B32">
        <v>124823.54</v>
      </c>
    </row>
    <row r="33" spans="1:2" x14ac:dyDescent="0.3">
      <c r="A33" s="3" t="s">
        <v>360</v>
      </c>
      <c r="B33">
        <v>48048.46</v>
      </c>
    </row>
    <row r="34" spans="1:2" x14ac:dyDescent="0.3">
      <c r="A34" s="3" t="s">
        <v>186</v>
      </c>
      <c r="B34">
        <v>75754.880000000005</v>
      </c>
    </row>
    <row r="35" spans="1:2" x14ac:dyDescent="0.3">
      <c r="A35" s="3" t="s">
        <v>222</v>
      </c>
      <c r="B35">
        <v>142874.25000000003</v>
      </c>
    </row>
    <row r="36" spans="1:2" x14ac:dyDescent="0.3">
      <c r="A36" s="3" t="s">
        <v>177</v>
      </c>
      <c r="B36">
        <v>1082551.4400000002</v>
      </c>
    </row>
    <row r="37" spans="1:2" x14ac:dyDescent="0.3">
      <c r="A37" s="3" t="s">
        <v>428</v>
      </c>
      <c r="B37">
        <v>94015.73</v>
      </c>
    </row>
    <row r="38" spans="1:2" x14ac:dyDescent="0.3">
      <c r="A38" s="3" t="s">
        <v>495</v>
      </c>
      <c r="B38">
        <v>157807.80999999997</v>
      </c>
    </row>
    <row r="39" spans="1:2" x14ac:dyDescent="0.3">
      <c r="A39" s="3" t="s">
        <v>436</v>
      </c>
      <c r="B39">
        <v>74936.14</v>
      </c>
    </row>
    <row r="40" spans="1:2" x14ac:dyDescent="0.3">
      <c r="A40" s="3" t="s">
        <v>93</v>
      </c>
      <c r="B40">
        <v>200995.40999999997</v>
      </c>
    </row>
    <row r="41" spans="1:2" x14ac:dyDescent="0.3">
      <c r="A41" s="3" t="s">
        <v>249</v>
      </c>
      <c r="B41">
        <v>120562.73999999996</v>
      </c>
    </row>
    <row r="42" spans="1:2" x14ac:dyDescent="0.3">
      <c r="A42" s="3" t="s">
        <v>295</v>
      </c>
      <c r="B42">
        <v>74204.789999999994</v>
      </c>
    </row>
    <row r="43" spans="1:2" x14ac:dyDescent="0.3">
      <c r="A43" s="3" t="s">
        <v>575</v>
      </c>
      <c r="B43">
        <v>34993.919999999998</v>
      </c>
    </row>
    <row r="44" spans="1:2" x14ac:dyDescent="0.3">
      <c r="A44" s="3" t="s">
        <v>117</v>
      </c>
      <c r="B44">
        <v>204304.86</v>
      </c>
    </row>
    <row r="45" spans="1:2" x14ac:dyDescent="0.3">
      <c r="A45" s="3" t="s">
        <v>279</v>
      </c>
      <c r="B45">
        <v>131685.30000000002</v>
      </c>
    </row>
    <row r="46" spans="1:2" x14ac:dyDescent="0.3">
      <c r="A46" s="3" t="s">
        <v>162</v>
      </c>
      <c r="B46">
        <v>207874.86</v>
      </c>
    </row>
    <row r="47" spans="1:2" x14ac:dyDescent="0.3">
      <c r="A47" s="3" t="s">
        <v>244</v>
      </c>
      <c r="B47">
        <v>79472.070000000007</v>
      </c>
    </row>
    <row r="48" spans="1:2" x14ac:dyDescent="0.3">
      <c r="A48" s="3" t="s">
        <v>106</v>
      </c>
      <c r="B48">
        <v>83228.19</v>
      </c>
    </row>
    <row r="49" spans="1:2" x14ac:dyDescent="0.3">
      <c r="A49" s="3" t="s">
        <v>289</v>
      </c>
      <c r="B49">
        <v>153996.13000000003</v>
      </c>
    </row>
    <row r="50" spans="1:2" x14ac:dyDescent="0.3">
      <c r="A50" s="3" t="s">
        <v>30</v>
      </c>
      <c r="B50">
        <v>560787.76999999979</v>
      </c>
    </row>
    <row r="51" spans="1:2" x14ac:dyDescent="0.3">
      <c r="A51" s="3" t="s">
        <v>305</v>
      </c>
      <c r="B51">
        <v>67605.070000000007</v>
      </c>
    </row>
    <row r="52" spans="1:2" x14ac:dyDescent="0.3">
      <c r="A52" s="3" t="s">
        <v>546</v>
      </c>
      <c r="B52">
        <v>79224.23</v>
      </c>
    </row>
    <row r="53" spans="1:2" x14ac:dyDescent="0.3">
      <c r="A53" s="3" t="s">
        <v>394</v>
      </c>
      <c r="B53">
        <v>104370.38</v>
      </c>
    </row>
    <row r="54" spans="1:2" x14ac:dyDescent="0.3">
      <c r="A54" s="3" t="s">
        <v>48</v>
      </c>
      <c r="B54">
        <v>268944.68</v>
      </c>
    </row>
    <row r="55" spans="1:2" x14ac:dyDescent="0.3">
      <c r="A55" s="3" t="s">
        <v>54</v>
      </c>
      <c r="B55">
        <v>104561.95999999998</v>
      </c>
    </row>
    <row r="56" spans="1:2" x14ac:dyDescent="0.3">
      <c r="A56" s="3" t="s">
        <v>216</v>
      </c>
      <c r="B56">
        <v>151189.12999999998</v>
      </c>
    </row>
    <row r="57" spans="1:2" x14ac:dyDescent="0.3">
      <c r="A57" s="3" t="s">
        <v>455</v>
      </c>
      <c r="B57">
        <v>142601.33000000002</v>
      </c>
    </row>
    <row r="58" spans="1:2" x14ac:dyDescent="0.3">
      <c r="A58" s="3" t="s">
        <v>40</v>
      </c>
      <c r="B58">
        <v>135042.94</v>
      </c>
    </row>
    <row r="59" spans="1:2" x14ac:dyDescent="0.3">
      <c r="A59" s="3" t="s">
        <v>147</v>
      </c>
      <c r="B59">
        <v>149798.63</v>
      </c>
    </row>
    <row r="60" spans="1:2" x14ac:dyDescent="0.3">
      <c r="A60" s="3" t="s">
        <v>364</v>
      </c>
      <c r="B60">
        <v>87489.229999999981</v>
      </c>
    </row>
    <row r="61" spans="1:2" x14ac:dyDescent="0.3">
      <c r="A61" s="3" t="s">
        <v>60</v>
      </c>
      <c r="B61">
        <v>224358.68000000002</v>
      </c>
    </row>
    <row r="62" spans="1:2" x14ac:dyDescent="0.3">
      <c r="A62" s="3" t="s">
        <v>399</v>
      </c>
      <c r="B62">
        <v>160010.26999999996</v>
      </c>
    </row>
    <row r="63" spans="1:2" x14ac:dyDescent="0.3">
      <c r="A63" s="3" t="s">
        <v>274</v>
      </c>
      <c r="B63">
        <v>654858.06000000006</v>
      </c>
    </row>
    <row r="64" spans="1:2" x14ac:dyDescent="0.3">
      <c r="A64" s="3" t="s">
        <v>523</v>
      </c>
      <c r="B64">
        <v>54723.62</v>
      </c>
    </row>
    <row r="65" spans="1:2" x14ac:dyDescent="0.3">
      <c r="A65" s="3" t="s">
        <v>199</v>
      </c>
      <c r="B65">
        <v>288488.41000000003</v>
      </c>
    </row>
    <row r="66" spans="1:2" x14ac:dyDescent="0.3">
      <c r="A66" s="3" t="s">
        <v>210</v>
      </c>
      <c r="B66">
        <v>59469.119999999988</v>
      </c>
    </row>
    <row r="67" spans="1:2" x14ac:dyDescent="0.3">
      <c r="A67" s="3" t="s">
        <v>136</v>
      </c>
      <c r="B67">
        <v>116599.19</v>
      </c>
    </row>
    <row r="68" spans="1:2" x14ac:dyDescent="0.3">
      <c r="A68" s="3" t="s">
        <v>534</v>
      </c>
      <c r="B68">
        <v>80438.48</v>
      </c>
    </row>
    <row r="69" spans="1:2" x14ac:dyDescent="0.3">
      <c r="A69" s="3" t="s">
        <v>257</v>
      </c>
      <c r="B69">
        <v>94117.260000000024</v>
      </c>
    </row>
    <row r="70" spans="1:2" x14ac:dyDescent="0.3">
      <c r="A70" s="3" t="s">
        <v>343</v>
      </c>
      <c r="B70">
        <v>70488.44</v>
      </c>
    </row>
    <row r="71" spans="1:2" x14ac:dyDescent="0.3">
      <c r="A71" s="3" t="s">
        <v>376</v>
      </c>
      <c r="B71">
        <v>74634.849999999991</v>
      </c>
    </row>
    <row r="72" spans="1:2" x14ac:dyDescent="0.3">
      <c r="A72" s="3" t="s">
        <v>228</v>
      </c>
      <c r="B72">
        <v>75238.92</v>
      </c>
    </row>
    <row r="73" spans="1:2" x14ac:dyDescent="0.3">
      <c r="A73" s="3" t="s">
        <v>270</v>
      </c>
      <c r="B73">
        <v>64834.320000000007</v>
      </c>
    </row>
    <row r="74" spans="1:2" x14ac:dyDescent="0.3">
      <c r="A74" s="3" t="s">
        <v>319</v>
      </c>
      <c r="B74">
        <v>85555.989999999976</v>
      </c>
    </row>
    <row r="75" spans="1:2" x14ac:dyDescent="0.3">
      <c r="A75" s="3" t="s">
        <v>3527</v>
      </c>
      <c r="B75">
        <v>10032628.85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7DD8-1AAB-4FBC-93F7-5F0C3B150E7E}">
  <dimension ref="A1:H10"/>
  <sheetViews>
    <sheetView workbookViewId="0">
      <selection activeCell="A9" sqref="A9:B9"/>
    </sheetView>
  </sheetViews>
  <sheetFormatPr defaultRowHeight="15.05" x14ac:dyDescent="0.3"/>
  <cols>
    <col min="1" max="1" width="15" bestFit="1" customWidth="1"/>
    <col min="2" max="2" width="15.109375" bestFit="1" customWidth="1"/>
    <col min="4" max="4" width="15" bestFit="1" customWidth="1"/>
    <col min="5" max="5" width="12.21875" bestFit="1" customWidth="1"/>
    <col min="7" max="7" width="12.33203125" bestFit="1" customWidth="1"/>
    <col min="8" max="8" width="12.21875" bestFit="1" customWidth="1"/>
  </cols>
  <sheetData>
    <row r="1" spans="1:8" x14ac:dyDescent="0.3">
      <c r="A1" s="2" t="s">
        <v>3526</v>
      </c>
      <c r="B1" t="s">
        <v>3533</v>
      </c>
      <c r="D1" s="5" t="s">
        <v>3532</v>
      </c>
      <c r="E1" s="5"/>
      <c r="G1" s="5" t="s">
        <v>3534</v>
      </c>
      <c r="H1" s="5"/>
    </row>
    <row r="2" spans="1:8" x14ac:dyDescent="0.3">
      <c r="A2" s="3" t="s">
        <v>181</v>
      </c>
      <c r="B2">
        <v>4053.3771044467394</v>
      </c>
      <c r="D2" s="2" t="s">
        <v>3526</v>
      </c>
      <c r="E2" t="s">
        <v>3525</v>
      </c>
      <c r="G2" s="2" t="s">
        <v>3526</v>
      </c>
      <c r="H2" t="s">
        <v>3525</v>
      </c>
    </row>
    <row r="3" spans="1:8" x14ac:dyDescent="0.3">
      <c r="A3" s="3" t="s">
        <v>26</v>
      </c>
      <c r="B3">
        <v>3523.8318429003029</v>
      </c>
      <c r="D3" s="3" t="s">
        <v>181</v>
      </c>
      <c r="E3">
        <v>3919615.6599999969</v>
      </c>
      <c r="G3" s="3" t="s">
        <v>181</v>
      </c>
      <c r="H3">
        <v>3919615.66</v>
      </c>
    </row>
    <row r="4" spans="1:8" x14ac:dyDescent="0.3">
      <c r="A4" s="3" t="s">
        <v>566</v>
      </c>
      <c r="B4">
        <v>3186.2861764705885</v>
      </c>
      <c r="D4" s="3" t="s">
        <v>26</v>
      </c>
      <c r="E4">
        <v>1166388.3400000003</v>
      </c>
      <c r="G4" s="3" t="s">
        <v>3527</v>
      </c>
      <c r="H4">
        <v>3919615.66</v>
      </c>
    </row>
    <row r="5" spans="1:8" x14ac:dyDescent="0.3">
      <c r="A5" s="3" t="s">
        <v>598</v>
      </c>
      <c r="B5">
        <v>3053.1501282051281</v>
      </c>
      <c r="D5" s="3" t="s">
        <v>566</v>
      </c>
      <c r="E5">
        <v>975003.57000000007</v>
      </c>
    </row>
    <row r="6" spans="1:8" x14ac:dyDescent="0.3">
      <c r="A6" s="3" t="s">
        <v>605</v>
      </c>
      <c r="B6">
        <v>2938.2268831168826</v>
      </c>
      <c r="D6" s="3" t="s">
        <v>598</v>
      </c>
      <c r="E6">
        <v>714437.13</v>
      </c>
    </row>
    <row r="7" spans="1:8" x14ac:dyDescent="0.3">
      <c r="A7" s="3" t="s">
        <v>504</v>
      </c>
      <c r="B7">
        <v>3746.8100996677726</v>
      </c>
      <c r="D7" s="3" t="s">
        <v>605</v>
      </c>
      <c r="E7">
        <v>226243.46999999997</v>
      </c>
    </row>
    <row r="8" spans="1:8" x14ac:dyDescent="0.3">
      <c r="A8" s="3" t="s">
        <v>550</v>
      </c>
      <c r="B8">
        <v>3135.3391103789113</v>
      </c>
      <c r="D8" s="3" t="s">
        <v>504</v>
      </c>
      <c r="E8">
        <v>1127789.8399999996</v>
      </c>
    </row>
    <row r="9" spans="1:8" x14ac:dyDescent="0.3">
      <c r="A9" s="3" t="s">
        <v>3527</v>
      </c>
      <c r="B9">
        <v>3553.8890719093201</v>
      </c>
      <c r="D9" s="3" t="s">
        <v>550</v>
      </c>
      <c r="E9">
        <v>1903150.8399999992</v>
      </c>
    </row>
    <row r="10" spans="1:8" x14ac:dyDescent="0.3">
      <c r="D10" s="3" t="s">
        <v>3527</v>
      </c>
      <c r="E10">
        <v>10032628.849999996</v>
      </c>
    </row>
  </sheetData>
  <mergeCells count="2">
    <mergeCell ref="D1:E1"/>
    <mergeCell ref="G1:H1"/>
  </mergeCells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8ED7-93D8-41C8-B5E0-C77AEC131D84}">
  <dimension ref="A1:D5"/>
  <sheetViews>
    <sheetView workbookViewId="0">
      <selection activeCell="D4" sqref="D4:E7"/>
    </sheetView>
  </sheetViews>
  <sheetFormatPr defaultRowHeight="15.05" x14ac:dyDescent="0.3"/>
  <cols>
    <col min="1" max="1" width="12.33203125" bestFit="1" customWidth="1"/>
    <col min="2" max="2" width="12.21875" bestFit="1" customWidth="1"/>
    <col min="3" max="5" width="23.6640625" bestFit="1" customWidth="1"/>
  </cols>
  <sheetData>
    <row r="1" spans="1:4" x14ac:dyDescent="0.3">
      <c r="A1" s="6" t="s">
        <v>3537</v>
      </c>
      <c r="B1" s="6"/>
    </row>
    <row r="2" spans="1:4" x14ac:dyDescent="0.3">
      <c r="A2" s="2" t="s">
        <v>3526</v>
      </c>
      <c r="B2" t="s">
        <v>3525</v>
      </c>
    </row>
    <row r="3" spans="1:4" x14ac:dyDescent="0.3">
      <c r="A3" s="3" t="s">
        <v>3535</v>
      </c>
      <c r="B3" s="8">
        <v>5224107.1099999966</v>
      </c>
    </row>
    <row r="4" spans="1:4" x14ac:dyDescent="0.3">
      <c r="A4" s="3" t="s">
        <v>3536</v>
      </c>
      <c r="B4" s="8">
        <v>4808521.7399999974</v>
      </c>
      <c r="D4" t="s">
        <v>3529</v>
      </c>
    </row>
    <row r="5" spans="1:4" x14ac:dyDescent="0.3">
      <c r="A5" s="3" t="s">
        <v>3527</v>
      </c>
      <c r="B5" s="8">
        <v>10032628.849999994</v>
      </c>
      <c r="D5" s="8">
        <v>99067</v>
      </c>
    </row>
  </sheetData>
  <mergeCells count="1">
    <mergeCell ref="A1:B1"/>
  </mergeCell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68D4-C830-493B-AB2B-30BF6005A644}">
  <dimension ref="A1:B4"/>
  <sheetViews>
    <sheetView topLeftCell="B1" workbookViewId="0"/>
  </sheetViews>
  <sheetFormatPr defaultRowHeight="15.05" x14ac:dyDescent="0.3"/>
  <cols>
    <col min="1" max="1" width="12.44140625" bestFit="1" customWidth="1"/>
    <col min="2" max="2" width="12.21875" bestFit="1" customWidth="1"/>
  </cols>
  <sheetData>
    <row r="1" spans="1:2" x14ac:dyDescent="0.3">
      <c r="A1" s="2" t="s">
        <v>3526</v>
      </c>
      <c r="B1" t="s">
        <v>3525</v>
      </c>
    </row>
    <row r="2" spans="1:2" x14ac:dyDescent="0.3">
      <c r="A2" s="3" t="s">
        <v>3539</v>
      </c>
      <c r="B2">
        <v>9291501.0800000075</v>
      </c>
    </row>
    <row r="3" spans="1:2" x14ac:dyDescent="0.3">
      <c r="A3" s="3" t="s">
        <v>3540</v>
      </c>
      <c r="B3">
        <v>741127.76999999979</v>
      </c>
    </row>
    <row r="4" spans="1:2" x14ac:dyDescent="0.3">
      <c r="A4" s="3" t="s">
        <v>3527</v>
      </c>
      <c r="B4">
        <v>10032628.850000007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82F1-FB08-4319-A9E4-2A0F796C72F6}">
  <dimension ref="A1:U5"/>
  <sheetViews>
    <sheetView workbookViewId="0"/>
  </sheetViews>
  <sheetFormatPr defaultRowHeight="15.05" x14ac:dyDescent="0.3"/>
  <cols>
    <col min="1" max="1" width="21.44140625" bestFit="1" customWidth="1"/>
    <col min="2" max="2" width="15.44140625" bestFit="1" customWidth="1"/>
    <col min="3" max="3" width="8.109375" bestFit="1" customWidth="1"/>
    <col min="4" max="4" width="8.5546875" bestFit="1" customWidth="1"/>
    <col min="5" max="5" width="8.109375" bestFit="1" customWidth="1"/>
    <col min="6" max="6" width="9.33203125" bestFit="1" customWidth="1"/>
    <col min="7" max="7" width="8.44140625" bestFit="1" customWidth="1"/>
    <col min="8" max="8" width="7.77734375" bestFit="1" customWidth="1"/>
    <col min="9" max="9" width="9.33203125" bestFit="1" customWidth="1"/>
    <col min="10" max="10" width="8.21875" bestFit="1" customWidth="1"/>
    <col min="11" max="11" width="5.44140625" bestFit="1" customWidth="1"/>
    <col min="12" max="12" width="6.33203125" bestFit="1" customWidth="1"/>
    <col min="13" max="13" width="8.5546875" bestFit="1" customWidth="1"/>
    <col min="14" max="14" width="11.6640625" bestFit="1" customWidth="1"/>
    <col min="15" max="15" width="11" bestFit="1" customWidth="1"/>
    <col min="16" max="16" width="6.21875" bestFit="1" customWidth="1"/>
    <col min="17" max="17" width="8.33203125" bestFit="1" customWidth="1"/>
    <col min="18" max="18" width="12.88671875" bestFit="1" customWidth="1"/>
    <col min="19" max="19" width="4" bestFit="1" customWidth="1"/>
    <col min="20" max="20" width="5" bestFit="1" customWidth="1"/>
    <col min="21" max="21" width="10.5546875" bestFit="1" customWidth="1"/>
  </cols>
  <sheetData>
    <row r="1" spans="1:21" x14ac:dyDescent="0.3">
      <c r="A1" s="2" t="s">
        <v>3542</v>
      </c>
      <c r="B1" s="2" t="s">
        <v>3528</v>
      </c>
    </row>
    <row r="2" spans="1:21" x14ac:dyDescent="0.3">
      <c r="A2" s="2" t="s">
        <v>3526</v>
      </c>
      <c r="B2" t="s">
        <v>3544</v>
      </c>
      <c r="C2" t="s">
        <v>3545</v>
      </c>
      <c r="D2" t="s">
        <v>3546</v>
      </c>
      <c r="E2" t="s">
        <v>3547</v>
      </c>
      <c r="F2" t="s">
        <v>3548</v>
      </c>
      <c r="G2" t="s">
        <v>3549</v>
      </c>
      <c r="H2" t="s">
        <v>3550</v>
      </c>
      <c r="I2" t="s">
        <v>3551</v>
      </c>
      <c r="J2" t="s">
        <v>3552</v>
      </c>
      <c r="K2" t="s">
        <v>3553</v>
      </c>
      <c r="L2" t="s">
        <v>3554</v>
      </c>
      <c r="M2" t="s">
        <v>3555</v>
      </c>
      <c r="N2" t="s">
        <v>3556</v>
      </c>
      <c r="O2" t="s">
        <v>3557</v>
      </c>
      <c r="P2" t="s">
        <v>3558</v>
      </c>
      <c r="Q2" t="s">
        <v>3559</v>
      </c>
      <c r="R2" t="s">
        <v>3560</v>
      </c>
      <c r="S2" t="s">
        <v>170</v>
      </c>
      <c r="T2" t="s">
        <v>32</v>
      </c>
      <c r="U2" t="s">
        <v>3527</v>
      </c>
    </row>
    <row r="3" spans="1:21" x14ac:dyDescent="0.3">
      <c r="A3" s="3" t="s">
        <v>3539</v>
      </c>
      <c r="B3">
        <v>167</v>
      </c>
      <c r="C3">
        <v>47</v>
      </c>
      <c r="D3">
        <v>28</v>
      </c>
      <c r="E3">
        <v>70</v>
      </c>
      <c r="F3">
        <v>52</v>
      </c>
      <c r="G3">
        <v>92</v>
      </c>
      <c r="H3">
        <v>301</v>
      </c>
      <c r="I3">
        <v>62</v>
      </c>
      <c r="J3">
        <v>16</v>
      </c>
      <c r="K3">
        <v>113</v>
      </c>
      <c r="L3">
        <v>52</v>
      </c>
      <c r="M3">
        <v>85</v>
      </c>
      <c r="N3">
        <v>26</v>
      </c>
      <c r="O3">
        <v>79</v>
      </c>
      <c r="P3">
        <v>296</v>
      </c>
      <c r="Q3">
        <v>35</v>
      </c>
      <c r="R3">
        <v>31</v>
      </c>
      <c r="S3">
        <v>130</v>
      </c>
      <c r="T3">
        <v>935</v>
      </c>
      <c r="U3">
        <v>2617</v>
      </c>
    </row>
    <row r="4" spans="1:21" x14ac:dyDescent="0.3">
      <c r="A4" s="3" t="s">
        <v>3540</v>
      </c>
      <c r="B4">
        <v>18</v>
      </c>
      <c r="C4">
        <v>8</v>
      </c>
      <c r="D4">
        <v>5</v>
      </c>
      <c r="F4">
        <v>11</v>
      </c>
      <c r="H4">
        <v>13</v>
      </c>
      <c r="P4">
        <v>46</v>
      </c>
      <c r="Q4">
        <v>22</v>
      </c>
      <c r="S4">
        <v>14</v>
      </c>
      <c r="T4">
        <v>69</v>
      </c>
      <c r="U4">
        <v>206</v>
      </c>
    </row>
    <row r="5" spans="1:21" x14ac:dyDescent="0.3">
      <c r="A5" s="3" t="s">
        <v>3527</v>
      </c>
      <c r="B5">
        <v>185</v>
      </c>
      <c r="C5">
        <v>55</v>
      </c>
      <c r="D5">
        <v>33</v>
      </c>
      <c r="E5">
        <v>70</v>
      </c>
      <c r="F5">
        <v>63</v>
      </c>
      <c r="G5">
        <v>92</v>
      </c>
      <c r="H5">
        <v>314</v>
      </c>
      <c r="I5">
        <v>62</v>
      </c>
      <c r="J5">
        <v>16</v>
      </c>
      <c r="K5">
        <v>113</v>
      </c>
      <c r="L5">
        <v>52</v>
      </c>
      <c r="M5">
        <v>85</v>
      </c>
      <c r="N5">
        <v>26</v>
      </c>
      <c r="O5">
        <v>79</v>
      </c>
      <c r="P5">
        <v>342</v>
      </c>
      <c r="Q5">
        <v>57</v>
      </c>
      <c r="R5">
        <v>31</v>
      </c>
      <c r="S5">
        <v>144</v>
      </c>
      <c r="T5">
        <v>1004</v>
      </c>
      <c r="U5">
        <v>2823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8E34-498C-4453-A851-413DECCAD25A}">
  <dimension ref="A1:C10"/>
  <sheetViews>
    <sheetView workbookViewId="0">
      <selection activeCell="B10" sqref="B10"/>
    </sheetView>
  </sheetViews>
  <sheetFormatPr defaultRowHeight="15.05" x14ac:dyDescent="0.3"/>
  <cols>
    <col min="1" max="1" width="20.21875" bestFit="1" customWidth="1"/>
    <col min="2" max="2" width="15.44140625" bestFit="1" customWidth="1"/>
    <col min="3" max="4" width="10.5546875" bestFit="1" customWidth="1"/>
    <col min="5" max="5" width="7.6640625" bestFit="1" customWidth="1"/>
    <col min="6" max="6" width="8.5546875" bestFit="1" customWidth="1"/>
    <col min="7" max="7" width="8" bestFit="1" customWidth="1"/>
    <col min="8" max="8" width="10.5546875" bestFit="1" customWidth="1"/>
  </cols>
  <sheetData>
    <row r="1" spans="1:3" x14ac:dyDescent="0.3">
      <c r="A1" s="2" t="s">
        <v>3541</v>
      </c>
      <c r="B1" s="2" t="s">
        <v>3528</v>
      </c>
    </row>
    <row r="2" spans="1:3" x14ac:dyDescent="0.3">
      <c r="A2" s="2" t="s">
        <v>3526</v>
      </c>
      <c r="B2" t="s">
        <v>3539</v>
      </c>
      <c r="C2" t="s">
        <v>3527</v>
      </c>
    </row>
    <row r="3" spans="1:3" x14ac:dyDescent="0.3">
      <c r="A3" s="3" t="s">
        <v>181</v>
      </c>
      <c r="B3">
        <v>9370574</v>
      </c>
      <c r="C3">
        <v>9370574</v>
      </c>
    </row>
    <row r="4" spans="1:3" x14ac:dyDescent="0.3">
      <c r="A4" s="3" t="s">
        <v>550</v>
      </c>
      <c r="B4">
        <v>5708250</v>
      </c>
      <c r="C4">
        <v>5708250</v>
      </c>
    </row>
    <row r="5" spans="1:3" x14ac:dyDescent="0.3">
      <c r="A5" s="3" t="s">
        <v>26</v>
      </c>
      <c r="B5">
        <v>3322602</v>
      </c>
      <c r="C5">
        <v>3322602</v>
      </c>
    </row>
    <row r="6" spans="1:3" x14ac:dyDescent="0.3">
      <c r="A6" s="3" t="s">
        <v>504</v>
      </c>
      <c r="B6">
        <v>2881066</v>
      </c>
      <c r="C6">
        <v>2881066</v>
      </c>
    </row>
    <row r="7" spans="1:3" x14ac:dyDescent="0.3">
      <c r="A7" s="3" t="s">
        <v>566</v>
      </c>
      <c r="B7">
        <v>2780744</v>
      </c>
      <c r="C7">
        <v>2780744</v>
      </c>
    </row>
    <row r="8" spans="1:3" x14ac:dyDescent="0.3">
      <c r="A8" s="3" t="s">
        <v>598</v>
      </c>
      <c r="B8">
        <v>1998007</v>
      </c>
      <c r="C8">
        <v>1998007</v>
      </c>
    </row>
    <row r="9" spans="1:3" x14ac:dyDescent="0.3">
      <c r="A9" s="3" t="s">
        <v>605</v>
      </c>
      <c r="B9">
        <v>768992</v>
      </c>
      <c r="C9">
        <v>768992</v>
      </c>
    </row>
    <row r="10" spans="1:3" x14ac:dyDescent="0.3">
      <c r="A10" s="3" t="s">
        <v>3527</v>
      </c>
      <c r="B10">
        <v>26830235</v>
      </c>
      <c r="C10">
        <v>26830235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2CAD-BA67-4ED9-9C8F-A6AFD6BCD646}">
  <dimension ref="B1:C5"/>
  <sheetViews>
    <sheetView workbookViewId="0">
      <selection activeCell="B2" sqref="B2:B4"/>
    </sheetView>
  </sheetViews>
  <sheetFormatPr defaultRowHeight="15.05" x14ac:dyDescent="0.3"/>
  <cols>
    <col min="2" max="2" width="12.33203125" bestFit="1" customWidth="1"/>
    <col min="3" max="3" width="12.21875" bestFit="1" customWidth="1"/>
  </cols>
  <sheetData>
    <row r="1" spans="2:3" x14ac:dyDescent="0.3">
      <c r="B1" s="2" t="s">
        <v>3526</v>
      </c>
      <c r="C1" t="s">
        <v>3525</v>
      </c>
    </row>
    <row r="2" spans="2:3" x14ac:dyDescent="0.3">
      <c r="B2" s="3" t="s">
        <v>151</v>
      </c>
      <c r="C2">
        <v>1302119.2600000007</v>
      </c>
    </row>
    <row r="3" spans="2:3" x14ac:dyDescent="0.3">
      <c r="B3" s="3" t="s">
        <v>51</v>
      </c>
      <c r="C3">
        <v>6087432.2400000058</v>
      </c>
    </row>
    <row r="4" spans="2:3" x14ac:dyDescent="0.3">
      <c r="B4" s="3" t="s">
        <v>36</v>
      </c>
      <c r="C4">
        <v>2643077.3499999968</v>
      </c>
    </row>
    <row r="5" spans="2:3" x14ac:dyDescent="0.3">
      <c r="B5" s="3" t="s">
        <v>3527</v>
      </c>
      <c r="C5">
        <v>10032628.850000003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BC16-891C-4061-8EC6-00BAAE858F6C}">
  <dimension ref="A1:E4"/>
  <sheetViews>
    <sheetView workbookViewId="0">
      <selection activeCell="J17" sqref="J17"/>
    </sheetView>
  </sheetViews>
  <sheetFormatPr defaultRowHeight="15.05" x14ac:dyDescent="0.3"/>
  <cols>
    <col min="1" max="1" width="12.44140625" bestFit="1" customWidth="1"/>
    <col min="2" max="2" width="23.6640625" bestFit="1" customWidth="1"/>
    <col min="5" max="5" width="12.33203125" bestFit="1" customWidth="1"/>
    <col min="6" max="6" width="19.21875" bestFit="1" customWidth="1"/>
  </cols>
  <sheetData>
    <row r="1" spans="1:5" x14ac:dyDescent="0.3">
      <c r="A1" s="2" t="s">
        <v>3526</v>
      </c>
      <c r="B1" t="s">
        <v>3529</v>
      </c>
    </row>
    <row r="2" spans="1:5" x14ac:dyDescent="0.3">
      <c r="A2" s="3" t="s">
        <v>3539</v>
      </c>
      <c r="B2" s="8">
        <v>91403</v>
      </c>
      <c r="D2" s="7" cm="1">
        <f t="array" ref="D2:D3">B2:B3/GETPIVOTDATA("QUANTITYORDERED",$A$1)</f>
        <v>0.92263821454167383</v>
      </c>
      <c r="E2" s="7"/>
    </row>
    <row r="3" spans="1:5" x14ac:dyDescent="0.3">
      <c r="A3" s="3" t="s">
        <v>3540</v>
      </c>
      <c r="B3" s="8">
        <v>7664</v>
      </c>
      <c r="D3" s="7">
        <v>7.7361785458326185E-2</v>
      </c>
    </row>
    <row r="4" spans="1:5" x14ac:dyDescent="0.3">
      <c r="A4" s="3" t="s">
        <v>3527</v>
      </c>
      <c r="B4" s="8">
        <v>99067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F5A8-C2B4-4551-8A02-A9827C32336D}">
  <dimension ref="J8:AF16"/>
  <sheetViews>
    <sheetView showGridLines="0" tabSelected="1" zoomScale="66" workbookViewId="0">
      <selection activeCell="V82" sqref="V82"/>
    </sheetView>
  </sheetViews>
  <sheetFormatPr defaultRowHeight="15.05" x14ac:dyDescent="0.3"/>
  <sheetData>
    <row r="8" spans="10:32" x14ac:dyDescent="0.3">
      <c r="J8" s="7"/>
    </row>
    <row r="11" spans="10:32" ht="18.2" x14ac:dyDescent="0.35">
      <c r="Z11" s="9" t="s">
        <v>3561</v>
      </c>
      <c r="AA11" s="9"/>
      <c r="AB11" s="9"/>
      <c r="AC11" s="9"/>
      <c r="AD11" s="9"/>
      <c r="AE11" s="9"/>
      <c r="AF11" s="9"/>
    </row>
    <row r="12" spans="10:32" ht="18.2" x14ac:dyDescent="0.35">
      <c r="Z12" s="9" t="s">
        <v>3562</v>
      </c>
      <c r="AA12" s="9"/>
      <c r="AB12" s="9"/>
      <c r="AC12" s="9"/>
      <c r="AD12" s="9"/>
      <c r="AE12" s="9"/>
      <c r="AF12" s="9"/>
    </row>
    <row r="13" spans="10:32" ht="18.2" x14ac:dyDescent="0.35">
      <c r="Z13" s="9" t="s">
        <v>3563</v>
      </c>
      <c r="AA13" s="9"/>
      <c r="AB13" s="9"/>
      <c r="AC13" s="9"/>
      <c r="AD13" s="9"/>
      <c r="AE13" s="9"/>
      <c r="AF13" s="9"/>
    </row>
    <row r="14" spans="10:32" ht="18.2" x14ac:dyDescent="0.35">
      <c r="Z14" s="9" t="s">
        <v>3564</v>
      </c>
      <c r="AA14" s="9"/>
      <c r="AB14" s="9"/>
      <c r="AC14" s="9"/>
      <c r="AD14" s="9"/>
      <c r="AE14" s="9"/>
      <c r="AF14" s="9"/>
    </row>
    <row r="15" spans="10:32" ht="18.2" x14ac:dyDescent="0.35">
      <c r="Z15" s="9" t="s">
        <v>3565</v>
      </c>
      <c r="AA15" s="9"/>
      <c r="AB15" s="9"/>
      <c r="AC15" s="9"/>
      <c r="AD15" s="9"/>
      <c r="AE15" s="9"/>
      <c r="AF15" s="9"/>
    </row>
    <row r="16" spans="10:32" ht="18.2" x14ac:dyDescent="0.35">
      <c r="Z16" s="9"/>
      <c r="AA16" s="9"/>
      <c r="AB16" s="9"/>
      <c r="AC16" s="9"/>
      <c r="AD16" s="9"/>
      <c r="AE16" s="9"/>
      <c r="AF16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cleaned_sales_data</vt:lpstr>
      <vt:lpstr>business_questions</vt:lpstr>
      <vt:lpstr>pivot_overall_perfromance</vt:lpstr>
      <vt:lpstr>PIVOT_YEAR_WISE</vt:lpstr>
      <vt:lpstr>PIVOT_MONTH_WISE</vt:lpstr>
      <vt:lpstr>PIVOT_QUARTER WISE</vt:lpstr>
      <vt:lpstr>PIVOT_LOCATION</vt:lpstr>
      <vt:lpstr>PIVOT_CITY_WISE</vt:lpstr>
      <vt:lpstr>pivot_product_wise</vt:lpstr>
      <vt:lpstr>pivot_order</vt:lpstr>
      <vt:lpstr>pivot_shipment_status</vt:lpstr>
      <vt:lpstr>pivot_complted_country</vt:lpstr>
      <vt:lpstr>pivot_best_prodcuctline</vt:lpstr>
      <vt:lpstr>pivot_visible_relation</vt:lpstr>
      <vt:lpstr>pivot_percentage_completed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</dc:creator>
  <cp:lastModifiedBy>Divyansh</cp:lastModifiedBy>
  <dcterms:created xsi:type="dcterms:W3CDTF">2026-01-03T12:03:48Z</dcterms:created>
  <dcterms:modified xsi:type="dcterms:W3CDTF">2026-01-04T16:56:43Z</dcterms:modified>
</cp:coreProperties>
</file>